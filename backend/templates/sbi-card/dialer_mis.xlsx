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0" yWindow="0" windowWidth="20490" windowHeight="7755" tabRatio="935" firstSheet="2" activeTab="26"/>
  </bookViews>
  <sheets>
    <sheet name="EL_DEL_CD2_JO_" sheetId="49" r:id="rId1"/>
    <sheet name="EL_DEL_CD2_PTP_" sheetId="50" r:id="rId2"/>
    <sheet name="EL_DEL_CD2_SBI_1_4_" sheetId="56" r:id="rId3"/>
    <sheet name="EL_DEL_CD2_SBI_5_6_" sheetId="53" r:id="rId4"/>
    <sheet name="EL_DEL_CD2_SBI_7_8_" sheetId="68" r:id="rId5"/>
    <sheet name="EL_DEL_CD2_SBI_9_10_" sheetId="69" r:id="rId6"/>
    <sheet name="EL_DEL_CD2_STAB_" sheetId="52" r:id="rId7"/>
    <sheet name="EL_DEL_CD1_WST_PTP_" sheetId="54" state="hidden" r:id="rId8"/>
    <sheet name="EL_DEL_CD1_NTH_PTP_" sheetId="55" state="hidden" r:id="rId9"/>
    <sheet name="EL_DEL_CD1_STH_PTP_" sheetId="65" state="hidden" r:id="rId10"/>
    <sheet name="EL_DEL_CD1_1D4P_PTP_" sheetId="67" state="hidden" r:id="rId11"/>
    <sheet name="EL_DEL_CD1_8D_PTP_" sheetId="66" state="hidden" r:id="rId12"/>
    <sheet name="EL_DEL_CD2_JO_L_" sheetId="75" state="hidden" r:id="rId13"/>
    <sheet name="EL_DEL_CD2_PTP_L_" sheetId="74" state="hidden" r:id="rId14"/>
    <sheet name="EL_DEL_CD2_SBI_L_1_4_" sheetId="73" state="hidden" r:id="rId15"/>
    <sheet name="EL_DEL_CD2_SBI_L_5_6_" sheetId="72" state="hidden" r:id="rId16"/>
    <sheet name="EL_DEL_CD2_SBI_L_7_8_" sheetId="71" state="hidden" r:id="rId17"/>
    <sheet name="EL_DEL_CD2_SBI_L_9_10_" sheetId="70" state="hidden" r:id="rId18"/>
    <sheet name="EL_DEL_CD2_L_STAB_" sheetId="77" state="hidden" r:id="rId19"/>
    <sheet name="Overall without PTP " sheetId="64" r:id="rId20"/>
    <sheet name="ELEVATE_CD3_NTH_HB" sheetId="63" state="hidden" r:id="rId21"/>
    <sheet name="ELEVATE_CD3_STAB_HB" sheetId="62" state="hidden" r:id="rId22"/>
    <sheet name="ELEVATE_CD3_PTP_HB" sheetId="51" state="hidden" r:id="rId23"/>
    <sheet name="Overall Low Bal" sheetId="60" state="hidden" r:id="rId24"/>
    <sheet name="Overall High Bal" sheetId="59" state="hidden" r:id="rId25"/>
    <sheet name="Overall with PTP" sheetId="76" r:id="rId26"/>
    <sheet name="Master" sheetId="57" r:id="rId27"/>
  </sheets>
  <definedNames>
    <definedName name="_xlnm._FilterDatabase" localSheetId="26" hidden="1">Master!$CC$1:$CG$36</definedName>
  </definedNames>
  <calcPr calcId="144525"/>
</workbook>
</file>

<file path=xl/calcChain.xml><?xml version="1.0" encoding="utf-8"?>
<calcChain xmlns="http://schemas.openxmlformats.org/spreadsheetml/2006/main">
  <c r="AX29" i="68" l="1"/>
  <c r="AX9" i="49" l="1"/>
  <c r="A5" i="49" l="1"/>
  <c r="AX22" i="49" l="1"/>
  <c r="AX16" i="52" l="1"/>
  <c r="AZ16" i="52"/>
  <c r="BA16" i="52"/>
  <c r="BB16" i="52"/>
  <c r="BD16" i="52"/>
  <c r="BE16" i="52"/>
  <c r="BF16" i="52"/>
  <c r="BG16" i="52"/>
  <c r="BH16" i="52"/>
  <c r="BI16" i="52"/>
  <c r="BK16" i="52"/>
  <c r="BL16" i="52"/>
  <c r="BM16" i="52"/>
  <c r="BN16" i="52"/>
  <c r="BP16" i="52"/>
  <c r="BR16" i="52"/>
  <c r="BS16" i="52"/>
  <c r="BT16" i="52"/>
  <c r="BV16" i="52"/>
  <c r="BW16" i="52"/>
  <c r="BX16" i="52"/>
  <c r="BY16" i="52"/>
  <c r="BZ16" i="52"/>
  <c r="CA16" i="52"/>
  <c r="CC16" i="52"/>
  <c r="CD16" i="52"/>
  <c r="CE16" i="52"/>
  <c r="CF16" i="52"/>
  <c r="CG16" i="52"/>
  <c r="AH14" i="64" l="1"/>
  <c r="O14" i="64"/>
  <c r="AE14" i="64"/>
  <c r="P14" i="64"/>
  <c r="T14" i="64"/>
  <c r="X14" i="64"/>
  <c r="AW34" i="57"/>
  <c r="AW33" i="57"/>
  <c r="AW32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5" i="57"/>
  <c r="AW14" i="57"/>
  <c r="AW13" i="57"/>
  <c r="AW12" i="57"/>
  <c r="AW11" i="57"/>
  <c r="AW10" i="57"/>
  <c r="AW9" i="57"/>
  <c r="AW8" i="57"/>
  <c r="AW7" i="57"/>
  <c r="AW6" i="57"/>
  <c r="AW5" i="57"/>
  <c r="AW34" i="76"/>
  <c r="AV34" i="76"/>
  <c r="AU34" i="76"/>
  <c r="AT34" i="76"/>
  <c r="AS34" i="76"/>
  <c r="AR34" i="76"/>
  <c r="AQ34" i="76"/>
  <c r="AP34" i="76"/>
  <c r="AO34" i="76"/>
  <c r="AN34" i="76"/>
  <c r="AM34" i="76"/>
  <c r="AL34" i="76"/>
  <c r="AK34" i="76"/>
  <c r="AJ34" i="76"/>
  <c r="AI34" i="76"/>
  <c r="AH34" i="76"/>
  <c r="AG34" i="76"/>
  <c r="AF34" i="76"/>
  <c r="AE34" i="76"/>
  <c r="AD34" i="76"/>
  <c r="AC34" i="76"/>
  <c r="AB34" i="76"/>
  <c r="AA34" i="76"/>
  <c r="Z34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H34" i="76"/>
  <c r="G34" i="76"/>
  <c r="F34" i="76"/>
  <c r="E34" i="76"/>
  <c r="D34" i="76"/>
  <c r="C34" i="76"/>
  <c r="AW33" i="76"/>
  <c r="AV33" i="76"/>
  <c r="AU33" i="76"/>
  <c r="AT33" i="76"/>
  <c r="AS33" i="76"/>
  <c r="AR33" i="76"/>
  <c r="AQ33" i="76"/>
  <c r="AP33" i="76"/>
  <c r="AO33" i="76"/>
  <c r="AN33" i="76"/>
  <c r="AM33" i="76"/>
  <c r="AL33" i="76"/>
  <c r="AK33" i="76"/>
  <c r="AJ33" i="76"/>
  <c r="AI33" i="76"/>
  <c r="AH33" i="76"/>
  <c r="AG33" i="76"/>
  <c r="AF33" i="76"/>
  <c r="AE33" i="76"/>
  <c r="AD33" i="76"/>
  <c r="AC33" i="76"/>
  <c r="AB33" i="76"/>
  <c r="AA33" i="76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H33" i="76"/>
  <c r="G33" i="76"/>
  <c r="F33" i="76"/>
  <c r="E33" i="76"/>
  <c r="D33" i="76"/>
  <c r="C33" i="76"/>
  <c r="AW32" i="76"/>
  <c r="AV32" i="76"/>
  <c r="AU32" i="76"/>
  <c r="AT32" i="76"/>
  <c r="AS32" i="76"/>
  <c r="AR32" i="76"/>
  <c r="AQ32" i="76"/>
  <c r="AP32" i="76"/>
  <c r="AO32" i="76"/>
  <c r="AN32" i="76"/>
  <c r="AM32" i="76"/>
  <c r="AL32" i="76"/>
  <c r="AK32" i="76"/>
  <c r="AJ32" i="76"/>
  <c r="AI32" i="76"/>
  <c r="AH32" i="76"/>
  <c r="AG32" i="76"/>
  <c r="AF32" i="76"/>
  <c r="AE32" i="76"/>
  <c r="AD32" i="76"/>
  <c r="AC32" i="76"/>
  <c r="AB32" i="76"/>
  <c r="AA32" i="76"/>
  <c r="Z32" i="76"/>
  <c r="Y32" i="76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H32" i="76"/>
  <c r="G32" i="76"/>
  <c r="F32" i="76"/>
  <c r="E32" i="76"/>
  <c r="D32" i="76"/>
  <c r="C32" i="76"/>
  <c r="AW31" i="76"/>
  <c r="AV31" i="76"/>
  <c r="AU31" i="76"/>
  <c r="AT31" i="76"/>
  <c r="AS31" i="76"/>
  <c r="AR31" i="76"/>
  <c r="AQ31" i="76"/>
  <c r="AP31" i="76"/>
  <c r="AO31" i="76"/>
  <c r="AN31" i="76"/>
  <c r="AM31" i="76"/>
  <c r="AL31" i="76"/>
  <c r="AK31" i="76"/>
  <c r="AJ31" i="76"/>
  <c r="AI31" i="76"/>
  <c r="AH31" i="76"/>
  <c r="AG31" i="76"/>
  <c r="AF31" i="76"/>
  <c r="AE31" i="76"/>
  <c r="AD31" i="76"/>
  <c r="AC31" i="76"/>
  <c r="AB31" i="76"/>
  <c r="AA31" i="76"/>
  <c r="Z31" i="76"/>
  <c r="Y31" i="76"/>
  <c r="X31" i="76"/>
  <c r="W31" i="76"/>
  <c r="V31" i="76"/>
  <c r="U31" i="76"/>
  <c r="T31" i="76"/>
  <c r="S31" i="76"/>
  <c r="R31" i="76"/>
  <c r="Q31" i="76"/>
  <c r="P31" i="76"/>
  <c r="O31" i="76"/>
  <c r="N31" i="76"/>
  <c r="M31" i="76"/>
  <c r="L31" i="76"/>
  <c r="K31" i="76"/>
  <c r="J31" i="76"/>
  <c r="I31" i="76"/>
  <c r="H31" i="76"/>
  <c r="G31" i="76"/>
  <c r="F31" i="76"/>
  <c r="E31" i="76"/>
  <c r="D31" i="76"/>
  <c r="C31" i="76"/>
  <c r="AW30" i="76"/>
  <c r="AV30" i="76"/>
  <c r="AU30" i="76"/>
  <c r="AT30" i="76"/>
  <c r="AS30" i="76"/>
  <c r="AR30" i="76"/>
  <c r="AQ30" i="76"/>
  <c r="AP30" i="76"/>
  <c r="AO30" i="76"/>
  <c r="AN30" i="76"/>
  <c r="AM30" i="76"/>
  <c r="AL30" i="76"/>
  <c r="AK30" i="76"/>
  <c r="AJ30" i="76"/>
  <c r="AI30" i="76"/>
  <c r="AH30" i="76"/>
  <c r="AG30" i="76"/>
  <c r="AF30" i="76"/>
  <c r="AE30" i="76"/>
  <c r="AD30" i="76"/>
  <c r="AC30" i="76"/>
  <c r="AB30" i="76"/>
  <c r="AA30" i="76"/>
  <c r="Z30" i="76"/>
  <c r="Y30" i="76"/>
  <c r="X30" i="76"/>
  <c r="W30" i="76"/>
  <c r="V30" i="76"/>
  <c r="U30" i="76"/>
  <c r="T30" i="76"/>
  <c r="S30" i="76"/>
  <c r="R30" i="76"/>
  <c r="Q30" i="76"/>
  <c r="P30" i="76"/>
  <c r="O30" i="76"/>
  <c r="N30" i="76"/>
  <c r="M30" i="76"/>
  <c r="L30" i="76"/>
  <c r="K30" i="76"/>
  <c r="J30" i="76"/>
  <c r="I30" i="76"/>
  <c r="H30" i="76"/>
  <c r="G30" i="76"/>
  <c r="F30" i="76"/>
  <c r="E30" i="76"/>
  <c r="D30" i="76"/>
  <c r="C30" i="76"/>
  <c r="AW29" i="76"/>
  <c r="AV29" i="76"/>
  <c r="AU29" i="76"/>
  <c r="AT29" i="76"/>
  <c r="AS29" i="76"/>
  <c r="AR29" i="76"/>
  <c r="AQ29" i="76"/>
  <c r="AP29" i="76"/>
  <c r="AO29" i="76"/>
  <c r="AN29" i="76"/>
  <c r="AM29" i="76"/>
  <c r="AL29" i="76"/>
  <c r="AK29" i="76"/>
  <c r="AJ29" i="76"/>
  <c r="AI29" i="76"/>
  <c r="AH29" i="76"/>
  <c r="AG29" i="76"/>
  <c r="AF29" i="76"/>
  <c r="AE29" i="76"/>
  <c r="AD29" i="76"/>
  <c r="AC29" i="76"/>
  <c r="AB29" i="76"/>
  <c r="AA29" i="76"/>
  <c r="Z29" i="76"/>
  <c r="Y29" i="76"/>
  <c r="X29" i="76"/>
  <c r="W29" i="76"/>
  <c r="V29" i="76"/>
  <c r="U29" i="76"/>
  <c r="T29" i="76"/>
  <c r="S29" i="76"/>
  <c r="R29" i="76"/>
  <c r="Q29" i="76"/>
  <c r="P29" i="76"/>
  <c r="O29" i="76"/>
  <c r="N29" i="76"/>
  <c r="M29" i="76"/>
  <c r="L29" i="76"/>
  <c r="K29" i="76"/>
  <c r="J29" i="76"/>
  <c r="I29" i="76"/>
  <c r="H29" i="76"/>
  <c r="G29" i="76"/>
  <c r="F29" i="76"/>
  <c r="E29" i="76"/>
  <c r="D29" i="76"/>
  <c r="C29" i="76"/>
  <c r="AW28" i="76"/>
  <c r="AV28" i="76"/>
  <c r="AU28" i="76"/>
  <c r="AT28" i="76"/>
  <c r="AS28" i="76"/>
  <c r="AR28" i="76"/>
  <c r="AQ28" i="76"/>
  <c r="AP28" i="76"/>
  <c r="AO28" i="76"/>
  <c r="AN28" i="76"/>
  <c r="AM28" i="76"/>
  <c r="AL28" i="76"/>
  <c r="AK28" i="76"/>
  <c r="AJ28" i="76"/>
  <c r="AI28" i="76"/>
  <c r="AH28" i="76"/>
  <c r="AG28" i="76"/>
  <c r="AF28" i="76"/>
  <c r="AE28" i="76"/>
  <c r="AD28" i="76"/>
  <c r="AC28" i="76"/>
  <c r="AB28" i="76"/>
  <c r="AA28" i="76"/>
  <c r="Z28" i="76"/>
  <c r="Y28" i="76"/>
  <c r="X28" i="76"/>
  <c r="W28" i="76"/>
  <c r="V28" i="76"/>
  <c r="U28" i="76"/>
  <c r="T28" i="76"/>
  <c r="S28" i="76"/>
  <c r="R28" i="76"/>
  <c r="Q28" i="76"/>
  <c r="P28" i="76"/>
  <c r="O28" i="76"/>
  <c r="N28" i="76"/>
  <c r="M28" i="76"/>
  <c r="L28" i="76"/>
  <c r="K28" i="76"/>
  <c r="J28" i="76"/>
  <c r="I28" i="76"/>
  <c r="H28" i="76"/>
  <c r="G28" i="76"/>
  <c r="F28" i="76"/>
  <c r="E28" i="76"/>
  <c r="D28" i="76"/>
  <c r="C28" i="76"/>
  <c r="AW27" i="76"/>
  <c r="AV27" i="76"/>
  <c r="AU27" i="76"/>
  <c r="AT27" i="76"/>
  <c r="AS27" i="76"/>
  <c r="AR27" i="76"/>
  <c r="AQ27" i="76"/>
  <c r="AP27" i="76"/>
  <c r="AO27" i="76"/>
  <c r="AN27" i="76"/>
  <c r="AM27" i="76"/>
  <c r="AL27" i="76"/>
  <c r="AK27" i="76"/>
  <c r="AJ27" i="76"/>
  <c r="AI27" i="76"/>
  <c r="AH27" i="76"/>
  <c r="AG27" i="76"/>
  <c r="AF27" i="76"/>
  <c r="AE27" i="76"/>
  <c r="AD27" i="76"/>
  <c r="AC27" i="76"/>
  <c r="AB27" i="76"/>
  <c r="AA27" i="76"/>
  <c r="Z27" i="76"/>
  <c r="Y27" i="76"/>
  <c r="X27" i="76"/>
  <c r="W27" i="76"/>
  <c r="V27" i="76"/>
  <c r="U27" i="76"/>
  <c r="T27" i="76"/>
  <c r="S27" i="76"/>
  <c r="R27" i="76"/>
  <c r="Q27" i="76"/>
  <c r="P27" i="76"/>
  <c r="O27" i="76"/>
  <c r="N27" i="76"/>
  <c r="M27" i="76"/>
  <c r="L27" i="76"/>
  <c r="K27" i="76"/>
  <c r="J27" i="76"/>
  <c r="I27" i="76"/>
  <c r="H27" i="76"/>
  <c r="G27" i="76"/>
  <c r="F27" i="76"/>
  <c r="E27" i="76"/>
  <c r="D27" i="76"/>
  <c r="C27" i="76"/>
  <c r="AW26" i="76"/>
  <c r="AV26" i="76"/>
  <c r="AU26" i="76"/>
  <c r="AT26" i="76"/>
  <c r="AS26" i="76"/>
  <c r="AR26" i="76"/>
  <c r="AQ26" i="76"/>
  <c r="AP26" i="76"/>
  <c r="AO26" i="76"/>
  <c r="AN26" i="76"/>
  <c r="AM26" i="76"/>
  <c r="AL26" i="76"/>
  <c r="AK26" i="76"/>
  <c r="AJ26" i="76"/>
  <c r="AI26" i="76"/>
  <c r="AH26" i="76"/>
  <c r="AG26" i="76"/>
  <c r="AF26" i="76"/>
  <c r="AE26" i="76"/>
  <c r="AD26" i="76"/>
  <c r="AC26" i="76"/>
  <c r="AB26" i="76"/>
  <c r="AA26" i="76"/>
  <c r="Z26" i="76"/>
  <c r="Y26" i="76"/>
  <c r="X26" i="76"/>
  <c r="W26" i="76"/>
  <c r="V26" i="76"/>
  <c r="U26" i="76"/>
  <c r="T26" i="76"/>
  <c r="S26" i="76"/>
  <c r="R26" i="76"/>
  <c r="Q26" i="76"/>
  <c r="P26" i="76"/>
  <c r="O26" i="76"/>
  <c r="N26" i="76"/>
  <c r="M26" i="76"/>
  <c r="L26" i="76"/>
  <c r="K26" i="76"/>
  <c r="J26" i="76"/>
  <c r="I26" i="76"/>
  <c r="H26" i="76"/>
  <c r="G26" i="76"/>
  <c r="F26" i="76"/>
  <c r="E26" i="76"/>
  <c r="D26" i="76"/>
  <c r="C26" i="76"/>
  <c r="AW25" i="76"/>
  <c r="AV25" i="76"/>
  <c r="AU25" i="76"/>
  <c r="AT25" i="76"/>
  <c r="AS25" i="76"/>
  <c r="AR25" i="76"/>
  <c r="AQ25" i="76"/>
  <c r="AP25" i="76"/>
  <c r="AO25" i="76"/>
  <c r="AN25" i="76"/>
  <c r="AM25" i="76"/>
  <c r="AL25" i="76"/>
  <c r="AK25" i="76"/>
  <c r="AJ25" i="76"/>
  <c r="AI25" i="76"/>
  <c r="AH25" i="76"/>
  <c r="AG25" i="76"/>
  <c r="AF25" i="76"/>
  <c r="AE25" i="76"/>
  <c r="AD25" i="76"/>
  <c r="AC25" i="76"/>
  <c r="AB25" i="76"/>
  <c r="AA25" i="76"/>
  <c r="Z25" i="76"/>
  <c r="Y25" i="76"/>
  <c r="X25" i="76"/>
  <c r="W25" i="76"/>
  <c r="V25" i="76"/>
  <c r="U25" i="76"/>
  <c r="T25" i="76"/>
  <c r="S25" i="76"/>
  <c r="R25" i="76"/>
  <c r="Q25" i="76"/>
  <c r="P25" i="76"/>
  <c r="O25" i="76"/>
  <c r="N25" i="76"/>
  <c r="M25" i="76"/>
  <c r="L25" i="76"/>
  <c r="K25" i="76"/>
  <c r="J25" i="76"/>
  <c r="I25" i="76"/>
  <c r="H25" i="76"/>
  <c r="G25" i="76"/>
  <c r="F25" i="76"/>
  <c r="E25" i="76"/>
  <c r="D25" i="76"/>
  <c r="C25" i="76"/>
  <c r="AW24" i="76"/>
  <c r="AV24" i="76"/>
  <c r="AU24" i="76"/>
  <c r="AT24" i="76"/>
  <c r="AS24" i="76"/>
  <c r="AR24" i="76"/>
  <c r="AQ24" i="76"/>
  <c r="AP24" i="76"/>
  <c r="AO24" i="76"/>
  <c r="AN24" i="76"/>
  <c r="AM24" i="76"/>
  <c r="AL24" i="76"/>
  <c r="AK24" i="76"/>
  <c r="AJ24" i="76"/>
  <c r="AI24" i="76"/>
  <c r="AH24" i="76"/>
  <c r="AG24" i="76"/>
  <c r="AF24" i="76"/>
  <c r="AE24" i="76"/>
  <c r="AD24" i="76"/>
  <c r="AC24" i="76"/>
  <c r="AB24" i="76"/>
  <c r="AA24" i="76"/>
  <c r="Z24" i="76"/>
  <c r="Y24" i="76"/>
  <c r="X24" i="76"/>
  <c r="W24" i="76"/>
  <c r="V24" i="76"/>
  <c r="U24" i="76"/>
  <c r="T24" i="76"/>
  <c r="S24" i="76"/>
  <c r="R24" i="76"/>
  <c r="Q24" i="76"/>
  <c r="P24" i="76"/>
  <c r="O24" i="76"/>
  <c r="N24" i="76"/>
  <c r="M24" i="76"/>
  <c r="L24" i="76"/>
  <c r="K24" i="76"/>
  <c r="J24" i="76"/>
  <c r="I24" i="76"/>
  <c r="H24" i="76"/>
  <c r="G24" i="76"/>
  <c r="F24" i="76"/>
  <c r="E24" i="76"/>
  <c r="D24" i="76"/>
  <c r="C24" i="76"/>
  <c r="AW23" i="76"/>
  <c r="AV23" i="76"/>
  <c r="AU23" i="76"/>
  <c r="AT23" i="76"/>
  <c r="AS23" i="76"/>
  <c r="AR23" i="76"/>
  <c r="AQ23" i="76"/>
  <c r="AP23" i="76"/>
  <c r="AO23" i="76"/>
  <c r="AN23" i="76"/>
  <c r="AM23" i="76"/>
  <c r="AL23" i="76"/>
  <c r="AK23" i="76"/>
  <c r="AJ23" i="76"/>
  <c r="AI23" i="76"/>
  <c r="AH23" i="76"/>
  <c r="AG23" i="76"/>
  <c r="AF23" i="76"/>
  <c r="AE23" i="76"/>
  <c r="AD23" i="76"/>
  <c r="AC23" i="76"/>
  <c r="AB23" i="76"/>
  <c r="AA23" i="76"/>
  <c r="Z23" i="76"/>
  <c r="Y23" i="76"/>
  <c r="X23" i="76"/>
  <c r="W23" i="76"/>
  <c r="V23" i="76"/>
  <c r="U23" i="76"/>
  <c r="T23" i="76"/>
  <c r="S23" i="76"/>
  <c r="R23" i="76"/>
  <c r="Q23" i="76"/>
  <c r="P23" i="76"/>
  <c r="O23" i="76"/>
  <c r="N23" i="76"/>
  <c r="M23" i="76"/>
  <c r="L23" i="76"/>
  <c r="K23" i="76"/>
  <c r="J23" i="76"/>
  <c r="I23" i="76"/>
  <c r="H23" i="76"/>
  <c r="G23" i="76"/>
  <c r="F23" i="76"/>
  <c r="E23" i="76"/>
  <c r="D23" i="76"/>
  <c r="C23" i="76"/>
  <c r="AW22" i="76"/>
  <c r="AV22" i="76"/>
  <c r="AU22" i="76"/>
  <c r="AT22" i="76"/>
  <c r="AS22" i="76"/>
  <c r="AR22" i="76"/>
  <c r="AQ22" i="76"/>
  <c r="AP22" i="76"/>
  <c r="AO22" i="76"/>
  <c r="AN22" i="76"/>
  <c r="AM22" i="76"/>
  <c r="AL22" i="76"/>
  <c r="AK22" i="76"/>
  <c r="AJ22" i="76"/>
  <c r="AI22" i="76"/>
  <c r="AH22" i="76"/>
  <c r="AG22" i="76"/>
  <c r="AF22" i="76"/>
  <c r="AE22" i="76"/>
  <c r="AD22" i="76"/>
  <c r="AC22" i="76"/>
  <c r="AB22" i="76"/>
  <c r="AA22" i="76"/>
  <c r="Z22" i="76"/>
  <c r="Y22" i="76"/>
  <c r="X22" i="76"/>
  <c r="W22" i="76"/>
  <c r="V22" i="76"/>
  <c r="U22" i="76"/>
  <c r="T22" i="76"/>
  <c r="S22" i="76"/>
  <c r="R22" i="76"/>
  <c r="Q22" i="76"/>
  <c r="P22" i="76"/>
  <c r="O22" i="76"/>
  <c r="N22" i="76"/>
  <c r="M22" i="76"/>
  <c r="L22" i="76"/>
  <c r="K22" i="76"/>
  <c r="J22" i="76"/>
  <c r="I22" i="76"/>
  <c r="H22" i="76"/>
  <c r="G22" i="76"/>
  <c r="F22" i="76"/>
  <c r="E22" i="76"/>
  <c r="D22" i="76"/>
  <c r="C22" i="76"/>
  <c r="AW21" i="76"/>
  <c r="AV21" i="76"/>
  <c r="AU21" i="76"/>
  <c r="AT21" i="76"/>
  <c r="AS21" i="76"/>
  <c r="AR21" i="76"/>
  <c r="AQ21" i="76"/>
  <c r="AP21" i="76"/>
  <c r="AO21" i="76"/>
  <c r="AN21" i="76"/>
  <c r="AM21" i="76"/>
  <c r="AL21" i="76"/>
  <c r="AK21" i="76"/>
  <c r="AJ21" i="76"/>
  <c r="AI21" i="76"/>
  <c r="AH21" i="76"/>
  <c r="AG21" i="76"/>
  <c r="AF21" i="76"/>
  <c r="AE21" i="76"/>
  <c r="AD21" i="76"/>
  <c r="AC21" i="76"/>
  <c r="AB21" i="76"/>
  <c r="AA21" i="76"/>
  <c r="Z21" i="76"/>
  <c r="Y21" i="76"/>
  <c r="X21" i="76"/>
  <c r="W21" i="76"/>
  <c r="V21" i="76"/>
  <c r="U21" i="76"/>
  <c r="T21" i="76"/>
  <c r="S21" i="76"/>
  <c r="R21" i="76"/>
  <c r="Q21" i="76"/>
  <c r="P21" i="76"/>
  <c r="O21" i="76"/>
  <c r="N21" i="76"/>
  <c r="M21" i="76"/>
  <c r="L21" i="76"/>
  <c r="K21" i="76"/>
  <c r="J21" i="76"/>
  <c r="I21" i="76"/>
  <c r="H21" i="76"/>
  <c r="G21" i="76"/>
  <c r="F21" i="76"/>
  <c r="E21" i="76"/>
  <c r="D21" i="76"/>
  <c r="C21" i="76"/>
  <c r="AW20" i="76"/>
  <c r="AV20" i="76"/>
  <c r="AU20" i="76"/>
  <c r="AT20" i="76"/>
  <c r="AS20" i="76"/>
  <c r="AR20" i="76"/>
  <c r="AQ20" i="76"/>
  <c r="AP20" i="76"/>
  <c r="AO20" i="76"/>
  <c r="AN20" i="76"/>
  <c r="AM20" i="76"/>
  <c r="AL20" i="76"/>
  <c r="AK20" i="76"/>
  <c r="AJ20" i="76"/>
  <c r="AI20" i="76"/>
  <c r="AH20" i="76"/>
  <c r="AG20" i="76"/>
  <c r="AF20" i="76"/>
  <c r="AE20" i="76"/>
  <c r="AD20" i="76"/>
  <c r="AC20" i="76"/>
  <c r="AB20" i="76"/>
  <c r="AA20" i="76"/>
  <c r="Z20" i="76"/>
  <c r="Y20" i="76"/>
  <c r="X20" i="76"/>
  <c r="W20" i="76"/>
  <c r="V20" i="76"/>
  <c r="U20" i="76"/>
  <c r="T20" i="76"/>
  <c r="S20" i="76"/>
  <c r="R20" i="76"/>
  <c r="Q20" i="76"/>
  <c r="P20" i="76"/>
  <c r="O20" i="76"/>
  <c r="N20" i="76"/>
  <c r="M20" i="76"/>
  <c r="L20" i="76"/>
  <c r="K20" i="76"/>
  <c r="J20" i="76"/>
  <c r="I20" i="76"/>
  <c r="H20" i="76"/>
  <c r="G20" i="76"/>
  <c r="F20" i="76"/>
  <c r="E20" i="76"/>
  <c r="D20" i="76"/>
  <c r="C20" i="76"/>
  <c r="AW19" i="76"/>
  <c r="AV19" i="76"/>
  <c r="AU19" i="76"/>
  <c r="AT19" i="76"/>
  <c r="AS19" i="76"/>
  <c r="AR19" i="76"/>
  <c r="AQ19" i="76"/>
  <c r="AP19" i="76"/>
  <c r="AO19" i="76"/>
  <c r="AN19" i="76"/>
  <c r="AM19" i="76"/>
  <c r="AL19" i="76"/>
  <c r="AK19" i="76"/>
  <c r="AJ19" i="76"/>
  <c r="AI19" i="76"/>
  <c r="AH19" i="76"/>
  <c r="AG19" i="76"/>
  <c r="AF19" i="76"/>
  <c r="AE19" i="76"/>
  <c r="AD19" i="76"/>
  <c r="AC19" i="76"/>
  <c r="AB19" i="76"/>
  <c r="AA19" i="76"/>
  <c r="Z19" i="76"/>
  <c r="Y19" i="76"/>
  <c r="X19" i="76"/>
  <c r="W19" i="76"/>
  <c r="V19" i="76"/>
  <c r="U19" i="76"/>
  <c r="T19" i="76"/>
  <c r="S19" i="76"/>
  <c r="R19" i="76"/>
  <c r="Q19" i="76"/>
  <c r="P19" i="76"/>
  <c r="O19" i="76"/>
  <c r="N19" i="76"/>
  <c r="M19" i="76"/>
  <c r="L19" i="76"/>
  <c r="K19" i="76"/>
  <c r="J19" i="76"/>
  <c r="I19" i="76"/>
  <c r="H19" i="76"/>
  <c r="G19" i="76"/>
  <c r="F19" i="76"/>
  <c r="E19" i="76"/>
  <c r="D19" i="76"/>
  <c r="C19" i="76"/>
  <c r="AW18" i="76"/>
  <c r="AV18" i="76"/>
  <c r="AU18" i="76"/>
  <c r="AT18" i="76"/>
  <c r="AS18" i="76"/>
  <c r="AR18" i="76"/>
  <c r="AQ18" i="76"/>
  <c r="AP18" i="76"/>
  <c r="AO18" i="76"/>
  <c r="AN18" i="76"/>
  <c r="AM18" i="76"/>
  <c r="AL18" i="76"/>
  <c r="AK18" i="76"/>
  <c r="AJ18" i="76"/>
  <c r="AI18" i="76"/>
  <c r="AH18" i="76"/>
  <c r="AG18" i="76"/>
  <c r="AF18" i="76"/>
  <c r="AE18" i="76"/>
  <c r="AD18" i="76"/>
  <c r="AC18" i="76"/>
  <c r="AB18" i="76"/>
  <c r="AA18" i="76"/>
  <c r="Z18" i="76"/>
  <c r="Y18" i="76"/>
  <c r="X18" i="76"/>
  <c r="W18" i="76"/>
  <c r="V18" i="76"/>
  <c r="U18" i="76"/>
  <c r="T18" i="76"/>
  <c r="S18" i="76"/>
  <c r="R18" i="76"/>
  <c r="Q18" i="76"/>
  <c r="P18" i="76"/>
  <c r="O18" i="76"/>
  <c r="N18" i="76"/>
  <c r="M18" i="76"/>
  <c r="L18" i="76"/>
  <c r="K18" i="76"/>
  <c r="J18" i="76"/>
  <c r="I18" i="76"/>
  <c r="H18" i="76"/>
  <c r="G18" i="76"/>
  <c r="F18" i="76"/>
  <c r="E18" i="76"/>
  <c r="D18" i="76"/>
  <c r="C18" i="76"/>
  <c r="AW17" i="76"/>
  <c r="AV17" i="76"/>
  <c r="AU17" i="76"/>
  <c r="AT17" i="76"/>
  <c r="AS17" i="76"/>
  <c r="AR17" i="76"/>
  <c r="AQ17" i="76"/>
  <c r="AP17" i="76"/>
  <c r="AO17" i="76"/>
  <c r="AN17" i="76"/>
  <c r="AM17" i="76"/>
  <c r="AL17" i="76"/>
  <c r="AK17" i="76"/>
  <c r="AJ17" i="76"/>
  <c r="AI17" i="76"/>
  <c r="AH17" i="76"/>
  <c r="AG17" i="76"/>
  <c r="AF17" i="76"/>
  <c r="AE17" i="76"/>
  <c r="AD17" i="76"/>
  <c r="AC17" i="76"/>
  <c r="AB17" i="76"/>
  <c r="AA17" i="76"/>
  <c r="Z17" i="76"/>
  <c r="Y17" i="76"/>
  <c r="X17" i="76"/>
  <c r="W17" i="76"/>
  <c r="V17" i="76"/>
  <c r="U17" i="76"/>
  <c r="T17" i="76"/>
  <c r="S17" i="76"/>
  <c r="R17" i="76"/>
  <c r="Q17" i="76"/>
  <c r="P17" i="76"/>
  <c r="O17" i="76"/>
  <c r="N17" i="76"/>
  <c r="M17" i="76"/>
  <c r="L17" i="76"/>
  <c r="K17" i="76"/>
  <c r="J17" i="76"/>
  <c r="I17" i="76"/>
  <c r="H17" i="76"/>
  <c r="G17" i="76"/>
  <c r="F17" i="76"/>
  <c r="E17" i="76"/>
  <c r="D17" i="76"/>
  <c r="C17" i="76"/>
  <c r="AW16" i="76"/>
  <c r="AV16" i="76"/>
  <c r="AU16" i="76"/>
  <c r="AT16" i="76"/>
  <c r="AS16" i="76"/>
  <c r="AR16" i="76"/>
  <c r="AQ16" i="76"/>
  <c r="AP16" i="76"/>
  <c r="AO16" i="76"/>
  <c r="AN16" i="76"/>
  <c r="AM16" i="76"/>
  <c r="AL16" i="76"/>
  <c r="AK16" i="76"/>
  <c r="AJ16" i="76"/>
  <c r="AI16" i="76"/>
  <c r="AH16" i="76"/>
  <c r="AG16" i="76"/>
  <c r="AF16" i="76"/>
  <c r="AE16" i="76"/>
  <c r="AD16" i="76"/>
  <c r="AC16" i="76"/>
  <c r="AB16" i="76"/>
  <c r="AA16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H16" i="76"/>
  <c r="G16" i="76"/>
  <c r="F16" i="76"/>
  <c r="E16" i="76"/>
  <c r="D16" i="76"/>
  <c r="C16" i="76"/>
  <c r="AW15" i="76"/>
  <c r="AV15" i="76"/>
  <c r="AU15" i="76"/>
  <c r="AT15" i="76"/>
  <c r="AS15" i="76"/>
  <c r="AR15" i="76"/>
  <c r="AQ15" i="76"/>
  <c r="AP15" i="76"/>
  <c r="AO15" i="76"/>
  <c r="AN15" i="76"/>
  <c r="AM15" i="76"/>
  <c r="AL15" i="76"/>
  <c r="AK15" i="76"/>
  <c r="AJ15" i="76"/>
  <c r="AI15" i="76"/>
  <c r="AH15" i="76"/>
  <c r="AG15" i="76"/>
  <c r="AF15" i="76"/>
  <c r="AE15" i="76"/>
  <c r="AD15" i="76"/>
  <c r="AC15" i="76"/>
  <c r="AB15" i="76"/>
  <c r="AA15" i="76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H15" i="76"/>
  <c r="G15" i="76"/>
  <c r="F15" i="76"/>
  <c r="E15" i="76"/>
  <c r="D15" i="76"/>
  <c r="C15" i="76"/>
  <c r="AW14" i="76"/>
  <c r="AV14" i="76"/>
  <c r="AU14" i="76"/>
  <c r="AT14" i="76"/>
  <c r="AS14" i="76"/>
  <c r="AR14" i="76"/>
  <c r="AQ14" i="76"/>
  <c r="AP14" i="76"/>
  <c r="AO14" i="76"/>
  <c r="AN14" i="76"/>
  <c r="AM14" i="76"/>
  <c r="AL14" i="76"/>
  <c r="AK14" i="76"/>
  <c r="AJ14" i="76"/>
  <c r="AI14" i="76"/>
  <c r="AH14" i="76"/>
  <c r="AG14" i="76"/>
  <c r="AF14" i="76"/>
  <c r="AE14" i="76"/>
  <c r="AD14" i="76"/>
  <c r="AC14" i="76"/>
  <c r="AB14" i="76"/>
  <c r="AA14" i="76"/>
  <c r="Z14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H14" i="76"/>
  <c r="G14" i="76"/>
  <c r="F14" i="76"/>
  <c r="E14" i="76"/>
  <c r="D14" i="76"/>
  <c r="C14" i="76"/>
  <c r="AW13" i="76"/>
  <c r="AV13" i="76"/>
  <c r="AU13" i="76"/>
  <c r="AT13" i="76"/>
  <c r="AS13" i="76"/>
  <c r="AR13" i="76"/>
  <c r="AQ13" i="76"/>
  <c r="AP13" i="76"/>
  <c r="AO13" i="76"/>
  <c r="AN13" i="76"/>
  <c r="AM13" i="76"/>
  <c r="AL13" i="76"/>
  <c r="AK13" i="76"/>
  <c r="AJ13" i="76"/>
  <c r="AI13" i="76"/>
  <c r="AH13" i="76"/>
  <c r="AG13" i="76"/>
  <c r="AF13" i="76"/>
  <c r="AE13" i="76"/>
  <c r="AD13" i="76"/>
  <c r="AC13" i="76"/>
  <c r="AB13" i="76"/>
  <c r="AA13" i="76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H13" i="76"/>
  <c r="G13" i="76"/>
  <c r="F13" i="76"/>
  <c r="E13" i="76"/>
  <c r="D13" i="76"/>
  <c r="C13" i="76"/>
  <c r="AW12" i="76"/>
  <c r="AV12" i="76"/>
  <c r="AU12" i="76"/>
  <c r="AT12" i="76"/>
  <c r="AS12" i="76"/>
  <c r="AR12" i="76"/>
  <c r="AQ12" i="76"/>
  <c r="AP12" i="76"/>
  <c r="AO12" i="76"/>
  <c r="AN12" i="76"/>
  <c r="AM12" i="76"/>
  <c r="AL12" i="76"/>
  <c r="AK12" i="76"/>
  <c r="AJ12" i="76"/>
  <c r="AI12" i="76"/>
  <c r="AH12" i="76"/>
  <c r="AG12" i="76"/>
  <c r="AF12" i="76"/>
  <c r="AE12" i="76"/>
  <c r="AD12" i="76"/>
  <c r="AC12" i="76"/>
  <c r="AB12" i="76"/>
  <c r="AA12" i="76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G12" i="76"/>
  <c r="F12" i="76"/>
  <c r="E12" i="76"/>
  <c r="D12" i="76"/>
  <c r="C12" i="76"/>
  <c r="AW11" i="76"/>
  <c r="AV11" i="76"/>
  <c r="AU11" i="76"/>
  <c r="AT11" i="76"/>
  <c r="AS11" i="76"/>
  <c r="AR11" i="76"/>
  <c r="AQ11" i="76"/>
  <c r="AP11" i="76"/>
  <c r="AO11" i="76"/>
  <c r="AN11" i="76"/>
  <c r="AM11" i="76"/>
  <c r="AL11" i="76"/>
  <c r="AK11" i="76"/>
  <c r="AJ11" i="76"/>
  <c r="AI11" i="76"/>
  <c r="AH11" i="76"/>
  <c r="AG11" i="76"/>
  <c r="AF11" i="76"/>
  <c r="AE11" i="76"/>
  <c r="AD11" i="76"/>
  <c r="AC11" i="76"/>
  <c r="AB11" i="76"/>
  <c r="AA11" i="76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H11" i="76"/>
  <c r="G11" i="76"/>
  <c r="F11" i="76"/>
  <c r="E11" i="76"/>
  <c r="D11" i="76"/>
  <c r="C11" i="76"/>
  <c r="AW10" i="76"/>
  <c r="AV10" i="76"/>
  <c r="AU10" i="76"/>
  <c r="AT10" i="76"/>
  <c r="AS10" i="76"/>
  <c r="AR10" i="76"/>
  <c r="AQ10" i="76"/>
  <c r="AP10" i="76"/>
  <c r="AO10" i="76"/>
  <c r="AN10" i="76"/>
  <c r="AM10" i="76"/>
  <c r="AL10" i="76"/>
  <c r="AK10" i="76"/>
  <c r="AJ10" i="76"/>
  <c r="AI10" i="76"/>
  <c r="AH10" i="76"/>
  <c r="AG10" i="76"/>
  <c r="AF10" i="76"/>
  <c r="AE10" i="76"/>
  <c r="AD10" i="76"/>
  <c r="AC10" i="76"/>
  <c r="AB10" i="76"/>
  <c r="AA10" i="76"/>
  <c r="Z10" i="76"/>
  <c r="Y10" i="76"/>
  <c r="X10" i="76"/>
  <c r="W10" i="76"/>
  <c r="V10" i="76"/>
  <c r="U10" i="76"/>
  <c r="T10" i="76"/>
  <c r="S10" i="76"/>
  <c r="R10" i="76"/>
  <c r="Q10" i="76"/>
  <c r="P10" i="76"/>
  <c r="O10" i="76"/>
  <c r="N10" i="76"/>
  <c r="M10" i="76"/>
  <c r="L10" i="76"/>
  <c r="K10" i="76"/>
  <c r="J10" i="76"/>
  <c r="I10" i="76"/>
  <c r="H10" i="76"/>
  <c r="G10" i="76"/>
  <c r="F10" i="76"/>
  <c r="E10" i="76"/>
  <c r="D10" i="76"/>
  <c r="C10" i="76"/>
  <c r="AW9" i="76"/>
  <c r="AV9" i="76"/>
  <c r="AU9" i="76"/>
  <c r="AT9" i="76"/>
  <c r="AS9" i="76"/>
  <c r="AR9" i="76"/>
  <c r="AQ9" i="76"/>
  <c r="AP9" i="76"/>
  <c r="AO9" i="76"/>
  <c r="AN9" i="76"/>
  <c r="AM9" i="76"/>
  <c r="AL9" i="76"/>
  <c r="AK9" i="76"/>
  <c r="AJ9" i="76"/>
  <c r="AI9" i="76"/>
  <c r="AH9" i="76"/>
  <c r="AG9" i="76"/>
  <c r="AF9" i="76"/>
  <c r="AE9" i="76"/>
  <c r="AD9" i="76"/>
  <c r="AC9" i="76"/>
  <c r="AB9" i="76"/>
  <c r="AA9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G9" i="76"/>
  <c r="F9" i="76"/>
  <c r="E9" i="76"/>
  <c r="D9" i="76"/>
  <c r="C9" i="76"/>
  <c r="AW8" i="76"/>
  <c r="AV8" i="76"/>
  <c r="AU8" i="76"/>
  <c r="AT8" i="76"/>
  <c r="AS8" i="76"/>
  <c r="AR8" i="76"/>
  <c r="AQ8" i="76"/>
  <c r="AP8" i="76"/>
  <c r="AO8" i="76"/>
  <c r="AN8" i="76"/>
  <c r="AM8" i="76"/>
  <c r="AL8" i="76"/>
  <c r="AK8" i="76"/>
  <c r="AJ8" i="76"/>
  <c r="AI8" i="76"/>
  <c r="AH8" i="76"/>
  <c r="AG8" i="76"/>
  <c r="AF8" i="76"/>
  <c r="AE8" i="76"/>
  <c r="AD8" i="76"/>
  <c r="AC8" i="76"/>
  <c r="AB8" i="76"/>
  <c r="AA8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H8" i="76"/>
  <c r="G8" i="76"/>
  <c r="F8" i="76"/>
  <c r="E8" i="76"/>
  <c r="D8" i="76"/>
  <c r="C8" i="76"/>
  <c r="AW7" i="76"/>
  <c r="AV7" i="76"/>
  <c r="AU7" i="76"/>
  <c r="AT7" i="76"/>
  <c r="AS7" i="76"/>
  <c r="AR7" i="76"/>
  <c r="AQ7" i="76"/>
  <c r="AP7" i="76"/>
  <c r="AO7" i="76"/>
  <c r="AN7" i="76"/>
  <c r="AM7" i="76"/>
  <c r="AL7" i="76"/>
  <c r="AK7" i="76"/>
  <c r="AJ7" i="76"/>
  <c r="AI7" i="76"/>
  <c r="AH7" i="76"/>
  <c r="AG7" i="76"/>
  <c r="AF7" i="76"/>
  <c r="AE7" i="76"/>
  <c r="AD7" i="76"/>
  <c r="AC7" i="76"/>
  <c r="AB7" i="76"/>
  <c r="AA7" i="76"/>
  <c r="Z7" i="76"/>
  <c r="Y7" i="76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H7" i="76"/>
  <c r="G7" i="76"/>
  <c r="F7" i="76"/>
  <c r="E7" i="76"/>
  <c r="D7" i="76"/>
  <c r="C7" i="76"/>
  <c r="AW6" i="76"/>
  <c r="AV6" i="76"/>
  <c r="AU6" i="76"/>
  <c r="AT6" i="76"/>
  <c r="AS6" i="76"/>
  <c r="AR6" i="76"/>
  <c r="AQ6" i="76"/>
  <c r="AP6" i="76"/>
  <c r="AO6" i="76"/>
  <c r="AN6" i="76"/>
  <c r="AM6" i="76"/>
  <c r="AL6" i="76"/>
  <c r="AK6" i="76"/>
  <c r="AJ6" i="76"/>
  <c r="AI6" i="76"/>
  <c r="AH6" i="76"/>
  <c r="AG6" i="76"/>
  <c r="AF6" i="76"/>
  <c r="AE6" i="76"/>
  <c r="AD6" i="76"/>
  <c r="AC6" i="76"/>
  <c r="AB6" i="76"/>
  <c r="AA6" i="76"/>
  <c r="Z6" i="76"/>
  <c r="Y6" i="76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H6" i="76"/>
  <c r="G6" i="76"/>
  <c r="F6" i="76"/>
  <c r="E6" i="76"/>
  <c r="D6" i="76"/>
  <c r="C6" i="76"/>
  <c r="AW5" i="76"/>
  <c r="AV5" i="76"/>
  <c r="AU5" i="76"/>
  <c r="AT5" i="76"/>
  <c r="AS5" i="76"/>
  <c r="AR5" i="76"/>
  <c r="AQ5" i="76"/>
  <c r="AP5" i="76"/>
  <c r="AO5" i="76"/>
  <c r="AN5" i="76"/>
  <c r="AM5" i="76"/>
  <c r="AL5" i="76"/>
  <c r="AK5" i="76"/>
  <c r="AJ5" i="76"/>
  <c r="AI5" i="76"/>
  <c r="AH5" i="76"/>
  <c r="AG5" i="76"/>
  <c r="AF5" i="76"/>
  <c r="AE5" i="76"/>
  <c r="AD5" i="76"/>
  <c r="AC5" i="76"/>
  <c r="AB5" i="76"/>
  <c r="AA5" i="76"/>
  <c r="Z5" i="76"/>
  <c r="Y5" i="76"/>
  <c r="X5" i="76"/>
  <c r="W5" i="76"/>
  <c r="V5" i="76"/>
  <c r="U5" i="76"/>
  <c r="T5" i="76"/>
  <c r="S5" i="76"/>
  <c r="R5" i="76"/>
  <c r="Q5" i="76"/>
  <c r="P5" i="76"/>
  <c r="O5" i="76"/>
  <c r="N5" i="76"/>
  <c r="M5" i="76"/>
  <c r="L5" i="76"/>
  <c r="K5" i="76"/>
  <c r="J5" i="76"/>
  <c r="I5" i="76"/>
  <c r="H5" i="76"/>
  <c r="G5" i="76"/>
  <c r="F5" i="76"/>
  <c r="E5" i="76"/>
  <c r="D5" i="76"/>
  <c r="C5" i="76"/>
  <c r="C4" i="76"/>
  <c r="D4" i="76"/>
  <c r="E4" i="76"/>
  <c r="F4" i="76"/>
  <c r="G4" i="76"/>
  <c r="H4" i="76"/>
  <c r="I4" i="76"/>
  <c r="J4" i="76"/>
  <c r="K4" i="76"/>
  <c r="L4" i="76"/>
  <c r="M4" i="76"/>
  <c r="N4" i="76"/>
  <c r="O4" i="76"/>
  <c r="P4" i="76"/>
  <c r="Q4" i="76"/>
  <c r="R4" i="76"/>
  <c r="S4" i="76"/>
  <c r="T4" i="76"/>
  <c r="U4" i="76"/>
  <c r="V4" i="76"/>
  <c r="W4" i="76"/>
  <c r="X4" i="76"/>
  <c r="Y4" i="76"/>
  <c r="Z4" i="76"/>
  <c r="AA4" i="76"/>
  <c r="AB4" i="76"/>
  <c r="AC4" i="76"/>
  <c r="AD4" i="76"/>
  <c r="AE4" i="76"/>
  <c r="AF4" i="76"/>
  <c r="AG4" i="76"/>
  <c r="AH4" i="76"/>
  <c r="AI4" i="76"/>
  <c r="AJ4" i="76"/>
  <c r="AK4" i="76"/>
  <c r="AL4" i="76"/>
  <c r="AM4" i="76"/>
  <c r="AN4" i="76"/>
  <c r="AO4" i="76"/>
  <c r="AP4" i="76"/>
  <c r="AQ4" i="76"/>
  <c r="AR4" i="76"/>
  <c r="AS4" i="76"/>
  <c r="AT4" i="76"/>
  <c r="AU4" i="76"/>
  <c r="AV4" i="76"/>
  <c r="AW4" i="76"/>
  <c r="AW34" i="64"/>
  <c r="AV34" i="64"/>
  <c r="AV34" i="57" s="1"/>
  <c r="AU34" i="64"/>
  <c r="AU34" i="57" s="1"/>
  <c r="AT34" i="64"/>
  <c r="AS34" i="64"/>
  <c r="AS34" i="57" s="1"/>
  <c r="AR34" i="64"/>
  <c r="AR34" i="57" s="1"/>
  <c r="AQ34" i="64"/>
  <c r="AQ34" i="57" s="1"/>
  <c r="AP34" i="64"/>
  <c r="AO34" i="64"/>
  <c r="AO34" i="57" s="1"/>
  <c r="AN34" i="64"/>
  <c r="AN34" i="57" s="1"/>
  <c r="AM34" i="64"/>
  <c r="AM34" i="57" s="1"/>
  <c r="AL34" i="64"/>
  <c r="AK34" i="64"/>
  <c r="AK34" i="57" s="1"/>
  <c r="AJ34" i="64"/>
  <c r="AJ34" i="57" s="1"/>
  <c r="AI34" i="64"/>
  <c r="AI34" i="57" s="1"/>
  <c r="AH34" i="64"/>
  <c r="AG34" i="64"/>
  <c r="AG34" i="57" s="1"/>
  <c r="AF34" i="64"/>
  <c r="AF34" i="57" s="1"/>
  <c r="AE34" i="64"/>
  <c r="AE34" i="57" s="1"/>
  <c r="AD34" i="64"/>
  <c r="AC34" i="64"/>
  <c r="AC34" i="57" s="1"/>
  <c r="AB34" i="64"/>
  <c r="AB34" i="57" s="1"/>
  <c r="AA34" i="64"/>
  <c r="AA34" i="57" s="1"/>
  <c r="Z34" i="64"/>
  <c r="Y34" i="64"/>
  <c r="Y34" i="57" s="1"/>
  <c r="X34" i="64"/>
  <c r="X34" i="57" s="1"/>
  <c r="W34" i="64"/>
  <c r="W34" i="57" s="1"/>
  <c r="V34" i="64"/>
  <c r="U34" i="64"/>
  <c r="U34" i="57" s="1"/>
  <c r="T34" i="64"/>
  <c r="T34" i="57" s="1"/>
  <c r="S34" i="64"/>
  <c r="S34" i="57" s="1"/>
  <c r="R34" i="64"/>
  <c r="Q34" i="64"/>
  <c r="Q34" i="57" s="1"/>
  <c r="P34" i="64"/>
  <c r="P34" i="57" s="1"/>
  <c r="O34" i="64"/>
  <c r="O34" i="57" s="1"/>
  <c r="N34" i="64"/>
  <c r="M34" i="64"/>
  <c r="M34" i="57" s="1"/>
  <c r="L34" i="64"/>
  <c r="L34" i="57" s="1"/>
  <c r="K34" i="64"/>
  <c r="K34" i="57" s="1"/>
  <c r="J34" i="64"/>
  <c r="I34" i="64"/>
  <c r="I34" i="57" s="1"/>
  <c r="H34" i="64"/>
  <c r="H34" i="57" s="1"/>
  <c r="G34" i="64"/>
  <c r="G34" i="57" s="1"/>
  <c r="F34" i="64"/>
  <c r="E34" i="64"/>
  <c r="E34" i="57" s="1"/>
  <c r="D34" i="64"/>
  <c r="D34" i="57" s="1"/>
  <c r="C34" i="64"/>
  <c r="C34" i="57" s="1"/>
  <c r="AW33" i="64"/>
  <c r="AV33" i="64"/>
  <c r="AV33" i="57" s="1"/>
  <c r="AU33" i="64"/>
  <c r="AU33" i="57" s="1"/>
  <c r="AT33" i="64"/>
  <c r="AT33" i="57" s="1"/>
  <c r="AS33" i="64"/>
  <c r="AR33" i="64"/>
  <c r="AR33" i="57" s="1"/>
  <c r="AQ33" i="64"/>
  <c r="AQ33" i="57" s="1"/>
  <c r="AP33" i="64"/>
  <c r="AP33" i="57" s="1"/>
  <c r="AO33" i="64"/>
  <c r="AN33" i="64"/>
  <c r="AN33" i="57" s="1"/>
  <c r="AM33" i="64"/>
  <c r="AM33" i="57" s="1"/>
  <c r="AL33" i="64"/>
  <c r="AL33" i="57" s="1"/>
  <c r="AK33" i="64"/>
  <c r="AJ33" i="64"/>
  <c r="AJ33" i="57" s="1"/>
  <c r="AI33" i="64"/>
  <c r="AI33" i="57" s="1"/>
  <c r="AH33" i="64"/>
  <c r="AH33" i="57" s="1"/>
  <c r="AG33" i="64"/>
  <c r="AF33" i="64"/>
  <c r="AF33" i="57" s="1"/>
  <c r="AE33" i="64"/>
  <c r="AE33" i="57" s="1"/>
  <c r="AD33" i="64"/>
  <c r="AD33" i="57" s="1"/>
  <c r="AC33" i="64"/>
  <c r="AB33" i="64"/>
  <c r="AB33" i="57" s="1"/>
  <c r="AA33" i="64"/>
  <c r="AA33" i="57" s="1"/>
  <c r="Z33" i="64"/>
  <c r="Z33" i="57" s="1"/>
  <c r="Y33" i="64"/>
  <c r="X33" i="64"/>
  <c r="X33" i="57" s="1"/>
  <c r="W33" i="64"/>
  <c r="W33" i="57" s="1"/>
  <c r="V33" i="64"/>
  <c r="V33" i="57" s="1"/>
  <c r="U33" i="64"/>
  <c r="T33" i="64"/>
  <c r="T33" i="57" s="1"/>
  <c r="S33" i="64"/>
  <c r="S33" i="57" s="1"/>
  <c r="R33" i="64"/>
  <c r="R33" i="57" s="1"/>
  <c r="Q33" i="64"/>
  <c r="P33" i="64"/>
  <c r="P33" i="57" s="1"/>
  <c r="O33" i="64"/>
  <c r="O33" i="57" s="1"/>
  <c r="N33" i="64"/>
  <c r="N33" i="57" s="1"/>
  <c r="M33" i="64"/>
  <c r="L33" i="64"/>
  <c r="L33" i="57" s="1"/>
  <c r="K33" i="64"/>
  <c r="K33" i="57" s="1"/>
  <c r="J33" i="64"/>
  <c r="J33" i="57" s="1"/>
  <c r="I33" i="64"/>
  <c r="H33" i="64"/>
  <c r="H33" i="57" s="1"/>
  <c r="G33" i="64"/>
  <c r="G33" i="57" s="1"/>
  <c r="F33" i="64"/>
  <c r="F33" i="57" s="1"/>
  <c r="E33" i="64"/>
  <c r="D33" i="64"/>
  <c r="D33" i="57" s="1"/>
  <c r="C33" i="64"/>
  <c r="C33" i="57" s="1"/>
  <c r="AW32" i="64"/>
  <c r="AV32" i="64"/>
  <c r="AU32" i="64"/>
  <c r="AU32" i="57" s="1"/>
  <c r="AT32" i="64"/>
  <c r="AT32" i="57" s="1"/>
  <c r="AS32" i="64"/>
  <c r="AS32" i="57" s="1"/>
  <c r="AR32" i="64"/>
  <c r="AQ32" i="64"/>
  <c r="AQ32" i="57" s="1"/>
  <c r="AP32" i="64"/>
  <c r="AP32" i="57" s="1"/>
  <c r="AO32" i="64"/>
  <c r="AO32" i="57" s="1"/>
  <c r="AN32" i="64"/>
  <c r="AM32" i="64"/>
  <c r="AM32" i="57" s="1"/>
  <c r="AL32" i="64"/>
  <c r="AL32" i="57" s="1"/>
  <c r="AK32" i="64"/>
  <c r="AK32" i="57" s="1"/>
  <c r="AJ32" i="64"/>
  <c r="AI32" i="64"/>
  <c r="AI32" i="57" s="1"/>
  <c r="AH32" i="64"/>
  <c r="AH32" i="57" s="1"/>
  <c r="AG32" i="64"/>
  <c r="AG32" i="57" s="1"/>
  <c r="AF32" i="64"/>
  <c r="AE32" i="64"/>
  <c r="AE32" i="57" s="1"/>
  <c r="AD32" i="64"/>
  <c r="AD32" i="57" s="1"/>
  <c r="AC32" i="64"/>
  <c r="AC32" i="57" s="1"/>
  <c r="AB32" i="64"/>
  <c r="AA32" i="64"/>
  <c r="AA32" i="57" s="1"/>
  <c r="Z32" i="64"/>
  <c r="Z32" i="57" s="1"/>
  <c r="Y32" i="64"/>
  <c r="Y32" i="57" s="1"/>
  <c r="X32" i="64"/>
  <c r="W32" i="64"/>
  <c r="W32" i="57" s="1"/>
  <c r="V32" i="64"/>
  <c r="V32" i="57" s="1"/>
  <c r="U32" i="64"/>
  <c r="U32" i="57" s="1"/>
  <c r="T32" i="64"/>
  <c r="S32" i="64"/>
  <c r="S32" i="57" s="1"/>
  <c r="R32" i="64"/>
  <c r="R32" i="57" s="1"/>
  <c r="Q32" i="64"/>
  <c r="Q32" i="57" s="1"/>
  <c r="P32" i="64"/>
  <c r="O32" i="64"/>
  <c r="O32" i="57" s="1"/>
  <c r="N32" i="64"/>
  <c r="N32" i="57" s="1"/>
  <c r="M32" i="64"/>
  <c r="M32" i="57" s="1"/>
  <c r="L32" i="64"/>
  <c r="K32" i="64"/>
  <c r="K32" i="57" s="1"/>
  <c r="J32" i="64"/>
  <c r="J32" i="57" s="1"/>
  <c r="I32" i="64"/>
  <c r="I32" i="57" s="1"/>
  <c r="H32" i="64"/>
  <c r="G32" i="64"/>
  <c r="G32" i="57" s="1"/>
  <c r="F32" i="64"/>
  <c r="F32" i="57" s="1"/>
  <c r="E32" i="64"/>
  <c r="E32" i="57" s="1"/>
  <c r="D32" i="64"/>
  <c r="C32" i="64"/>
  <c r="C32" i="57" s="1"/>
  <c r="AW31" i="64"/>
  <c r="AV31" i="64"/>
  <c r="AV31" i="57" s="1"/>
  <c r="AU31" i="64"/>
  <c r="AT31" i="64"/>
  <c r="AT31" i="57" s="1"/>
  <c r="AS31" i="64"/>
  <c r="AS31" i="57" s="1"/>
  <c r="AR31" i="64"/>
  <c r="AR31" i="57" s="1"/>
  <c r="AQ31" i="64"/>
  <c r="AP31" i="64"/>
  <c r="AP31" i="57" s="1"/>
  <c r="AO31" i="64"/>
  <c r="AO31" i="57" s="1"/>
  <c r="AN31" i="64"/>
  <c r="AN31" i="57" s="1"/>
  <c r="AM31" i="64"/>
  <c r="AL31" i="64"/>
  <c r="AL31" i="57" s="1"/>
  <c r="AK31" i="64"/>
  <c r="AK31" i="57" s="1"/>
  <c r="AJ31" i="64"/>
  <c r="AJ31" i="57" s="1"/>
  <c r="AI31" i="64"/>
  <c r="AH31" i="64"/>
  <c r="AH31" i="57" s="1"/>
  <c r="AG31" i="64"/>
  <c r="AG31" i="57" s="1"/>
  <c r="AF31" i="64"/>
  <c r="AF31" i="57" s="1"/>
  <c r="AE31" i="64"/>
  <c r="AD31" i="64"/>
  <c r="AD31" i="57" s="1"/>
  <c r="AC31" i="64"/>
  <c r="AC31" i="57" s="1"/>
  <c r="AB31" i="64"/>
  <c r="AB31" i="57" s="1"/>
  <c r="AA31" i="64"/>
  <c r="Z31" i="64"/>
  <c r="Z31" i="57" s="1"/>
  <c r="Y31" i="64"/>
  <c r="Y31" i="57" s="1"/>
  <c r="X31" i="64"/>
  <c r="X31" i="57" s="1"/>
  <c r="W31" i="64"/>
  <c r="V31" i="64"/>
  <c r="V31" i="57" s="1"/>
  <c r="U31" i="64"/>
  <c r="U31" i="57" s="1"/>
  <c r="T31" i="64"/>
  <c r="T31" i="57" s="1"/>
  <c r="S31" i="64"/>
  <c r="R31" i="64"/>
  <c r="R31" i="57" s="1"/>
  <c r="Q31" i="64"/>
  <c r="Q31" i="57" s="1"/>
  <c r="P31" i="64"/>
  <c r="P31" i="57" s="1"/>
  <c r="O31" i="64"/>
  <c r="N31" i="64"/>
  <c r="N31" i="57" s="1"/>
  <c r="M31" i="64"/>
  <c r="M31" i="57" s="1"/>
  <c r="L31" i="64"/>
  <c r="L31" i="57" s="1"/>
  <c r="K31" i="64"/>
  <c r="J31" i="64"/>
  <c r="J31" i="57" s="1"/>
  <c r="I31" i="64"/>
  <c r="I31" i="57" s="1"/>
  <c r="H31" i="64"/>
  <c r="H31" i="57" s="1"/>
  <c r="G31" i="64"/>
  <c r="F31" i="64"/>
  <c r="F31" i="57" s="1"/>
  <c r="E31" i="64"/>
  <c r="E31" i="57" s="1"/>
  <c r="D31" i="64"/>
  <c r="D31" i="57" s="1"/>
  <c r="C31" i="64"/>
  <c r="AW30" i="64"/>
  <c r="AV30" i="64"/>
  <c r="AV30" i="57" s="1"/>
  <c r="AU30" i="64"/>
  <c r="AU30" i="57" s="1"/>
  <c r="AT30" i="64"/>
  <c r="AS30" i="64"/>
  <c r="AS30" i="57" s="1"/>
  <c r="AR30" i="64"/>
  <c r="AR30" i="57" s="1"/>
  <c r="AQ30" i="64"/>
  <c r="AQ30" i="57" s="1"/>
  <c r="AP30" i="64"/>
  <c r="AO30" i="64"/>
  <c r="AO30" i="57" s="1"/>
  <c r="AN30" i="64"/>
  <c r="AN30" i="57" s="1"/>
  <c r="AM30" i="64"/>
  <c r="AM30" i="57" s="1"/>
  <c r="AL30" i="64"/>
  <c r="AK30" i="64"/>
  <c r="AK30" i="57" s="1"/>
  <c r="AJ30" i="64"/>
  <c r="AJ30" i="57" s="1"/>
  <c r="AI30" i="64"/>
  <c r="AI30" i="57" s="1"/>
  <c r="AH30" i="64"/>
  <c r="AG30" i="64"/>
  <c r="AG30" i="57" s="1"/>
  <c r="AF30" i="64"/>
  <c r="AF30" i="57" s="1"/>
  <c r="AE30" i="64"/>
  <c r="AE30" i="57" s="1"/>
  <c r="AD30" i="64"/>
  <c r="AC30" i="64"/>
  <c r="AC30" i="57" s="1"/>
  <c r="AB30" i="64"/>
  <c r="AB30" i="57" s="1"/>
  <c r="AA30" i="64"/>
  <c r="AA30" i="57" s="1"/>
  <c r="Z30" i="64"/>
  <c r="Y30" i="64"/>
  <c r="Y30" i="57" s="1"/>
  <c r="X30" i="64"/>
  <c r="X30" i="57" s="1"/>
  <c r="W30" i="64"/>
  <c r="W30" i="57" s="1"/>
  <c r="V30" i="64"/>
  <c r="U30" i="64"/>
  <c r="U30" i="57" s="1"/>
  <c r="T30" i="64"/>
  <c r="T30" i="57" s="1"/>
  <c r="S30" i="64"/>
  <c r="S30" i="57" s="1"/>
  <c r="R30" i="64"/>
  <c r="Q30" i="64"/>
  <c r="Q30" i="57" s="1"/>
  <c r="P30" i="64"/>
  <c r="P30" i="57" s="1"/>
  <c r="O30" i="64"/>
  <c r="O30" i="57" s="1"/>
  <c r="N30" i="64"/>
  <c r="M30" i="64"/>
  <c r="M30" i="57" s="1"/>
  <c r="L30" i="64"/>
  <c r="L30" i="57" s="1"/>
  <c r="K30" i="64"/>
  <c r="K30" i="57" s="1"/>
  <c r="J30" i="64"/>
  <c r="I30" i="64"/>
  <c r="I30" i="57" s="1"/>
  <c r="H30" i="64"/>
  <c r="H30" i="57" s="1"/>
  <c r="G30" i="64"/>
  <c r="G30" i="57" s="1"/>
  <c r="F30" i="64"/>
  <c r="E30" i="64"/>
  <c r="E30" i="57" s="1"/>
  <c r="D30" i="64"/>
  <c r="D30" i="57" s="1"/>
  <c r="C30" i="64"/>
  <c r="C30" i="57" s="1"/>
  <c r="AW29" i="64"/>
  <c r="AS29" i="64"/>
  <c r="AR29" i="64"/>
  <c r="AR29" i="57" s="1"/>
  <c r="AQ29" i="64"/>
  <c r="AQ29" i="57" s="1"/>
  <c r="AP29" i="64"/>
  <c r="AP29" i="57" s="1"/>
  <c r="AO29" i="64"/>
  <c r="AN29" i="64"/>
  <c r="AN29" i="57" s="1"/>
  <c r="AM29" i="64"/>
  <c r="AL29" i="64"/>
  <c r="AL29" i="57" s="1"/>
  <c r="K29" i="64"/>
  <c r="K29" i="57" s="1"/>
  <c r="D29" i="64"/>
  <c r="D29" i="57" s="1"/>
  <c r="AW28" i="64"/>
  <c r="AV28" i="64"/>
  <c r="AU28" i="64"/>
  <c r="AT28" i="64"/>
  <c r="AS28" i="64"/>
  <c r="AS28" i="57" s="1"/>
  <c r="AR28" i="64"/>
  <c r="AQ28" i="64"/>
  <c r="AP28" i="64"/>
  <c r="AO28" i="64"/>
  <c r="AO28" i="57" s="1"/>
  <c r="AN28" i="64"/>
  <c r="AM28" i="64"/>
  <c r="AL28" i="64"/>
  <c r="AK28" i="64"/>
  <c r="AK28" i="57" s="1"/>
  <c r="AJ28" i="64"/>
  <c r="AI28" i="64"/>
  <c r="AH28" i="64"/>
  <c r="AG28" i="64"/>
  <c r="AG28" i="57" s="1"/>
  <c r="AF28" i="64"/>
  <c r="AE28" i="64"/>
  <c r="AD28" i="64"/>
  <c r="AC28" i="64"/>
  <c r="AC28" i="57" s="1"/>
  <c r="AB28" i="64"/>
  <c r="AA28" i="64"/>
  <c r="Z28" i="64"/>
  <c r="Y28" i="64"/>
  <c r="Y28" i="57" s="1"/>
  <c r="X28" i="64"/>
  <c r="W28" i="64"/>
  <c r="V28" i="64"/>
  <c r="U28" i="64"/>
  <c r="U28" i="57" s="1"/>
  <c r="T28" i="64"/>
  <c r="S28" i="64"/>
  <c r="R28" i="64"/>
  <c r="Q28" i="64"/>
  <c r="Q28" i="57" s="1"/>
  <c r="P28" i="64"/>
  <c r="O28" i="64"/>
  <c r="N28" i="64"/>
  <c r="M28" i="64"/>
  <c r="M28" i="57" s="1"/>
  <c r="L28" i="64"/>
  <c r="K28" i="64"/>
  <c r="J28" i="64"/>
  <c r="I28" i="64"/>
  <c r="I28" i="57" s="1"/>
  <c r="H28" i="64"/>
  <c r="G28" i="64"/>
  <c r="F28" i="64"/>
  <c r="E28" i="64"/>
  <c r="E28" i="57" s="1"/>
  <c r="D28" i="64"/>
  <c r="C28" i="64"/>
  <c r="AW27" i="64"/>
  <c r="AV27" i="64"/>
  <c r="AV27" i="57" s="1"/>
  <c r="AU27" i="64"/>
  <c r="AT27" i="64"/>
  <c r="AT27" i="57" s="1"/>
  <c r="AS27" i="64"/>
  <c r="AR27" i="64"/>
  <c r="AR27" i="57" s="1"/>
  <c r="AQ27" i="64"/>
  <c r="AP27" i="64"/>
  <c r="AP27" i="57" s="1"/>
  <c r="AO27" i="64"/>
  <c r="AN27" i="64"/>
  <c r="AN27" i="57" s="1"/>
  <c r="AM27" i="64"/>
  <c r="AL27" i="64"/>
  <c r="AL27" i="57" s="1"/>
  <c r="AK27" i="64"/>
  <c r="AJ27" i="64"/>
  <c r="AJ27" i="57" s="1"/>
  <c r="AI27" i="64"/>
  <c r="AH27" i="64"/>
  <c r="AH27" i="57" s="1"/>
  <c r="AG27" i="64"/>
  <c r="AF27" i="64"/>
  <c r="AF27" i="57" s="1"/>
  <c r="AE27" i="64"/>
  <c r="AD27" i="64"/>
  <c r="AD27" i="57" s="1"/>
  <c r="AC27" i="64"/>
  <c r="AB27" i="64"/>
  <c r="AB27" i="57" s="1"/>
  <c r="AA27" i="64"/>
  <c r="Z27" i="64"/>
  <c r="Z27" i="57" s="1"/>
  <c r="Y27" i="64"/>
  <c r="X27" i="64"/>
  <c r="X27" i="57" s="1"/>
  <c r="W27" i="64"/>
  <c r="V27" i="64"/>
  <c r="V27" i="57" s="1"/>
  <c r="U27" i="64"/>
  <c r="T27" i="64"/>
  <c r="T27" i="57" s="1"/>
  <c r="S27" i="64"/>
  <c r="R27" i="64"/>
  <c r="R27" i="57" s="1"/>
  <c r="Q27" i="64"/>
  <c r="P27" i="64"/>
  <c r="P27" i="57" s="1"/>
  <c r="O27" i="64"/>
  <c r="N27" i="64"/>
  <c r="N27" i="57" s="1"/>
  <c r="M27" i="64"/>
  <c r="L27" i="64"/>
  <c r="L27" i="57" s="1"/>
  <c r="K27" i="64"/>
  <c r="J27" i="64"/>
  <c r="J27" i="57" s="1"/>
  <c r="I27" i="64"/>
  <c r="H27" i="64"/>
  <c r="H27" i="57" s="1"/>
  <c r="G27" i="64"/>
  <c r="F27" i="64"/>
  <c r="F27" i="57" s="1"/>
  <c r="E27" i="64"/>
  <c r="D27" i="64"/>
  <c r="D27" i="57" s="1"/>
  <c r="C27" i="64"/>
  <c r="AW26" i="64"/>
  <c r="AV26" i="64"/>
  <c r="AU26" i="64"/>
  <c r="AU26" i="57" s="1"/>
  <c r="AT26" i="64"/>
  <c r="AS26" i="64"/>
  <c r="AS26" i="57" s="1"/>
  <c r="AR26" i="64"/>
  <c r="AQ26" i="64"/>
  <c r="AQ26" i="57" s="1"/>
  <c r="AP26" i="64"/>
  <c r="AO26" i="64"/>
  <c r="AO26" i="57" s="1"/>
  <c r="AN26" i="64"/>
  <c r="AM26" i="64"/>
  <c r="AM26" i="57" s="1"/>
  <c r="AL26" i="64"/>
  <c r="AK26" i="64"/>
  <c r="AK26" i="57" s="1"/>
  <c r="AJ26" i="64"/>
  <c r="AI26" i="64"/>
  <c r="AI26" i="57" s="1"/>
  <c r="AH26" i="64"/>
  <c r="AG26" i="64"/>
  <c r="AG26" i="57" s="1"/>
  <c r="AF26" i="64"/>
  <c r="AE26" i="64"/>
  <c r="AE26" i="57" s="1"/>
  <c r="AD26" i="64"/>
  <c r="AC26" i="64"/>
  <c r="AC26" i="57" s="1"/>
  <c r="AB26" i="64"/>
  <c r="AA26" i="64"/>
  <c r="AA26" i="57" s="1"/>
  <c r="Z26" i="64"/>
  <c r="Y26" i="64"/>
  <c r="Y26" i="57" s="1"/>
  <c r="X26" i="64"/>
  <c r="W26" i="64"/>
  <c r="W26" i="57" s="1"/>
  <c r="V26" i="64"/>
  <c r="U26" i="64"/>
  <c r="U26" i="57" s="1"/>
  <c r="T26" i="64"/>
  <c r="S26" i="64"/>
  <c r="S26" i="57" s="1"/>
  <c r="R26" i="64"/>
  <c r="Q26" i="64"/>
  <c r="Q26" i="57" s="1"/>
  <c r="P26" i="64"/>
  <c r="O26" i="64"/>
  <c r="O26" i="57" s="1"/>
  <c r="N26" i="64"/>
  <c r="M26" i="64"/>
  <c r="M26" i="57" s="1"/>
  <c r="L26" i="64"/>
  <c r="K26" i="64"/>
  <c r="K26" i="57" s="1"/>
  <c r="J26" i="64"/>
  <c r="I26" i="64"/>
  <c r="I26" i="57" s="1"/>
  <c r="H26" i="64"/>
  <c r="G26" i="64"/>
  <c r="G26" i="57" s="1"/>
  <c r="F26" i="64"/>
  <c r="E26" i="64"/>
  <c r="E26" i="57" s="1"/>
  <c r="D26" i="64"/>
  <c r="C26" i="64"/>
  <c r="AW25" i="64"/>
  <c r="AV25" i="64"/>
  <c r="AV25" i="57" s="1"/>
  <c r="AU25" i="64"/>
  <c r="AT25" i="64"/>
  <c r="AT25" i="57" s="1"/>
  <c r="AS25" i="64"/>
  <c r="AR25" i="64"/>
  <c r="AR25" i="57" s="1"/>
  <c r="AQ25" i="64"/>
  <c r="AP25" i="64"/>
  <c r="AP25" i="57" s="1"/>
  <c r="AO25" i="64"/>
  <c r="AN25" i="64"/>
  <c r="AN25" i="57" s="1"/>
  <c r="AM25" i="64"/>
  <c r="AL25" i="64"/>
  <c r="AL25" i="57" s="1"/>
  <c r="AK25" i="64"/>
  <c r="AJ25" i="64"/>
  <c r="AJ25" i="57" s="1"/>
  <c r="AI25" i="64"/>
  <c r="AH25" i="64"/>
  <c r="AH25" i="57" s="1"/>
  <c r="AG25" i="64"/>
  <c r="AF25" i="64"/>
  <c r="AF25" i="57" s="1"/>
  <c r="AE25" i="64"/>
  <c r="AD25" i="64"/>
  <c r="AD25" i="57" s="1"/>
  <c r="AC25" i="64"/>
  <c r="AB25" i="64"/>
  <c r="AB25" i="57" s="1"/>
  <c r="AA25" i="64"/>
  <c r="Z25" i="64"/>
  <c r="Z25" i="57" s="1"/>
  <c r="Y25" i="64"/>
  <c r="X25" i="64"/>
  <c r="X25" i="57" s="1"/>
  <c r="W25" i="64"/>
  <c r="V25" i="64"/>
  <c r="V25" i="57" s="1"/>
  <c r="U25" i="64"/>
  <c r="T25" i="64"/>
  <c r="T25" i="57" s="1"/>
  <c r="S25" i="64"/>
  <c r="R25" i="64"/>
  <c r="R25" i="57" s="1"/>
  <c r="Q25" i="64"/>
  <c r="P25" i="64"/>
  <c r="P25" i="57" s="1"/>
  <c r="O25" i="64"/>
  <c r="N25" i="64"/>
  <c r="N25" i="57" s="1"/>
  <c r="M25" i="64"/>
  <c r="L25" i="64"/>
  <c r="L25" i="57" s="1"/>
  <c r="K25" i="64"/>
  <c r="J25" i="64"/>
  <c r="J25" i="57" s="1"/>
  <c r="I25" i="64"/>
  <c r="H25" i="64"/>
  <c r="H25" i="57" s="1"/>
  <c r="G25" i="64"/>
  <c r="F25" i="64"/>
  <c r="F25" i="57" s="1"/>
  <c r="E25" i="64"/>
  <c r="D25" i="64"/>
  <c r="D25" i="57" s="1"/>
  <c r="C25" i="64"/>
  <c r="AW24" i="64"/>
  <c r="AV24" i="64"/>
  <c r="AU24" i="64"/>
  <c r="AT24" i="64"/>
  <c r="AS24" i="64"/>
  <c r="AS24" i="57" s="1"/>
  <c r="AR24" i="64"/>
  <c r="AQ24" i="64"/>
  <c r="AP24" i="64"/>
  <c r="AO24" i="64"/>
  <c r="AO24" i="57" s="1"/>
  <c r="AN24" i="64"/>
  <c r="AM24" i="64"/>
  <c r="AL24" i="64"/>
  <c r="AK24" i="64"/>
  <c r="AK24" i="57" s="1"/>
  <c r="AJ24" i="64"/>
  <c r="AI24" i="64"/>
  <c r="AH24" i="64"/>
  <c r="AG24" i="64"/>
  <c r="AG24" i="57" s="1"/>
  <c r="AF24" i="64"/>
  <c r="AE24" i="64"/>
  <c r="AD24" i="64"/>
  <c r="AC24" i="64"/>
  <c r="AC24" i="57" s="1"/>
  <c r="AB24" i="64"/>
  <c r="AA24" i="64"/>
  <c r="Z24" i="64"/>
  <c r="Y24" i="64"/>
  <c r="Y24" i="57" s="1"/>
  <c r="X24" i="64"/>
  <c r="W24" i="64"/>
  <c r="V24" i="64"/>
  <c r="U24" i="64"/>
  <c r="U24" i="57" s="1"/>
  <c r="T24" i="64"/>
  <c r="S24" i="64"/>
  <c r="R24" i="64"/>
  <c r="Q24" i="64"/>
  <c r="Q24" i="57" s="1"/>
  <c r="P24" i="64"/>
  <c r="O24" i="64"/>
  <c r="N24" i="64"/>
  <c r="M24" i="64"/>
  <c r="M24" i="57" s="1"/>
  <c r="L24" i="64"/>
  <c r="K24" i="64"/>
  <c r="J24" i="64"/>
  <c r="I24" i="64"/>
  <c r="I24" i="57" s="1"/>
  <c r="H24" i="64"/>
  <c r="G24" i="64"/>
  <c r="F24" i="64"/>
  <c r="E24" i="64"/>
  <c r="E24" i="57" s="1"/>
  <c r="D24" i="64"/>
  <c r="C24" i="64"/>
  <c r="AW23" i="64"/>
  <c r="AV23" i="64"/>
  <c r="AV23" i="57" s="1"/>
  <c r="AU23" i="64"/>
  <c r="AT23" i="64"/>
  <c r="AT23" i="57" s="1"/>
  <c r="AS23" i="64"/>
  <c r="AR23" i="64"/>
  <c r="AR23" i="57" s="1"/>
  <c r="AQ23" i="64"/>
  <c r="AP23" i="64"/>
  <c r="AP23" i="57" s="1"/>
  <c r="AO23" i="64"/>
  <c r="AN23" i="64"/>
  <c r="AN23" i="57" s="1"/>
  <c r="AM23" i="64"/>
  <c r="AL23" i="64"/>
  <c r="AL23" i="57" s="1"/>
  <c r="AK23" i="64"/>
  <c r="AJ23" i="64"/>
  <c r="AJ23" i="57" s="1"/>
  <c r="AI23" i="64"/>
  <c r="AH23" i="64"/>
  <c r="AH23" i="57" s="1"/>
  <c r="AG23" i="64"/>
  <c r="AF23" i="64"/>
  <c r="AF23" i="57" s="1"/>
  <c r="AE23" i="64"/>
  <c r="AD23" i="64"/>
  <c r="AD23" i="57" s="1"/>
  <c r="AC23" i="64"/>
  <c r="AB23" i="64"/>
  <c r="AB23" i="57" s="1"/>
  <c r="AA23" i="64"/>
  <c r="Z23" i="64"/>
  <c r="Z23" i="57" s="1"/>
  <c r="Y23" i="64"/>
  <c r="X23" i="64"/>
  <c r="X23" i="57" s="1"/>
  <c r="W23" i="64"/>
  <c r="V23" i="64"/>
  <c r="V23" i="57" s="1"/>
  <c r="U23" i="64"/>
  <c r="T23" i="64"/>
  <c r="T23" i="57" s="1"/>
  <c r="S23" i="64"/>
  <c r="R23" i="64"/>
  <c r="R23" i="57" s="1"/>
  <c r="Q23" i="64"/>
  <c r="P23" i="64"/>
  <c r="P23" i="57" s="1"/>
  <c r="O23" i="64"/>
  <c r="N23" i="64"/>
  <c r="N23" i="57" s="1"/>
  <c r="M23" i="64"/>
  <c r="L23" i="64"/>
  <c r="L23" i="57" s="1"/>
  <c r="K23" i="64"/>
  <c r="J23" i="64"/>
  <c r="J23" i="57" s="1"/>
  <c r="I23" i="64"/>
  <c r="H23" i="64"/>
  <c r="H23" i="57" s="1"/>
  <c r="G23" i="64"/>
  <c r="F23" i="64"/>
  <c r="F23" i="57" s="1"/>
  <c r="E23" i="64"/>
  <c r="D23" i="64"/>
  <c r="D23" i="57" s="1"/>
  <c r="C23" i="64"/>
  <c r="AW22" i="64"/>
  <c r="AV22" i="64"/>
  <c r="AU22" i="64"/>
  <c r="AU22" i="57" s="1"/>
  <c r="AT22" i="64"/>
  <c r="AS22" i="64"/>
  <c r="AS22" i="57" s="1"/>
  <c r="AR22" i="64"/>
  <c r="AQ22" i="64"/>
  <c r="AQ22" i="57" s="1"/>
  <c r="AP22" i="64"/>
  <c r="AO22" i="64"/>
  <c r="AO22" i="57" s="1"/>
  <c r="AN22" i="64"/>
  <c r="AM22" i="64"/>
  <c r="AM22" i="57" s="1"/>
  <c r="AL22" i="64"/>
  <c r="AK22" i="64"/>
  <c r="AK22" i="57" s="1"/>
  <c r="AJ22" i="64"/>
  <c r="AI22" i="64"/>
  <c r="AI22" i="57" s="1"/>
  <c r="AH22" i="64"/>
  <c r="AG22" i="64"/>
  <c r="AG22" i="57" s="1"/>
  <c r="AF22" i="64"/>
  <c r="AE22" i="64"/>
  <c r="AE22" i="57" s="1"/>
  <c r="AD22" i="64"/>
  <c r="AC22" i="64"/>
  <c r="AC22" i="57" s="1"/>
  <c r="AB22" i="64"/>
  <c r="AA22" i="64"/>
  <c r="AA22" i="57" s="1"/>
  <c r="Z22" i="64"/>
  <c r="Y22" i="64"/>
  <c r="Y22" i="57" s="1"/>
  <c r="X22" i="64"/>
  <c r="W22" i="64"/>
  <c r="W22" i="57" s="1"/>
  <c r="V22" i="64"/>
  <c r="U22" i="64"/>
  <c r="U22" i="57" s="1"/>
  <c r="T22" i="64"/>
  <c r="S22" i="64"/>
  <c r="S22" i="57" s="1"/>
  <c r="R22" i="64"/>
  <c r="Q22" i="64"/>
  <c r="Q22" i="57" s="1"/>
  <c r="P22" i="64"/>
  <c r="O22" i="64"/>
  <c r="O22" i="57" s="1"/>
  <c r="N22" i="64"/>
  <c r="M22" i="64"/>
  <c r="M22" i="57" s="1"/>
  <c r="L22" i="64"/>
  <c r="K22" i="64"/>
  <c r="K22" i="57" s="1"/>
  <c r="J22" i="64"/>
  <c r="I22" i="64"/>
  <c r="I22" i="57" s="1"/>
  <c r="H22" i="64"/>
  <c r="G22" i="64"/>
  <c r="G22" i="57" s="1"/>
  <c r="F22" i="64"/>
  <c r="E22" i="64"/>
  <c r="E22" i="57" s="1"/>
  <c r="D22" i="64"/>
  <c r="C22" i="64"/>
  <c r="C22" i="57" s="1"/>
  <c r="AW21" i="64"/>
  <c r="AS21" i="64"/>
  <c r="AR21" i="64"/>
  <c r="AR21" i="57" s="1"/>
  <c r="AQ21" i="64"/>
  <c r="AP21" i="64"/>
  <c r="AO21" i="64"/>
  <c r="AN21" i="64"/>
  <c r="AN21" i="57" s="1"/>
  <c r="AM21" i="64"/>
  <c r="AL21" i="64"/>
  <c r="K21" i="64"/>
  <c r="K21" i="57" s="1"/>
  <c r="D21" i="64"/>
  <c r="D21" i="57" s="1"/>
  <c r="AW20" i="64"/>
  <c r="AV20" i="64"/>
  <c r="AU20" i="64"/>
  <c r="AU20" i="57" s="1"/>
  <c r="AT20" i="64"/>
  <c r="AS20" i="64"/>
  <c r="AS20" i="57" s="1"/>
  <c r="AR20" i="64"/>
  <c r="AQ20" i="64"/>
  <c r="AQ20" i="57" s="1"/>
  <c r="AP20" i="64"/>
  <c r="AO20" i="64"/>
  <c r="AO20" i="57" s="1"/>
  <c r="AN20" i="64"/>
  <c r="AM20" i="64"/>
  <c r="AM20" i="57" s="1"/>
  <c r="AL20" i="64"/>
  <c r="AK20" i="64"/>
  <c r="AK20" i="57" s="1"/>
  <c r="AJ20" i="64"/>
  <c r="AI20" i="64"/>
  <c r="AI20" i="57" s="1"/>
  <c r="AH20" i="64"/>
  <c r="AG20" i="64"/>
  <c r="AG20" i="57" s="1"/>
  <c r="AF20" i="64"/>
  <c r="AE20" i="64"/>
  <c r="AE20" i="57" s="1"/>
  <c r="AD20" i="64"/>
  <c r="AC20" i="64"/>
  <c r="AC20" i="57" s="1"/>
  <c r="AB20" i="64"/>
  <c r="AA20" i="64"/>
  <c r="AA20" i="57" s="1"/>
  <c r="Z20" i="64"/>
  <c r="Y20" i="64"/>
  <c r="Y20" i="57" s="1"/>
  <c r="X20" i="64"/>
  <c r="W20" i="64"/>
  <c r="W20" i="57" s="1"/>
  <c r="V20" i="64"/>
  <c r="U20" i="64"/>
  <c r="U20" i="57" s="1"/>
  <c r="T20" i="64"/>
  <c r="S20" i="64"/>
  <c r="S20" i="57" s="1"/>
  <c r="R20" i="64"/>
  <c r="Q20" i="64"/>
  <c r="Q20" i="57" s="1"/>
  <c r="P20" i="64"/>
  <c r="O20" i="64"/>
  <c r="O20" i="57" s="1"/>
  <c r="N20" i="64"/>
  <c r="M20" i="64"/>
  <c r="M20" i="57" s="1"/>
  <c r="L20" i="64"/>
  <c r="K20" i="64"/>
  <c r="K20" i="57" s="1"/>
  <c r="J20" i="64"/>
  <c r="I20" i="64"/>
  <c r="I20" i="57" s="1"/>
  <c r="H20" i="64"/>
  <c r="G20" i="64"/>
  <c r="G20" i="57" s="1"/>
  <c r="F20" i="64"/>
  <c r="E20" i="64"/>
  <c r="E20" i="57" s="1"/>
  <c r="D20" i="64"/>
  <c r="C20" i="64"/>
  <c r="C20" i="57" s="1"/>
  <c r="AW19" i="64"/>
  <c r="AV19" i="64"/>
  <c r="AV19" i="57" s="1"/>
  <c r="AU19" i="64"/>
  <c r="AT19" i="64"/>
  <c r="AT19" i="57" s="1"/>
  <c r="AS19" i="64"/>
  <c r="AR19" i="64"/>
  <c r="AR19" i="57" s="1"/>
  <c r="AQ19" i="64"/>
  <c r="AP19" i="64"/>
  <c r="AP19" i="57" s="1"/>
  <c r="AO19" i="64"/>
  <c r="AN19" i="64"/>
  <c r="AN19" i="57" s="1"/>
  <c r="AM19" i="64"/>
  <c r="AL19" i="64"/>
  <c r="AL19" i="57" s="1"/>
  <c r="AK19" i="64"/>
  <c r="AJ19" i="64"/>
  <c r="AJ19" i="57" s="1"/>
  <c r="AI19" i="64"/>
  <c r="AH19" i="64"/>
  <c r="AH19" i="57" s="1"/>
  <c r="AG19" i="64"/>
  <c r="AF19" i="64"/>
  <c r="AF19" i="57" s="1"/>
  <c r="AE19" i="64"/>
  <c r="AD19" i="64"/>
  <c r="AD19" i="57" s="1"/>
  <c r="AC19" i="64"/>
  <c r="AB19" i="64"/>
  <c r="AB19" i="57" s="1"/>
  <c r="AA19" i="64"/>
  <c r="Z19" i="64"/>
  <c r="Z19" i="57" s="1"/>
  <c r="Y19" i="64"/>
  <c r="X19" i="64"/>
  <c r="X19" i="57" s="1"/>
  <c r="W19" i="64"/>
  <c r="V19" i="64"/>
  <c r="V19" i="57" s="1"/>
  <c r="U19" i="64"/>
  <c r="T19" i="64"/>
  <c r="T19" i="57" s="1"/>
  <c r="S19" i="64"/>
  <c r="R19" i="64"/>
  <c r="R19" i="57" s="1"/>
  <c r="Q19" i="64"/>
  <c r="P19" i="64"/>
  <c r="P19" i="57" s="1"/>
  <c r="O19" i="64"/>
  <c r="N19" i="64"/>
  <c r="N19" i="57" s="1"/>
  <c r="M19" i="64"/>
  <c r="L19" i="64"/>
  <c r="L19" i="57" s="1"/>
  <c r="K19" i="64"/>
  <c r="J19" i="64"/>
  <c r="J19" i="57" s="1"/>
  <c r="I19" i="64"/>
  <c r="H19" i="64"/>
  <c r="H19" i="57" s="1"/>
  <c r="G19" i="64"/>
  <c r="F19" i="64"/>
  <c r="F19" i="57" s="1"/>
  <c r="E19" i="64"/>
  <c r="D19" i="64"/>
  <c r="D19" i="57" s="1"/>
  <c r="C19" i="64"/>
  <c r="AW18" i="64"/>
  <c r="AV18" i="64"/>
  <c r="AU18" i="64"/>
  <c r="AU18" i="57" s="1"/>
  <c r="AT18" i="64"/>
  <c r="AS18" i="64"/>
  <c r="AS18" i="57" s="1"/>
  <c r="AR18" i="64"/>
  <c r="AQ18" i="64"/>
  <c r="AQ18" i="57" s="1"/>
  <c r="AP18" i="64"/>
  <c r="AO18" i="64"/>
  <c r="AO18" i="57" s="1"/>
  <c r="AN18" i="64"/>
  <c r="AM18" i="64"/>
  <c r="AM18" i="57" s="1"/>
  <c r="AL18" i="64"/>
  <c r="AK18" i="64"/>
  <c r="AK18" i="57" s="1"/>
  <c r="AJ18" i="64"/>
  <c r="AI18" i="64"/>
  <c r="AI18" i="57" s="1"/>
  <c r="AH18" i="64"/>
  <c r="AG18" i="64"/>
  <c r="AG18" i="57" s="1"/>
  <c r="AF18" i="64"/>
  <c r="AE18" i="64"/>
  <c r="AE18" i="57" s="1"/>
  <c r="AD18" i="64"/>
  <c r="AC18" i="64"/>
  <c r="AC18" i="57" s="1"/>
  <c r="AB18" i="64"/>
  <c r="AA18" i="64"/>
  <c r="AA18" i="57" s="1"/>
  <c r="Z18" i="64"/>
  <c r="Y18" i="64"/>
  <c r="Y18" i="57" s="1"/>
  <c r="X18" i="64"/>
  <c r="W18" i="64"/>
  <c r="W18" i="57" s="1"/>
  <c r="V18" i="64"/>
  <c r="U18" i="64"/>
  <c r="U18" i="57" s="1"/>
  <c r="T18" i="64"/>
  <c r="S18" i="64"/>
  <c r="S18" i="57" s="1"/>
  <c r="R18" i="64"/>
  <c r="Q18" i="64"/>
  <c r="Q18" i="57" s="1"/>
  <c r="P18" i="64"/>
  <c r="O18" i="64"/>
  <c r="O18" i="57" s="1"/>
  <c r="N18" i="64"/>
  <c r="M18" i="64"/>
  <c r="M18" i="57" s="1"/>
  <c r="L18" i="64"/>
  <c r="K18" i="64"/>
  <c r="K18" i="57" s="1"/>
  <c r="J18" i="64"/>
  <c r="I18" i="64"/>
  <c r="I18" i="57" s="1"/>
  <c r="H18" i="64"/>
  <c r="G18" i="64"/>
  <c r="G18" i="57" s="1"/>
  <c r="F18" i="64"/>
  <c r="E18" i="64"/>
  <c r="E18" i="57" s="1"/>
  <c r="D18" i="64"/>
  <c r="C18" i="64"/>
  <c r="C18" i="57" s="1"/>
  <c r="AW17" i="64"/>
  <c r="AV17" i="64"/>
  <c r="AV17" i="57" s="1"/>
  <c r="AU17" i="64"/>
  <c r="AT17" i="64"/>
  <c r="AT17" i="57" s="1"/>
  <c r="AS17" i="64"/>
  <c r="AR17" i="64"/>
  <c r="AR17" i="57" s="1"/>
  <c r="AQ17" i="64"/>
  <c r="AP17" i="64"/>
  <c r="AP17" i="57" s="1"/>
  <c r="AO17" i="64"/>
  <c r="AN17" i="64"/>
  <c r="AN17" i="57" s="1"/>
  <c r="AM17" i="64"/>
  <c r="AL17" i="64"/>
  <c r="AL17" i="57" s="1"/>
  <c r="AK17" i="64"/>
  <c r="AJ17" i="64"/>
  <c r="AJ17" i="57" s="1"/>
  <c r="AI17" i="64"/>
  <c r="AH17" i="64"/>
  <c r="AH17" i="57" s="1"/>
  <c r="AG17" i="64"/>
  <c r="AF17" i="64"/>
  <c r="AF17" i="57" s="1"/>
  <c r="AE17" i="64"/>
  <c r="AD17" i="64"/>
  <c r="AD17" i="57" s="1"/>
  <c r="AC17" i="64"/>
  <c r="AB17" i="64"/>
  <c r="AB17" i="57" s="1"/>
  <c r="AA17" i="64"/>
  <c r="Z17" i="64"/>
  <c r="Z17" i="57" s="1"/>
  <c r="Y17" i="64"/>
  <c r="X17" i="64"/>
  <c r="X17" i="57" s="1"/>
  <c r="W17" i="64"/>
  <c r="V17" i="64"/>
  <c r="V17" i="57" s="1"/>
  <c r="U17" i="64"/>
  <c r="T17" i="64"/>
  <c r="T17" i="57" s="1"/>
  <c r="S17" i="64"/>
  <c r="R17" i="64"/>
  <c r="R17" i="57" s="1"/>
  <c r="Q17" i="64"/>
  <c r="P17" i="64"/>
  <c r="P17" i="57" s="1"/>
  <c r="O17" i="64"/>
  <c r="N17" i="64"/>
  <c r="N17" i="57" s="1"/>
  <c r="M17" i="64"/>
  <c r="L17" i="64"/>
  <c r="L17" i="57" s="1"/>
  <c r="K17" i="64"/>
  <c r="J17" i="64"/>
  <c r="J17" i="57" s="1"/>
  <c r="I17" i="64"/>
  <c r="H17" i="64"/>
  <c r="H17" i="57" s="1"/>
  <c r="G17" i="64"/>
  <c r="F17" i="64"/>
  <c r="F17" i="57" s="1"/>
  <c r="E17" i="64"/>
  <c r="D17" i="64"/>
  <c r="D17" i="57" s="1"/>
  <c r="C17" i="64"/>
  <c r="AW16" i="64"/>
  <c r="AV16" i="64"/>
  <c r="AU16" i="64"/>
  <c r="AU16" i="57" s="1"/>
  <c r="AT16" i="64"/>
  <c r="AS16" i="64"/>
  <c r="AR16" i="64"/>
  <c r="AQ16" i="64"/>
  <c r="AP16" i="64"/>
  <c r="AO16" i="64"/>
  <c r="AO16" i="57" s="1"/>
  <c r="AN16" i="64"/>
  <c r="AM16" i="64"/>
  <c r="AM16" i="57" s="1"/>
  <c r="AL16" i="64"/>
  <c r="AK16" i="64"/>
  <c r="AK16" i="57" s="1"/>
  <c r="AJ16" i="64"/>
  <c r="AI16" i="64"/>
  <c r="AI16" i="57" s="1"/>
  <c r="AH16" i="64"/>
  <c r="AG16" i="64"/>
  <c r="AG16" i="57" s="1"/>
  <c r="AF16" i="64"/>
  <c r="AE16" i="64"/>
  <c r="AE16" i="57" s="1"/>
  <c r="AD16" i="64"/>
  <c r="AC16" i="64"/>
  <c r="AC16" i="57" s="1"/>
  <c r="AB16" i="64"/>
  <c r="AA16" i="64"/>
  <c r="AA16" i="57" s="1"/>
  <c r="Z16" i="64"/>
  <c r="Y16" i="64"/>
  <c r="Y16" i="57" s="1"/>
  <c r="X16" i="64"/>
  <c r="W16" i="64"/>
  <c r="W16" i="57" s="1"/>
  <c r="V16" i="64"/>
  <c r="U16" i="64"/>
  <c r="U16" i="57" s="1"/>
  <c r="T16" i="64"/>
  <c r="S16" i="64"/>
  <c r="S16" i="57" s="1"/>
  <c r="R16" i="64"/>
  <c r="Q16" i="64"/>
  <c r="Q16" i="57" s="1"/>
  <c r="P16" i="64"/>
  <c r="O16" i="64"/>
  <c r="O16" i="57" s="1"/>
  <c r="N16" i="64"/>
  <c r="M16" i="64"/>
  <c r="M16" i="57" s="1"/>
  <c r="L16" i="64"/>
  <c r="K16" i="64"/>
  <c r="K16" i="57" s="1"/>
  <c r="J16" i="64"/>
  <c r="I16" i="64"/>
  <c r="I16" i="57" s="1"/>
  <c r="H16" i="64"/>
  <c r="G16" i="64"/>
  <c r="G16" i="57" s="1"/>
  <c r="F16" i="64"/>
  <c r="E16" i="64"/>
  <c r="E16" i="57" s="1"/>
  <c r="D16" i="64"/>
  <c r="C16" i="64"/>
  <c r="C16" i="57" s="1"/>
  <c r="AW15" i="64"/>
  <c r="AV15" i="64"/>
  <c r="AU15" i="64"/>
  <c r="AT15" i="64"/>
  <c r="AT15" i="57" s="1"/>
  <c r="AS15" i="64"/>
  <c r="AR15" i="64"/>
  <c r="AQ15" i="64"/>
  <c r="AP15" i="64"/>
  <c r="AP15" i="57" s="1"/>
  <c r="AO15" i="64"/>
  <c r="AN15" i="64"/>
  <c r="AM15" i="64"/>
  <c r="AL15" i="64"/>
  <c r="AL15" i="57" s="1"/>
  <c r="AK15" i="64"/>
  <c r="AJ15" i="64"/>
  <c r="AI15" i="64"/>
  <c r="AH15" i="64"/>
  <c r="AH15" i="57" s="1"/>
  <c r="AG15" i="64"/>
  <c r="AF15" i="64"/>
  <c r="AE15" i="64"/>
  <c r="AD15" i="64"/>
  <c r="AD15" i="57" s="1"/>
  <c r="AC15" i="64"/>
  <c r="AB15" i="64"/>
  <c r="AA15" i="64"/>
  <c r="Z15" i="64"/>
  <c r="Z15" i="57" s="1"/>
  <c r="Y15" i="64"/>
  <c r="X15" i="64"/>
  <c r="W15" i="64"/>
  <c r="V15" i="64"/>
  <c r="V15" i="57" s="1"/>
  <c r="U15" i="64"/>
  <c r="T15" i="64"/>
  <c r="S15" i="64"/>
  <c r="R15" i="64"/>
  <c r="R15" i="57" s="1"/>
  <c r="Q15" i="64"/>
  <c r="P15" i="64"/>
  <c r="O15" i="64"/>
  <c r="N15" i="64"/>
  <c r="N15" i="57" s="1"/>
  <c r="M15" i="64"/>
  <c r="L15" i="64"/>
  <c r="K15" i="64"/>
  <c r="J15" i="64"/>
  <c r="J15" i="57" s="1"/>
  <c r="I15" i="64"/>
  <c r="H15" i="64"/>
  <c r="G15" i="64"/>
  <c r="F15" i="64"/>
  <c r="F15" i="57" s="1"/>
  <c r="E15" i="64"/>
  <c r="D15" i="64"/>
  <c r="C15" i="64"/>
  <c r="AW14" i="64"/>
  <c r="AV14" i="64"/>
  <c r="AU14" i="64"/>
  <c r="AT14" i="64"/>
  <c r="AS14" i="64"/>
  <c r="AS14" i="57" s="1"/>
  <c r="AR14" i="64"/>
  <c r="AQ14" i="64"/>
  <c r="AP14" i="64"/>
  <c r="AO14" i="64"/>
  <c r="AO14" i="57" s="1"/>
  <c r="AN14" i="64"/>
  <c r="AM14" i="64"/>
  <c r="AL14" i="64"/>
  <c r="AG14" i="64"/>
  <c r="AG14" i="57" s="1"/>
  <c r="AF14" i="64"/>
  <c r="AD14" i="64"/>
  <c r="AC14" i="64"/>
  <c r="AC14" i="57" s="1"/>
  <c r="AB14" i="64"/>
  <c r="AB14" i="57" s="1"/>
  <c r="AA14" i="64"/>
  <c r="Z14" i="64"/>
  <c r="Y14" i="64"/>
  <c r="Y14" i="57" s="1"/>
  <c r="W14" i="64"/>
  <c r="V14" i="64"/>
  <c r="U14" i="64"/>
  <c r="U14" i="57" s="1"/>
  <c r="S14" i="64"/>
  <c r="R14" i="64"/>
  <c r="Q14" i="64"/>
  <c r="Q14" i="57" s="1"/>
  <c r="N14" i="64"/>
  <c r="M14" i="64"/>
  <c r="M14" i="57" s="1"/>
  <c r="K14" i="64"/>
  <c r="H14" i="64"/>
  <c r="H14" i="57" s="1"/>
  <c r="G14" i="64"/>
  <c r="F14" i="64"/>
  <c r="E14" i="64"/>
  <c r="E14" i="57" s="1"/>
  <c r="D14" i="64"/>
  <c r="D14" i="57" s="1"/>
  <c r="C14" i="64"/>
  <c r="AW13" i="64"/>
  <c r="AS13" i="64"/>
  <c r="AR13" i="64"/>
  <c r="AQ13" i="64"/>
  <c r="AQ13" i="57" s="1"/>
  <c r="AP13" i="64"/>
  <c r="AP13" i="57" s="1"/>
  <c r="AO13" i="64"/>
  <c r="AN13" i="64"/>
  <c r="AM13" i="64"/>
  <c r="AM13" i="57" s="1"/>
  <c r="AL13" i="64"/>
  <c r="AL13" i="57" s="1"/>
  <c r="K13" i="64"/>
  <c r="K13" i="57" s="1"/>
  <c r="D13" i="64"/>
  <c r="AW12" i="64"/>
  <c r="AV12" i="64"/>
  <c r="AU12" i="64"/>
  <c r="AU12" i="57" s="1"/>
  <c r="AT12" i="64"/>
  <c r="AT12" i="57" s="1"/>
  <c r="AS12" i="64"/>
  <c r="AS12" i="57" s="1"/>
  <c r="AR12" i="64"/>
  <c r="AQ12" i="64"/>
  <c r="AQ12" i="57" s="1"/>
  <c r="AP12" i="64"/>
  <c r="AP12" i="57" s="1"/>
  <c r="AO12" i="64"/>
  <c r="AO12" i="57" s="1"/>
  <c r="AN12" i="64"/>
  <c r="AM12" i="64"/>
  <c r="AM12" i="57" s="1"/>
  <c r="AL12" i="64"/>
  <c r="AL12" i="57" s="1"/>
  <c r="AK12" i="64"/>
  <c r="AK12" i="57" s="1"/>
  <c r="AJ12" i="64"/>
  <c r="AI12" i="64"/>
  <c r="AI12" i="57" s="1"/>
  <c r="AH12" i="64"/>
  <c r="AH12" i="57" s="1"/>
  <c r="AG12" i="64"/>
  <c r="AG12" i="57" s="1"/>
  <c r="AF12" i="64"/>
  <c r="AE12" i="64"/>
  <c r="AE12" i="57" s="1"/>
  <c r="AD12" i="64"/>
  <c r="AD12" i="57" s="1"/>
  <c r="AC12" i="64"/>
  <c r="AC12" i="57" s="1"/>
  <c r="AB12" i="64"/>
  <c r="AA12" i="64"/>
  <c r="AA12" i="57" s="1"/>
  <c r="Z12" i="64"/>
  <c r="Z12" i="57" s="1"/>
  <c r="Y12" i="64"/>
  <c r="Y12" i="57" s="1"/>
  <c r="X12" i="64"/>
  <c r="W12" i="64"/>
  <c r="W12" i="57" s="1"/>
  <c r="V12" i="64"/>
  <c r="V12" i="57" s="1"/>
  <c r="U12" i="64"/>
  <c r="U12" i="57" s="1"/>
  <c r="T12" i="64"/>
  <c r="S12" i="64"/>
  <c r="S12" i="57" s="1"/>
  <c r="R12" i="64"/>
  <c r="R12" i="57" s="1"/>
  <c r="Q12" i="64"/>
  <c r="Q12" i="57" s="1"/>
  <c r="P12" i="64"/>
  <c r="O12" i="64"/>
  <c r="O12" i="57" s="1"/>
  <c r="N12" i="64"/>
  <c r="N12" i="57" s="1"/>
  <c r="M12" i="64"/>
  <c r="M12" i="57" s="1"/>
  <c r="L12" i="64"/>
  <c r="K12" i="64"/>
  <c r="K12" i="57" s="1"/>
  <c r="J12" i="64"/>
  <c r="J12" i="57" s="1"/>
  <c r="I12" i="64"/>
  <c r="I12" i="57" s="1"/>
  <c r="H12" i="64"/>
  <c r="G12" i="64"/>
  <c r="G12" i="57" s="1"/>
  <c r="F12" i="64"/>
  <c r="F12" i="57" s="1"/>
  <c r="E12" i="64"/>
  <c r="E12" i="57" s="1"/>
  <c r="D12" i="64"/>
  <c r="C12" i="64"/>
  <c r="C12" i="57" s="1"/>
  <c r="AW11" i="64"/>
  <c r="AV11" i="64"/>
  <c r="AV11" i="57" s="1"/>
  <c r="AU11" i="64"/>
  <c r="AT11" i="64"/>
  <c r="AT11" i="57" s="1"/>
  <c r="AS11" i="64"/>
  <c r="AS11" i="57" s="1"/>
  <c r="AR11" i="64"/>
  <c r="AR11" i="57" s="1"/>
  <c r="AQ11" i="64"/>
  <c r="AP11" i="64"/>
  <c r="AP11" i="57" s="1"/>
  <c r="AO11" i="64"/>
  <c r="AO11" i="57" s="1"/>
  <c r="AN11" i="64"/>
  <c r="AN11" i="57" s="1"/>
  <c r="AM11" i="64"/>
  <c r="AL11" i="64"/>
  <c r="AL11" i="57" s="1"/>
  <c r="AK11" i="64"/>
  <c r="AK11" i="57" s="1"/>
  <c r="AJ11" i="64"/>
  <c r="AJ11" i="57" s="1"/>
  <c r="AI11" i="64"/>
  <c r="AH11" i="64"/>
  <c r="AH11" i="57" s="1"/>
  <c r="AG11" i="64"/>
  <c r="AG11" i="57" s="1"/>
  <c r="AF11" i="64"/>
  <c r="AF11" i="57" s="1"/>
  <c r="AE11" i="64"/>
  <c r="AD11" i="64"/>
  <c r="AD11" i="57" s="1"/>
  <c r="AC11" i="64"/>
  <c r="AC11" i="57" s="1"/>
  <c r="AB11" i="64"/>
  <c r="AB11" i="57" s="1"/>
  <c r="AA11" i="64"/>
  <c r="Z11" i="64"/>
  <c r="Z11" i="57" s="1"/>
  <c r="Y11" i="64"/>
  <c r="Y11" i="57" s="1"/>
  <c r="X11" i="64"/>
  <c r="X11" i="57" s="1"/>
  <c r="W11" i="64"/>
  <c r="V11" i="64"/>
  <c r="V11" i="57" s="1"/>
  <c r="U11" i="64"/>
  <c r="U11" i="57" s="1"/>
  <c r="T11" i="64"/>
  <c r="T11" i="57" s="1"/>
  <c r="S11" i="64"/>
  <c r="R11" i="64"/>
  <c r="R11" i="57" s="1"/>
  <c r="Q11" i="64"/>
  <c r="Q11" i="57" s="1"/>
  <c r="P11" i="64"/>
  <c r="P11" i="57" s="1"/>
  <c r="O11" i="64"/>
  <c r="N11" i="64"/>
  <c r="N11" i="57" s="1"/>
  <c r="M11" i="64"/>
  <c r="M11" i="57" s="1"/>
  <c r="L11" i="64"/>
  <c r="L11" i="57" s="1"/>
  <c r="K11" i="64"/>
  <c r="J11" i="64"/>
  <c r="J11" i="57" s="1"/>
  <c r="I11" i="64"/>
  <c r="I11" i="57" s="1"/>
  <c r="H11" i="64"/>
  <c r="H11" i="57" s="1"/>
  <c r="G11" i="64"/>
  <c r="F11" i="64"/>
  <c r="F11" i="57" s="1"/>
  <c r="E11" i="64"/>
  <c r="E11" i="57" s="1"/>
  <c r="D11" i="64"/>
  <c r="D11" i="57" s="1"/>
  <c r="C11" i="64"/>
  <c r="AW10" i="64"/>
  <c r="AV10" i="64"/>
  <c r="AU10" i="64"/>
  <c r="AT10" i="64"/>
  <c r="AS10" i="64"/>
  <c r="AS10" i="57" s="1"/>
  <c r="AR10" i="64"/>
  <c r="AQ10" i="64"/>
  <c r="AP10" i="64"/>
  <c r="AO10" i="64"/>
  <c r="AO10" i="57" s="1"/>
  <c r="AN10" i="64"/>
  <c r="AM10" i="64"/>
  <c r="AL10" i="64"/>
  <c r="AK10" i="64"/>
  <c r="AK10" i="57" s="1"/>
  <c r="AJ10" i="64"/>
  <c r="AI10" i="64"/>
  <c r="AH10" i="64"/>
  <c r="AG10" i="64"/>
  <c r="AG10" i="57" s="1"/>
  <c r="AF10" i="64"/>
  <c r="AE10" i="64"/>
  <c r="AD10" i="64"/>
  <c r="AC10" i="64"/>
  <c r="AC10" i="57" s="1"/>
  <c r="AB10" i="64"/>
  <c r="AA10" i="64"/>
  <c r="Z10" i="64"/>
  <c r="Y10" i="64"/>
  <c r="Y10" i="57" s="1"/>
  <c r="X10" i="64"/>
  <c r="W10" i="64"/>
  <c r="V10" i="64"/>
  <c r="U10" i="64"/>
  <c r="U10" i="57" s="1"/>
  <c r="T10" i="64"/>
  <c r="S10" i="64"/>
  <c r="R10" i="64"/>
  <c r="Q10" i="64"/>
  <c r="Q10" i="57" s="1"/>
  <c r="P10" i="64"/>
  <c r="O10" i="64"/>
  <c r="N10" i="64"/>
  <c r="M10" i="64"/>
  <c r="M10" i="57" s="1"/>
  <c r="L10" i="64"/>
  <c r="K10" i="64"/>
  <c r="J10" i="64"/>
  <c r="I10" i="64"/>
  <c r="I10" i="57" s="1"/>
  <c r="H10" i="64"/>
  <c r="G10" i="64"/>
  <c r="F10" i="64"/>
  <c r="E10" i="64"/>
  <c r="E10" i="57" s="1"/>
  <c r="D10" i="64"/>
  <c r="C10" i="64"/>
  <c r="AW9" i="64"/>
  <c r="AV9" i="64"/>
  <c r="AU9" i="64"/>
  <c r="AU9" i="57" s="1"/>
  <c r="AT9" i="64"/>
  <c r="AT9" i="57" s="1"/>
  <c r="AS9" i="64"/>
  <c r="AR9" i="64"/>
  <c r="AQ9" i="64"/>
  <c r="AQ9" i="57" s="1"/>
  <c r="AP9" i="64"/>
  <c r="AP9" i="57" s="1"/>
  <c r="AO9" i="64"/>
  <c r="AN9" i="64"/>
  <c r="AM9" i="64"/>
  <c r="AM9" i="57" s="1"/>
  <c r="AL9" i="64"/>
  <c r="AL9" i="57" s="1"/>
  <c r="AK9" i="64"/>
  <c r="AJ9" i="64"/>
  <c r="AI9" i="64"/>
  <c r="AI9" i="57" s="1"/>
  <c r="AH9" i="64"/>
  <c r="AH9" i="57" s="1"/>
  <c r="AG9" i="64"/>
  <c r="AF9" i="64"/>
  <c r="AE9" i="64"/>
  <c r="AE9" i="57" s="1"/>
  <c r="AD9" i="64"/>
  <c r="AD9" i="57" s="1"/>
  <c r="AC9" i="64"/>
  <c r="AB9" i="64"/>
  <c r="AA9" i="64"/>
  <c r="AA9" i="57" s="1"/>
  <c r="Z9" i="64"/>
  <c r="Z9" i="57" s="1"/>
  <c r="Y9" i="64"/>
  <c r="X9" i="64"/>
  <c r="W9" i="64"/>
  <c r="W9" i="57" s="1"/>
  <c r="V9" i="64"/>
  <c r="V9" i="57" s="1"/>
  <c r="U9" i="64"/>
  <c r="T9" i="64"/>
  <c r="S9" i="64"/>
  <c r="S9" i="57" s="1"/>
  <c r="R9" i="64"/>
  <c r="R9" i="57" s="1"/>
  <c r="Q9" i="64"/>
  <c r="P9" i="64"/>
  <c r="O9" i="64"/>
  <c r="O9" i="57" s="1"/>
  <c r="N9" i="64"/>
  <c r="N9" i="57" s="1"/>
  <c r="M9" i="64"/>
  <c r="L9" i="64"/>
  <c r="K9" i="64"/>
  <c r="K9" i="57" s="1"/>
  <c r="J9" i="64"/>
  <c r="J9" i="57" s="1"/>
  <c r="I9" i="64"/>
  <c r="H9" i="64"/>
  <c r="G9" i="64"/>
  <c r="G9" i="57" s="1"/>
  <c r="F9" i="64"/>
  <c r="F9" i="57" s="1"/>
  <c r="E9" i="64"/>
  <c r="D9" i="64"/>
  <c r="C9" i="64"/>
  <c r="C9" i="57" s="1"/>
  <c r="AW8" i="64"/>
  <c r="AV8" i="64"/>
  <c r="AU8" i="64"/>
  <c r="AU8" i="57" s="1"/>
  <c r="AT8" i="64"/>
  <c r="AT8" i="57" s="1"/>
  <c r="AS8" i="64"/>
  <c r="AS8" i="57" s="1"/>
  <c r="AR8" i="64"/>
  <c r="AQ8" i="64"/>
  <c r="AQ8" i="57" s="1"/>
  <c r="AP8" i="64"/>
  <c r="AP8" i="57" s="1"/>
  <c r="AO8" i="64"/>
  <c r="AO8" i="57" s="1"/>
  <c r="AN8" i="64"/>
  <c r="AM8" i="64"/>
  <c r="AM8" i="57" s="1"/>
  <c r="AL8" i="64"/>
  <c r="AL8" i="57" s="1"/>
  <c r="AK8" i="64"/>
  <c r="AK8" i="57" s="1"/>
  <c r="AJ8" i="64"/>
  <c r="AI8" i="64"/>
  <c r="AI8" i="57" s="1"/>
  <c r="AH8" i="64"/>
  <c r="AH8" i="57" s="1"/>
  <c r="AG8" i="64"/>
  <c r="AG8" i="57" s="1"/>
  <c r="AF8" i="64"/>
  <c r="AE8" i="64"/>
  <c r="AE8" i="57" s="1"/>
  <c r="AD8" i="64"/>
  <c r="AD8" i="57" s="1"/>
  <c r="AC8" i="64"/>
  <c r="AC8" i="57" s="1"/>
  <c r="AB8" i="64"/>
  <c r="AA8" i="64"/>
  <c r="AA8" i="57" s="1"/>
  <c r="Z8" i="64"/>
  <c r="Z8" i="57" s="1"/>
  <c r="Y8" i="64"/>
  <c r="Y8" i="57" s="1"/>
  <c r="X8" i="64"/>
  <c r="W8" i="64"/>
  <c r="W8" i="57" s="1"/>
  <c r="V8" i="64"/>
  <c r="V8" i="57" s="1"/>
  <c r="U8" i="64"/>
  <c r="U8" i="57" s="1"/>
  <c r="T8" i="64"/>
  <c r="S8" i="64"/>
  <c r="S8" i="57" s="1"/>
  <c r="R8" i="64"/>
  <c r="R8" i="57" s="1"/>
  <c r="Q8" i="64"/>
  <c r="Q8" i="57" s="1"/>
  <c r="P8" i="64"/>
  <c r="O8" i="64"/>
  <c r="O8" i="57" s="1"/>
  <c r="N8" i="64"/>
  <c r="N8" i="57" s="1"/>
  <c r="M8" i="64"/>
  <c r="M8" i="57" s="1"/>
  <c r="L8" i="64"/>
  <c r="K8" i="64"/>
  <c r="K8" i="57" s="1"/>
  <c r="J8" i="64"/>
  <c r="J8" i="57" s="1"/>
  <c r="I8" i="64"/>
  <c r="I8" i="57" s="1"/>
  <c r="H8" i="64"/>
  <c r="G8" i="64"/>
  <c r="G8" i="57" s="1"/>
  <c r="F8" i="64"/>
  <c r="F8" i="57" s="1"/>
  <c r="E8" i="64"/>
  <c r="E8" i="57" s="1"/>
  <c r="BA8" i="57" s="1"/>
  <c r="D8" i="64"/>
  <c r="C8" i="64"/>
  <c r="C8" i="57" s="1"/>
  <c r="AW7" i="64"/>
  <c r="AV7" i="64"/>
  <c r="AV7" i="57" s="1"/>
  <c r="AU7" i="64"/>
  <c r="AT7" i="64"/>
  <c r="AT7" i="57" s="1"/>
  <c r="AS7" i="64"/>
  <c r="AS7" i="57" s="1"/>
  <c r="AR7" i="64"/>
  <c r="AR7" i="57" s="1"/>
  <c r="AQ7" i="64"/>
  <c r="AP7" i="64"/>
  <c r="AP7" i="57" s="1"/>
  <c r="AO7" i="64"/>
  <c r="AO7" i="57" s="1"/>
  <c r="AN7" i="64"/>
  <c r="AN7" i="57" s="1"/>
  <c r="AM7" i="64"/>
  <c r="AL7" i="64"/>
  <c r="AL7" i="57" s="1"/>
  <c r="AK7" i="64"/>
  <c r="AK7" i="57" s="1"/>
  <c r="AJ7" i="64"/>
  <c r="AJ7" i="57" s="1"/>
  <c r="AI7" i="64"/>
  <c r="AH7" i="64"/>
  <c r="AH7" i="57" s="1"/>
  <c r="AG7" i="64"/>
  <c r="AG7" i="57" s="1"/>
  <c r="AF7" i="64"/>
  <c r="AF7" i="57" s="1"/>
  <c r="AE7" i="64"/>
  <c r="AD7" i="64"/>
  <c r="AD7" i="57" s="1"/>
  <c r="AC7" i="64"/>
  <c r="AC7" i="57" s="1"/>
  <c r="AB7" i="64"/>
  <c r="AB7" i="57" s="1"/>
  <c r="AA7" i="64"/>
  <c r="Z7" i="64"/>
  <c r="Z7" i="57" s="1"/>
  <c r="Y7" i="64"/>
  <c r="Y7" i="57" s="1"/>
  <c r="X7" i="64"/>
  <c r="X7" i="57" s="1"/>
  <c r="W7" i="64"/>
  <c r="V7" i="64"/>
  <c r="V7" i="57" s="1"/>
  <c r="U7" i="64"/>
  <c r="U7" i="57" s="1"/>
  <c r="T7" i="64"/>
  <c r="T7" i="57" s="1"/>
  <c r="S7" i="64"/>
  <c r="R7" i="64"/>
  <c r="R7" i="57" s="1"/>
  <c r="Q7" i="64"/>
  <c r="Q7" i="57" s="1"/>
  <c r="P7" i="64"/>
  <c r="P7" i="57" s="1"/>
  <c r="O7" i="64"/>
  <c r="N7" i="64"/>
  <c r="N7" i="57" s="1"/>
  <c r="M7" i="64"/>
  <c r="M7" i="57" s="1"/>
  <c r="L7" i="64"/>
  <c r="L7" i="57" s="1"/>
  <c r="K7" i="64"/>
  <c r="J7" i="64"/>
  <c r="J7" i="57" s="1"/>
  <c r="I7" i="64"/>
  <c r="I7" i="57" s="1"/>
  <c r="H7" i="64"/>
  <c r="H7" i="57" s="1"/>
  <c r="G7" i="64"/>
  <c r="F7" i="64"/>
  <c r="F7" i="57" s="1"/>
  <c r="E7" i="64"/>
  <c r="E7" i="57" s="1"/>
  <c r="D7" i="64"/>
  <c r="D7" i="57" s="1"/>
  <c r="C7" i="64"/>
  <c r="AW6" i="64"/>
  <c r="AV6" i="64"/>
  <c r="AV6" i="57" s="1"/>
  <c r="AU6" i="64"/>
  <c r="AU6" i="57" s="1"/>
  <c r="AT6" i="64"/>
  <c r="AS6" i="64"/>
  <c r="AS6" i="57" s="1"/>
  <c r="AR6" i="64"/>
  <c r="AR6" i="57" s="1"/>
  <c r="AQ6" i="64"/>
  <c r="AQ6" i="57" s="1"/>
  <c r="AP6" i="64"/>
  <c r="AO6" i="64"/>
  <c r="AO6" i="57" s="1"/>
  <c r="AN6" i="64"/>
  <c r="AN6" i="57" s="1"/>
  <c r="AM6" i="64"/>
  <c r="AM6" i="57" s="1"/>
  <c r="AL6" i="64"/>
  <c r="AK6" i="64"/>
  <c r="AK6" i="57" s="1"/>
  <c r="AJ6" i="64"/>
  <c r="AJ6" i="57" s="1"/>
  <c r="AI6" i="64"/>
  <c r="AI6" i="57" s="1"/>
  <c r="AH6" i="64"/>
  <c r="AG6" i="64"/>
  <c r="AG6" i="57" s="1"/>
  <c r="AF6" i="64"/>
  <c r="AF6" i="57" s="1"/>
  <c r="AE6" i="64"/>
  <c r="AE6" i="57" s="1"/>
  <c r="AD6" i="64"/>
  <c r="AC6" i="64"/>
  <c r="AC6" i="57" s="1"/>
  <c r="AB6" i="64"/>
  <c r="AB6" i="57" s="1"/>
  <c r="AA6" i="64"/>
  <c r="AA6" i="57" s="1"/>
  <c r="Z6" i="64"/>
  <c r="Y6" i="64"/>
  <c r="Y6" i="57" s="1"/>
  <c r="X6" i="64"/>
  <c r="X6" i="57" s="1"/>
  <c r="W6" i="64"/>
  <c r="W6" i="57" s="1"/>
  <c r="V6" i="64"/>
  <c r="U6" i="64"/>
  <c r="U6" i="57" s="1"/>
  <c r="T6" i="64"/>
  <c r="T6" i="57" s="1"/>
  <c r="S6" i="64"/>
  <c r="S6" i="57" s="1"/>
  <c r="R6" i="64"/>
  <c r="Q6" i="64"/>
  <c r="Q6" i="57" s="1"/>
  <c r="P6" i="64"/>
  <c r="P6" i="57" s="1"/>
  <c r="O6" i="64"/>
  <c r="O6" i="57" s="1"/>
  <c r="N6" i="64"/>
  <c r="M6" i="64"/>
  <c r="M6" i="57" s="1"/>
  <c r="L6" i="64"/>
  <c r="L6" i="57" s="1"/>
  <c r="K6" i="64"/>
  <c r="K6" i="57" s="1"/>
  <c r="J6" i="64"/>
  <c r="I6" i="64"/>
  <c r="I6" i="57" s="1"/>
  <c r="H6" i="64"/>
  <c r="H6" i="57" s="1"/>
  <c r="G6" i="64"/>
  <c r="G6" i="57" s="1"/>
  <c r="F6" i="64"/>
  <c r="E6" i="64"/>
  <c r="E6" i="57" s="1"/>
  <c r="D6" i="64"/>
  <c r="D6" i="57" s="1"/>
  <c r="C6" i="64"/>
  <c r="C6" i="57" s="1"/>
  <c r="AW5" i="64"/>
  <c r="AV5" i="64"/>
  <c r="AV5" i="57" s="1"/>
  <c r="AU5" i="64"/>
  <c r="AT5" i="64"/>
  <c r="AS5" i="64"/>
  <c r="AR5" i="64"/>
  <c r="AR5" i="57" s="1"/>
  <c r="AQ5" i="64"/>
  <c r="AP5" i="64"/>
  <c r="AO5" i="64"/>
  <c r="AN5" i="64"/>
  <c r="AN5" i="57" s="1"/>
  <c r="AM5" i="64"/>
  <c r="AL5" i="64"/>
  <c r="AK5" i="64"/>
  <c r="AJ5" i="64"/>
  <c r="AJ5" i="57" s="1"/>
  <c r="AI5" i="64"/>
  <c r="AH5" i="64"/>
  <c r="AG5" i="64"/>
  <c r="AF5" i="64"/>
  <c r="AF5" i="57" s="1"/>
  <c r="AE5" i="64"/>
  <c r="AD5" i="64"/>
  <c r="AC5" i="64"/>
  <c r="AB5" i="64"/>
  <c r="AB5" i="57" s="1"/>
  <c r="AA5" i="64"/>
  <c r="Z5" i="64"/>
  <c r="Y5" i="64"/>
  <c r="X5" i="64"/>
  <c r="X5" i="57" s="1"/>
  <c r="W5" i="64"/>
  <c r="V5" i="64"/>
  <c r="U5" i="64"/>
  <c r="T5" i="64"/>
  <c r="T5" i="57" s="1"/>
  <c r="S5" i="64"/>
  <c r="R5" i="64"/>
  <c r="Q5" i="64"/>
  <c r="P5" i="64"/>
  <c r="P5" i="57" s="1"/>
  <c r="O5" i="64"/>
  <c r="N5" i="64"/>
  <c r="M5" i="64"/>
  <c r="L5" i="64"/>
  <c r="L5" i="57" s="1"/>
  <c r="K5" i="64"/>
  <c r="J5" i="64"/>
  <c r="I5" i="64"/>
  <c r="H5" i="64"/>
  <c r="H5" i="57" s="1"/>
  <c r="G5" i="64"/>
  <c r="F5" i="64"/>
  <c r="E5" i="64"/>
  <c r="D5" i="64"/>
  <c r="D5" i="57" s="1"/>
  <c r="C5" i="64"/>
  <c r="AS4" i="64"/>
  <c r="AR4" i="64"/>
  <c r="AQ4" i="64"/>
  <c r="AP4" i="64"/>
  <c r="AO4" i="64"/>
  <c r="AN4" i="64"/>
  <c r="AM4" i="64"/>
  <c r="AL4" i="64"/>
  <c r="AW4" i="64"/>
  <c r="AV4" i="64"/>
  <c r="AU4" i="64"/>
  <c r="AT4" i="64"/>
  <c r="AK4" i="64"/>
  <c r="AJ4" i="64"/>
  <c r="AI4" i="64"/>
  <c r="AH4" i="64"/>
  <c r="AG4" i="64"/>
  <c r="AF4" i="64"/>
  <c r="AE4" i="64"/>
  <c r="AD4" i="64"/>
  <c r="AC4" i="64"/>
  <c r="AB4" i="64"/>
  <c r="AA4" i="64"/>
  <c r="Z4" i="64"/>
  <c r="Y4" i="64"/>
  <c r="X4" i="64"/>
  <c r="W4" i="64"/>
  <c r="V4" i="64"/>
  <c r="U4" i="64"/>
  <c r="T4" i="64"/>
  <c r="S4" i="64"/>
  <c r="R4" i="64"/>
  <c r="Q4" i="64"/>
  <c r="P4" i="64"/>
  <c r="O4" i="64"/>
  <c r="N4" i="64"/>
  <c r="M4" i="64"/>
  <c r="L4" i="64"/>
  <c r="K4" i="64"/>
  <c r="J4" i="64"/>
  <c r="I4" i="64"/>
  <c r="H4" i="64"/>
  <c r="G4" i="64"/>
  <c r="F4" i="64"/>
  <c r="E4" i="64"/>
  <c r="D4" i="64"/>
  <c r="C4" i="64"/>
  <c r="AF14" i="57" l="1"/>
  <c r="AN14" i="57"/>
  <c r="AR14" i="57"/>
  <c r="AV14" i="57"/>
  <c r="Q15" i="57"/>
  <c r="AG15" i="57"/>
  <c r="F16" i="57"/>
  <c r="J16" i="57"/>
  <c r="N16" i="57"/>
  <c r="R16" i="57"/>
  <c r="V16" i="57"/>
  <c r="Z16" i="57"/>
  <c r="AD16" i="57"/>
  <c r="AH16" i="57"/>
  <c r="AL16" i="57"/>
  <c r="AP16" i="57"/>
  <c r="AT16" i="57"/>
  <c r="C17" i="57"/>
  <c r="AM21" i="57"/>
  <c r="AQ21" i="57"/>
  <c r="AM29" i="57"/>
  <c r="G17" i="57"/>
  <c r="K17" i="57"/>
  <c r="O17" i="57"/>
  <c r="S17" i="57"/>
  <c r="W17" i="57"/>
  <c r="AA17" i="57"/>
  <c r="AE17" i="57"/>
  <c r="AI17" i="57"/>
  <c r="AM17" i="57"/>
  <c r="AQ17" i="57"/>
  <c r="AU17" i="57"/>
  <c r="D18" i="57"/>
  <c r="H18" i="57"/>
  <c r="L18" i="57"/>
  <c r="P18" i="57"/>
  <c r="T18" i="57"/>
  <c r="X18" i="57"/>
  <c r="AB18" i="57"/>
  <c r="AF18" i="57"/>
  <c r="AJ18" i="57"/>
  <c r="AN18" i="57"/>
  <c r="AR18" i="57"/>
  <c r="AV18" i="57"/>
  <c r="E19" i="57"/>
  <c r="I19" i="57"/>
  <c r="M19" i="57"/>
  <c r="Q19" i="57"/>
  <c r="U19" i="57"/>
  <c r="Y19" i="57"/>
  <c r="AC19" i="57"/>
  <c r="AG19" i="57"/>
  <c r="AK19" i="57"/>
  <c r="AO19" i="57"/>
  <c r="AS19" i="57"/>
  <c r="F20" i="57"/>
  <c r="J20" i="57"/>
  <c r="N20" i="57"/>
  <c r="R20" i="57"/>
  <c r="V20" i="57"/>
  <c r="Z20" i="57"/>
  <c r="AD20" i="57"/>
  <c r="AH20" i="57"/>
  <c r="AL20" i="57"/>
  <c r="AP20" i="57"/>
  <c r="AT20" i="57"/>
  <c r="D22" i="57"/>
  <c r="H22" i="57"/>
  <c r="L22" i="57"/>
  <c r="P22" i="57"/>
  <c r="T22" i="57"/>
  <c r="X22" i="57"/>
  <c r="AB22" i="57"/>
  <c r="AF22" i="57"/>
  <c r="AJ22" i="57"/>
  <c r="AN22" i="57"/>
  <c r="AR22" i="57"/>
  <c r="AV22" i="57"/>
  <c r="F24" i="57"/>
  <c r="J24" i="57"/>
  <c r="N24" i="57"/>
  <c r="R24" i="57"/>
  <c r="V24" i="57"/>
  <c r="Z24" i="57"/>
  <c r="AD24" i="57"/>
  <c r="AH24" i="57"/>
  <c r="AL24" i="57"/>
  <c r="AP24" i="57"/>
  <c r="AT24" i="57"/>
  <c r="E27" i="57"/>
  <c r="I27" i="57"/>
  <c r="M27" i="57"/>
  <c r="Q27" i="57"/>
  <c r="U27" i="57"/>
  <c r="Y27" i="57"/>
  <c r="AC27" i="57"/>
  <c r="AG27" i="57"/>
  <c r="AK27" i="57"/>
  <c r="AO27" i="57"/>
  <c r="AS27" i="57"/>
  <c r="F28" i="57"/>
  <c r="J28" i="57"/>
  <c r="V28" i="57"/>
  <c r="Z28" i="57"/>
  <c r="AL28" i="57"/>
  <c r="AP28" i="57"/>
  <c r="AS16" i="57"/>
  <c r="AQ16" i="57"/>
  <c r="C26" i="57"/>
  <c r="D8" i="57"/>
  <c r="H8" i="57"/>
  <c r="L8" i="57"/>
  <c r="P8" i="57"/>
  <c r="T8" i="57"/>
  <c r="X8" i="57"/>
  <c r="AB8" i="57"/>
  <c r="AF8" i="57"/>
  <c r="AJ8" i="57"/>
  <c r="AN8" i="57"/>
  <c r="AR8" i="57"/>
  <c r="AV8" i="57"/>
  <c r="Q9" i="57"/>
  <c r="AG9" i="57"/>
  <c r="C15" i="57"/>
  <c r="G15" i="57"/>
  <c r="K15" i="57"/>
  <c r="O15" i="57"/>
  <c r="S15" i="57"/>
  <c r="W15" i="57"/>
  <c r="AA15" i="57"/>
  <c r="AE15" i="57"/>
  <c r="AI15" i="57"/>
  <c r="AM15" i="57"/>
  <c r="AQ15" i="57"/>
  <c r="AU15" i="57"/>
  <c r="D16" i="57"/>
  <c r="H16" i="57"/>
  <c r="L16" i="57"/>
  <c r="P16" i="57"/>
  <c r="T16" i="57"/>
  <c r="X16" i="57"/>
  <c r="AB16" i="57"/>
  <c r="AF16" i="57"/>
  <c r="AJ16" i="57"/>
  <c r="AN16" i="57"/>
  <c r="AR16" i="57"/>
  <c r="AV16" i="57"/>
  <c r="E17" i="57"/>
  <c r="I17" i="57"/>
  <c r="M17" i="57"/>
  <c r="Q17" i="57"/>
  <c r="U17" i="57"/>
  <c r="Y17" i="57"/>
  <c r="AC17" i="57"/>
  <c r="AG17" i="57"/>
  <c r="AK17" i="57"/>
  <c r="AO17" i="57"/>
  <c r="AS17" i="57"/>
  <c r="F18" i="57"/>
  <c r="J18" i="57"/>
  <c r="N18" i="57"/>
  <c r="R18" i="57"/>
  <c r="V18" i="57"/>
  <c r="Z18" i="57"/>
  <c r="AD18" i="57"/>
  <c r="AH18" i="57"/>
  <c r="AL18" i="57"/>
  <c r="AP18" i="57"/>
  <c r="AT18" i="57"/>
  <c r="C19" i="57"/>
  <c r="G19" i="57"/>
  <c r="K19" i="57"/>
  <c r="O19" i="57"/>
  <c r="S19" i="57"/>
  <c r="W19" i="57"/>
  <c r="AA19" i="57"/>
  <c r="AE19" i="57"/>
  <c r="AI19" i="57"/>
  <c r="AM19" i="57"/>
  <c r="AQ19" i="57"/>
  <c r="AU19" i="57"/>
  <c r="D20" i="57"/>
  <c r="H20" i="57"/>
  <c r="L20" i="57"/>
  <c r="P20" i="57"/>
  <c r="T20" i="57"/>
  <c r="X20" i="57"/>
  <c r="AB20" i="57"/>
  <c r="AF20" i="57"/>
  <c r="AJ20" i="57"/>
  <c r="AN20" i="57"/>
  <c r="AR20" i="57"/>
  <c r="AV20" i="57"/>
  <c r="F22" i="57"/>
  <c r="J22" i="57"/>
  <c r="N22" i="57"/>
  <c r="R22" i="57"/>
  <c r="V22" i="57"/>
  <c r="Z22" i="57"/>
  <c r="AD22" i="57"/>
  <c r="AH22" i="57"/>
  <c r="AL22" i="57"/>
  <c r="AP22" i="57"/>
  <c r="AT22" i="57"/>
  <c r="C23" i="57"/>
  <c r="G23" i="57"/>
  <c r="K23" i="57"/>
  <c r="O23" i="57"/>
  <c r="S23" i="57"/>
  <c r="W23" i="57"/>
  <c r="AA23" i="57"/>
  <c r="AE23" i="57"/>
  <c r="AI23" i="57"/>
  <c r="AM23" i="57"/>
  <c r="AQ23" i="57"/>
  <c r="AU23" i="57"/>
  <c r="D24" i="57"/>
  <c r="H24" i="57"/>
  <c r="L24" i="57"/>
  <c r="P24" i="57"/>
  <c r="T24" i="57"/>
  <c r="X24" i="57"/>
  <c r="AB24" i="57"/>
  <c r="AF24" i="57"/>
  <c r="AJ24" i="57"/>
  <c r="AN24" i="57"/>
  <c r="AR24" i="57"/>
  <c r="AV24" i="57"/>
  <c r="F26" i="57"/>
  <c r="J26" i="57"/>
  <c r="N26" i="57"/>
  <c r="R26" i="57"/>
  <c r="V26" i="57"/>
  <c r="Z26" i="57"/>
  <c r="AO29" i="57"/>
  <c r="AS29" i="57"/>
  <c r="AD26" i="57"/>
  <c r="AH26" i="57"/>
  <c r="AL26" i="57"/>
  <c r="AP26" i="57"/>
  <c r="AT26" i="57"/>
  <c r="C27" i="57"/>
  <c r="G27" i="57"/>
  <c r="K27" i="57"/>
  <c r="O27" i="57"/>
  <c r="S27" i="57"/>
  <c r="W27" i="57"/>
  <c r="AA27" i="57"/>
  <c r="AE27" i="57"/>
  <c r="AI27" i="57"/>
  <c r="AM27" i="57"/>
  <c r="AQ27" i="57"/>
  <c r="AU27" i="57"/>
  <c r="D28" i="57"/>
  <c r="H28" i="57"/>
  <c r="L28" i="57"/>
  <c r="P28" i="57"/>
  <c r="T28" i="57"/>
  <c r="X28" i="57"/>
  <c r="AB28" i="57"/>
  <c r="AF28" i="57"/>
  <c r="AJ28" i="57"/>
  <c r="AN28" i="57"/>
  <c r="AR28" i="57"/>
  <c r="AV28" i="57"/>
  <c r="F30" i="57"/>
  <c r="J30" i="57"/>
  <c r="N30" i="57"/>
  <c r="R30" i="57"/>
  <c r="V30" i="57"/>
  <c r="Z30" i="57"/>
  <c r="AD30" i="57"/>
  <c r="AH30" i="57"/>
  <c r="AL30" i="57"/>
  <c r="AT30" i="57"/>
  <c r="C31" i="57"/>
  <c r="G31" i="57"/>
  <c r="K31" i="57"/>
  <c r="O31" i="57"/>
  <c r="S31" i="57"/>
  <c r="W31" i="57"/>
  <c r="AA31" i="57"/>
  <c r="AE31" i="57"/>
  <c r="AI31" i="57"/>
  <c r="AM31" i="57"/>
  <c r="AQ31" i="57"/>
  <c r="AU31" i="57"/>
  <c r="D32" i="57"/>
  <c r="H32" i="57"/>
  <c r="L32" i="57"/>
  <c r="P32" i="57"/>
  <c r="T32" i="57"/>
  <c r="X32" i="57"/>
  <c r="AB32" i="57"/>
  <c r="AF32" i="57"/>
  <c r="AJ32" i="57"/>
  <c r="AN32" i="57"/>
  <c r="AR32" i="57"/>
  <c r="AV32" i="57"/>
  <c r="E33" i="57"/>
  <c r="I33" i="57"/>
  <c r="M33" i="57"/>
  <c r="Q33" i="57"/>
  <c r="U33" i="57"/>
  <c r="Y33" i="57"/>
  <c r="AC33" i="57"/>
  <c r="AG33" i="57"/>
  <c r="AK33" i="57"/>
  <c r="AO33" i="57"/>
  <c r="AS33" i="57"/>
  <c r="F34" i="57"/>
  <c r="J34" i="57"/>
  <c r="N34" i="57"/>
  <c r="R34" i="57"/>
  <c r="V34" i="57"/>
  <c r="Z34" i="57"/>
  <c r="AD34" i="57"/>
  <c r="AH34" i="57"/>
  <c r="AL34" i="57"/>
  <c r="AP34" i="57"/>
  <c r="AT34" i="57"/>
  <c r="F5" i="57"/>
  <c r="J5" i="57"/>
  <c r="N5" i="57"/>
  <c r="R5" i="57"/>
  <c r="V5" i="57"/>
  <c r="Z5" i="57"/>
  <c r="AD5" i="57"/>
  <c r="AH5" i="57"/>
  <c r="AL5" i="57"/>
  <c r="AP5" i="57"/>
  <c r="AT5" i="57"/>
  <c r="AO21" i="57"/>
  <c r="AS21" i="57"/>
  <c r="AL21" i="57"/>
  <c r="AP21" i="57"/>
  <c r="J6" i="57"/>
  <c r="N6" i="57"/>
  <c r="R6" i="57"/>
  <c r="V6" i="57"/>
  <c r="Z6" i="57"/>
  <c r="AD6" i="57"/>
  <c r="AH6" i="57"/>
  <c r="AL6" i="57"/>
  <c r="AP6" i="57"/>
  <c r="AT6" i="57"/>
  <c r="D12" i="57"/>
  <c r="H12" i="57"/>
  <c r="L12" i="57"/>
  <c r="P12" i="57"/>
  <c r="T12" i="57"/>
  <c r="X12" i="57"/>
  <c r="AB12" i="57"/>
  <c r="AF12" i="57"/>
  <c r="AJ12" i="57"/>
  <c r="AN12" i="57"/>
  <c r="AR12" i="57"/>
  <c r="AV12" i="57"/>
  <c r="F10" i="57"/>
  <c r="V10" i="57"/>
  <c r="AL10" i="57"/>
  <c r="F6" i="57"/>
  <c r="C24" i="57"/>
  <c r="G24" i="57"/>
  <c r="K24" i="57"/>
  <c r="O24" i="57"/>
  <c r="S24" i="57"/>
  <c r="W24" i="57"/>
  <c r="AA24" i="57"/>
  <c r="AE24" i="57"/>
  <c r="AI24" i="57"/>
  <c r="AM24" i="57"/>
  <c r="AQ24" i="57"/>
  <c r="AU24" i="57"/>
  <c r="V14" i="57"/>
  <c r="F14" i="57"/>
  <c r="AL14" i="57"/>
  <c r="BV7" i="57"/>
  <c r="D10" i="57"/>
  <c r="H10" i="57"/>
  <c r="L10" i="57"/>
  <c r="P10" i="57"/>
  <c r="T10" i="57"/>
  <c r="X10" i="57"/>
  <c r="AB10" i="57"/>
  <c r="AF10" i="57"/>
  <c r="AJ10" i="57"/>
  <c r="AN10" i="57"/>
  <c r="AR10" i="57"/>
  <c r="AV10" i="57"/>
  <c r="C5" i="57"/>
  <c r="G5" i="57"/>
  <c r="K5" i="57"/>
  <c r="O5" i="57"/>
  <c r="S5" i="57"/>
  <c r="W5" i="57"/>
  <c r="AA5" i="57"/>
  <c r="AE5" i="57"/>
  <c r="AI5" i="57"/>
  <c r="AM5" i="57"/>
  <c r="AQ5" i="57"/>
  <c r="AU5" i="57"/>
  <c r="P14" i="57"/>
  <c r="X14" i="57"/>
  <c r="T14" i="57"/>
  <c r="AP30" i="57"/>
  <c r="N28" i="57"/>
  <c r="R28" i="57"/>
  <c r="AD28" i="57"/>
  <c r="AH28" i="57"/>
  <c r="AT28" i="57"/>
  <c r="C28" i="57"/>
  <c r="G28" i="57"/>
  <c r="K28" i="57"/>
  <c r="O28" i="57"/>
  <c r="S28" i="57"/>
  <c r="W28" i="57"/>
  <c r="AA28" i="57"/>
  <c r="AE28" i="57"/>
  <c r="AI28" i="57"/>
  <c r="AM28" i="57"/>
  <c r="AQ28" i="57"/>
  <c r="AU28" i="57"/>
  <c r="D26" i="57"/>
  <c r="H26" i="57"/>
  <c r="L26" i="57"/>
  <c r="P26" i="57"/>
  <c r="T26" i="57"/>
  <c r="X26" i="57"/>
  <c r="AB26" i="57"/>
  <c r="AF26" i="57"/>
  <c r="AJ26" i="57"/>
  <c r="AN26" i="57"/>
  <c r="AR26" i="57"/>
  <c r="AV26" i="57"/>
  <c r="C25" i="57"/>
  <c r="G25" i="57"/>
  <c r="K25" i="57"/>
  <c r="O25" i="57"/>
  <c r="S25" i="57"/>
  <c r="W25" i="57"/>
  <c r="AA25" i="57"/>
  <c r="AE25" i="57"/>
  <c r="AI25" i="57"/>
  <c r="AM25" i="57"/>
  <c r="AQ25" i="57"/>
  <c r="AU25" i="57"/>
  <c r="E25" i="57"/>
  <c r="I25" i="57"/>
  <c r="M25" i="57"/>
  <c r="Q25" i="57"/>
  <c r="U25" i="57"/>
  <c r="Y25" i="57"/>
  <c r="AC25" i="57"/>
  <c r="AG25" i="57"/>
  <c r="AK25" i="57"/>
  <c r="AO25" i="57"/>
  <c r="AS25" i="57"/>
  <c r="E23" i="57"/>
  <c r="I23" i="57"/>
  <c r="M23" i="57"/>
  <c r="Q23" i="57"/>
  <c r="U23" i="57"/>
  <c r="Y23" i="57"/>
  <c r="AC23" i="57"/>
  <c r="AG23" i="57"/>
  <c r="AK23" i="57"/>
  <c r="AO23" i="57"/>
  <c r="AS23" i="57"/>
  <c r="E15" i="57"/>
  <c r="I15" i="57"/>
  <c r="M15" i="57"/>
  <c r="U15" i="57"/>
  <c r="Y15" i="57"/>
  <c r="AC15" i="57"/>
  <c r="AK15" i="57"/>
  <c r="AO15" i="57"/>
  <c r="AS15" i="57"/>
  <c r="D15" i="57"/>
  <c r="H15" i="57"/>
  <c r="L15" i="57"/>
  <c r="P15" i="57"/>
  <c r="T15" i="57"/>
  <c r="X15" i="57"/>
  <c r="AB15" i="57"/>
  <c r="AF15" i="57"/>
  <c r="AJ15" i="57"/>
  <c r="AN15" i="57"/>
  <c r="AR15" i="57"/>
  <c r="AV15" i="57"/>
  <c r="L14" i="64"/>
  <c r="L14" i="57" s="1"/>
  <c r="AJ14" i="64"/>
  <c r="AJ14" i="57" s="1"/>
  <c r="AK14" i="64"/>
  <c r="AK14" i="57" s="1"/>
  <c r="N14" i="57"/>
  <c r="R14" i="57"/>
  <c r="Z14" i="57"/>
  <c r="AD14" i="57"/>
  <c r="AH14" i="57"/>
  <c r="AP14" i="57"/>
  <c r="AT14" i="57"/>
  <c r="C14" i="57"/>
  <c r="G14" i="57"/>
  <c r="K14" i="57"/>
  <c r="O14" i="57"/>
  <c r="S14" i="57"/>
  <c r="W14" i="57"/>
  <c r="AA14" i="57"/>
  <c r="AE14" i="57"/>
  <c r="AM14" i="57"/>
  <c r="AQ14" i="57"/>
  <c r="AU14" i="57"/>
  <c r="AO13" i="57"/>
  <c r="AS13" i="57"/>
  <c r="D13" i="57"/>
  <c r="AN13" i="57"/>
  <c r="AR13" i="57"/>
  <c r="C11" i="57"/>
  <c r="G11" i="57"/>
  <c r="K11" i="57"/>
  <c r="O11" i="57"/>
  <c r="S11" i="57"/>
  <c r="W11" i="57"/>
  <c r="AA11" i="57"/>
  <c r="AE11" i="57"/>
  <c r="AI11" i="57"/>
  <c r="AM11" i="57"/>
  <c r="AQ11" i="57"/>
  <c r="AU11" i="57"/>
  <c r="J10" i="57"/>
  <c r="N10" i="57"/>
  <c r="R10" i="57"/>
  <c r="Z10" i="57"/>
  <c r="AD10" i="57"/>
  <c r="AH10" i="57"/>
  <c r="AP10" i="57"/>
  <c r="AT10" i="57"/>
  <c r="C10" i="57"/>
  <c r="G10" i="57"/>
  <c r="K10" i="57"/>
  <c r="O10" i="57"/>
  <c r="S10" i="57"/>
  <c r="W10" i="57"/>
  <c r="AA10" i="57"/>
  <c r="AE10" i="57"/>
  <c r="AI10" i="57"/>
  <c r="AM10" i="57"/>
  <c r="AQ10" i="57"/>
  <c r="AU10" i="57"/>
  <c r="E9" i="57"/>
  <c r="I9" i="57"/>
  <c r="M9" i="57"/>
  <c r="U9" i="57"/>
  <c r="Y9" i="57"/>
  <c r="AC9" i="57"/>
  <c r="AK9" i="57"/>
  <c r="AO9" i="57"/>
  <c r="AS9" i="57"/>
  <c r="D9" i="57"/>
  <c r="H9" i="57"/>
  <c r="L9" i="57"/>
  <c r="P9" i="57"/>
  <c r="T9" i="57"/>
  <c r="X9" i="57"/>
  <c r="AB9" i="57"/>
  <c r="AF9" i="57"/>
  <c r="AJ9" i="57"/>
  <c r="AN9" i="57"/>
  <c r="AR9" i="57"/>
  <c r="AV9" i="57"/>
  <c r="C7" i="57"/>
  <c r="G7" i="57"/>
  <c r="K7" i="57"/>
  <c r="O7" i="57"/>
  <c r="S7" i="57"/>
  <c r="W7" i="57"/>
  <c r="AA7" i="57"/>
  <c r="AE7" i="57"/>
  <c r="AI7" i="57"/>
  <c r="AM7" i="57"/>
  <c r="AQ7" i="57"/>
  <c r="AU7" i="57"/>
  <c r="E5" i="57"/>
  <c r="I5" i="57"/>
  <c r="M5" i="57"/>
  <c r="Q5" i="57"/>
  <c r="U5" i="57"/>
  <c r="Y5" i="57"/>
  <c r="AC5" i="57"/>
  <c r="AG5" i="57"/>
  <c r="AK5" i="57"/>
  <c r="AO5" i="57"/>
  <c r="AS5" i="57"/>
  <c r="A6" i="49"/>
  <c r="A7" i="49" s="1"/>
  <c r="A8" i="49" s="1"/>
  <c r="A9" i="49" s="1"/>
  <c r="A10" i="49" s="1"/>
  <c r="A11" i="49" s="1"/>
  <c r="A12" i="49" s="1"/>
  <c r="A13" i="49" s="1"/>
  <c r="A14" i="49" s="1"/>
  <c r="A15" i="49" s="1"/>
  <c r="A16" i="49" s="1"/>
  <c r="A17" i="49" l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16" i="53"/>
  <c r="B16" i="53" s="1"/>
  <c r="AI14" i="64"/>
  <c r="AI14" i="57" s="1"/>
  <c r="AX29" i="75"/>
  <c r="J14" i="64" l="1"/>
  <c r="J14" i="57" s="1"/>
  <c r="I14" i="64"/>
  <c r="I14" i="57" s="1"/>
  <c r="AX33" i="76"/>
  <c r="AX33" i="64"/>
  <c r="AX33" i="57"/>
  <c r="E35" i="66"/>
  <c r="F35" i="66"/>
  <c r="G35" i="66"/>
  <c r="H35" i="66"/>
  <c r="I35" i="66"/>
  <c r="J35" i="66"/>
  <c r="K35" i="66"/>
  <c r="L35" i="66"/>
  <c r="M35" i="66"/>
  <c r="N35" i="66"/>
  <c r="O35" i="66"/>
  <c r="P35" i="66"/>
  <c r="Q35" i="66"/>
  <c r="R35" i="66"/>
  <c r="S35" i="66"/>
  <c r="T35" i="66"/>
  <c r="U35" i="66"/>
  <c r="V35" i="66"/>
  <c r="W35" i="66"/>
  <c r="X35" i="66"/>
  <c r="Y35" i="66"/>
  <c r="Z35" i="66"/>
  <c r="AA35" i="66"/>
  <c r="AB35" i="66"/>
  <c r="AC35" i="66"/>
  <c r="AD35" i="66"/>
  <c r="AE35" i="66"/>
  <c r="AF35" i="66"/>
  <c r="AG35" i="66"/>
  <c r="AH35" i="66"/>
  <c r="AI35" i="66"/>
  <c r="AJ35" i="66"/>
  <c r="AK35" i="66"/>
  <c r="AL35" i="66"/>
  <c r="AM35" i="66"/>
  <c r="AN35" i="66"/>
  <c r="AO35" i="66"/>
  <c r="AP35" i="66"/>
  <c r="AQ35" i="66"/>
  <c r="AR35" i="66"/>
  <c r="AS35" i="66"/>
  <c r="AT35" i="66"/>
  <c r="AU35" i="66"/>
  <c r="AV35" i="66"/>
  <c r="AW35" i="66"/>
  <c r="AX31" i="75" l="1"/>
  <c r="AX19" i="75" l="1"/>
  <c r="AX8" i="67" l="1"/>
  <c r="AW4" i="57"/>
  <c r="AX5" i="57" l="1"/>
  <c r="AX9" i="57"/>
  <c r="AX6" i="57"/>
  <c r="AX10" i="57"/>
  <c r="AX14" i="57"/>
  <c r="AX18" i="57"/>
  <c r="AX22" i="57"/>
  <c r="AX26" i="57"/>
  <c r="AX30" i="57"/>
  <c r="AX34" i="57"/>
  <c r="AX32" i="57"/>
  <c r="AX24" i="57"/>
  <c r="AX28" i="57"/>
  <c r="AX13" i="57"/>
  <c r="AX17" i="57"/>
  <c r="AX21" i="57"/>
  <c r="AX29" i="57"/>
  <c r="AX25" i="57"/>
  <c r="AX16" i="57"/>
  <c r="AX20" i="57"/>
  <c r="AX12" i="57"/>
  <c r="AX7" i="57"/>
  <c r="AX11" i="57"/>
  <c r="AX15" i="57"/>
  <c r="AX19" i="57"/>
  <c r="AX23" i="57"/>
  <c r="AX27" i="57"/>
  <c r="AX31" i="57"/>
  <c r="AX8" i="57"/>
  <c r="AR4" i="57"/>
  <c r="AN4" i="57"/>
  <c r="AW36" i="77"/>
  <c r="AV36" i="77"/>
  <c r="AU36" i="77"/>
  <c r="AT36" i="77"/>
  <c r="AS36" i="77"/>
  <c r="AR36" i="77"/>
  <c r="AQ36" i="77"/>
  <c r="AP36" i="77"/>
  <c r="AO36" i="77"/>
  <c r="AN36" i="77"/>
  <c r="AM36" i="77"/>
  <c r="AL36" i="77"/>
  <c r="AK36" i="77"/>
  <c r="AJ36" i="77"/>
  <c r="AI36" i="77"/>
  <c r="AH36" i="77"/>
  <c r="AG36" i="77"/>
  <c r="AF36" i="77"/>
  <c r="AE36" i="77"/>
  <c r="AD36" i="77"/>
  <c r="AC36" i="77"/>
  <c r="AB36" i="77"/>
  <c r="AA36" i="77"/>
  <c r="Z36" i="77"/>
  <c r="Y36" i="77"/>
  <c r="X36" i="77"/>
  <c r="W36" i="77"/>
  <c r="V36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BT36" i="77" s="1"/>
  <c r="I36" i="77"/>
  <c r="H36" i="77"/>
  <c r="G36" i="77"/>
  <c r="BH36" i="77" s="1"/>
  <c r="F36" i="77"/>
  <c r="E36" i="77"/>
  <c r="D36" i="77"/>
  <c r="C36" i="77"/>
  <c r="AW35" i="77"/>
  <c r="AV35" i="77"/>
  <c r="AU35" i="77"/>
  <c r="AT35" i="77"/>
  <c r="AS35" i="77"/>
  <c r="AR35" i="77"/>
  <c r="AQ35" i="77"/>
  <c r="AP35" i="77"/>
  <c r="AO35" i="77"/>
  <c r="AN35" i="77"/>
  <c r="AM35" i="77"/>
  <c r="AL35" i="77"/>
  <c r="AK35" i="77"/>
  <c r="AJ35" i="77"/>
  <c r="AI35" i="77"/>
  <c r="AH35" i="77"/>
  <c r="AG35" i="77"/>
  <c r="AF35" i="77"/>
  <c r="AE35" i="77"/>
  <c r="AD35" i="77"/>
  <c r="AC35" i="77"/>
  <c r="AB35" i="77"/>
  <c r="AA35" i="77"/>
  <c r="Z35" i="77"/>
  <c r="Y35" i="77"/>
  <c r="X35" i="77"/>
  <c r="W35" i="77"/>
  <c r="V35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BT35" i="77" s="1"/>
  <c r="I35" i="77"/>
  <c r="H35" i="77"/>
  <c r="G35" i="77"/>
  <c r="BH35" i="77" s="1"/>
  <c r="F35" i="77"/>
  <c r="E35" i="77"/>
  <c r="D35" i="77"/>
  <c r="C35" i="77"/>
  <c r="CG34" i="77"/>
  <c r="CF34" i="77"/>
  <c r="CE34" i="77"/>
  <c r="CD34" i="77"/>
  <c r="CC34" i="77"/>
  <c r="CA34" i="77"/>
  <c r="BZ34" i="77"/>
  <c r="BY34" i="77"/>
  <c r="BX34" i="77"/>
  <c r="BW34" i="77"/>
  <c r="BV34" i="77"/>
  <c r="BT34" i="77"/>
  <c r="BS34" i="77"/>
  <c r="BR34" i="77"/>
  <c r="BP34" i="77"/>
  <c r="BN34" i="77"/>
  <c r="BM34" i="77"/>
  <c r="BL34" i="77"/>
  <c r="BK34" i="77"/>
  <c r="BI34" i="77"/>
  <c r="BH34" i="77"/>
  <c r="BG34" i="77"/>
  <c r="BF34" i="77"/>
  <c r="BE34" i="77"/>
  <c r="BD34" i="77"/>
  <c r="BB34" i="77"/>
  <c r="BA34" i="77"/>
  <c r="AZ34" i="77"/>
  <c r="AX34" i="77"/>
  <c r="CG33" i="77"/>
  <c r="CF33" i="77"/>
  <c r="CE33" i="77"/>
  <c r="CD33" i="77"/>
  <c r="CC33" i="77"/>
  <c r="CA33" i="77"/>
  <c r="BZ33" i="77"/>
  <c r="BY33" i="77"/>
  <c r="BX33" i="77"/>
  <c r="BW33" i="77"/>
  <c r="BV33" i="77"/>
  <c r="BT33" i="77"/>
  <c r="BS33" i="77"/>
  <c r="BR33" i="77"/>
  <c r="BP33" i="77"/>
  <c r="BN33" i="77"/>
  <c r="BM33" i="77"/>
  <c r="BL33" i="77"/>
  <c r="BK33" i="77"/>
  <c r="BI33" i="77"/>
  <c r="BH33" i="77"/>
  <c r="BG33" i="77"/>
  <c r="BF33" i="77"/>
  <c r="BE33" i="77"/>
  <c r="BD33" i="77"/>
  <c r="BB33" i="77"/>
  <c r="BA33" i="77"/>
  <c r="AZ33" i="77"/>
  <c r="AX33" i="77"/>
  <c r="CG32" i="77"/>
  <c r="CF32" i="77"/>
  <c r="CE32" i="77"/>
  <c r="CD32" i="77"/>
  <c r="CC32" i="77"/>
  <c r="CA32" i="77"/>
  <c r="BZ32" i="77"/>
  <c r="BY32" i="77"/>
  <c r="BX32" i="77"/>
  <c r="BW32" i="77"/>
  <c r="BV32" i="77"/>
  <c r="BT32" i="77"/>
  <c r="BS32" i="77"/>
  <c r="BR32" i="77"/>
  <c r="BP32" i="77"/>
  <c r="BN32" i="77"/>
  <c r="BM32" i="77"/>
  <c r="BL32" i="77"/>
  <c r="BK32" i="77"/>
  <c r="BI32" i="77"/>
  <c r="BH32" i="77"/>
  <c r="BG32" i="77"/>
  <c r="BF32" i="77"/>
  <c r="BE32" i="77"/>
  <c r="BD32" i="77"/>
  <c r="BB32" i="77"/>
  <c r="BA32" i="77"/>
  <c r="AZ32" i="77"/>
  <c r="AX32" i="77"/>
  <c r="CG31" i="77"/>
  <c r="CF31" i="77"/>
  <c r="CE31" i="77"/>
  <c r="CD31" i="77"/>
  <c r="CC31" i="77"/>
  <c r="CA31" i="77"/>
  <c r="BZ31" i="77"/>
  <c r="BY31" i="77"/>
  <c r="BX31" i="77"/>
  <c r="BW31" i="77"/>
  <c r="BV31" i="77"/>
  <c r="BT31" i="77"/>
  <c r="BS31" i="77"/>
  <c r="BR31" i="77"/>
  <c r="BP31" i="77"/>
  <c r="BN31" i="77"/>
  <c r="BM31" i="77"/>
  <c r="BL31" i="77"/>
  <c r="BK31" i="77"/>
  <c r="BI31" i="77"/>
  <c r="BH31" i="77"/>
  <c r="BG31" i="77"/>
  <c r="BF31" i="77"/>
  <c r="BE31" i="77"/>
  <c r="BD31" i="77"/>
  <c r="BB31" i="77"/>
  <c r="BA31" i="77"/>
  <c r="AZ31" i="77"/>
  <c r="AX31" i="77"/>
  <c r="CG30" i="77"/>
  <c r="CF30" i="77"/>
  <c r="CE30" i="77"/>
  <c r="CD30" i="77"/>
  <c r="CC30" i="77"/>
  <c r="CA30" i="77"/>
  <c r="BZ30" i="77"/>
  <c r="BY30" i="77"/>
  <c r="BX30" i="77"/>
  <c r="BW30" i="77"/>
  <c r="BV30" i="77"/>
  <c r="BT30" i="77"/>
  <c r="BS30" i="77"/>
  <c r="BR30" i="77"/>
  <c r="BP30" i="77"/>
  <c r="BN30" i="77"/>
  <c r="BM30" i="77"/>
  <c r="BL30" i="77"/>
  <c r="BK30" i="77"/>
  <c r="BI30" i="77"/>
  <c r="BH30" i="77"/>
  <c r="BG30" i="77"/>
  <c r="BF30" i="77"/>
  <c r="BE30" i="77"/>
  <c r="BD30" i="77"/>
  <c r="BB30" i="77"/>
  <c r="BA30" i="77"/>
  <c r="AZ30" i="77"/>
  <c r="AX30" i="77"/>
  <c r="CG29" i="77"/>
  <c r="CF29" i="77"/>
  <c r="CE29" i="77"/>
  <c r="CD29" i="77"/>
  <c r="CC29" i="77"/>
  <c r="CA29" i="77"/>
  <c r="BZ29" i="77"/>
  <c r="BY29" i="77"/>
  <c r="BX29" i="77"/>
  <c r="BW29" i="77"/>
  <c r="BV29" i="77"/>
  <c r="BT29" i="77"/>
  <c r="BS29" i="77"/>
  <c r="BR29" i="77"/>
  <c r="BP29" i="77"/>
  <c r="BN29" i="77"/>
  <c r="BM29" i="77"/>
  <c r="BL29" i="77"/>
  <c r="BK29" i="77"/>
  <c r="BI29" i="77"/>
  <c r="BH29" i="77"/>
  <c r="BG29" i="77"/>
  <c r="BF29" i="77"/>
  <c r="BE29" i="77"/>
  <c r="BD29" i="77"/>
  <c r="BB29" i="77"/>
  <c r="BA29" i="77"/>
  <c r="AZ29" i="77"/>
  <c r="AX29" i="77"/>
  <c r="CG28" i="77"/>
  <c r="CF28" i="77"/>
  <c r="CE28" i="77"/>
  <c r="CD28" i="77"/>
  <c r="CC28" i="77"/>
  <c r="CA28" i="77"/>
  <c r="BZ28" i="77"/>
  <c r="BY28" i="77"/>
  <c r="BX28" i="77"/>
  <c r="BW28" i="77"/>
  <c r="BV28" i="77"/>
  <c r="BT28" i="77"/>
  <c r="BS28" i="77"/>
  <c r="BR28" i="77"/>
  <c r="BP28" i="77"/>
  <c r="BN28" i="77"/>
  <c r="BM28" i="77"/>
  <c r="BL28" i="77"/>
  <c r="BK28" i="77"/>
  <c r="BI28" i="77"/>
  <c r="BH28" i="77"/>
  <c r="BG28" i="77"/>
  <c r="BF28" i="77"/>
  <c r="BE28" i="77"/>
  <c r="BD28" i="77"/>
  <c r="BB28" i="77"/>
  <c r="BA28" i="77"/>
  <c r="AZ28" i="77"/>
  <c r="AX28" i="77"/>
  <c r="CG27" i="77"/>
  <c r="CF27" i="77"/>
  <c r="CE27" i="77"/>
  <c r="CD27" i="77"/>
  <c r="CC27" i="77"/>
  <c r="CA27" i="77"/>
  <c r="BZ27" i="77"/>
  <c r="BY27" i="77"/>
  <c r="BX27" i="77"/>
  <c r="BW27" i="77"/>
  <c r="BV27" i="77"/>
  <c r="BT27" i="77"/>
  <c r="BS27" i="77"/>
  <c r="BR27" i="77"/>
  <c r="BP27" i="77"/>
  <c r="BN27" i="77"/>
  <c r="BM27" i="77"/>
  <c r="BL27" i="77"/>
  <c r="BK27" i="77"/>
  <c r="BI27" i="77"/>
  <c r="BH27" i="77"/>
  <c r="BG27" i="77"/>
  <c r="BF27" i="77"/>
  <c r="BE27" i="77"/>
  <c r="BD27" i="77"/>
  <c r="BB27" i="77"/>
  <c r="BA27" i="77"/>
  <c r="AZ27" i="77"/>
  <c r="AX27" i="77"/>
  <c r="CG26" i="77"/>
  <c r="CF26" i="77"/>
  <c r="CE26" i="77"/>
  <c r="CD26" i="77"/>
  <c r="CC26" i="77"/>
  <c r="CA26" i="77"/>
  <c r="BZ26" i="77"/>
  <c r="BY26" i="77"/>
  <c r="BX26" i="77"/>
  <c r="BW26" i="77"/>
  <c r="BV26" i="77"/>
  <c r="BT26" i="77"/>
  <c r="BS26" i="77"/>
  <c r="BR26" i="77"/>
  <c r="BP26" i="77"/>
  <c r="BN26" i="77"/>
  <c r="BM26" i="77"/>
  <c r="BL26" i="77"/>
  <c r="BK26" i="77"/>
  <c r="BI26" i="77"/>
  <c r="BH26" i="77"/>
  <c r="BG26" i="77"/>
  <c r="BF26" i="77"/>
  <c r="BE26" i="77"/>
  <c r="BD26" i="77"/>
  <c r="BB26" i="77"/>
  <c r="BA26" i="77"/>
  <c r="AZ26" i="77"/>
  <c r="AX26" i="77"/>
  <c r="CG25" i="77"/>
  <c r="CF25" i="77"/>
  <c r="CE25" i="77"/>
  <c r="CD25" i="77"/>
  <c r="CC25" i="77"/>
  <c r="CA25" i="77"/>
  <c r="BZ25" i="77"/>
  <c r="BY25" i="77"/>
  <c r="BX25" i="77"/>
  <c r="BW25" i="77"/>
  <c r="BV25" i="77"/>
  <c r="BT25" i="77"/>
  <c r="BS25" i="77"/>
  <c r="BR25" i="77"/>
  <c r="BP25" i="77"/>
  <c r="BN25" i="77"/>
  <c r="BM25" i="77"/>
  <c r="BL25" i="77"/>
  <c r="BK25" i="77"/>
  <c r="BI25" i="77"/>
  <c r="BH25" i="77"/>
  <c r="BG25" i="77"/>
  <c r="BF25" i="77"/>
  <c r="BE25" i="77"/>
  <c r="BD25" i="77"/>
  <c r="BB25" i="77"/>
  <c r="BA25" i="77"/>
  <c r="AZ25" i="77"/>
  <c r="AX25" i="77"/>
  <c r="CG24" i="77"/>
  <c r="CF24" i="77"/>
  <c r="CE24" i="77"/>
  <c r="CD24" i="77"/>
  <c r="CC24" i="77"/>
  <c r="CA24" i="77"/>
  <c r="BZ24" i="77"/>
  <c r="BY24" i="77"/>
  <c r="BX24" i="77"/>
  <c r="BW24" i="77"/>
  <c r="BV24" i="77"/>
  <c r="BT24" i="77"/>
  <c r="BS24" i="77"/>
  <c r="BR24" i="77"/>
  <c r="BP24" i="77"/>
  <c r="BN24" i="77"/>
  <c r="BM24" i="77"/>
  <c r="BL24" i="77"/>
  <c r="BK24" i="77"/>
  <c r="BI24" i="77"/>
  <c r="BH24" i="77"/>
  <c r="BG24" i="77"/>
  <c r="BF24" i="77"/>
  <c r="BE24" i="77"/>
  <c r="BD24" i="77"/>
  <c r="BB24" i="77"/>
  <c r="BA24" i="77"/>
  <c r="AZ24" i="77"/>
  <c r="AX24" i="77"/>
  <c r="CG23" i="77"/>
  <c r="CF23" i="77"/>
  <c r="CE23" i="77"/>
  <c r="CD23" i="77"/>
  <c r="CC23" i="77"/>
  <c r="CA23" i="77"/>
  <c r="BZ23" i="77"/>
  <c r="BY23" i="77"/>
  <c r="BX23" i="77"/>
  <c r="BW23" i="77"/>
  <c r="BV23" i="77"/>
  <c r="BT23" i="77"/>
  <c r="BS23" i="77"/>
  <c r="BR23" i="77"/>
  <c r="BP23" i="77"/>
  <c r="BN23" i="77"/>
  <c r="BM23" i="77"/>
  <c r="BL23" i="77"/>
  <c r="BK23" i="77"/>
  <c r="BI23" i="77"/>
  <c r="BH23" i="77"/>
  <c r="BG23" i="77"/>
  <c r="BF23" i="77"/>
  <c r="BE23" i="77"/>
  <c r="BD23" i="77"/>
  <c r="BB23" i="77"/>
  <c r="BA23" i="77"/>
  <c r="AZ23" i="77"/>
  <c r="AX23" i="77"/>
  <c r="CG22" i="77"/>
  <c r="CF22" i="77"/>
  <c r="CE22" i="77"/>
  <c r="CD22" i="77"/>
  <c r="CC22" i="77"/>
  <c r="CA22" i="77"/>
  <c r="BZ22" i="77"/>
  <c r="BY22" i="77"/>
  <c r="BX22" i="77"/>
  <c r="BW22" i="77"/>
  <c r="BV22" i="77"/>
  <c r="BT22" i="77"/>
  <c r="BS22" i="77"/>
  <c r="BR22" i="77"/>
  <c r="BP22" i="77"/>
  <c r="BN22" i="77"/>
  <c r="BM22" i="77"/>
  <c r="BL22" i="77"/>
  <c r="BK22" i="77"/>
  <c r="BI22" i="77"/>
  <c r="BH22" i="77"/>
  <c r="BG22" i="77"/>
  <c r="BF22" i="77"/>
  <c r="BE22" i="77"/>
  <c r="BD22" i="77"/>
  <c r="BB22" i="77"/>
  <c r="BA22" i="77"/>
  <c r="AZ22" i="77"/>
  <c r="AX22" i="77"/>
  <c r="CG21" i="77"/>
  <c r="CF21" i="77"/>
  <c r="CE21" i="77"/>
  <c r="CD21" i="77"/>
  <c r="CC21" i="77"/>
  <c r="CA21" i="77"/>
  <c r="BZ21" i="77"/>
  <c r="BY21" i="77"/>
  <c r="BX21" i="77"/>
  <c r="BW21" i="77"/>
  <c r="BV21" i="77"/>
  <c r="BT21" i="77"/>
  <c r="BS21" i="77"/>
  <c r="BR21" i="77"/>
  <c r="BP21" i="77"/>
  <c r="BN21" i="77"/>
  <c r="BM21" i="77"/>
  <c r="BL21" i="77"/>
  <c r="BK21" i="77"/>
  <c r="BI21" i="77"/>
  <c r="BH21" i="77"/>
  <c r="BG21" i="77"/>
  <c r="BF21" i="77"/>
  <c r="BE21" i="77"/>
  <c r="BD21" i="77"/>
  <c r="BB21" i="77"/>
  <c r="BA21" i="77"/>
  <c r="AZ21" i="77"/>
  <c r="AX21" i="77"/>
  <c r="CG20" i="77"/>
  <c r="CF20" i="77"/>
  <c r="CE20" i="77"/>
  <c r="CD20" i="77"/>
  <c r="CC20" i="77"/>
  <c r="CA20" i="77"/>
  <c r="BZ20" i="77"/>
  <c r="BY20" i="77"/>
  <c r="BX20" i="77"/>
  <c r="BW20" i="77"/>
  <c r="BV20" i="77"/>
  <c r="BT20" i="77"/>
  <c r="BS20" i="77"/>
  <c r="BR20" i="77"/>
  <c r="BP20" i="77"/>
  <c r="BN20" i="77"/>
  <c r="BM20" i="77"/>
  <c r="BL20" i="77"/>
  <c r="BK20" i="77"/>
  <c r="BI20" i="77"/>
  <c r="BH20" i="77"/>
  <c r="BG20" i="77"/>
  <c r="BF20" i="77"/>
  <c r="BE20" i="77"/>
  <c r="BD20" i="77"/>
  <c r="BB20" i="77"/>
  <c r="BA20" i="77"/>
  <c r="AZ20" i="77"/>
  <c r="AX20" i="77"/>
  <c r="CG19" i="77"/>
  <c r="CF19" i="77"/>
  <c r="CE19" i="77"/>
  <c r="CD19" i="77"/>
  <c r="CC19" i="77"/>
  <c r="CA19" i="77"/>
  <c r="BZ19" i="77"/>
  <c r="BY19" i="77"/>
  <c r="BX19" i="77"/>
  <c r="BW19" i="77"/>
  <c r="BV19" i="77"/>
  <c r="BT19" i="77"/>
  <c r="BS19" i="77"/>
  <c r="BR19" i="77"/>
  <c r="BP19" i="77"/>
  <c r="BN19" i="77"/>
  <c r="BM19" i="77"/>
  <c r="BL19" i="77"/>
  <c r="BK19" i="77"/>
  <c r="BI19" i="77"/>
  <c r="BH19" i="77"/>
  <c r="BG19" i="77"/>
  <c r="BF19" i="77"/>
  <c r="BE19" i="77"/>
  <c r="BD19" i="77"/>
  <c r="BB19" i="77"/>
  <c r="BA19" i="77"/>
  <c r="AZ19" i="77"/>
  <c r="AX19" i="77"/>
  <c r="CG18" i="77"/>
  <c r="CF18" i="77"/>
  <c r="CE18" i="77"/>
  <c r="CD18" i="77"/>
  <c r="CC18" i="77"/>
  <c r="CA18" i="77"/>
  <c r="BZ18" i="77"/>
  <c r="BY18" i="77"/>
  <c r="BX18" i="77"/>
  <c r="BW18" i="77"/>
  <c r="BV18" i="77"/>
  <c r="BT18" i="77"/>
  <c r="BS18" i="77"/>
  <c r="BR18" i="77"/>
  <c r="BP18" i="77"/>
  <c r="BN18" i="77"/>
  <c r="BM18" i="77"/>
  <c r="BL18" i="77"/>
  <c r="BK18" i="77"/>
  <c r="BI18" i="77"/>
  <c r="BH18" i="77"/>
  <c r="BG18" i="77"/>
  <c r="BF18" i="77"/>
  <c r="BE18" i="77"/>
  <c r="BD18" i="77"/>
  <c r="BB18" i="77"/>
  <c r="BA18" i="77"/>
  <c r="AZ18" i="77"/>
  <c r="AX18" i="77"/>
  <c r="CG17" i="77"/>
  <c r="CF17" i="77"/>
  <c r="CE17" i="77"/>
  <c r="CD17" i="77"/>
  <c r="CC17" i="77"/>
  <c r="CA17" i="77"/>
  <c r="BZ17" i="77"/>
  <c r="BY17" i="77"/>
  <c r="BX17" i="77"/>
  <c r="BW17" i="77"/>
  <c r="BV17" i="77"/>
  <c r="BT17" i="77"/>
  <c r="BS17" i="77"/>
  <c r="BR17" i="77"/>
  <c r="BP17" i="77"/>
  <c r="BN17" i="77"/>
  <c r="BM17" i="77"/>
  <c r="BL17" i="77"/>
  <c r="BK17" i="77"/>
  <c r="BI17" i="77"/>
  <c r="BH17" i="77"/>
  <c r="BG17" i="77"/>
  <c r="BF17" i="77"/>
  <c r="BE17" i="77"/>
  <c r="BD17" i="77"/>
  <c r="BB17" i="77"/>
  <c r="BA17" i="77"/>
  <c r="AZ17" i="77"/>
  <c r="AX17" i="77"/>
  <c r="CG16" i="77"/>
  <c r="CF16" i="77"/>
  <c r="CE16" i="77"/>
  <c r="CD16" i="77"/>
  <c r="CC16" i="77"/>
  <c r="CA16" i="77"/>
  <c r="BZ16" i="77"/>
  <c r="BY16" i="77"/>
  <c r="BX16" i="77"/>
  <c r="BW16" i="77"/>
  <c r="BV16" i="77"/>
  <c r="BT16" i="77"/>
  <c r="BS16" i="77"/>
  <c r="BR16" i="77"/>
  <c r="BP16" i="77"/>
  <c r="BN16" i="77"/>
  <c r="BM16" i="77"/>
  <c r="BL16" i="77"/>
  <c r="BK16" i="77"/>
  <c r="BI16" i="77"/>
  <c r="BH16" i="77"/>
  <c r="BG16" i="77"/>
  <c r="BF16" i="77"/>
  <c r="BE16" i="77"/>
  <c r="BD16" i="77"/>
  <c r="BB16" i="77"/>
  <c r="BA16" i="77"/>
  <c r="AZ16" i="77"/>
  <c r="AX16" i="77"/>
  <c r="CG15" i="77"/>
  <c r="CF15" i="77"/>
  <c r="CE15" i="77"/>
  <c r="CD15" i="77"/>
  <c r="CC15" i="77"/>
  <c r="CA15" i="77"/>
  <c r="BZ15" i="77"/>
  <c r="BY15" i="77"/>
  <c r="BX15" i="77"/>
  <c r="BW15" i="77"/>
  <c r="BV15" i="77"/>
  <c r="BT15" i="77"/>
  <c r="BS15" i="77"/>
  <c r="BR15" i="77"/>
  <c r="BP15" i="77"/>
  <c r="BN15" i="77"/>
  <c r="BM15" i="77"/>
  <c r="BL15" i="77"/>
  <c r="BK15" i="77"/>
  <c r="BI15" i="77"/>
  <c r="BH15" i="77"/>
  <c r="BG15" i="77"/>
  <c r="BF15" i="77"/>
  <c r="BE15" i="77"/>
  <c r="BD15" i="77"/>
  <c r="BB15" i="77"/>
  <c r="BA15" i="77"/>
  <c r="AZ15" i="77"/>
  <c r="AX15" i="77"/>
  <c r="CG14" i="77"/>
  <c r="CF14" i="77"/>
  <c r="CE14" i="77"/>
  <c r="CD14" i="77"/>
  <c r="CC14" i="77"/>
  <c r="CA14" i="77"/>
  <c r="BZ14" i="77"/>
  <c r="BY14" i="77"/>
  <c r="BX14" i="77"/>
  <c r="BW14" i="77"/>
  <c r="BV14" i="77"/>
  <c r="BT14" i="77"/>
  <c r="BS14" i="77"/>
  <c r="BR14" i="77"/>
  <c r="BP14" i="77"/>
  <c r="BN14" i="77"/>
  <c r="BM14" i="77"/>
  <c r="BL14" i="77"/>
  <c r="BK14" i="77"/>
  <c r="BI14" i="77"/>
  <c r="BH14" i="77"/>
  <c r="BG14" i="77"/>
  <c r="BF14" i="77"/>
  <c r="BE14" i="77"/>
  <c r="BD14" i="77"/>
  <c r="BB14" i="77"/>
  <c r="BA14" i="77"/>
  <c r="AZ14" i="77"/>
  <c r="AX14" i="77"/>
  <c r="CG13" i="77"/>
  <c r="CF13" i="77"/>
  <c r="CE13" i="77"/>
  <c r="CD13" i="77"/>
  <c r="CC13" i="77"/>
  <c r="CA13" i="77"/>
  <c r="BZ13" i="77"/>
  <c r="BY13" i="77"/>
  <c r="BX13" i="77"/>
  <c r="BW13" i="77"/>
  <c r="BV13" i="77"/>
  <c r="BT13" i="77"/>
  <c r="BS13" i="77"/>
  <c r="BR13" i="77"/>
  <c r="BP13" i="77"/>
  <c r="BN13" i="77"/>
  <c r="BM13" i="77"/>
  <c r="BL13" i="77"/>
  <c r="BK13" i="77"/>
  <c r="BI13" i="77"/>
  <c r="BH13" i="77"/>
  <c r="BG13" i="77"/>
  <c r="BF13" i="77"/>
  <c r="BE13" i="77"/>
  <c r="BD13" i="77"/>
  <c r="BB13" i="77"/>
  <c r="BA13" i="77"/>
  <c r="AZ13" i="77"/>
  <c r="AX13" i="77"/>
  <c r="CG12" i="77"/>
  <c r="CF12" i="77"/>
  <c r="CE12" i="77"/>
  <c r="CD12" i="77"/>
  <c r="CC12" i="77"/>
  <c r="CA12" i="77"/>
  <c r="BZ12" i="77"/>
  <c r="BY12" i="77"/>
  <c r="BX12" i="77"/>
  <c r="BW12" i="77"/>
  <c r="BV12" i="77"/>
  <c r="BT12" i="77"/>
  <c r="BS12" i="77"/>
  <c r="BR12" i="77"/>
  <c r="BP12" i="77"/>
  <c r="BN12" i="77"/>
  <c r="BM12" i="77"/>
  <c r="BL12" i="77"/>
  <c r="BK12" i="77"/>
  <c r="BI12" i="77"/>
  <c r="BH12" i="77"/>
  <c r="BG12" i="77"/>
  <c r="BF12" i="77"/>
  <c r="BE12" i="77"/>
  <c r="BD12" i="77"/>
  <c r="BB12" i="77"/>
  <c r="BA12" i="77"/>
  <c r="AZ12" i="77"/>
  <c r="AX12" i="77"/>
  <c r="CG11" i="77"/>
  <c r="CF11" i="77"/>
  <c r="CE11" i="77"/>
  <c r="CD11" i="77"/>
  <c r="CC11" i="77"/>
  <c r="CA11" i="77"/>
  <c r="BZ11" i="77"/>
  <c r="BY11" i="77"/>
  <c r="BX11" i="77"/>
  <c r="BW11" i="77"/>
  <c r="BV11" i="77"/>
  <c r="BT11" i="77"/>
  <c r="BS11" i="77"/>
  <c r="BR11" i="77"/>
  <c r="BP11" i="77"/>
  <c r="BN11" i="77"/>
  <c r="BM11" i="77"/>
  <c r="BL11" i="77"/>
  <c r="BK11" i="77"/>
  <c r="BI11" i="77"/>
  <c r="BH11" i="77"/>
  <c r="BG11" i="77"/>
  <c r="BF11" i="77"/>
  <c r="BE11" i="77"/>
  <c r="BD11" i="77"/>
  <c r="BB11" i="77"/>
  <c r="BA11" i="77"/>
  <c r="AZ11" i="77"/>
  <c r="AX11" i="77"/>
  <c r="CG10" i="77"/>
  <c r="CF10" i="77"/>
  <c r="CE10" i="77"/>
  <c r="CD10" i="77"/>
  <c r="CC10" i="77"/>
  <c r="CA10" i="77"/>
  <c r="BZ10" i="77"/>
  <c r="BY10" i="77"/>
  <c r="BX10" i="77"/>
  <c r="BW10" i="77"/>
  <c r="BV10" i="77"/>
  <c r="BT10" i="77"/>
  <c r="BS10" i="77"/>
  <c r="BR10" i="77"/>
  <c r="BP10" i="77"/>
  <c r="BN10" i="77"/>
  <c r="BM10" i="77"/>
  <c r="BL10" i="77"/>
  <c r="BK10" i="77"/>
  <c r="BI10" i="77"/>
  <c r="BH10" i="77"/>
  <c r="BG10" i="77"/>
  <c r="BF10" i="77"/>
  <c r="BE10" i="77"/>
  <c r="BD10" i="77"/>
  <c r="BB10" i="77"/>
  <c r="BA10" i="77"/>
  <c r="AZ10" i="77"/>
  <c r="AX10" i="77"/>
  <c r="CG9" i="77"/>
  <c r="CF9" i="77"/>
  <c r="CE9" i="77"/>
  <c r="CD9" i="77"/>
  <c r="CC9" i="77"/>
  <c r="CA9" i="77"/>
  <c r="BZ9" i="77"/>
  <c r="BY9" i="77"/>
  <c r="BX9" i="77"/>
  <c r="BW9" i="77"/>
  <c r="BV9" i="77"/>
  <c r="BT9" i="77"/>
  <c r="BS9" i="77"/>
  <c r="BR9" i="77"/>
  <c r="BP9" i="77"/>
  <c r="BN9" i="77"/>
  <c r="BM9" i="77"/>
  <c r="BL9" i="77"/>
  <c r="BK9" i="77"/>
  <c r="BI9" i="77"/>
  <c r="BH9" i="77"/>
  <c r="BG9" i="77"/>
  <c r="BF9" i="77"/>
  <c r="BE9" i="77"/>
  <c r="BD9" i="77"/>
  <c r="BB9" i="77"/>
  <c r="BA9" i="77"/>
  <c r="AZ9" i="77"/>
  <c r="AX9" i="77"/>
  <c r="CG8" i="77"/>
  <c r="CF8" i="77"/>
  <c r="CE8" i="77"/>
  <c r="CD8" i="77"/>
  <c r="CC8" i="77"/>
  <c r="CA8" i="77"/>
  <c r="BZ8" i="77"/>
  <c r="BY8" i="77"/>
  <c r="BX8" i="77"/>
  <c r="BW8" i="77"/>
  <c r="BV8" i="77"/>
  <c r="BT8" i="77"/>
  <c r="BS8" i="77"/>
  <c r="BR8" i="77"/>
  <c r="BP8" i="77"/>
  <c r="BN8" i="77"/>
  <c r="BM8" i="77"/>
  <c r="BL8" i="77"/>
  <c r="BK8" i="77"/>
  <c r="BI8" i="77"/>
  <c r="BH8" i="77"/>
  <c r="BG8" i="77"/>
  <c r="BF8" i="77"/>
  <c r="BE8" i="77"/>
  <c r="BD8" i="77"/>
  <c r="BB8" i="77"/>
  <c r="BA8" i="77"/>
  <c r="AZ8" i="77"/>
  <c r="AX8" i="77"/>
  <c r="CG7" i="77"/>
  <c r="CF7" i="77"/>
  <c r="CE7" i="77"/>
  <c r="CD7" i="77"/>
  <c r="CC7" i="77"/>
  <c r="CA7" i="77"/>
  <c r="BZ7" i="77"/>
  <c r="BY7" i="77"/>
  <c r="BX7" i="77"/>
  <c r="BW7" i="77"/>
  <c r="BV7" i="77"/>
  <c r="BT7" i="77"/>
  <c r="BS7" i="77"/>
  <c r="BR7" i="77"/>
  <c r="BP7" i="77"/>
  <c r="BN7" i="77"/>
  <c r="BM7" i="77"/>
  <c r="BL7" i="77"/>
  <c r="BK7" i="77"/>
  <c r="BI7" i="77"/>
  <c r="BH7" i="77"/>
  <c r="BG7" i="77"/>
  <c r="BF7" i="77"/>
  <c r="BE7" i="77"/>
  <c r="BD7" i="77"/>
  <c r="BB7" i="77"/>
  <c r="BA7" i="77"/>
  <c r="AZ7" i="77"/>
  <c r="AX7" i="77"/>
  <c r="CG6" i="77"/>
  <c r="CF6" i="77"/>
  <c r="CE6" i="77"/>
  <c r="CD6" i="77"/>
  <c r="CC6" i="77"/>
  <c r="CA6" i="77"/>
  <c r="BZ6" i="77"/>
  <c r="BY6" i="77"/>
  <c r="BX6" i="77"/>
  <c r="BW6" i="77"/>
  <c r="BV6" i="77"/>
  <c r="BT6" i="77"/>
  <c r="BS6" i="77"/>
  <c r="BR6" i="77"/>
  <c r="BP6" i="77"/>
  <c r="BN6" i="77"/>
  <c r="BM6" i="77"/>
  <c r="BL6" i="77"/>
  <c r="BK6" i="77"/>
  <c r="BI6" i="77"/>
  <c r="BH6" i="77"/>
  <c r="BG6" i="77"/>
  <c r="BF6" i="77"/>
  <c r="BE6" i="77"/>
  <c r="BD6" i="77"/>
  <c r="BB6" i="77"/>
  <c r="BA6" i="77"/>
  <c r="AZ6" i="77"/>
  <c r="AX6" i="77"/>
  <c r="CG5" i="77"/>
  <c r="CF5" i="77"/>
  <c r="CE5" i="77"/>
  <c r="CD5" i="77"/>
  <c r="CC5" i="77"/>
  <c r="CA5" i="77"/>
  <c r="BZ5" i="77"/>
  <c r="BY5" i="77"/>
  <c r="BX5" i="77"/>
  <c r="BW5" i="77"/>
  <c r="BV5" i="77"/>
  <c r="BT5" i="77"/>
  <c r="BS5" i="77"/>
  <c r="BR5" i="77"/>
  <c r="BP5" i="77"/>
  <c r="BN5" i="77"/>
  <c r="BM5" i="77"/>
  <c r="BL5" i="77"/>
  <c r="BK5" i="77"/>
  <c r="BI5" i="77"/>
  <c r="BH5" i="77"/>
  <c r="BG5" i="77"/>
  <c r="BF5" i="77"/>
  <c r="BE5" i="77"/>
  <c r="BD5" i="77"/>
  <c r="BB5" i="77"/>
  <c r="BA5" i="77"/>
  <c r="AZ5" i="77"/>
  <c r="AX5" i="77"/>
  <c r="CG4" i="77"/>
  <c r="CF4" i="77"/>
  <c r="CE4" i="77"/>
  <c r="CD4" i="77"/>
  <c r="CC4" i="77"/>
  <c r="CA4" i="77"/>
  <c r="BZ4" i="77"/>
  <c r="BY4" i="77"/>
  <c r="BX4" i="77"/>
  <c r="BW4" i="77"/>
  <c r="BV4" i="77"/>
  <c r="BT4" i="77"/>
  <c r="BS4" i="77"/>
  <c r="BR4" i="77"/>
  <c r="BP4" i="77"/>
  <c r="BN4" i="77"/>
  <c r="BM4" i="77"/>
  <c r="BL4" i="77"/>
  <c r="BK4" i="77"/>
  <c r="BI4" i="77"/>
  <c r="BH4" i="77"/>
  <c r="BG4" i="77"/>
  <c r="BF4" i="77"/>
  <c r="BE4" i="77"/>
  <c r="BD4" i="77"/>
  <c r="BB4" i="77"/>
  <c r="BA4" i="77"/>
  <c r="AZ4" i="77"/>
  <c r="AX4" i="77"/>
  <c r="A4" i="77"/>
  <c r="A5" i="77" s="1"/>
  <c r="AX4" i="57" l="1"/>
  <c r="AP4" i="57"/>
  <c r="AQ4" i="57"/>
  <c r="BS36" i="77"/>
  <c r="AO4" i="57"/>
  <c r="AS4" i="57"/>
  <c r="BN35" i="77"/>
  <c r="BF36" i="77"/>
  <c r="CC36" i="77"/>
  <c r="CD36" i="77"/>
  <c r="B4" i="77"/>
  <c r="AL4" i="57"/>
  <c r="CE35" i="77"/>
  <c r="BF35" i="77"/>
  <c r="BS35" i="77"/>
  <c r="CC35" i="77"/>
  <c r="CD35" i="77"/>
  <c r="BI36" i="77"/>
  <c r="BA36" i="77"/>
  <c r="BY36" i="77"/>
  <c r="BM35" i="77"/>
  <c r="CF35" i="77"/>
  <c r="BI35" i="77"/>
  <c r="BY35" i="77"/>
  <c r="BM36" i="77"/>
  <c r="CF36" i="77"/>
  <c r="BK36" i="77"/>
  <c r="BA35" i="77"/>
  <c r="CG35" i="77"/>
  <c r="AZ35" i="77"/>
  <c r="BK35" i="77"/>
  <c r="CG36" i="77"/>
  <c r="AZ36" i="77"/>
  <c r="BN36" i="77"/>
  <c r="B5" i="77"/>
  <c r="A6" i="77"/>
  <c r="BE36" i="77"/>
  <c r="BV35" i="77"/>
  <c r="BV36" i="77"/>
  <c r="CE36" i="77"/>
  <c r="BB35" i="77"/>
  <c r="BG35" i="77"/>
  <c r="BL35" i="77"/>
  <c r="BR35" i="77"/>
  <c r="BW35" i="77"/>
  <c r="CA35" i="77"/>
  <c r="BB36" i="77"/>
  <c r="BG36" i="77"/>
  <c r="BL36" i="77"/>
  <c r="BR36" i="77"/>
  <c r="BW36" i="77"/>
  <c r="CA36" i="77"/>
  <c r="BE35" i="77"/>
  <c r="BP35" i="77"/>
  <c r="BZ35" i="77"/>
  <c r="BP36" i="77"/>
  <c r="BZ36" i="77"/>
  <c r="AX35" i="77"/>
  <c r="BD35" i="77"/>
  <c r="BX35" i="77"/>
  <c r="AX36" i="77"/>
  <c r="BD36" i="77"/>
  <c r="BX36" i="77"/>
  <c r="BH34" i="76"/>
  <c r="CD32" i="76"/>
  <c r="CC32" i="76"/>
  <c r="CD31" i="76"/>
  <c r="BH31" i="76"/>
  <c r="BH30" i="76"/>
  <c r="CD28" i="76"/>
  <c r="CD27" i="76"/>
  <c r="BH27" i="76"/>
  <c r="BH26" i="76"/>
  <c r="CD24" i="76"/>
  <c r="BS24" i="76"/>
  <c r="CD23" i="76"/>
  <c r="CE23" i="76"/>
  <c r="BH23" i="76"/>
  <c r="CE22" i="76"/>
  <c r="AX22" i="76"/>
  <c r="AX21" i="76"/>
  <c r="BG20" i="76"/>
  <c r="AX20" i="76"/>
  <c r="BR20" i="76"/>
  <c r="BG19" i="76"/>
  <c r="AX19" i="76"/>
  <c r="BR19" i="76"/>
  <c r="BE19" i="76"/>
  <c r="BG18" i="76"/>
  <c r="AX18" i="76"/>
  <c r="AX17" i="76"/>
  <c r="BG16" i="76"/>
  <c r="AX16" i="76"/>
  <c r="BR16" i="76"/>
  <c r="BG15" i="76"/>
  <c r="AX15" i="76"/>
  <c r="BR15" i="76"/>
  <c r="BE15" i="76"/>
  <c r="BG14" i="76"/>
  <c r="AX14" i="76"/>
  <c r="AX13" i="76"/>
  <c r="BG12" i="76"/>
  <c r="AX12" i="76"/>
  <c r="BR12" i="76"/>
  <c r="BG11" i="76"/>
  <c r="AX11" i="76"/>
  <c r="BR11" i="76"/>
  <c r="BE11" i="76"/>
  <c r="BG10" i="76"/>
  <c r="AX10" i="76"/>
  <c r="AX9" i="76"/>
  <c r="BG8" i="76"/>
  <c r="AX8" i="76"/>
  <c r="BR8" i="76"/>
  <c r="BG7" i="76"/>
  <c r="AX7" i="76"/>
  <c r="BR7" i="76"/>
  <c r="C36" i="76"/>
  <c r="BG6" i="76"/>
  <c r="AX6" i="76"/>
  <c r="BW6" i="76"/>
  <c r="AX5" i="76"/>
  <c r="AM4" i="57"/>
  <c r="AL36" i="76"/>
  <c r="AW36" i="76"/>
  <c r="AT35" i="76"/>
  <c r="AH35" i="76"/>
  <c r="AE35" i="76"/>
  <c r="AD35" i="76"/>
  <c r="Z35" i="76"/>
  <c r="Y36" i="76"/>
  <c r="V35" i="76"/>
  <c r="S36" i="76"/>
  <c r="R35" i="76"/>
  <c r="N35" i="76"/>
  <c r="M36" i="76"/>
  <c r="L36" i="76"/>
  <c r="K4" i="57"/>
  <c r="BY4" i="57" s="1"/>
  <c r="J35" i="76"/>
  <c r="I36" i="76"/>
  <c r="BE4" i="76"/>
  <c r="F35" i="76"/>
  <c r="D4" i="57"/>
  <c r="AV36" i="76"/>
  <c r="AS36" i="76"/>
  <c r="AP36" i="76"/>
  <c r="AO36" i="76"/>
  <c r="AS35" i="76"/>
  <c r="AP35" i="76"/>
  <c r="AO35" i="76"/>
  <c r="AI35" i="76"/>
  <c r="CG34" i="76"/>
  <c r="CF34" i="76"/>
  <c r="CD34" i="76"/>
  <c r="CC34" i="76"/>
  <c r="BY34" i="76"/>
  <c r="BX34" i="76"/>
  <c r="BT34" i="76"/>
  <c r="BS34" i="76"/>
  <c r="BN34" i="76"/>
  <c r="BM34" i="76"/>
  <c r="BL34" i="76"/>
  <c r="BK34" i="76"/>
  <c r="BI34" i="76"/>
  <c r="BF34" i="76"/>
  <c r="BE34" i="76"/>
  <c r="BD34" i="76"/>
  <c r="BB34" i="76"/>
  <c r="BA34" i="76"/>
  <c r="AZ34" i="76"/>
  <c r="CG33" i="76"/>
  <c r="CF33" i="76"/>
  <c r="CD33" i="76"/>
  <c r="CC33" i="76"/>
  <c r="BY33" i="76"/>
  <c r="BX33" i="76"/>
  <c r="BT33" i="76"/>
  <c r="BS33" i="76"/>
  <c r="BN33" i="76"/>
  <c r="BM33" i="76"/>
  <c r="BL33" i="76"/>
  <c r="BK33" i="76"/>
  <c r="BI33" i="76"/>
  <c r="BH33" i="76"/>
  <c r="BF33" i="76"/>
  <c r="BE33" i="76"/>
  <c r="BD33" i="76"/>
  <c r="BB33" i="76"/>
  <c r="BA33" i="76"/>
  <c r="AZ33" i="76"/>
  <c r="CG32" i="76"/>
  <c r="CF32" i="76"/>
  <c r="BY32" i="76"/>
  <c r="BT32" i="76"/>
  <c r="BN32" i="76"/>
  <c r="BM32" i="76"/>
  <c r="BL32" i="76"/>
  <c r="BK32" i="76"/>
  <c r="BI32" i="76"/>
  <c r="BH32" i="76"/>
  <c r="BF32" i="76"/>
  <c r="BE32" i="76"/>
  <c r="BD32" i="76"/>
  <c r="BB32" i="76"/>
  <c r="BA32" i="76"/>
  <c r="AZ32" i="76"/>
  <c r="CG31" i="76"/>
  <c r="CF31" i="76"/>
  <c r="CC31" i="76"/>
  <c r="BY31" i="76"/>
  <c r="BT31" i="76"/>
  <c r="BS31" i="76"/>
  <c r="BN31" i="76"/>
  <c r="BM31" i="76"/>
  <c r="BL31" i="76"/>
  <c r="BK31" i="76"/>
  <c r="BI31" i="76"/>
  <c r="BF31" i="76"/>
  <c r="BD31" i="76"/>
  <c r="BB31" i="76"/>
  <c r="BA31" i="76"/>
  <c r="AZ31" i="76"/>
  <c r="CG30" i="76"/>
  <c r="CF30" i="76"/>
  <c r="CD30" i="76"/>
  <c r="CC30" i="76"/>
  <c r="BY30" i="76"/>
  <c r="BX30" i="76"/>
  <c r="BT30" i="76"/>
  <c r="BS30" i="76"/>
  <c r="BN30" i="76"/>
  <c r="BM30" i="76"/>
  <c r="BL30" i="76"/>
  <c r="BK30" i="76"/>
  <c r="BI30" i="76"/>
  <c r="BF30" i="76"/>
  <c r="BE30" i="76"/>
  <c r="BD30" i="76"/>
  <c r="BB30" i="76"/>
  <c r="BA30" i="76"/>
  <c r="AZ30" i="76"/>
  <c r="CG29" i="76"/>
  <c r="CF29" i="76"/>
  <c r="CD29" i="76"/>
  <c r="CC29" i="76"/>
  <c r="BY29" i="76"/>
  <c r="BX29" i="76"/>
  <c r="BT29" i="76"/>
  <c r="BS29" i="76"/>
  <c r="BN29" i="76"/>
  <c r="BM29" i="76"/>
  <c r="BL29" i="76"/>
  <c r="BK29" i="76"/>
  <c r="BI29" i="76"/>
  <c r="BH29" i="76"/>
  <c r="BF29" i="76"/>
  <c r="BE29" i="76"/>
  <c r="BD29" i="76"/>
  <c r="BB29" i="76"/>
  <c r="BA29" i="76"/>
  <c r="AZ29" i="76"/>
  <c r="CG28" i="76"/>
  <c r="CF28" i="76"/>
  <c r="BY28" i="76"/>
  <c r="BT28" i="76"/>
  <c r="BN28" i="76"/>
  <c r="BM28" i="76"/>
  <c r="BL28" i="76"/>
  <c r="BK28" i="76"/>
  <c r="BI28" i="76"/>
  <c r="BH28" i="76"/>
  <c r="BF28" i="76"/>
  <c r="BE28" i="76"/>
  <c r="BD28" i="76"/>
  <c r="BB28" i="76"/>
  <c r="BA28" i="76"/>
  <c r="AZ28" i="76"/>
  <c r="CG27" i="76"/>
  <c r="CF27" i="76"/>
  <c r="CC27" i="76"/>
  <c r="BY27" i="76"/>
  <c r="BT27" i="76"/>
  <c r="BS27" i="76"/>
  <c r="BN27" i="76"/>
  <c r="BM27" i="76"/>
  <c r="BL27" i="76"/>
  <c r="BK27" i="76"/>
  <c r="BI27" i="76"/>
  <c r="BF27" i="76"/>
  <c r="BD27" i="76"/>
  <c r="BB27" i="76"/>
  <c r="BA27" i="76"/>
  <c r="AZ27" i="76"/>
  <c r="CG26" i="76"/>
  <c r="CF26" i="76"/>
  <c r="CD26" i="76"/>
  <c r="CC26" i="76"/>
  <c r="BY26" i="76"/>
  <c r="BX26" i="76"/>
  <c r="BT26" i="76"/>
  <c r="BS26" i="76"/>
  <c r="BN26" i="76"/>
  <c r="BM26" i="76"/>
  <c r="BL26" i="76"/>
  <c r="BK26" i="76"/>
  <c r="BI26" i="76"/>
  <c r="BF26" i="76"/>
  <c r="BE26" i="76"/>
  <c r="BD26" i="76"/>
  <c r="BB26" i="76"/>
  <c r="BA26" i="76"/>
  <c r="AZ26" i="76"/>
  <c r="CG25" i="76"/>
  <c r="CF25" i="76"/>
  <c r="CD25" i="76"/>
  <c r="CC25" i="76"/>
  <c r="BY25" i="76"/>
  <c r="BX25" i="76"/>
  <c r="BT25" i="76"/>
  <c r="BS25" i="76"/>
  <c r="BN25" i="76"/>
  <c r="BM25" i="76"/>
  <c r="BL25" i="76"/>
  <c r="BK25" i="76"/>
  <c r="BI25" i="76"/>
  <c r="BH25" i="76"/>
  <c r="BF25" i="76"/>
  <c r="BE25" i="76"/>
  <c r="BD25" i="76"/>
  <c r="BB25" i="76"/>
  <c r="BA25" i="76"/>
  <c r="AZ25" i="76"/>
  <c r="CG24" i="76"/>
  <c r="CF24" i="76"/>
  <c r="BY24" i="76"/>
  <c r="BT24" i="76"/>
  <c r="BN24" i="76"/>
  <c r="BM24" i="76"/>
  <c r="BL24" i="76"/>
  <c r="BK24" i="76"/>
  <c r="BI24" i="76"/>
  <c r="BH24" i="76"/>
  <c r="BF24" i="76"/>
  <c r="BE24" i="76"/>
  <c r="BD24" i="76"/>
  <c r="BB24" i="76"/>
  <c r="BA24" i="76"/>
  <c r="AZ24" i="76"/>
  <c r="CG23" i="76"/>
  <c r="CF23" i="76"/>
  <c r="CC23" i="76"/>
  <c r="BY23" i="76"/>
  <c r="BT23" i="76"/>
  <c r="BS23" i="76"/>
  <c r="BN23" i="76"/>
  <c r="BM23" i="76"/>
  <c r="BL23" i="76"/>
  <c r="BK23" i="76"/>
  <c r="BI23" i="76"/>
  <c r="BF23" i="76"/>
  <c r="BE23" i="76"/>
  <c r="BB23" i="76"/>
  <c r="BA23" i="76"/>
  <c r="AZ23" i="76"/>
  <c r="CG22" i="76"/>
  <c r="CF22" i="76"/>
  <c r="CD22" i="76"/>
  <c r="CC22" i="76"/>
  <c r="CA22" i="76"/>
  <c r="BZ22" i="76"/>
  <c r="BY22" i="76"/>
  <c r="BX22" i="76"/>
  <c r="BW22" i="76"/>
  <c r="BV22" i="76"/>
  <c r="BT22" i="76"/>
  <c r="BS22" i="76"/>
  <c r="BR22" i="76"/>
  <c r="BP22" i="76"/>
  <c r="BN22" i="76"/>
  <c r="BM22" i="76"/>
  <c r="BL22" i="76"/>
  <c r="BK22" i="76"/>
  <c r="BI22" i="76"/>
  <c r="BH22" i="76"/>
  <c r="BF22" i="76"/>
  <c r="BE22" i="76"/>
  <c r="BD22" i="76"/>
  <c r="BB22" i="76"/>
  <c r="BA22" i="76"/>
  <c r="AZ22" i="76"/>
  <c r="CG21" i="76"/>
  <c r="CF21" i="76"/>
  <c r="CE21" i="76"/>
  <c r="CD21" i="76"/>
  <c r="CC21" i="76"/>
  <c r="CA21" i="76"/>
  <c r="BZ21" i="76"/>
  <c r="BY21" i="76"/>
  <c r="BX21" i="76"/>
  <c r="BW21" i="76"/>
  <c r="BV21" i="76"/>
  <c r="BT21" i="76"/>
  <c r="BS21" i="76"/>
  <c r="BR21" i="76"/>
  <c r="BP21" i="76"/>
  <c r="BN21" i="76"/>
  <c r="BM21" i="76"/>
  <c r="BL21" i="76"/>
  <c r="BK21" i="76"/>
  <c r="BI21" i="76"/>
  <c r="BH21" i="76"/>
  <c r="BG21" i="76"/>
  <c r="BF21" i="76"/>
  <c r="BE21" i="76"/>
  <c r="BD21" i="76"/>
  <c r="BB21" i="76"/>
  <c r="BA21" i="76"/>
  <c r="AZ21" i="76"/>
  <c r="CG20" i="76"/>
  <c r="CF20" i="76"/>
  <c r="CE20" i="76"/>
  <c r="CC20" i="76"/>
  <c r="BX20" i="76"/>
  <c r="BT20" i="76"/>
  <c r="BS20" i="76"/>
  <c r="BN20" i="76"/>
  <c r="BM20" i="76"/>
  <c r="BL20" i="76"/>
  <c r="BK20" i="76"/>
  <c r="BH20" i="76"/>
  <c r="BF20" i="76"/>
  <c r="BE20" i="76"/>
  <c r="BD20" i="76"/>
  <c r="BB20" i="76"/>
  <c r="BA20" i="76"/>
  <c r="AZ20" i="76"/>
  <c r="CG19" i="76"/>
  <c r="CF19" i="76"/>
  <c r="CD19" i="76"/>
  <c r="CC19" i="76"/>
  <c r="BY19" i="76"/>
  <c r="BX19" i="76"/>
  <c r="BT19" i="76"/>
  <c r="BS19" i="76"/>
  <c r="BN19" i="76"/>
  <c r="BM19" i="76"/>
  <c r="BL19" i="76"/>
  <c r="BK19" i="76"/>
  <c r="BH19" i="76"/>
  <c r="BF19" i="76"/>
  <c r="BD19" i="76"/>
  <c r="BB19" i="76"/>
  <c r="BA19" i="76"/>
  <c r="AZ19" i="76"/>
  <c r="CG18" i="76"/>
  <c r="CF18" i="76"/>
  <c r="CD18" i="76"/>
  <c r="CC18" i="76"/>
  <c r="CA18" i="76"/>
  <c r="BZ18" i="76"/>
  <c r="BY18" i="76"/>
  <c r="BX18" i="76"/>
  <c r="BW18" i="76"/>
  <c r="BV18" i="76"/>
  <c r="BT18" i="76"/>
  <c r="BS18" i="76"/>
  <c r="BR18" i="76"/>
  <c r="BP18" i="76"/>
  <c r="BN18" i="76"/>
  <c r="BM18" i="76"/>
  <c r="BL18" i="76"/>
  <c r="BK18" i="76"/>
  <c r="BI18" i="76"/>
  <c r="BH18" i="76"/>
  <c r="BF18" i="76"/>
  <c r="BE18" i="76"/>
  <c r="BD18" i="76"/>
  <c r="BB18" i="76"/>
  <c r="BA18" i="76"/>
  <c r="AZ18" i="76"/>
  <c r="CG17" i="76"/>
  <c r="CF17" i="76"/>
  <c r="CE17" i="76"/>
  <c r="CD17" i="76"/>
  <c r="CC17" i="76"/>
  <c r="CA17" i="76"/>
  <c r="BZ17" i="76"/>
  <c r="BY17" i="76"/>
  <c r="BX17" i="76"/>
  <c r="BW17" i="76"/>
  <c r="BV17" i="76"/>
  <c r="BT17" i="76"/>
  <c r="BS17" i="76"/>
  <c r="BR17" i="76"/>
  <c r="BP17" i="76"/>
  <c r="BN17" i="76"/>
  <c r="BM17" i="76"/>
  <c r="BL17" i="76"/>
  <c r="BK17" i="76"/>
  <c r="BI17" i="76"/>
  <c r="BH17" i="76"/>
  <c r="BG17" i="76"/>
  <c r="BF17" i="76"/>
  <c r="BE17" i="76"/>
  <c r="BD17" i="76"/>
  <c r="BB17" i="76"/>
  <c r="BA17" i="76"/>
  <c r="AZ17" i="76"/>
  <c r="CG16" i="76"/>
  <c r="CF16" i="76"/>
  <c r="CE16" i="76"/>
  <c r="CC16" i="76"/>
  <c r="BX16" i="76"/>
  <c r="BT16" i="76"/>
  <c r="BS16" i="76"/>
  <c r="BN16" i="76"/>
  <c r="BM16" i="76"/>
  <c r="BL16" i="76"/>
  <c r="BK16" i="76"/>
  <c r="BH16" i="76"/>
  <c r="BF16" i="76"/>
  <c r="BE16" i="76"/>
  <c r="BD16" i="76"/>
  <c r="BB16" i="76"/>
  <c r="BA16" i="76"/>
  <c r="AZ16" i="76"/>
  <c r="CG15" i="76"/>
  <c r="CF15" i="76"/>
  <c r="CD15" i="76"/>
  <c r="CC15" i="76"/>
  <c r="BY15" i="76"/>
  <c r="BX15" i="76"/>
  <c r="BT15" i="76"/>
  <c r="BS15" i="76"/>
  <c r="BN15" i="76"/>
  <c r="BM15" i="76"/>
  <c r="BL15" i="76"/>
  <c r="BK15" i="76"/>
  <c r="BH15" i="76"/>
  <c r="BF15" i="76"/>
  <c r="BD15" i="76"/>
  <c r="BB15" i="76"/>
  <c r="BA15" i="76"/>
  <c r="AZ15" i="76"/>
  <c r="CG14" i="76"/>
  <c r="CF14" i="76"/>
  <c r="CD14" i="76"/>
  <c r="CC14" i="76"/>
  <c r="CA14" i="76"/>
  <c r="BZ14" i="76"/>
  <c r="BY14" i="76"/>
  <c r="BX14" i="76"/>
  <c r="BW14" i="76"/>
  <c r="BV14" i="76"/>
  <c r="BT14" i="76"/>
  <c r="BS14" i="76"/>
  <c r="BR14" i="76"/>
  <c r="BP14" i="76"/>
  <c r="BN14" i="76"/>
  <c r="BM14" i="76"/>
  <c r="BL14" i="76"/>
  <c r="BK14" i="76"/>
  <c r="BI14" i="76"/>
  <c r="BH14" i="76"/>
  <c r="BF14" i="76"/>
  <c r="BE14" i="76"/>
  <c r="BD14" i="76"/>
  <c r="BB14" i="76"/>
  <c r="BA14" i="76"/>
  <c r="AZ14" i="76"/>
  <c r="CG13" i="76"/>
  <c r="CF13" i="76"/>
  <c r="CE13" i="76"/>
  <c r="CD13" i="76"/>
  <c r="CC13" i="76"/>
  <c r="CA13" i="76"/>
  <c r="BZ13" i="76"/>
  <c r="BY13" i="76"/>
  <c r="BX13" i="76"/>
  <c r="BW13" i="76"/>
  <c r="BV13" i="76"/>
  <c r="BT13" i="76"/>
  <c r="BS13" i="76"/>
  <c r="BR13" i="76"/>
  <c r="BP13" i="76"/>
  <c r="BN13" i="76"/>
  <c r="BM13" i="76"/>
  <c r="BL13" i="76"/>
  <c r="BK13" i="76"/>
  <c r="BI13" i="76"/>
  <c r="BH13" i="76"/>
  <c r="BG13" i="76"/>
  <c r="BF13" i="76"/>
  <c r="BE13" i="76"/>
  <c r="BD13" i="76"/>
  <c r="BB13" i="76"/>
  <c r="BA13" i="76"/>
  <c r="AZ13" i="76"/>
  <c r="CG12" i="76"/>
  <c r="CF12" i="76"/>
  <c r="CE12" i="76"/>
  <c r="CC12" i="76"/>
  <c r="BX12" i="76"/>
  <c r="BT12" i="76"/>
  <c r="BS12" i="76"/>
  <c r="BN12" i="76"/>
  <c r="BM12" i="76"/>
  <c r="BL12" i="76"/>
  <c r="BK12" i="76"/>
  <c r="BH12" i="76"/>
  <c r="BF12" i="76"/>
  <c r="BE12" i="76"/>
  <c r="BD12" i="76"/>
  <c r="BB12" i="76"/>
  <c r="BA12" i="76"/>
  <c r="AZ12" i="76"/>
  <c r="CG11" i="76"/>
  <c r="CF11" i="76"/>
  <c r="CD11" i="76"/>
  <c r="CC11" i="76"/>
  <c r="BY11" i="76"/>
  <c r="BX11" i="76"/>
  <c r="BT11" i="76"/>
  <c r="BS11" i="76"/>
  <c r="BN11" i="76"/>
  <c r="BM11" i="76"/>
  <c r="BL11" i="76"/>
  <c r="BK11" i="76"/>
  <c r="BH11" i="76"/>
  <c r="BF11" i="76"/>
  <c r="BD11" i="76"/>
  <c r="BB11" i="76"/>
  <c r="BA11" i="76"/>
  <c r="AZ11" i="76"/>
  <c r="CG10" i="76"/>
  <c r="CF10" i="76"/>
  <c r="CD10" i="76"/>
  <c r="CC10" i="76"/>
  <c r="CA10" i="76"/>
  <c r="BZ10" i="76"/>
  <c r="BY10" i="76"/>
  <c r="BX10" i="76"/>
  <c r="BW10" i="76"/>
  <c r="BV10" i="76"/>
  <c r="BT10" i="76"/>
  <c r="BS10" i="76"/>
  <c r="BR10" i="76"/>
  <c r="BP10" i="76"/>
  <c r="BN10" i="76"/>
  <c r="BM10" i="76"/>
  <c r="BL10" i="76"/>
  <c r="BK10" i="76"/>
  <c r="BI10" i="76"/>
  <c r="BH10" i="76"/>
  <c r="BF10" i="76"/>
  <c r="BE10" i="76"/>
  <c r="BD10" i="76"/>
  <c r="BB10" i="76"/>
  <c r="BA10" i="76"/>
  <c r="AZ10" i="76"/>
  <c r="CG9" i="76"/>
  <c r="CF9" i="76"/>
  <c r="CE9" i="76"/>
  <c r="CD9" i="76"/>
  <c r="CC9" i="76"/>
  <c r="CA9" i="76"/>
  <c r="BZ9" i="76"/>
  <c r="BY9" i="76"/>
  <c r="BX9" i="76"/>
  <c r="BW9" i="76"/>
  <c r="BV9" i="76"/>
  <c r="BT9" i="76"/>
  <c r="BS9" i="76"/>
  <c r="BR9" i="76"/>
  <c r="BP9" i="76"/>
  <c r="BN9" i="76"/>
  <c r="BM9" i="76"/>
  <c r="BL9" i="76"/>
  <c r="BK9" i="76"/>
  <c r="BI9" i="76"/>
  <c r="BH9" i="76"/>
  <c r="BG9" i="76"/>
  <c r="BF9" i="76"/>
  <c r="BE9" i="76"/>
  <c r="BD9" i="76"/>
  <c r="BB9" i="76"/>
  <c r="BA9" i="76"/>
  <c r="AZ9" i="76"/>
  <c r="CG8" i="76"/>
  <c r="CF8" i="76"/>
  <c r="CE8" i="76"/>
  <c r="CC8" i="76"/>
  <c r="BX8" i="76"/>
  <c r="BT8" i="76"/>
  <c r="BS8" i="76"/>
  <c r="BN8" i="76"/>
  <c r="BM8" i="76"/>
  <c r="BL8" i="76"/>
  <c r="BK8" i="76"/>
  <c r="BH8" i="76"/>
  <c r="BF8" i="76"/>
  <c r="BE8" i="76"/>
  <c r="BD8" i="76"/>
  <c r="BB8" i="76"/>
  <c r="BA8" i="76"/>
  <c r="AZ8" i="76"/>
  <c r="CG7" i="76"/>
  <c r="CF7" i="76"/>
  <c r="CD7" i="76"/>
  <c r="CC7" i="76"/>
  <c r="BY7" i="76"/>
  <c r="BX7" i="76"/>
  <c r="BT7" i="76"/>
  <c r="BS7" i="76"/>
  <c r="BN7" i="76"/>
  <c r="BM7" i="76"/>
  <c r="BL7" i="76"/>
  <c r="BK7" i="76"/>
  <c r="BH7" i="76"/>
  <c r="BF7" i="76"/>
  <c r="BD7" i="76"/>
  <c r="BB7" i="76"/>
  <c r="BA7" i="76"/>
  <c r="AZ7" i="76"/>
  <c r="CG6" i="76"/>
  <c r="CF6" i="76"/>
  <c r="CD6" i="76"/>
  <c r="CC6" i="76"/>
  <c r="CA6" i="76"/>
  <c r="BZ6" i="76"/>
  <c r="BY6" i="76"/>
  <c r="BX6" i="76"/>
  <c r="BV6" i="76"/>
  <c r="BT6" i="76"/>
  <c r="BS6" i="76"/>
  <c r="BR6" i="76"/>
  <c r="BP6" i="76"/>
  <c r="BN6" i="76"/>
  <c r="BM6" i="76"/>
  <c r="BL6" i="76"/>
  <c r="BK6" i="76"/>
  <c r="BI6" i="76"/>
  <c r="BH6" i="76"/>
  <c r="BF6" i="76"/>
  <c r="BE6" i="76"/>
  <c r="BD6" i="76"/>
  <c r="BB6" i="76"/>
  <c r="AZ6" i="76"/>
  <c r="CG5" i="76"/>
  <c r="CF5" i="76"/>
  <c r="CE5" i="76"/>
  <c r="CD5" i="76"/>
  <c r="CC5" i="76"/>
  <c r="CA5" i="76"/>
  <c r="BZ5" i="76"/>
  <c r="BY5" i="76"/>
  <c r="BX5" i="76"/>
  <c r="BW5" i="76"/>
  <c r="BV5" i="76"/>
  <c r="BT5" i="76"/>
  <c r="BS5" i="76"/>
  <c r="BR5" i="76"/>
  <c r="BP5" i="76"/>
  <c r="BN5" i="76"/>
  <c r="BM5" i="76"/>
  <c r="BL5" i="76"/>
  <c r="BK5" i="76"/>
  <c r="BI5" i="76"/>
  <c r="BH5" i="76"/>
  <c r="BG5" i="76"/>
  <c r="BF5" i="76"/>
  <c r="BE5" i="76"/>
  <c r="BD5" i="76"/>
  <c r="BB5" i="76"/>
  <c r="BA5" i="76"/>
  <c r="AZ5" i="76"/>
  <c r="CA4" i="76"/>
  <c r="BZ4" i="76"/>
  <c r="BY4" i="76"/>
  <c r="BX4" i="76"/>
  <c r="BW4" i="76"/>
  <c r="BV4" i="76"/>
  <c r="BS4" i="76"/>
  <c r="BR4" i="76"/>
  <c r="BP4" i="76"/>
  <c r="BI4" i="76"/>
  <c r="BG4" i="76"/>
  <c r="A4" i="76"/>
  <c r="A5" i="76" s="1"/>
  <c r="BI4" i="57" l="1"/>
  <c r="BG4" i="57"/>
  <c r="Q35" i="76"/>
  <c r="BK4" i="76"/>
  <c r="U36" i="76"/>
  <c r="BB4" i="76"/>
  <c r="CE4" i="76"/>
  <c r="S35" i="76"/>
  <c r="AU36" i="76"/>
  <c r="O36" i="76"/>
  <c r="AE36" i="76"/>
  <c r="AX4" i="76"/>
  <c r="BF4" i="76"/>
  <c r="BL4" i="76"/>
  <c r="AK35" i="76"/>
  <c r="AW35" i="76"/>
  <c r="AC36" i="76"/>
  <c r="O35" i="76"/>
  <c r="P36" i="76"/>
  <c r="AF36" i="76"/>
  <c r="T35" i="76"/>
  <c r="AZ4" i="76"/>
  <c r="BM4" i="76"/>
  <c r="Y35" i="76"/>
  <c r="E36" i="76"/>
  <c r="AK36" i="76"/>
  <c r="G36" i="76"/>
  <c r="BD36" i="76" s="1"/>
  <c r="W36" i="76"/>
  <c r="BA4" i="76"/>
  <c r="BN4" i="76"/>
  <c r="M35" i="76"/>
  <c r="AC35" i="76"/>
  <c r="H35" i="76"/>
  <c r="X35" i="76"/>
  <c r="BF36" i="76"/>
  <c r="E35" i="76"/>
  <c r="AZ35" i="76" s="1"/>
  <c r="AG35" i="76"/>
  <c r="F36" i="76"/>
  <c r="N36" i="76"/>
  <c r="V36" i="76"/>
  <c r="AD36" i="76"/>
  <c r="K36" i="76"/>
  <c r="AA36" i="76"/>
  <c r="AI36" i="76"/>
  <c r="AV35" i="76"/>
  <c r="B4" i="76"/>
  <c r="I35" i="76"/>
  <c r="U35" i="76"/>
  <c r="Q36" i="76"/>
  <c r="AG36" i="76"/>
  <c r="D36" i="76"/>
  <c r="T36" i="76"/>
  <c r="AB36" i="76"/>
  <c r="D35" i="76"/>
  <c r="J36" i="76"/>
  <c r="CG36" i="76" s="1"/>
  <c r="R36" i="76"/>
  <c r="Z36" i="76"/>
  <c r="AH36" i="76"/>
  <c r="A7" i="77"/>
  <c r="B6" i="77"/>
  <c r="BG34" i="76"/>
  <c r="CE34" i="76"/>
  <c r="AX24" i="76"/>
  <c r="CA24" i="76"/>
  <c r="BW24" i="76"/>
  <c r="BZ24" i="76"/>
  <c r="BV24" i="76"/>
  <c r="BG27" i="76"/>
  <c r="CE27" i="76"/>
  <c r="AX28" i="76"/>
  <c r="CA28" i="76"/>
  <c r="BW28" i="76"/>
  <c r="BZ28" i="76"/>
  <c r="BV28" i="76"/>
  <c r="BR32" i="76"/>
  <c r="BP32" i="76"/>
  <c r="BE7" i="76"/>
  <c r="BI8" i="76"/>
  <c r="BI12" i="76"/>
  <c r="CD12" i="76"/>
  <c r="BI15" i="76"/>
  <c r="BI16" i="76"/>
  <c r="BY16" i="76"/>
  <c r="BI20" i="76"/>
  <c r="CD20" i="76"/>
  <c r="BE27" i="76"/>
  <c r="CC28" i="76"/>
  <c r="BR23" i="76"/>
  <c r="BP23" i="76"/>
  <c r="BG26" i="76"/>
  <c r="CE26" i="76"/>
  <c r="BR27" i="76"/>
  <c r="BP27" i="76"/>
  <c r="AX31" i="76"/>
  <c r="CA31" i="76"/>
  <c r="BW31" i="76"/>
  <c r="BZ31" i="76"/>
  <c r="BV31" i="76"/>
  <c r="BA6" i="76"/>
  <c r="CE6" i="76"/>
  <c r="BP7" i="76"/>
  <c r="BV7" i="76"/>
  <c r="BZ7" i="76"/>
  <c r="CE7" i="76"/>
  <c r="BP8" i="76"/>
  <c r="BV8" i="76"/>
  <c r="BZ8" i="76"/>
  <c r="CE10" i="76"/>
  <c r="BP11" i="76"/>
  <c r="BV11" i="76"/>
  <c r="BZ11" i="76"/>
  <c r="CE11" i="76"/>
  <c r="BP12" i="76"/>
  <c r="BV12" i="76"/>
  <c r="BZ12" i="76"/>
  <c r="CE14" i="76"/>
  <c r="BP15" i="76"/>
  <c r="BV15" i="76"/>
  <c r="BZ15" i="76"/>
  <c r="CE15" i="76"/>
  <c r="BP16" i="76"/>
  <c r="BV16" i="76"/>
  <c r="BZ16" i="76"/>
  <c r="CE18" i="76"/>
  <c r="BP19" i="76"/>
  <c r="BV19" i="76"/>
  <c r="BZ19" i="76"/>
  <c r="CE19" i="76"/>
  <c r="BP20" i="76"/>
  <c r="BV20" i="76"/>
  <c r="BZ20" i="76"/>
  <c r="BG23" i="76"/>
  <c r="AU35" i="76"/>
  <c r="H36" i="76"/>
  <c r="X36" i="76"/>
  <c r="AJ36" i="76"/>
  <c r="G35" i="76"/>
  <c r="K35" i="76"/>
  <c r="W35" i="76"/>
  <c r="AA35" i="76"/>
  <c r="AM36" i="76"/>
  <c r="AM35" i="76"/>
  <c r="AQ36" i="76"/>
  <c r="AQ35" i="76"/>
  <c r="BG25" i="76"/>
  <c r="CE25" i="76"/>
  <c r="BR26" i="76"/>
  <c r="BP26" i="76"/>
  <c r="AX26" i="76"/>
  <c r="CA26" i="76"/>
  <c r="BW26" i="76"/>
  <c r="BZ26" i="76"/>
  <c r="BV26" i="76"/>
  <c r="BG29" i="76"/>
  <c r="CE29" i="76"/>
  <c r="BR30" i="76"/>
  <c r="BP30" i="76"/>
  <c r="AX30" i="76"/>
  <c r="CA30" i="76"/>
  <c r="BW30" i="76"/>
  <c r="BZ30" i="76"/>
  <c r="BV30" i="76"/>
  <c r="BG33" i="76"/>
  <c r="CE33" i="76"/>
  <c r="BR34" i="76"/>
  <c r="BP34" i="76"/>
  <c r="AX34" i="76"/>
  <c r="CA34" i="76"/>
  <c r="BW34" i="76"/>
  <c r="BZ34" i="76"/>
  <c r="BV34" i="76"/>
  <c r="BR24" i="76"/>
  <c r="BP24" i="76"/>
  <c r="BR28" i="76"/>
  <c r="BP28" i="76"/>
  <c r="BG31" i="76"/>
  <c r="CE31" i="76"/>
  <c r="AX32" i="76"/>
  <c r="CA32" i="76"/>
  <c r="BW32" i="76"/>
  <c r="BZ32" i="76"/>
  <c r="BV32" i="76"/>
  <c r="BI7" i="76"/>
  <c r="BY8" i="76"/>
  <c r="CD8" i="76"/>
  <c r="BI11" i="76"/>
  <c r="BY12" i="76"/>
  <c r="CD16" i="76"/>
  <c r="BI19" i="76"/>
  <c r="BY20" i="76"/>
  <c r="CC24" i="76"/>
  <c r="BS28" i="76"/>
  <c r="BE31" i="76"/>
  <c r="BS32" i="76"/>
  <c r="AJ35" i="76"/>
  <c r="AX23" i="76"/>
  <c r="CA23" i="76"/>
  <c r="BW23" i="76"/>
  <c r="BZ23" i="76"/>
  <c r="BV23" i="76"/>
  <c r="AX27" i="76"/>
  <c r="CA27" i="76"/>
  <c r="BW27" i="76"/>
  <c r="BZ27" i="76"/>
  <c r="BV27" i="76"/>
  <c r="BG30" i="76"/>
  <c r="CE30" i="76"/>
  <c r="BR31" i="76"/>
  <c r="BP31" i="76"/>
  <c r="BW7" i="76"/>
  <c r="CA7" i="76"/>
  <c r="BW8" i="76"/>
  <c r="CA8" i="76"/>
  <c r="BW11" i="76"/>
  <c r="CA11" i="76"/>
  <c r="BW12" i="76"/>
  <c r="CA12" i="76"/>
  <c r="BW15" i="76"/>
  <c r="CA15" i="76"/>
  <c r="BW16" i="76"/>
  <c r="CA16" i="76"/>
  <c r="BW19" i="76"/>
  <c r="CA19" i="76"/>
  <c r="BW20" i="76"/>
  <c r="CA20" i="76"/>
  <c r="BG22" i="76"/>
  <c r="BD23" i="76"/>
  <c r="BX23" i="76"/>
  <c r="BX24" i="76"/>
  <c r="BX27" i="76"/>
  <c r="BX28" i="76"/>
  <c r="BX31" i="76"/>
  <c r="BX32" i="76"/>
  <c r="C35" i="76"/>
  <c r="L35" i="76"/>
  <c r="P35" i="76"/>
  <c r="AB35" i="76"/>
  <c r="AF35" i="76"/>
  <c r="BG24" i="76"/>
  <c r="CE24" i="76"/>
  <c r="BR25" i="76"/>
  <c r="BP25" i="76"/>
  <c r="AX25" i="76"/>
  <c r="CA25" i="76"/>
  <c r="BW25" i="76"/>
  <c r="BZ25" i="76"/>
  <c r="BV25" i="76"/>
  <c r="BG28" i="76"/>
  <c r="CE28" i="76"/>
  <c r="BR29" i="76"/>
  <c r="BP29" i="76"/>
  <c r="AX29" i="76"/>
  <c r="CA29" i="76"/>
  <c r="BW29" i="76"/>
  <c r="BZ29" i="76"/>
  <c r="BV29" i="76"/>
  <c r="BG32" i="76"/>
  <c r="CE32" i="76"/>
  <c r="BR33" i="76"/>
  <c r="BP33" i="76"/>
  <c r="CA33" i="76"/>
  <c r="BW33" i="76"/>
  <c r="BZ33" i="76"/>
  <c r="BV33" i="76"/>
  <c r="AN36" i="76"/>
  <c r="AR36" i="76"/>
  <c r="AN35" i="76"/>
  <c r="AR35" i="76"/>
  <c r="CD35" i="76" s="1"/>
  <c r="AL35" i="76"/>
  <c r="AT36" i="76"/>
  <c r="BT35" i="76"/>
  <c r="BD4" i="76"/>
  <c r="BH4" i="76"/>
  <c r="CC4" i="76"/>
  <c r="CG4" i="76"/>
  <c r="CF35" i="76"/>
  <c r="CF4" i="76"/>
  <c r="BT4" i="76"/>
  <c r="CD4" i="76"/>
  <c r="CG35" i="76"/>
  <c r="B5" i="76"/>
  <c r="A6" i="76"/>
  <c r="BF35" i="76" l="1"/>
  <c r="BH36" i="76"/>
  <c r="BY36" i="76"/>
  <c r="BA36" i="76"/>
  <c r="BT36" i="76"/>
  <c r="AZ36" i="76"/>
  <c r="BR36" i="76"/>
  <c r="BS35" i="76"/>
  <c r="BE36" i="76"/>
  <c r="CF36" i="76"/>
  <c r="CD36" i="76"/>
  <c r="CE36" i="76"/>
  <c r="BY35" i="76"/>
  <c r="BK35" i="76"/>
  <c r="BD35" i="76"/>
  <c r="BB36" i="76"/>
  <c r="BL35" i="76"/>
  <c r="BE35" i="76"/>
  <c r="BA35" i="76"/>
  <c r="BX35" i="76"/>
  <c r="BG35" i="76"/>
  <c r="BW36" i="76"/>
  <c r="BZ36" i="76"/>
  <c r="BG36" i="76"/>
  <c r="A8" i="77"/>
  <c r="B7" i="77"/>
  <c r="BX36" i="76"/>
  <c r="CA35" i="76"/>
  <c r="AX35" i="76"/>
  <c r="BB35" i="76"/>
  <c r="BV35" i="76"/>
  <c r="CE35" i="76"/>
  <c r="BN35" i="76"/>
  <c r="BM35" i="76"/>
  <c r="BS36" i="76"/>
  <c r="BN36" i="76"/>
  <c r="BV36" i="76"/>
  <c r="BZ35" i="76"/>
  <c r="BM36" i="76"/>
  <c r="BL36" i="76"/>
  <c r="BW35" i="76"/>
  <c r="BP36" i="76"/>
  <c r="BI36" i="76"/>
  <c r="AX36" i="76"/>
  <c r="CA36" i="76"/>
  <c r="BR35" i="76"/>
  <c r="BK36" i="76"/>
  <c r="BP35" i="76"/>
  <c r="CC35" i="76"/>
  <c r="CC36" i="76"/>
  <c r="BI35" i="76"/>
  <c r="BH35" i="76"/>
  <c r="B6" i="76"/>
  <c r="A7" i="76"/>
  <c r="B8" i="77" l="1"/>
  <c r="A9" i="77"/>
  <c r="A8" i="76"/>
  <c r="B7" i="76"/>
  <c r="B9" i="77" l="1"/>
  <c r="A10" i="77"/>
  <c r="A9" i="76"/>
  <c r="B8" i="76"/>
  <c r="A11" i="77" l="1"/>
  <c r="B10" i="77"/>
  <c r="B9" i="76"/>
  <c r="A10" i="76"/>
  <c r="A12" i="77" l="1"/>
  <c r="B11" i="77"/>
  <c r="B10" i="76"/>
  <c r="A11" i="76"/>
  <c r="B12" i="77" l="1"/>
  <c r="A13" i="77"/>
  <c r="A12" i="76"/>
  <c r="B11" i="76"/>
  <c r="B13" i="77" l="1"/>
  <c r="A14" i="77"/>
  <c r="A13" i="76"/>
  <c r="B12" i="76"/>
  <c r="A15" i="77" l="1"/>
  <c r="B14" i="77"/>
  <c r="B13" i="76"/>
  <c r="A14" i="76"/>
  <c r="A16" i="77" l="1"/>
  <c r="B15" i="77"/>
  <c r="B14" i="76"/>
  <c r="A15" i="76"/>
  <c r="B16" i="77" l="1"/>
  <c r="A17" i="77"/>
  <c r="A16" i="76"/>
  <c r="B15" i="76"/>
  <c r="B17" i="77" l="1"/>
  <c r="A18" i="77"/>
  <c r="A17" i="76"/>
  <c r="B16" i="76"/>
  <c r="A19" i="77" l="1"/>
  <c r="B18" i="77"/>
  <c r="B17" i="76"/>
  <c r="A18" i="76"/>
  <c r="AW36" i="70"/>
  <c r="AV36" i="70"/>
  <c r="AU36" i="70"/>
  <c r="AT36" i="70"/>
  <c r="AS36" i="70"/>
  <c r="AR36" i="70"/>
  <c r="AQ36" i="70"/>
  <c r="AP36" i="70"/>
  <c r="AO36" i="70"/>
  <c r="AN36" i="70"/>
  <c r="AM36" i="70"/>
  <c r="AL36" i="70"/>
  <c r="AK36" i="70"/>
  <c r="AJ36" i="70"/>
  <c r="AI36" i="70"/>
  <c r="AH36" i="70"/>
  <c r="AG36" i="70"/>
  <c r="AF36" i="70"/>
  <c r="AE36" i="70"/>
  <c r="AD36" i="70"/>
  <c r="AC36" i="70"/>
  <c r="AB36" i="70"/>
  <c r="AA36" i="70"/>
  <c r="Z36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BT36" i="70" s="1"/>
  <c r="I36" i="70"/>
  <c r="H36" i="70"/>
  <c r="G36" i="70"/>
  <c r="BH36" i="70" s="1"/>
  <c r="F36" i="70"/>
  <c r="E36" i="70"/>
  <c r="D36" i="70"/>
  <c r="C36" i="70"/>
  <c r="AW35" i="70"/>
  <c r="AV35" i="70"/>
  <c r="AU35" i="70"/>
  <c r="AT35" i="70"/>
  <c r="AS35" i="70"/>
  <c r="AR35" i="70"/>
  <c r="AQ35" i="70"/>
  <c r="AP35" i="70"/>
  <c r="AO35" i="70"/>
  <c r="AN35" i="70"/>
  <c r="AM35" i="70"/>
  <c r="AL35" i="70"/>
  <c r="AK35" i="70"/>
  <c r="AJ35" i="70"/>
  <c r="AI35" i="70"/>
  <c r="AH35" i="70"/>
  <c r="AG35" i="70"/>
  <c r="AF35" i="70"/>
  <c r="AE35" i="70"/>
  <c r="AD35" i="70"/>
  <c r="AC35" i="70"/>
  <c r="AB35" i="70"/>
  <c r="AA35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BT35" i="70" s="1"/>
  <c r="I35" i="70"/>
  <c r="H35" i="70"/>
  <c r="G35" i="70"/>
  <c r="BH35" i="70" s="1"/>
  <c r="F35" i="70"/>
  <c r="E35" i="70"/>
  <c r="D35" i="70"/>
  <c r="C35" i="70"/>
  <c r="CG34" i="70"/>
  <c r="CF34" i="70"/>
  <c r="CE34" i="70"/>
  <c r="CD34" i="70"/>
  <c r="CC34" i="70"/>
  <c r="CA34" i="70"/>
  <c r="BZ34" i="70"/>
  <c r="BY34" i="70"/>
  <c r="BX34" i="70"/>
  <c r="BW34" i="70"/>
  <c r="BV34" i="70"/>
  <c r="BT34" i="70"/>
  <c r="BS34" i="70"/>
  <c r="BR34" i="70"/>
  <c r="BP34" i="70"/>
  <c r="BN34" i="70"/>
  <c r="BM34" i="70"/>
  <c r="BL34" i="70"/>
  <c r="BK34" i="70"/>
  <c r="BI34" i="70"/>
  <c r="BH34" i="70"/>
  <c r="BG34" i="70"/>
  <c r="BF34" i="70"/>
  <c r="BE34" i="70"/>
  <c r="BD34" i="70"/>
  <c r="BB34" i="70"/>
  <c r="BA34" i="70"/>
  <c r="AZ34" i="70"/>
  <c r="AX34" i="70"/>
  <c r="CG33" i="70"/>
  <c r="CF33" i="70"/>
  <c r="CE33" i="70"/>
  <c r="CD33" i="70"/>
  <c r="CC33" i="70"/>
  <c r="CA33" i="70"/>
  <c r="BZ33" i="70"/>
  <c r="BY33" i="70"/>
  <c r="BX33" i="70"/>
  <c r="BW33" i="70"/>
  <c r="BV33" i="70"/>
  <c r="BT33" i="70"/>
  <c r="BS33" i="70"/>
  <c r="BR33" i="70"/>
  <c r="BP33" i="70"/>
  <c r="BN33" i="70"/>
  <c r="BM33" i="70"/>
  <c r="BL33" i="70"/>
  <c r="BK33" i="70"/>
  <c r="BI33" i="70"/>
  <c r="BH33" i="70"/>
  <c r="BG33" i="70"/>
  <c r="BF33" i="70"/>
  <c r="BE33" i="70"/>
  <c r="BD33" i="70"/>
  <c r="BB33" i="70"/>
  <c r="BA33" i="70"/>
  <c r="AZ33" i="70"/>
  <c r="AX33" i="70"/>
  <c r="CG32" i="70"/>
  <c r="CF32" i="70"/>
  <c r="CE32" i="70"/>
  <c r="CD32" i="70"/>
  <c r="CC32" i="70"/>
  <c r="CA32" i="70"/>
  <c r="BZ32" i="70"/>
  <c r="BY32" i="70"/>
  <c r="BX32" i="70"/>
  <c r="BW32" i="70"/>
  <c r="BV32" i="70"/>
  <c r="BT32" i="70"/>
  <c r="BS32" i="70"/>
  <c r="BR32" i="70"/>
  <c r="BP32" i="70"/>
  <c r="BN32" i="70"/>
  <c r="BM32" i="70"/>
  <c r="BL32" i="70"/>
  <c r="BK32" i="70"/>
  <c r="BI32" i="70"/>
  <c r="BH32" i="70"/>
  <c r="BG32" i="70"/>
  <c r="BF32" i="70"/>
  <c r="BE32" i="70"/>
  <c r="BD32" i="70"/>
  <c r="BB32" i="70"/>
  <c r="BA32" i="70"/>
  <c r="AZ32" i="70"/>
  <c r="AX32" i="70"/>
  <c r="CG31" i="70"/>
  <c r="CF31" i="70"/>
  <c r="CE31" i="70"/>
  <c r="CD31" i="70"/>
  <c r="CC31" i="70"/>
  <c r="CA31" i="70"/>
  <c r="BZ31" i="70"/>
  <c r="BY31" i="70"/>
  <c r="BX31" i="70"/>
  <c r="BW31" i="70"/>
  <c r="BV31" i="70"/>
  <c r="BT31" i="70"/>
  <c r="BS31" i="70"/>
  <c r="BR31" i="70"/>
  <c r="BP31" i="70"/>
  <c r="BN31" i="70"/>
  <c r="BM31" i="70"/>
  <c r="BL31" i="70"/>
  <c r="BK31" i="70"/>
  <c r="BI31" i="70"/>
  <c r="BH31" i="70"/>
  <c r="BG31" i="70"/>
  <c r="BF31" i="70"/>
  <c r="BE31" i="70"/>
  <c r="BD31" i="70"/>
  <c r="BB31" i="70"/>
  <c r="BA31" i="70"/>
  <c r="AZ31" i="70"/>
  <c r="AX31" i="70"/>
  <c r="CG30" i="70"/>
  <c r="CF30" i="70"/>
  <c r="CE30" i="70"/>
  <c r="CD30" i="70"/>
  <c r="CC30" i="70"/>
  <c r="CA30" i="70"/>
  <c r="BZ30" i="70"/>
  <c r="BY30" i="70"/>
  <c r="BX30" i="70"/>
  <c r="BW30" i="70"/>
  <c r="BV30" i="70"/>
  <c r="BT30" i="70"/>
  <c r="BS30" i="70"/>
  <c r="BR30" i="70"/>
  <c r="BP30" i="70"/>
  <c r="BN30" i="70"/>
  <c r="BM30" i="70"/>
  <c r="BL30" i="70"/>
  <c r="BK30" i="70"/>
  <c r="BI30" i="70"/>
  <c r="BH30" i="70"/>
  <c r="BG30" i="70"/>
  <c r="BF30" i="70"/>
  <c r="BE30" i="70"/>
  <c r="BD30" i="70"/>
  <c r="BB30" i="70"/>
  <c r="BA30" i="70"/>
  <c r="AZ30" i="70"/>
  <c r="AX30" i="70"/>
  <c r="CG29" i="70"/>
  <c r="CF29" i="70"/>
  <c r="CE29" i="70"/>
  <c r="CD29" i="70"/>
  <c r="CC29" i="70"/>
  <c r="CA29" i="70"/>
  <c r="BZ29" i="70"/>
  <c r="BY29" i="70"/>
  <c r="BX29" i="70"/>
  <c r="BW29" i="70"/>
  <c r="BV29" i="70"/>
  <c r="BT29" i="70"/>
  <c r="BS29" i="70"/>
  <c r="BR29" i="70"/>
  <c r="BP29" i="70"/>
  <c r="BN29" i="70"/>
  <c r="BM29" i="70"/>
  <c r="BL29" i="70"/>
  <c r="BK29" i="70"/>
  <c r="BI29" i="70"/>
  <c r="BH29" i="70"/>
  <c r="BG29" i="70"/>
  <c r="BF29" i="70"/>
  <c r="BE29" i="70"/>
  <c r="BD29" i="70"/>
  <c r="BB29" i="70"/>
  <c r="BA29" i="70"/>
  <c r="AZ29" i="70"/>
  <c r="AX29" i="70"/>
  <c r="CG28" i="70"/>
  <c r="CF28" i="70"/>
  <c r="CE28" i="70"/>
  <c r="CD28" i="70"/>
  <c r="CC28" i="70"/>
  <c r="CA28" i="70"/>
  <c r="BZ28" i="70"/>
  <c r="BY28" i="70"/>
  <c r="BX28" i="70"/>
  <c r="BW28" i="70"/>
  <c r="BV28" i="70"/>
  <c r="BT28" i="70"/>
  <c r="BS28" i="70"/>
  <c r="BR28" i="70"/>
  <c r="BP28" i="70"/>
  <c r="BN28" i="70"/>
  <c r="BM28" i="70"/>
  <c r="BL28" i="70"/>
  <c r="BK28" i="70"/>
  <c r="BI28" i="70"/>
  <c r="BH28" i="70"/>
  <c r="BG28" i="70"/>
  <c r="BF28" i="70"/>
  <c r="BE28" i="70"/>
  <c r="BD28" i="70"/>
  <c r="BB28" i="70"/>
  <c r="BA28" i="70"/>
  <c r="AZ28" i="70"/>
  <c r="AX28" i="70"/>
  <c r="CG27" i="70"/>
  <c r="CF27" i="70"/>
  <c r="CE27" i="70"/>
  <c r="CD27" i="70"/>
  <c r="CC27" i="70"/>
  <c r="CA27" i="70"/>
  <c r="BZ27" i="70"/>
  <c r="BY27" i="70"/>
  <c r="BX27" i="70"/>
  <c r="BW27" i="70"/>
  <c r="BV27" i="70"/>
  <c r="BT27" i="70"/>
  <c r="BS27" i="70"/>
  <c r="BR27" i="70"/>
  <c r="BP27" i="70"/>
  <c r="BN27" i="70"/>
  <c r="BM27" i="70"/>
  <c r="BL27" i="70"/>
  <c r="BK27" i="70"/>
  <c r="BI27" i="70"/>
  <c r="BH27" i="70"/>
  <c r="BG27" i="70"/>
  <c r="BF27" i="70"/>
  <c r="BE27" i="70"/>
  <c r="BD27" i="70"/>
  <c r="BB27" i="70"/>
  <c r="BA27" i="70"/>
  <c r="AZ27" i="70"/>
  <c r="AX27" i="70"/>
  <c r="CG26" i="70"/>
  <c r="CF26" i="70"/>
  <c r="CE26" i="70"/>
  <c r="CD26" i="70"/>
  <c r="CC26" i="70"/>
  <c r="CA26" i="70"/>
  <c r="BZ26" i="70"/>
  <c r="BY26" i="70"/>
  <c r="BX26" i="70"/>
  <c r="BW26" i="70"/>
  <c r="BV26" i="70"/>
  <c r="BT26" i="70"/>
  <c r="BS26" i="70"/>
  <c r="BR26" i="70"/>
  <c r="BP26" i="70"/>
  <c r="BN26" i="70"/>
  <c r="BM26" i="70"/>
  <c r="BL26" i="70"/>
  <c r="BK26" i="70"/>
  <c r="BI26" i="70"/>
  <c r="BH26" i="70"/>
  <c r="BG26" i="70"/>
  <c r="BF26" i="70"/>
  <c r="BE26" i="70"/>
  <c r="BD26" i="70"/>
  <c r="BB26" i="70"/>
  <c r="BA26" i="70"/>
  <c r="AZ26" i="70"/>
  <c r="AX26" i="70"/>
  <c r="CG25" i="70"/>
  <c r="CF25" i="70"/>
  <c r="CE25" i="70"/>
  <c r="CD25" i="70"/>
  <c r="CC25" i="70"/>
  <c r="CA25" i="70"/>
  <c r="BZ25" i="70"/>
  <c r="BY25" i="70"/>
  <c r="BX25" i="70"/>
  <c r="BW25" i="70"/>
  <c r="BV25" i="70"/>
  <c r="BT25" i="70"/>
  <c r="BS25" i="70"/>
  <c r="BR25" i="70"/>
  <c r="BP25" i="70"/>
  <c r="BN25" i="70"/>
  <c r="BM25" i="70"/>
  <c r="BL25" i="70"/>
  <c r="BK25" i="70"/>
  <c r="BI25" i="70"/>
  <c r="BH25" i="70"/>
  <c r="BG25" i="70"/>
  <c r="BF25" i="70"/>
  <c r="BE25" i="70"/>
  <c r="BD25" i="70"/>
  <c r="BB25" i="70"/>
  <c r="BA25" i="70"/>
  <c r="AZ25" i="70"/>
  <c r="AX25" i="70"/>
  <c r="CG24" i="70"/>
  <c r="CF24" i="70"/>
  <c r="CE24" i="70"/>
  <c r="CD24" i="70"/>
  <c r="CC24" i="70"/>
  <c r="CA24" i="70"/>
  <c r="BZ24" i="70"/>
  <c r="BY24" i="70"/>
  <c r="BX24" i="70"/>
  <c r="BW24" i="70"/>
  <c r="BV24" i="70"/>
  <c r="BT24" i="70"/>
  <c r="BS24" i="70"/>
  <c r="BR24" i="70"/>
  <c r="BP24" i="70"/>
  <c r="BN24" i="70"/>
  <c r="BM24" i="70"/>
  <c r="BL24" i="70"/>
  <c r="BK24" i="70"/>
  <c r="BI24" i="70"/>
  <c r="BH24" i="70"/>
  <c r="BG24" i="70"/>
  <c r="BF24" i="70"/>
  <c r="BE24" i="70"/>
  <c r="BD24" i="70"/>
  <c r="BB24" i="70"/>
  <c r="BA24" i="70"/>
  <c r="AZ24" i="70"/>
  <c r="AX24" i="70"/>
  <c r="CG23" i="70"/>
  <c r="CF23" i="70"/>
  <c r="CE23" i="70"/>
  <c r="CD23" i="70"/>
  <c r="CC23" i="70"/>
  <c r="CA23" i="70"/>
  <c r="BZ23" i="70"/>
  <c r="BY23" i="70"/>
  <c r="BX23" i="70"/>
  <c r="BW23" i="70"/>
  <c r="BV23" i="70"/>
  <c r="BT23" i="70"/>
  <c r="BS23" i="70"/>
  <c r="BR23" i="70"/>
  <c r="BP23" i="70"/>
  <c r="BN23" i="70"/>
  <c r="BM23" i="70"/>
  <c r="BL23" i="70"/>
  <c r="BK23" i="70"/>
  <c r="BI23" i="70"/>
  <c r="BH23" i="70"/>
  <c r="BG23" i="70"/>
  <c r="BF23" i="70"/>
  <c r="BE23" i="70"/>
  <c r="BD23" i="70"/>
  <c r="BB23" i="70"/>
  <c r="BA23" i="70"/>
  <c r="AZ23" i="70"/>
  <c r="AX23" i="70"/>
  <c r="CG22" i="70"/>
  <c r="CF22" i="70"/>
  <c r="CE22" i="70"/>
  <c r="CD22" i="70"/>
  <c r="CC22" i="70"/>
  <c r="CA22" i="70"/>
  <c r="BZ22" i="70"/>
  <c r="BY22" i="70"/>
  <c r="BX22" i="70"/>
  <c r="BW22" i="70"/>
  <c r="BV22" i="70"/>
  <c r="BT22" i="70"/>
  <c r="BS22" i="70"/>
  <c r="BR22" i="70"/>
  <c r="BP22" i="70"/>
  <c r="BN22" i="70"/>
  <c r="BM22" i="70"/>
  <c r="BL22" i="70"/>
  <c r="BK22" i="70"/>
  <c r="BI22" i="70"/>
  <c r="BH22" i="70"/>
  <c r="BG22" i="70"/>
  <c r="BF22" i="70"/>
  <c r="BE22" i="70"/>
  <c r="BD22" i="70"/>
  <c r="BB22" i="70"/>
  <c r="BA22" i="70"/>
  <c r="AZ22" i="70"/>
  <c r="AX22" i="70"/>
  <c r="CG21" i="70"/>
  <c r="CF21" i="70"/>
  <c r="CE21" i="70"/>
  <c r="CD21" i="70"/>
  <c r="CC21" i="70"/>
  <c r="CA21" i="70"/>
  <c r="BZ21" i="70"/>
  <c r="BY21" i="70"/>
  <c r="BX21" i="70"/>
  <c r="BW21" i="70"/>
  <c r="BV21" i="70"/>
  <c r="BT21" i="70"/>
  <c r="BS21" i="70"/>
  <c r="BR21" i="70"/>
  <c r="BP21" i="70"/>
  <c r="BN21" i="70"/>
  <c r="BM21" i="70"/>
  <c r="BL21" i="70"/>
  <c r="BK21" i="70"/>
  <c r="BI21" i="70"/>
  <c r="BH21" i="70"/>
  <c r="BG21" i="70"/>
  <c r="BF21" i="70"/>
  <c r="BE21" i="70"/>
  <c r="BD21" i="70"/>
  <c r="BB21" i="70"/>
  <c r="BA21" i="70"/>
  <c r="AZ21" i="70"/>
  <c r="AX21" i="70"/>
  <c r="CG20" i="70"/>
  <c r="CF20" i="70"/>
  <c r="CE20" i="70"/>
  <c r="CD20" i="70"/>
  <c r="CC20" i="70"/>
  <c r="CA20" i="70"/>
  <c r="BZ20" i="70"/>
  <c r="BY20" i="70"/>
  <c r="BX20" i="70"/>
  <c r="BW20" i="70"/>
  <c r="BV20" i="70"/>
  <c r="BT20" i="70"/>
  <c r="BS20" i="70"/>
  <c r="BR20" i="70"/>
  <c r="BP20" i="70"/>
  <c r="BN20" i="70"/>
  <c r="BM20" i="70"/>
  <c r="BL20" i="70"/>
  <c r="BK20" i="70"/>
  <c r="BI20" i="70"/>
  <c r="BH20" i="70"/>
  <c r="BG20" i="70"/>
  <c r="BF20" i="70"/>
  <c r="BE20" i="70"/>
  <c r="BD20" i="70"/>
  <c r="BB20" i="70"/>
  <c r="BA20" i="70"/>
  <c r="AZ20" i="70"/>
  <c r="AX20" i="70"/>
  <c r="CG19" i="70"/>
  <c r="CF19" i="70"/>
  <c r="CE19" i="70"/>
  <c r="CD19" i="70"/>
  <c r="CC19" i="70"/>
  <c r="CA19" i="70"/>
  <c r="BZ19" i="70"/>
  <c r="BY19" i="70"/>
  <c r="BX19" i="70"/>
  <c r="BW19" i="70"/>
  <c r="BV19" i="70"/>
  <c r="BT19" i="70"/>
  <c r="BS19" i="70"/>
  <c r="BR19" i="70"/>
  <c r="BP19" i="70"/>
  <c r="BN19" i="70"/>
  <c r="BM19" i="70"/>
  <c r="BL19" i="70"/>
  <c r="BK19" i="70"/>
  <c r="BI19" i="70"/>
  <c r="BH19" i="70"/>
  <c r="BG19" i="70"/>
  <c r="BF19" i="70"/>
  <c r="BE19" i="70"/>
  <c r="BD19" i="70"/>
  <c r="BB19" i="70"/>
  <c r="BA19" i="70"/>
  <c r="AZ19" i="70"/>
  <c r="AX19" i="70"/>
  <c r="CG18" i="70"/>
  <c r="CF18" i="70"/>
  <c r="CE18" i="70"/>
  <c r="CD18" i="70"/>
  <c r="CC18" i="70"/>
  <c r="CA18" i="70"/>
  <c r="BZ18" i="70"/>
  <c r="BY18" i="70"/>
  <c r="BX18" i="70"/>
  <c r="BW18" i="70"/>
  <c r="BV18" i="70"/>
  <c r="BT18" i="70"/>
  <c r="BS18" i="70"/>
  <c r="BR18" i="70"/>
  <c r="BP18" i="70"/>
  <c r="BN18" i="70"/>
  <c r="BM18" i="70"/>
  <c r="BL18" i="70"/>
  <c r="BK18" i="70"/>
  <c r="BI18" i="70"/>
  <c r="BH18" i="70"/>
  <c r="BG18" i="70"/>
  <c r="BF18" i="70"/>
  <c r="BE18" i="70"/>
  <c r="BD18" i="70"/>
  <c r="BB18" i="70"/>
  <c r="BA18" i="70"/>
  <c r="AZ18" i="70"/>
  <c r="AX18" i="70"/>
  <c r="CG17" i="70"/>
  <c r="CF17" i="70"/>
  <c r="CE17" i="70"/>
  <c r="CD17" i="70"/>
  <c r="CC17" i="70"/>
  <c r="CA17" i="70"/>
  <c r="BZ17" i="70"/>
  <c r="BY17" i="70"/>
  <c r="BX17" i="70"/>
  <c r="BW17" i="70"/>
  <c r="BV17" i="70"/>
  <c r="BT17" i="70"/>
  <c r="BS17" i="70"/>
  <c r="BR17" i="70"/>
  <c r="BP17" i="70"/>
  <c r="BN17" i="70"/>
  <c r="BM17" i="70"/>
  <c r="BL17" i="70"/>
  <c r="BK17" i="70"/>
  <c r="BI17" i="70"/>
  <c r="BH17" i="70"/>
  <c r="BG17" i="70"/>
  <c r="BF17" i="70"/>
  <c r="BE17" i="70"/>
  <c r="BD17" i="70"/>
  <c r="BB17" i="70"/>
  <c r="BA17" i="70"/>
  <c r="AZ17" i="70"/>
  <c r="AX17" i="70"/>
  <c r="CG16" i="70"/>
  <c r="CF16" i="70"/>
  <c r="CE16" i="70"/>
  <c r="CD16" i="70"/>
  <c r="CC16" i="70"/>
  <c r="CA16" i="70"/>
  <c r="BZ16" i="70"/>
  <c r="BY16" i="70"/>
  <c r="BX16" i="70"/>
  <c r="BW16" i="70"/>
  <c r="BV16" i="70"/>
  <c r="BT16" i="70"/>
  <c r="BS16" i="70"/>
  <c r="BR16" i="70"/>
  <c r="BP16" i="70"/>
  <c r="BN16" i="70"/>
  <c r="BM16" i="70"/>
  <c r="BL16" i="70"/>
  <c r="BK16" i="70"/>
  <c r="BI16" i="70"/>
  <c r="BH16" i="70"/>
  <c r="BG16" i="70"/>
  <c r="BF16" i="70"/>
  <c r="BE16" i="70"/>
  <c r="BD16" i="70"/>
  <c r="BB16" i="70"/>
  <c r="BA16" i="70"/>
  <c r="AZ16" i="70"/>
  <c r="AX16" i="70"/>
  <c r="CG15" i="70"/>
  <c r="CF15" i="70"/>
  <c r="CE15" i="70"/>
  <c r="CD15" i="70"/>
  <c r="CC15" i="70"/>
  <c r="CA15" i="70"/>
  <c r="BZ15" i="70"/>
  <c r="BY15" i="70"/>
  <c r="BX15" i="70"/>
  <c r="BW15" i="70"/>
  <c r="BV15" i="70"/>
  <c r="BT15" i="70"/>
  <c r="BS15" i="70"/>
  <c r="BR15" i="70"/>
  <c r="BP15" i="70"/>
  <c r="BN15" i="70"/>
  <c r="BM15" i="70"/>
  <c r="BL15" i="70"/>
  <c r="BK15" i="70"/>
  <c r="BI15" i="70"/>
  <c r="BH15" i="70"/>
  <c r="BG15" i="70"/>
  <c r="BF15" i="70"/>
  <c r="BE15" i="70"/>
  <c r="BD15" i="70"/>
  <c r="BB15" i="70"/>
  <c r="BA15" i="70"/>
  <c r="AZ15" i="70"/>
  <c r="AX15" i="70"/>
  <c r="CG14" i="70"/>
  <c r="CF14" i="70"/>
  <c r="CE14" i="70"/>
  <c r="CD14" i="70"/>
  <c r="CC14" i="70"/>
  <c r="CA14" i="70"/>
  <c r="BZ14" i="70"/>
  <c r="BY14" i="70"/>
  <c r="BX14" i="70"/>
  <c r="BW14" i="70"/>
  <c r="BV14" i="70"/>
  <c r="BT14" i="70"/>
  <c r="BS14" i="70"/>
  <c r="BR14" i="70"/>
  <c r="BP14" i="70"/>
  <c r="BN14" i="70"/>
  <c r="BM14" i="70"/>
  <c r="BL14" i="70"/>
  <c r="BK14" i="70"/>
  <c r="BI14" i="70"/>
  <c r="BH14" i="70"/>
  <c r="BG14" i="70"/>
  <c r="BF14" i="70"/>
  <c r="BE14" i="70"/>
  <c r="BD14" i="70"/>
  <c r="BB14" i="70"/>
  <c r="BA14" i="70"/>
  <c r="AZ14" i="70"/>
  <c r="AX14" i="70"/>
  <c r="CG13" i="70"/>
  <c r="CF13" i="70"/>
  <c r="CE13" i="70"/>
  <c r="CD13" i="70"/>
  <c r="CC13" i="70"/>
  <c r="CA13" i="70"/>
  <c r="BZ13" i="70"/>
  <c r="BY13" i="70"/>
  <c r="BX13" i="70"/>
  <c r="BW13" i="70"/>
  <c r="BV13" i="70"/>
  <c r="BT13" i="70"/>
  <c r="BS13" i="70"/>
  <c r="BR13" i="70"/>
  <c r="BP13" i="70"/>
  <c r="BN13" i="70"/>
  <c r="BM13" i="70"/>
  <c r="BL13" i="70"/>
  <c r="BK13" i="70"/>
  <c r="BI13" i="70"/>
  <c r="BH13" i="70"/>
  <c r="BG13" i="70"/>
  <c r="BF13" i="70"/>
  <c r="BE13" i="70"/>
  <c r="BD13" i="70"/>
  <c r="BB13" i="70"/>
  <c r="BA13" i="70"/>
  <c r="AZ13" i="70"/>
  <c r="AX13" i="70"/>
  <c r="CG12" i="70"/>
  <c r="CF12" i="70"/>
  <c r="CE12" i="70"/>
  <c r="CD12" i="70"/>
  <c r="CC12" i="70"/>
  <c r="CA12" i="70"/>
  <c r="BZ12" i="70"/>
  <c r="BY12" i="70"/>
  <c r="BX12" i="70"/>
  <c r="BW12" i="70"/>
  <c r="BV12" i="70"/>
  <c r="BT12" i="70"/>
  <c r="BS12" i="70"/>
  <c r="BR12" i="70"/>
  <c r="BP12" i="70"/>
  <c r="BN12" i="70"/>
  <c r="BM12" i="70"/>
  <c r="BL12" i="70"/>
  <c r="BK12" i="70"/>
  <c r="BI12" i="70"/>
  <c r="BH12" i="70"/>
  <c r="BG12" i="70"/>
  <c r="BF12" i="70"/>
  <c r="BE12" i="70"/>
  <c r="BD12" i="70"/>
  <c r="BB12" i="70"/>
  <c r="BA12" i="70"/>
  <c r="AZ12" i="70"/>
  <c r="AX12" i="70"/>
  <c r="CG11" i="70"/>
  <c r="CF11" i="70"/>
  <c r="CE11" i="70"/>
  <c r="CD11" i="70"/>
  <c r="CC11" i="70"/>
  <c r="CA11" i="70"/>
  <c r="BZ11" i="70"/>
  <c r="BY11" i="70"/>
  <c r="BX11" i="70"/>
  <c r="BW11" i="70"/>
  <c r="BV11" i="70"/>
  <c r="BT11" i="70"/>
  <c r="BS11" i="70"/>
  <c r="BR11" i="70"/>
  <c r="BP11" i="70"/>
  <c r="BN11" i="70"/>
  <c r="BM11" i="70"/>
  <c r="BL11" i="70"/>
  <c r="BK11" i="70"/>
  <c r="BI11" i="70"/>
  <c r="BH11" i="70"/>
  <c r="BG11" i="70"/>
  <c r="BF11" i="70"/>
  <c r="BE11" i="70"/>
  <c r="BD11" i="70"/>
  <c r="BB11" i="70"/>
  <c r="BA11" i="70"/>
  <c r="AZ11" i="70"/>
  <c r="AX11" i="70"/>
  <c r="CG10" i="70"/>
  <c r="CF10" i="70"/>
  <c r="CE10" i="70"/>
  <c r="CD10" i="70"/>
  <c r="CC10" i="70"/>
  <c r="CA10" i="70"/>
  <c r="BZ10" i="70"/>
  <c r="BY10" i="70"/>
  <c r="BX10" i="70"/>
  <c r="BW10" i="70"/>
  <c r="BV10" i="70"/>
  <c r="BT10" i="70"/>
  <c r="BS10" i="70"/>
  <c r="BR10" i="70"/>
  <c r="BP10" i="70"/>
  <c r="BN10" i="70"/>
  <c r="BM10" i="70"/>
  <c r="BL10" i="70"/>
  <c r="BK10" i="70"/>
  <c r="BI10" i="70"/>
  <c r="BH10" i="70"/>
  <c r="BG10" i="70"/>
  <c r="BF10" i="70"/>
  <c r="BE10" i="70"/>
  <c r="BD10" i="70"/>
  <c r="BB10" i="70"/>
  <c r="BA10" i="70"/>
  <c r="AZ10" i="70"/>
  <c r="AX10" i="70"/>
  <c r="CG9" i="70"/>
  <c r="CF9" i="70"/>
  <c r="CE9" i="70"/>
  <c r="CD9" i="70"/>
  <c r="CC9" i="70"/>
  <c r="CA9" i="70"/>
  <c r="BZ9" i="70"/>
  <c r="BY9" i="70"/>
  <c r="BX9" i="70"/>
  <c r="BW9" i="70"/>
  <c r="BV9" i="70"/>
  <c r="BT9" i="70"/>
  <c r="BS9" i="70"/>
  <c r="BR9" i="70"/>
  <c r="BP9" i="70"/>
  <c r="BN9" i="70"/>
  <c r="BM9" i="70"/>
  <c r="BL9" i="70"/>
  <c r="BK9" i="70"/>
  <c r="BI9" i="70"/>
  <c r="BH9" i="70"/>
  <c r="BG9" i="70"/>
  <c r="BF9" i="70"/>
  <c r="BE9" i="70"/>
  <c r="BD9" i="70"/>
  <c r="BB9" i="70"/>
  <c r="BA9" i="70"/>
  <c r="AZ9" i="70"/>
  <c r="AX9" i="70"/>
  <c r="CG8" i="70"/>
  <c r="CF8" i="70"/>
  <c r="CE8" i="70"/>
  <c r="CD8" i="70"/>
  <c r="CC8" i="70"/>
  <c r="CA8" i="70"/>
  <c r="BZ8" i="70"/>
  <c r="BY8" i="70"/>
  <c r="BX8" i="70"/>
  <c r="BW8" i="70"/>
  <c r="BV8" i="70"/>
  <c r="BT8" i="70"/>
  <c r="BS8" i="70"/>
  <c r="BR8" i="70"/>
  <c r="BP8" i="70"/>
  <c r="BN8" i="70"/>
  <c r="BM8" i="70"/>
  <c r="BL8" i="70"/>
  <c r="BK8" i="70"/>
  <c r="BI8" i="70"/>
  <c r="BH8" i="70"/>
  <c r="BG8" i="70"/>
  <c r="BF8" i="70"/>
  <c r="BE8" i="70"/>
  <c r="BD8" i="70"/>
  <c r="BB8" i="70"/>
  <c r="BA8" i="70"/>
  <c r="AZ8" i="70"/>
  <c r="AX8" i="70"/>
  <c r="CG7" i="70"/>
  <c r="CF7" i="70"/>
  <c r="CE7" i="70"/>
  <c r="CD7" i="70"/>
  <c r="CC7" i="70"/>
  <c r="CA7" i="70"/>
  <c r="BZ7" i="70"/>
  <c r="BY7" i="70"/>
  <c r="BX7" i="70"/>
  <c r="BW7" i="70"/>
  <c r="BV7" i="70"/>
  <c r="BT7" i="70"/>
  <c r="BS7" i="70"/>
  <c r="BR7" i="70"/>
  <c r="BP7" i="70"/>
  <c r="BN7" i="70"/>
  <c r="BM7" i="70"/>
  <c r="BL7" i="70"/>
  <c r="BK7" i="70"/>
  <c r="BI7" i="70"/>
  <c r="BH7" i="70"/>
  <c r="BG7" i="70"/>
  <c r="BF7" i="70"/>
  <c r="BE7" i="70"/>
  <c r="BD7" i="70"/>
  <c r="BB7" i="70"/>
  <c r="BA7" i="70"/>
  <c r="AZ7" i="70"/>
  <c r="AX7" i="70"/>
  <c r="CG6" i="70"/>
  <c r="CF6" i="70"/>
  <c r="CE6" i="70"/>
  <c r="CD6" i="70"/>
  <c r="CC6" i="70"/>
  <c r="CA6" i="70"/>
  <c r="BZ6" i="70"/>
  <c r="BY6" i="70"/>
  <c r="BX6" i="70"/>
  <c r="BW6" i="70"/>
  <c r="BV6" i="70"/>
  <c r="BT6" i="70"/>
  <c r="BS6" i="70"/>
  <c r="BR6" i="70"/>
  <c r="BP6" i="70"/>
  <c r="BN6" i="70"/>
  <c r="BM6" i="70"/>
  <c r="BL6" i="70"/>
  <c r="BK6" i="70"/>
  <c r="BI6" i="70"/>
  <c r="BH6" i="70"/>
  <c r="BG6" i="70"/>
  <c r="BF6" i="70"/>
  <c r="BE6" i="70"/>
  <c r="BD6" i="70"/>
  <c r="BB6" i="70"/>
  <c r="BA6" i="70"/>
  <c r="AZ6" i="70"/>
  <c r="AX6" i="70"/>
  <c r="CG5" i="70"/>
  <c r="CF5" i="70"/>
  <c r="CE5" i="70"/>
  <c r="CD5" i="70"/>
  <c r="CC5" i="70"/>
  <c r="CA5" i="70"/>
  <c r="BZ5" i="70"/>
  <c r="BY5" i="70"/>
  <c r="BX5" i="70"/>
  <c r="BW5" i="70"/>
  <c r="BV5" i="70"/>
  <c r="BT5" i="70"/>
  <c r="BS5" i="70"/>
  <c r="BR5" i="70"/>
  <c r="BP5" i="70"/>
  <c r="BN5" i="70"/>
  <c r="BM5" i="70"/>
  <c r="BL5" i="70"/>
  <c r="BK5" i="70"/>
  <c r="BI5" i="70"/>
  <c r="BH5" i="70"/>
  <c r="BG5" i="70"/>
  <c r="BF5" i="70"/>
  <c r="BE5" i="70"/>
  <c r="BD5" i="70"/>
  <c r="BB5" i="70"/>
  <c r="BA5" i="70"/>
  <c r="AZ5" i="70"/>
  <c r="AX5" i="70"/>
  <c r="CG4" i="70"/>
  <c r="CF4" i="70"/>
  <c r="CE4" i="70"/>
  <c r="CD4" i="70"/>
  <c r="CC4" i="70"/>
  <c r="CA4" i="70"/>
  <c r="BZ4" i="70"/>
  <c r="BY4" i="70"/>
  <c r="BX4" i="70"/>
  <c r="BW4" i="70"/>
  <c r="BV4" i="70"/>
  <c r="BT4" i="70"/>
  <c r="BS4" i="70"/>
  <c r="BR4" i="70"/>
  <c r="BP4" i="70"/>
  <c r="BN4" i="70"/>
  <c r="BM4" i="70"/>
  <c r="BL4" i="70"/>
  <c r="BK4" i="70"/>
  <c r="BI4" i="70"/>
  <c r="BH4" i="70"/>
  <c r="BG4" i="70"/>
  <c r="BF4" i="70"/>
  <c r="BE4" i="70"/>
  <c r="BD4" i="70"/>
  <c r="BB4" i="70"/>
  <c r="BA4" i="70"/>
  <c r="AZ4" i="70"/>
  <c r="AX4" i="70"/>
  <c r="A4" i="70"/>
  <c r="A5" i="70" s="1"/>
  <c r="B5" i="70" s="1"/>
  <c r="AW36" i="71"/>
  <c r="AV36" i="71"/>
  <c r="AU36" i="71"/>
  <c r="AT36" i="71"/>
  <c r="AS36" i="71"/>
  <c r="AR36" i="71"/>
  <c r="AQ36" i="71"/>
  <c r="AP36" i="71"/>
  <c r="AO36" i="71"/>
  <c r="AN36" i="71"/>
  <c r="AM36" i="71"/>
  <c r="AL36" i="71"/>
  <c r="AK36" i="71"/>
  <c r="AJ36" i="71"/>
  <c r="AI36" i="71"/>
  <c r="AH36" i="71"/>
  <c r="AG36" i="71"/>
  <c r="AF36" i="71"/>
  <c r="AE36" i="71"/>
  <c r="AD36" i="71"/>
  <c r="AC36" i="71"/>
  <c r="AB36" i="71"/>
  <c r="AA36" i="71"/>
  <c r="Z36" i="71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BT36" i="71" s="1"/>
  <c r="I36" i="71"/>
  <c r="H36" i="71"/>
  <c r="G36" i="71"/>
  <c r="BH36" i="71" s="1"/>
  <c r="F36" i="71"/>
  <c r="E36" i="71"/>
  <c r="D36" i="71"/>
  <c r="C36" i="71"/>
  <c r="AW35" i="71"/>
  <c r="AV35" i="71"/>
  <c r="AU35" i="71"/>
  <c r="AT35" i="71"/>
  <c r="AS35" i="71"/>
  <c r="AR35" i="71"/>
  <c r="AQ35" i="71"/>
  <c r="AP35" i="71"/>
  <c r="AO35" i="71"/>
  <c r="AN35" i="71"/>
  <c r="AM35" i="71"/>
  <c r="AL35" i="71"/>
  <c r="AK35" i="71"/>
  <c r="AJ35" i="71"/>
  <c r="AI35" i="71"/>
  <c r="AH35" i="71"/>
  <c r="AG35" i="71"/>
  <c r="AF35" i="71"/>
  <c r="AE35" i="71"/>
  <c r="AD35" i="71"/>
  <c r="AC35" i="71"/>
  <c r="AB35" i="71"/>
  <c r="AA35" i="71"/>
  <c r="Z35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BT35" i="71" s="1"/>
  <c r="I35" i="71"/>
  <c r="H35" i="71"/>
  <c r="G35" i="71"/>
  <c r="F35" i="71"/>
  <c r="E35" i="71"/>
  <c r="D35" i="71"/>
  <c r="C35" i="71"/>
  <c r="CG34" i="71"/>
  <c r="CF34" i="71"/>
  <c r="CE34" i="71"/>
  <c r="CD34" i="71"/>
  <c r="CC34" i="71"/>
  <c r="CA34" i="71"/>
  <c r="BZ34" i="71"/>
  <c r="BY34" i="71"/>
  <c r="BX34" i="71"/>
  <c r="BW34" i="71"/>
  <c r="BV34" i="71"/>
  <c r="BT34" i="71"/>
  <c r="BS34" i="71"/>
  <c r="BR34" i="71"/>
  <c r="BP34" i="71"/>
  <c r="BN34" i="71"/>
  <c r="BM34" i="71"/>
  <c r="BL34" i="71"/>
  <c r="BK34" i="71"/>
  <c r="BI34" i="71"/>
  <c r="BH34" i="71"/>
  <c r="BG34" i="71"/>
  <c r="BF34" i="71"/>
  <c r="BE34" i="71"/>
  <c r="BD34" i="71"/>
  <c r="BB34" i="71"/>
  <c r="BA34" i="71"/>
  <c r="AZ34" i="71"/>
  <c r="AX34" i="71"/>
  <c r="CG33" i="71"/>
  <c r="CF33" i="71"/>
  <c r="CE33" i="71"/>
  <c r="CD33" i="71"/>
  <c r="CC33" i="71"/>
  <c r="CA33" i="71"/>
  <c r="BZ33" i="71"/>
  <c r="BY33" i="71"/>
  <c r="BX33" i="71"/>
  <c r="BW33" i="71"/>
  <c r="BV33" i="71"/>
  <c r="BT33" i="71"/>
  <c r="BS33" i="71"/>
  <c r="BR33" i="71"/>
  <c r="BP33" i="71"/>
  <c r="BN33" i="71"/>
  <c r="BM33" i="71"/>
  <c r="BL33" i="71"/>
  <c r="BK33" i="71"/>
  <c r="BI33" i="71"/>
  <c r="BH33" i="71"/>
  <c r="BG33" i="71"/>
  <c r="BF33" i="71"/>
  <c r="BE33" i="71"/>
  <c r="BD33" i="71"/>
  <c r="BB33" i="71"/>
  <c r="BA33" i="71"/>
  <c r="AZ33" i="71"/>
  <c r="AX33" i="71"/>
  <c r="CG32" i="71"/>
  <c r="CF32" i="71"/>
  <c r="CE32" i="71"/>
  <c r="CD32" i="71"/>
  <c r="CC32" i="71"/>
  <c r="CA32" i="71"/>
  <c r="BZ32" i="71"/>
  <c r="BY32" i="71"/>
  <c r="BX32" i="71"/>
  <c r="BW32" i="71"/>
  <c r="BV32" i="71"/>
  <c r="BT32" i="71"/>
  <c r="BS32" i="71"/>
  <c r="BR32" i="71"/>
  <c r="BP32" i="71"/>
  <c r="BN32" i="71"/>
  <c r="BM32" i="71"/>
  <c r="BL32" i="71"/>
  <c r="BK32" i="71"/>
  <c r="BI32" i="71"/>
  <c r="BH32" i="71"/>
  <c r="BG32" i="71"/>
  <c r="BF32" i="71"/>
  <c r="BE32" i="71"/>
  <c r="BD32" i="71"/>
  <c r="BB32" i="71"/>
  <c r="BA32" i="71"/>
  <c r="AZ32" i="71"/>
  <c r="AX32" i="71"/>
  <c r="CG31" i="71"/>
  <c r="CF31" i="71"/>
  <c r="CE31" i="71"/>
  <c r="CD31" i="71"/>
  <c r="CC31" i="71"/>
  <c r="CA31" i="71"/>
  <c r="BZ31" i="71"/>
  <c r="BY31" i="71"/>
  <c r="BX31" i="71"/>
  <c r="BW31" i="71"/>
  <c r="BV31" i="71"/>
  <c r="BT31" i="71"/>
  <c r="BS31" i="71"/>
  <c r="BR31" i="71"/>
  <c r="BP31" i="71"/>
  <c r="BN31" i="71"/>
  <c r="BM31" i="71"/>
  <c r="BL31" i="71"/>
  <c r="BK31" i="71"/>
  <c r="BI31" i="71"/>
  <c r="BH31" i="71"/>
  <c r="BG31" i="71"/>
  <c r="BF31" i="71"/>
  <c r="BE31" i="71"/>
  <c r="BD31" i="71"/>
  <c r="BB31" i="71"/>
  <c r="BA31" i="71"/>
  <c r="AZ31" i="71"/>
  <c r="AX31" i="71"/>
  <c r="CG30" i="71"/>
  <c r="CF30" i="71"/>
  <c r="CE30" i="71"/>
  <c r="CD30" i="71"/>
  <c r="CC30" i="71"/>
  <c r="CA30" i="71"/>
  <c r="BZ30" i="71"/>
  <c r="BY30" i="71"/>
  <c r="BX30" i="71"/>
  <c r="BW30" i="71"/>
  <c r="BV30" i="71"/>
  <c r="BT30" i="71"/>
  <c r="BS30" i="71"/>
  <c r="BR30" i="71"/>
  <c r="BP30" i="71"/>
  <c r="BN30" i="71"/>
  <c r="BM30" i="71"/>
  <c r="BL30" i="71"/>
  <c r="BK30" i="71"/>
  <c r="BI30" i="71"/>
  <c r="BH30" i="71"/>
  <c r="BG30" i="71"/>
  <c r="BF30" i="71"/>
  <c r="BE30" i="71"/>
  <c r="BD30" i="71"/>
  <c r="BB30" i="71"/>
  <c r="BA30" i="71"/>
  <c r="AZ30" i="71"/>
  <c r="AX30" i="71"/>
  <c r="CG29" i="71"/>
  <c r="CF29" i="71"/>
  <c r="CE29" i="71"/>
  <c r="CD29" i="71"/>
  <c r="CC29" i="71"/>
  <c r="CA29" i="71"/>
  <c r="BZ29" i="71"/>
  <c r="BY29" i="71"/>
  <c r="BX29" i="71"/>
  <c r="BW29" i="71"/>
  <c r="BV29" i="71"/>
  <c r="BT29" i="71"/>
  <c r="BS29" i="71"/>
  <c r="BR29" i="71"/>
  <c r="BP29" i="71"/>
  <c r="BN29" i="71"/>
  <c r="BM29" i="71"/>
  <c r="BL29" i="71"/>
  <c r="BK29" i="71"/>
  <c r="BI29" i="71"/>
  <c r="BH29" i="71"/>
  <c r="BG29" i="71"/>
  <c r="BF29" i="71"/>
  <c r="BE29" i="71"/>
  <c r="BD29" i="71"/>
  <c r="BB29" i="71"/>
  <c r="BA29" i="71"/>
  <c r="AZ29" i="71"/>
  <c r="AX29" i="71"/>
  <c r="CG28" i="71"/>
  <c r="CF28" i="71"/>
  <c r="CE28" i="71"/>
  <c r="CD28" i="71"/>
  <c r="CC28" i="71"/>
  <c r="CA28" i="71"/>
  <c r="BZ28" i="71"/>
  <c r="BY28" i="71"/>
  <c r="BX28" i="71"/>
  <c r="BW28" i="71"/>
  <c r="BV28" i="71"/>
  <c r="BT28" i="71"/>
  <c r="BS28" i="71"/>
  <c r="BR28" i="71"/>
  <c r="BP28" i="71"/>
  <c r="BN28" i="71"/>
  <c r="BM28" i="71"/>
  <c r="BL28" i="71"/>
  <c r="BK28" i="71"/>
  <c r="BI28" i="71"/>
  <c r="BH28" i="71"/>
  <c r="BG28" i="71"/>
  <c r="BF28" i="71"/>
  <c r="BE28" i="71"/>
  <c r="BD28" i="71"/>
  <c r="BB28" i="71"/>
  <c r="BA28" i="71"/>
  <c r="AZ28" i="71"/>
  <c r="AX28" i="71"/>
  <c r="CG27" i="71"/>
  <c r="CF27" i="71"/>
  <c r="CE27" i="71"/>
  <c r="CD27" i="71"/>
  <c r="CC27" i="71"/>
  <c r="CA27" i="71"/>
  <c r="BZ27" i="71"/>
  <c r="BY27" i="71"/>
  <c r="BX27" i="71"/>
  <c r="BW27" i="71"/>
  <c r="BV27" i="71"/>
  <c r="BT27" i="71"/>
  <c r="BS27" i="71"/>
  <c r="BR27" i="71"/>
  <c r="BP27" i="71"/>
  <c r="BN27" i="71"/>
  <c r="BM27" i="71"/>
  <c r="BL27" i="71"/>
  <c r="BK27" i="71"/>
  <c r="BI27" i="71"/>
  <c r="BH27" i="71"/>
  <c r="BG27" i="71"/>
  <c r="BF27" i="71"/>
  <c r="BE27" i="71"/>
  <c r="BD27" i="71"/>
  <c r="BB27" i="71"/>
  <c r="BA27" i="71"/>
  <c r="AZ27" i="71"/>
  <c r="AX27" i="71"/>
  <c r="CG26" i="71"/>
  <c r="CF26" i="71"/>
  <c r="CE26" i="71"/>
  <c r="CD26" i="71"/>
  <c r="CC26" i="71"/>
  <c r="CA26" i="71"/>
  <c r="BZ26" i="71"/>
  <c r="BY26" i="71"/>
  <c r="BX26" i="71"/>
  <c r="BW26" i="71"/>
  <c r="BV26" i="71"/>
  <c r="BT26" i="71"/>
  <c r="BS26" i="71"/>
  <c r="BR26" i="71"/>
  <c r="BP26" i="71"/>
  <c r="BN26" i="71"/>
  <c r="BM26" i="71"/>
  <c r="BL26" i="71"/>
  <c r="BK26" i="71"/>
  <c r="BI26" i="71"/>
  <c r="BH26" i="71"/>
  <c r="BG26" i="71"/>
  <c r="BF26" i="71"/>
  <c r="BE26" i="71"/>
  <c r="BD26" i="71"/>
  <c r="BB26" i="71"/>
  <c r="BA26" i="71"/>
  <c r="AZ26" i="71"/>
  <c r="AX26" i="71"/>
  <c r="CG25" i="71"/>
  <c r="CF25" i="71"/>
  <c r="CE25" i="71"/>
  <c r="CD25" i="71"/>
  <c r="CC25" i="71"/>
  <c r="CA25" i="71"/>
  <c r="BZ25" i="71"/>
  <c r="BY25" i="71"/>
  <c r="BX25" i="71"/>
  <c r="BW25" i="71"/>
  <c r="BV25" i="71"/>
  <c r="BT25" i="71"/>
  <c r="BS25" i="71"/>
  <c r="BR25" i="71"/>
  <c r="BP25" i="71"/>
  <c r="BN25" i="71"/>
  <c r="BM25" i="71"/>
  <c r="BL25" i="71"/>
  <c r="BK25" i="71"/>
  <c r="BI25" i="71"/>
  <c r="BH25" i="71"/>
  <c r="BG25" i="71"/>
  <c r="BF25" i="71"/>
  <c r="BE25" i="71"/>
  <c r="BD25" i="71"/>
  <c r="BB25" i="71"/>
  <c r="BA25" i="71"/>
  <c r="AZ25" i="71"/>
  <c r="AX25" i="71"/>
  <c r="CG24" i="71"/>
  <c r="CF24" i="71"/>
  <c r="CE24" i="71"/>
  <c r="CD24" i="71"/>
  <c r="CC24" i="71"/>
  <c r="CA24" i="71"/>
  <c r="BZ24" i="71"/>
  <c r="BY24" i="71"/>
  <c r="BX24" i="71"/>
  <c r="BW24" i="71"/>
  <c r="BV24" i="71"/>
  <c r="BT24" i="71"/>
  <c r="BS24" i="71"/>
  <c r="BR24" i="71"/>
  <c r="BP24" i="71"/>
  <c r="BN24" i="71"/>
  <c r="BM24" i="71"/>
  <c r="BL24" i="71"/>
  <c r="BK24" i="71"/>
  <c r="BI24" i="71"/>
  <c r="BH24" i="71"/>
  <c r="BG24" i="71"/>
  <c r="BF24" i="71"/>
  <c r="BE24" i="71"/>
  <c r="BD24" i="71"/>
  <c r="BB24" i="71"/>
  <c r="BA24" i="71"/>
  <c r="AZ24" i="71"/>
  <c r="AX24" i="71"/>
  <c r="CG23" i="71"/>
  <c r="CF23" i="71"/>
  <c r="CE23" i="71"/>
  <c r="CD23" i="71"/>
  <c r="CC23" i="71"/>
  <c r="CA23" i="71"/>
  <c r="BZ23" i="71"/>
  <c r="BY23" i="71"/>
  <c r="BX23" i="71"/>
  <c r="BW23" i="71"/>
  <c r="BV23" i="71"/>
  <c r="BT23" i="71"/>
  <c r="BS23" i="71"/>
  <c r="BR23" i="71"/>
  <c r="BP23" i="71"/>
  <c r="BN23" i="71"/>
  <c r="BM23" i="71"/>
  <c r="BL23" i="71"/>
  <c r="BK23" i="71"/>
  <c r="BI23" i="71"/>
  <c r="BH23" i="71"/>
  <c r="BG23" i="71"/>
  <c r="BF23" i="71"/>
  <c r="BE23" i="71"/>
  <c r="BD23" i="71"/>
  <c r="BB23" i="71"/>
  <c r="BA23" i="71"/>
  <c r="AZ23" i="71"/>
  <c r="AX23" i="71"/>
  <c r="CG22" i="71"/>
  <c r="CF22" i="71"/>
  <c r="CE22" i="71"/>
  <c r="CD22" i="71"/>
  <c r="CC22" i="71"/>
  <c r="CA22" i="71"/>
  <c r="BZ22" i="71"/>
  <c r="BY22" i="71"/>
  <c r="BX22" i="71"/>
  <c r="BW22" i="71"/>
  <c r="BV22" i="71"/>
  <c r="BT22" i="71"/>
  <c r="BS22" i="71"/>
  <c r="BR22" i="71"/>
  <c r="BP22" i="71"/>
  <c r="BN22" i="71"/>
  <c r="BM22" i="71"/>
  <c r="BL22" i="71"/>
  <c r="BK22" i="71"/>
  <c r="BI22" i="71"/>
  <c r="BH22" i="71"/>
  <c r="BG22" i="71"/>
  <c r="BF22" i="71"/>
  <c r="BE22" i="71"/>
  <c r="BD22" i="71"/>
  <c r="BB22" i="71"/>
  <c r="BA22" i="71"/>
  <c r="AZ22" i="71"/>
  <c r="AX22" i="71"/>
  <c r="CG21" i="71"/>
  <c r="CF21" i="71"/>
  <c r="CE21" i="71"/>
  <c r="CD21" i="71"/>
  <c r="CC21" i="71"/>
  <c r="CA21" i="71"/>
  <c r="BZ21" i="71"/>
  <c r="BY21" i="71"/>
  <c r="BX21" i="71"/>
  <c r="BW21" i="71"/>
  <c r="BV21" i="71"/>
  <c r="BT21" i="71"/>
  <c r="BS21" i="71"/>
  <c r="BR21" i="71"/>
  <c r="BP21" i="71"/>
  <c r="BN21" i="71"/>
  <c r="BM21" i="71"/>
  <c r="BL21" i="71"/>
  <c r="BK21" i="71"/>
  <c r="BI21" i="71"/>
  <c r="BH21" i="71"/>
  <c r="BG21" i="71"/>
  <c r="BF21" i="71"/>
  <c r="BE21" i="71"/>
  <c r="BD21" i="71"/>
  <c r="BB21" i="71"/>
  <c r="BA21" i="71"/>
  <c r="AZ21" i="71"/>
  <c r="AX21" i="71"/>
  <c r="CG20" i="71"/>
  <c r="CF20" i="71"/>
  <c r="CE20" i="71"/>
  <c r="CD20" i="71"/>
  <c r="CC20" i="71"/>
  <c r="CA20" i="71"/>
  <c r="BZ20" i="71"/>
  <c r="BY20" i="71"/>
  <c r="BX20" i="71"/>
  <c r="BW20" i="71"/>
  <c r="BV20" i="71"/>
  <c r="BT20" i="71"/>
  <c r="BS20" i="71"/>
  <c r="BR20" i="71"/>
  <c r="BP20" i="71"/>
  <c r="BN20" i="71"/>
  <c r="BM20" i="71"/>
  <c r="BL20" i="71"/>
  <c r="BK20" i="71"/>
  <c r="BI20" i="71"/>
  <c r="BH20" i="71"/>
  <c r="BG20" i="71"/>
  <c r="BF20" i="71"/>
  <c r="BE20" i="71"/>
  <c r="BD20" i="71"/>
  <c r="BB20" i="71"/>
  <c r="BA20" i="71"/>
  <c r="AZ20" i="71"/>
  <c r="AX20" i="71"/>
  <c r="CG19" i="71"/>
  <c r="CF19" i="71"/>
  <c r="CE19" i="71"/>
  <c r="CD19" i="71"/>
  <c r="CC19" i="71"/>
  <c r="CA19" i="71"/>
  <c r="BZ19" i="71"/>
  <c r="BY19" i="71"/>
  <c r="BX19" i="71"/>
  <c r="BW19" i="71"/>
  <c r="BV19" i="71"/>
  <c r="BT19" i="71"/>
  <c r="BS19" i="71"/>
  <c r="BR19" i="71"/>
  <c r="BP19" i="71"/>
  <c r="BN19" i="71"/>
  <c r="BM19" i="71"/>
  <c r="BL19" i="71"/>
  <c r="BK19" i="71"/>
  <c r="BI19" i="71"/>
  <c r="BH19" i="71"/>
  <c r="BG19" i="71"/>
  <c r="BF19" i="71"/>
  <c r="BE19" i="71"/>
  <c r="BD19" i="71"/>
  <c r="BB19" i="71"/>
  <c r="BA19" i="71"/>
  <c r="AZ19" i="71"/>
  <c r="AX19" i="71"/>
  <c r="CG18" i="71"/>
  <c r="CF18" i="71"/>
  <c r="CE18" i="71"/>
  <c r="CD18" i="71"/>
  <c r="CC18" i="71"/>
  <c r="CA18" i="71"/>
  <c r="BZ18" i="71"/>
  <c r="BY18" i="71"/>
  <c r="BX18" i="71"/>
  <c r="BW18" i="71"/>
  <c r="BV18" i="71"/>
  <c r="BT18" i="71"/>
  <c r="BS18" i="71"/>
  <c r="BR18" i="71"/>
  <c r="BP18" i="71"/>
  <c r="BN18" i="71"/>
  <c r="BM18" i="71"/>
  <c r="BL18" i="71"/>
  <c r="BK18" i="71"/>
  <c r="BI18" i="71"/>
  <c r="BH18" i="71"/>
  <c r="BG18" i="71"/>
  <c r="BF18" i="71"/>
  <c r="BE18" i="71"/>
  <c r="BD18" i="71"/>
  <c r="BB18" i="71"/>
  <c r="BA18" i="71"/>
  <c r="AZ18" i="71"/>
  <c r="AX18" i="71"/>
  <c r="CG17" i="71"/>
  <c r="CF17" i="71"/>
  <c r="CE17" i="71"/>
  <c r="CD17" i="71"/>
  <c r="CC17" i="71"/>
  <c r="CA17" i="71"/>
  <c r="BZ17" i="71"/>
  <c r="BY17" i="71"/>
  <c r="BX17" i="71"/>
  <c r="BW17" i="71"/>
  <c r="BV17" i="71"/>
  <c r="BT17" i="71"/>
  <c r="BS17" i="71"/>
  <c r="BR17" i="71"/>
  <c r="BP17" i="71"/>
  <c r="BN17" i="71"/>
  <c r="BM17" i="71"/>
  <c r="BL17" i="71"/>
  <c r="BK17" i="71"/>
  <c r="BI17" i="71"/>
  <c r="BH17" i="71"/>
  <c r="BG17" i="71"/>
  <c r="BF17" i="71"/>
  <c r="BE17" i="71"/>
  <c r="BD17" i="71"/>
  <c r="BB17" i="71"/>
  <c r="BA17" i="71"/>
  <c r="AZ17" i="71"/>
  <c r="AX17" i="71"/>
  <c r="CG16" i="71"/>
  <c r="CF16" i="71"/>
  <c r="CE16" i="71"/>
  <c r="CD16" i="71"/>
  <c r="CC16" i="71"/>
  <c r="CA16" i="71"/>
  <c r="BZ16" i="71"/>
  <c r="BY16" i="71"/>
  <c r="BX16" i="71"/>
  <c r="BW16" i="71"/>
  <c r="BV16" i="71"/>
  <c r="BT16" i="71"/>
  <c r="BS16" i="71"/>
  <c r="BR16" i="71"/>
  <c r="BP16" i="71"/>
  <c r="BN16" i="71"/>
  <c r="BM16" i="71"/>
  <c r="BL16" i="71"/>
  <c r="BK16" i="71"/>
  <c r="BI16" i="71"/>
  <c r="BH16" i="71"/>
  <c r="BG16" i="71"/>
  <c r="BF16" i="71"/>
  <c r="BE16" i="71"/>
  <c r="BD16" i="71"/>
  <c r="BB16" i="71"/>
  <c r="BA16" i="71"/>
  <c r="AZ16" i="71"/>
  <c r="AX16" i="71"/>
  <c r="CG15" i="71"/>
  <c r="CF15" i="71"/>
  <c r="CE15" i="71"/>
  <c r="CD15" i="71"/>
  <c r="CC15" i="71"/>
  <c r="CA15" i="71"/>
  <c r="BZ15" i="71"/>
  <c r="BY15" i="71"/>
  <c r="BX15" i="71"/>
  <c r="BW15" i="71"/>
  <c r="BV15" i="71"/>
  <c r="BT15" i="71"/>
  <c r="BS15" i="71"/>
  <c r="BR15" i="71"/>
  <c r="BP15" i="71"/>
  <c r="BN15" i="71"/>
  <c r="BM15" i="71"/>
  <c r="BL15" i="71"/>
  <c r="BK15" i="71"/>
  <c r="BI15" i="71"/>
  <c r="BH15" i="71"/>
  <c r="BG15" i="71"/>
  <c r="BF15" i="71"/>
  <c r="BE15" i="71"/>
  <c r="BD15" i="71"/>
  <c r="BB15" i="71"/>
  <c r="BA15" i="71"/>
  <c r="AZ15" i="71"/>
  <c r="AX15" i="71"/>
  <c r="CG14" i="71"/>
  <c r="CF14" i="71"/>
  <c r="CE14" i="71"/>
  <c r="CD14" i="71"/>
  <c r="CC14" i="71"/>
  <c r="CA14" i="71"/>
  <c r="BZ14" i="71"/>
  <c r="BY14" i="71"/>
  <c r="BX14" i="71"/>
  <c r="BW14" i="71"/>
  <c r="BV14" i="71"/>
  <c r="BT14" i="71"/>
  <c r="BS14" i="71"/>
  <c r="BR14" i="71"/>
  <c r="BP14" i="71"/>
  <c r="BN14" i="71"/>
  <c r="BM14" i="71"/>
  <c r="BL14" i="71"/>
  <c r="BK14" i="71"/>
  <c r="BI14" i="71"/>
  <c r="BH14" i="71"/>
  <c r="BG14" i="71"/>
  <c r="BF14" i="71"/>
  <c r="BE14" i="71"/>
  <c r="BD14" i="71"/>
  <c r="BB14" i="71"/>
  <c r="BA14" i="71"/>
  <c r="AZ14" i="71"/>
  <c r="AX14" i="71"/>
  <c r="CG13" i="71"/>
  <c r="CF13" i="71"/>
  <c r="CE13" i="71"/>
  <c r="CD13" i="71"/>
  <c r="CC13" i="71"/>
  <c r="CA13" i="71"/>
  <c r="BZ13" i="71"/>
  <c r="BY13" i="71"/>
  <c r="BX13" i="71"/>
  <c r="BW13" i="71"/>
  <c r="BV13" i="71"/>
  <c r="BT13" i="71"/>
  <c r="BS13" i="71"/>
  <c r="BR13" i="71"/>
  <c r="BP13" i="71"/>
  <c r="BN13" i="71"/>
  <c r="BM13" i="71"/>
  <c r="BL13" i="71"/>
  <c r="BK13" i="71"/>
  <c r="BI13" i="71"/>
  <c r="BH13" i="71"/>
  <c r="BG13" i="71"/>
  <c r="BF13" i="71"/>
  <c r="BE13" i="71"/>
  <c r="BD13" i="71"/>
  <c r="BB13" i="71"/>
  <c r="BA13" i="71"/>
  <c r="AZ13" i="71"/>
  <c r="AX13" i="71"/>
  <c r="CG12" i="71"/>
  <c r="CF12" i="71"/>
  <c r="CE12" i="71"/>
  <c r="CD12" i="71"/>
  <c r="CC12" i="71"/>
  <c r="CA12" i="71"/>
  <c r="BZ12" i="71"/>
  <c r="BY12" i="71"/>
  <c r="BX12" i="71"/>
  <c r="BW12" i="71"/>
  <c r="BV12" i="71"/>
  <c r="BT12" i="71"/>
  <c r="BS12" i="71"/>
  <c r="BR12" i="71"/>
  <c r="BP12" i="71"/>
  <c r="BN12" i="71"/>
  <c r="BM12" i="71"/>
  <c r="BL12" i="71"/>
  <c r="BK12" i="71"/>
  <c r="BI12" i="71"/>
  <c r="BH12" i="71"/>
  <c r="BG12" i="71"/>
  <c r="BF12" i="71"/>
  <c r="BE12" i="71"/>
  <c r="BD12" i="71"/>
  <c r="BB12" i="71"/>
  <c r="BA12" i="71"/>
  <c r="AZ12" i="71"/>
  <c r="AX12" i="71"/>
  <c r="CG11" i="71"/>
  <c r="CF11" i="71"/>
  <c r="CE11" i="71"/>
  <c r="CD11" i="71"/>
  <c r="CC11" i="71"/>
  <c r="CA11" i="71"/>
  <c r="BZ11" i="71"/>
  <c r="BY11" i="71"/>
  <c r="BX11" i="71"/>
  <c r="BW11" i="71"/>
  <c r="BV11" i="71"/>
  <c r="BT11" i="71"/>
  <c r="BS11" i="71"/>
  <c r="BR11" i="71"/>
  <c r="BP11" i="71"/>
  <c r="BN11" i="71"/>
  <c r="BM11" i="71"/>
  <c r="BL11" i="71"/>
  <c r="BK11" i="71"/>
  <c r="BI11" i="71"/>
  <c r="BH11" i="71"/>
  <c r="BG11" i="71"/>
  <c r="BF11" i="71"/>
  <c r="BE11" i="71"/>
  <c r="BD11" i="71"/>
  <c r="BB11" i="71"/>
  <c r="BA11" i="71"/>
  <c r="AZ11" i="71"/>
  <c r="AX11" i="71"/>
  <c r="CG10" i="71"/>
  <c r="CF10" i="71"/>
  <c r="CE10" i="71"/>
  <c r="CD10" i="71"/>
  <c r="CC10" i="71"/>
  <c r="CA10" i="71"/>
  <c r="BZ10" i="71"/>
  <c r="BY10" i="71"/>
  <c r="BX10" i="71"/>
  <c r="BW10" i="71"/>
  <c r="BV10" i="71"/>
  <c r="BT10" i="71"/>
  <c r="BS10" i="71"/>
  <c r="BR10" i="71"/>
  <c r="BP10" i="71"/>
  <c r="BN10" i="71"/>
  <c r="BM10" i="71"/>
  <c r="BL10" i="71"/>
  <c r="BK10" i="71"/>
  <c r="BI10" i="71"/>
  <c r="BH10" i="71"/>
  <c r="BG10" i="71"/>
  <c r="BF10" i="71"/>
  <c r="BE10" i="71"/>
  <c r="BD10" i="71"/>
  <c r="BB10" i="71"/>
  <c r="BA10" i="71"/>
  <c r="AZ10" i="71"/>
  <c r="AX10" i="71"/>
  <c r="CG9" i="71"/>
  <c r="CF9" i="71"/>
  <c r="CE9" i="71"/>
  <c r="CD9" i="71"/>
  <c r="CC9" i="71"/>
  <c r="CA9" i="71"/>
  <c r="BZ9" i="71"/>
  <c r="BY9" i="71"/>
  <c r="BX9" i="71"/>
  <c r="BW9" i="71"/>
  <c r="BV9" i="71"/>
  <c r="BT9" i="71"/>
  <c r="BS9" i="71"/>
  <c r="BR9" i="71"/>
  <c r="BP9" i="71"/>
  <c r="BN9" i="71"/>
  <c r="BM9" i="71"/>
  <c r="BL9" i="71"/>
  <c r="BK9" i="71"/>
  <c r="BI9" i="71"/>
  <c r="BH9" i="71"/>
  <c r="BG9" i="71"/>
  <c r="BF9" i="71"/>
  <c r="BE9" i="71"/>
  <c r="BD9" i="71"/>
  <c r="BB9" i="71"/>
  <c r="BA9" i="71"/>
  <c r="AZ9" i="71"/>
  <c r="AX9" i="71"/>
  <c r="CG8" i="71"/>
  <c r="CF8" i="71"/>
  <c r="CE8" i="71"/>
  <c r="CD8" i="71"/>
  <c r="CC8" i="71"/>
  <c r="CA8" i="71"/>
  <c r="BZ8" i="71"/>
  <c r="BY8" i="71"/>
  <c r="BX8" i="71"/>
  <c r="BW8" i="71"/>
  <c r="BV8" i="71"/>
  <c r="BT8" i="71"/>
  <c r="BS8" i="71"/>
  <c r="BR8" i="71"/>
  <c r="BP8" i="71"/>
  <c r="BN8" i="71"/>
  <c r="BM8" i="71"/>
  <c r="BL8" i="71"/>
  <c r="BK8" i="71"/>
  <c r="BI8" i="71"/>
  <c r="BH8" i="71"/>
  <c r="BG8" i="71"/>
  <c r="BF8" i="71"/>
  <c r="BE8" i="71"/>
  <c r="BD8" i="71"/>
  <c r="BB8" i="71"/>
  <c r="BA8" i="71"/>
  <c r="AZ8" i="71"/>
  <c r="AX8" i="71"/>
  <c r="CG7" i="71"/>
  <c r="CF7" i="71"/>
  <c r="CE7" i="71"/>
  <c r="CD7" i="71"/>
  <c r="CC7" i="71"/>
  <c r="CA7" i="71"/>
  <c r="BZ7" i="71"/>
  <c r="BY7" i="71"/>
  <c r="BX7" i="71"/>
  <c r="BW7" i="71"/>
  <c r="BV7" i="71"/>
  <c r="BT7" i="71"/>
  <c r="BS7" i="71"/>
  <c r="BR7" i="71"/>
  <c r="BP7" i="71"/>
  <c r="BN7" i="71"/>
  <c r="BM7" i="71"/>
  <c r="BL7" i="71"/>
  <c r="BK7" i="71"/>
  <c r="BI7" i="71"/>
  <c r="BH7" i="71"/>
  <c r="BG7" i="71"/>
  <c r="BF7" i="71"/>
  <c r="BE7" i="71"/>
  <c r="BD7" i="71"/>
  <c r="BB7" i="71"/>
  <c r="BA7" i="71"/>
  <c r="AZ7" i="71"/>
  <c r="AX7" i="71"/>
  <c r="CG6" i="71"/>
  <c r="CF6" i="71"/>
  <c r="CE6" i="71"/>
  <c r="CD6" i="71"/>
  <c r="CC6" i="71"/>
  <c r="CA6" i="71"/>
  <c r="BZ6" i="71"/>
  <c r="BY6" i="71"/>
  <c r="BX6" i="71"/>
  <c r="BW6" i="71"/>
  <c r="BV6" i="71"/>
  <c r="BT6" i="71"/>
  <c r="BS6" i="71"/>
  <c r="BR6" i="71"/>
  <c r="BP6" i="71"/>
  <c r="BN6" i="71"/>
  <c r="BM6" i="71"/>
  <c r="BL6" i="71"/>
  <c r="BK6" i="71"/>
  <c r="BI6" i="71"/>
  <c r="BH6" i="71"/>
  <c r="BG6" i="71"/>
  <c r="BF6" i="71"/>
  <c r="BE6" i="71"/>
  <c r="BD6" i="71"/>
  <c r="BB6" i="71"/>
  <c r="BA6" i="71"/>
  <c r="AZ6" i="71"/>
  <c r="AX6" i="71"/>
  <c r="CG5" i="71"/>
  <c r="CF5" i="71"/>
  <c r="CE5" i="71"/>
  <c r="CD5" i="71"/>
  <c r="CC5" i="71"/>
  <c r="CA5" i="71"/>
  <c r="BZ5" i="71"/>
  <c r="BY5" i="71"/>
  <c r="BX5" i="71"/>
  <c r="BW5" i="71"/>
  <c r="BV5" i="71"/>
  <c r="BT5" i="71"/>
  <c r="BS5" i="71"/>
  <c r="BR5" i="71"/>
  <c r="BP5" i="71"/>
  <c r="BN5" i="71"/>
  <c r="BM5" i="71"/>
  <c r="BL5" i="71"/>
  <c r="BK5" i="71"/>
  <c r="BI5" i="71"/>
  <c r="BH5" i="71"/>
  <c r="BG5" i="71"/>
  <c r="BF5" i="71"/>
  <c r="BE5" i="71"/>
  <c r="BD5" i="71"/>
  <c r="BB5" i="71"/>
  <c r="BA5" i="71"/>
  <c r="AZ5" i="71"/>
  <c r="AX5" i="71"/>
  <c r="CG4" i="71"/>
  <c r="CF4" i="71"/>
  <c r="CE4" i="71"/>
  <c r="CD4" i="71"/>
  <c r="CC4" i="71"/>
  <c r="CA4" i="71"/>
  <c r="BZ4" i="71"/>
  <c r="BY4" i="71"/>
  <c r="BX4" i="71"/>
  <c r="BW4" i="71"/>
  <c r="BV4" i="71"/>
  <c r="BT4" i="71"/>
  <c r="BS4" i="71"/>
  <c r="BR4" i="71"/>
  <c r="BP4" i="71"/>
  <c r="BN4" i="71"/>
  <c r="BM4" i="71"/>
  <c r="BL4" i="71"/>
  <c r="BK4" i="71"/>
  <c r="BI4" i="71"/>
  <c r="BH4" i="71"/>
  <c r="BG4" i="71"/>
  <c r="BF4" i="71"/>
  <c r="BE4" i="71"/>
  <c r="BD4" i="71"/>
  <c r="BB4" i="71"/>
  <c r="BA4" i="71"/>
  <c r="AZ4" i="71"/>
  <c r="AX4" i="71"/>
  <c r="A4" i="71"/>
  <c r="A5" i="71" s="1"/>
  <c r="B5" i="71" s="1"/>
  <c r="AW36" i="72"/>
  <c r="AV36" i="72"/>
  <c r="AU36" i="72"/>
  <c r="AT36" i="72"/>
  <c r="AS36" i="72"/>
  <c r="AR36" i="72"/>
  <c r="AQ36" i="72"/>
  <c r="AP36" i="72"/>
  <c r="AO36" i="72"/>
  <c r="AN36" i="72"/>
  <c r="AM36" i="72"/>
  <c r="AL36" i="72"/>
  <c r="AK36" i="72"/>
  <c r="AJ36" i="72"/>
  <c r="AI36" i="72"/>
  <c r="AH36" i="72"/>
  <c r="AG36" i="72"/>
  <c r="AF36" i="72"/>
  <c r="AE36" i="72"/>
  <c r="AD36" i="72"/>
  <c r="AC36" i="72"/>
  <c r="AB36" i="72"/>
  <c r="AA36" i="72"/>
  <c r="Z36" i="72"/>
  <c r="Y36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BT36" i="72" s="1"/>
  <c r="I36" i="72"/>
  <c r="H36" i="72"/>
  <c r="G36" i="72"/>
  <c r="F36" i="72"/>
  <c r="E36" i="72"/>
  <c r="D36" i="72"/>
  <c r="C36" i="72"/>
  <c r="AW35" i="72"/>
  <c r="AV35" i="72"/>
  <c r="AU35" i="72"/>
  <c r="AT35" i="72"/>
  <c r="AS35" i="72"/>
  <c r="AR35" i="72"/>
  <c r="AQ35" i="72"/>
  <c r="AP35" i="72"/>
  <c r="AO35" i="72"/>
  <c r="AN35" i="72"/>
  <c r="AM35" i="72"/>
  <c r="AL35" i="72"/>
  <c r="AK35" i="72"/>
  <c r="AJ35" i="72"/>
  <c r="AI35" i="72"/>
  <c r="AH35" i="72"/>
  <c r="AG35" i="72"/>
  <c r="AF35" i="72"/>
  <c r="AE35" i="72"/>
  <c r="AD35" i="72"/>
  <c r="AC35" i="72"/>
  <c r="AB35" i="72"/>
  <c r="AA35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H35" i="72"/>
  <c r="G35" i="72"/>
  <c r="BH35" i="72" s="1"/>
  <c r="F35" i="72"/>
  <c r="E35" i="72"/>
  <c r="D35" i="72"/>
  <c r="C35" i="72"/>
  <c r="CG34" i="72"/>
  <c r="CF34" i="72"/>
  <c r="CE34" i="72"/>
  <c r="CD34" i="72"/>
  <c r="CC34" i="72"/>
  <c r="CA34" i="72"/>
  <c r="BZ34" i="72"/>
  <c r="BY34" i="72"/>
  <c r="BX34" i="72"/>
  <c r="BW34" i="72"/>
  <c r="BV34" i="72"/>
  <c r="BT34" i="72"/>
  <c r="BS34" i="72"/>
  <c r="BR34" i="72"/>
  <c r="BP34" i="72"/>
  <c r="BN34" i="72"/>
  <c r="BM34" i="72"/>
  <c r="BL34" i="72"/>
  <c r="BK34" i="72"/>
  <c r="BI34" i="72"/>
  <c r="BH34" i="72"/>
  <c r="BG34" i="72"/>
  <c r="BF34" i="72"/>
  <c r="BE34" i="72"/>
  <c r="BD34" i="72"/>
  <c r="BB34" i="72"/>
  <c r="BA34" i="72"/>
  <c r="AZ34" i="72"/>
  <c r="AX34" i="72"/>
  <c r="CG33" i="72"/>
  <c r="CF33" i="72"/>
  <c r="CE33" i="72"/>
  <c r="CD33" i="72"/>
  <c r="CC33" i="72"/>
  <c r="CA33" i="72"/>
  <c r="BZ33" i="72"/>
  <c r="BY33" i="72"/>
  <c r="BX33" i="72"/>
  <c r="BW33" i="72"/>
  <c r="BV33" i="72"/>
  <c r="BT33" i="72"/>
  <c r="BS33" i="72"/>
  <c r="BR33" i="72"/>
  <c r="BP33" i="72"/>
  <c r="BN33" i="72"/>
  <c r="BM33" i="72"/>
  <c r="BL33" i="72"/>
  <c r="BK33" i="72"/>
  <c r="BI33" i="72"/>
  <c r="BH33" i="72"/>
  <c r="BG33" i="72"/>
  <c r="BF33" i="72"/>
  <c r="BE33" i="72"/>
  <c r="BD33" i="72"/>
  <c r="BB33" i="72"/>
  <c r="BA33" i="72"/>
  <c r="AZ33" i="72"/>
  <c r="AX33" i="72"/>
  <c r="CG32" i="72"/>
  <c r="CF32" i="72"/>
  <c r="CE32" i="72"/>
  <c r="CD32" i="72"/>
  <c r="CC32" i="72"/>
  <c r="CA32" i="72"/>
  <c r="BZ32" i="72"/>
  <c r="BY32" i="72"/>
  <c r="BX32" i="72"/>
  <c r="BW32" i="72"/>
  <c r="BV32" i="72"/>
  <c r="BT32" i="72"/>
  <c r="BS32" i="72"/>
  <c r="BR32" i="72"/>
  <c r="BP32" i="72"/>
  <c r="BN32" i="72"/>
  <c r="BM32" i="72"/>
  <c r="BL32" i="72"/>
  <c r="BK32" i="72"/>
  <c r="BI32" i="72"/>
  <c r="BH32" i="72"/>
  <c r="BG32" i="72"/>
  <c r="BF32" i="72"/>
  <c r="BE32" i="72"/>
  <c r="BD32" i="72"/>
  <c r="BB32" i="72"/>
  <c r="BA32" i="72"/>
  <c r="AZ32" i="72"/>
  <c r="AX32" i="72"/>
  <c r="CG31" i="72"/>
  <c r="CF31" i="72"/>
  <c r="CE31" i="72"/>
  <c r="CD31" i="72"/>
  <c r="CC31" i="72"/>
  <c r="CA31" i="72"/>
  <c r="BZ31" i="72"/>
  <c r="BY31" i="72"/>
  <c r="BX31" i="72"/>
  <c r="BW31" i="72"/>
  <c r="BV31" i="72"/>
  <c r="BT31" i="72"/>
  <c r="BS31" i="72"/>
  <c r="BR31" i="72"/>
  <c r="BP31" i="72"/>
  <c r="BN31" i="72"/>
  <c r="BM31" i="72"/>
  <c r="BL31" i="72"/>
  <c r="BK31" i="72"/>
  <c r="BI31" i="72"/>
  <c r="BH31" i="72"/>
  <c r="BG31" i="72"/>
  <c r="BF31" i="72"/>
  <c r="BE31" i="72"/>
  <c r="BD31" i="72"/>
  <c r="BB31" i="72"/>
  <c r="BA31" i="72"/>
  <c r="AZ31" i="72"/>
  <c r="AX31" i="72"/>
  <c r="CG30" i="72"/>
  <c r="CF30" i="72"/>
  <c r="CE30" i="72"/>
  <c r="CD30" i="72"/>
  <c r="CC30" i="72"/>
  <c r="CA30" i="72"/>
  <c r="BZ30" i="72"/>
  <c r="BY30" i="72"/>
  <c r="BX30" i="72"/>
  <c r="BW30" i="72"/>
  <c r="BV30" i="72"/>
  <c r="BT30" i="72"/>
  <c r="BS30" i="72"/>
  <c r="BR30" i="72"/>
  <c r="BP30" i="72"/>
  <c r="BN30" i="72"/>
  <c r="BM30" i="72"/>
  <c r="BL30" i="72"/>
  <c r="BK30" i="72"/>
  <c r="BI30" i="72"/>
  <c r="BH30" i="72"/>
  <c r="BG30" i="72"/>
  <c r="BF30" i="72"/>
  <c r="BE30" i="72"/>
  <c r="BD30" i="72"/>
  <c r="BB30" i="72"/>
  <c r="BA30" i="72"/>
  <c r="AZ30" i="72"/>
  <c r="AX30" i="72"/>
  <c r="CG29" i="72"/>
  <c r="CF29" i="72"/>
  <c r="CE29" i="72"/>
  <c r="CD29" i="72"/>
  <c r="CC29" i="72"/>
  <c r="CA29" i="72"/>
  <c r="BZ29" i="72"/>
  <c r="BY29" i="72"/>
  <c r="BX29" i="72"/>
  <c r="BW29" i="72"/>
  <c r="BV29" i="72"/>
  <c r="BT29" i="72"/>
  <c r="BS29" i="72"/>
  <c r="BR29" i="72"/>
  <c r="BP29" i="72"/>
  <c r="BN29" i="72"/>
  <c r="BM29" i="72"/>
  <c r="BL29" i="72"/>
  <c r="BK29" i="72"/>
  <c r="BI29" i="72"/>
  <c r="BH29" i="72"/>
  <c r="BG29" i="72"/>
  <c r="BF29" i="72"/>
  <c r="BE29" i="72"/>
  <c r="BD29" i="72"/>
  <c r="BB29" i="72"/>
  <c r="BA29" i="72"/>
  <c r="AZ29" i="72"/>
  <c r="AX29" i="72"/>
  <c r="CG28" i="72"/>
  <c r="CF28" i="72"/>
  <c r="CE28" i="72"/>
  <c r="CD28" i="72"/>
  <c r="CC28" i="72"/>
  <c r="CA28" i="72"/>
  <c r="BZ28" i="72"/>
  <c r="BY28" i="72"/>
  <c r="BX28" i="72"/>
  <c r="BW28" i="72"/>
  <c r="BV28" i="72"/>
  <c r="BT28" i="72"/>
  <c r="BS28" i="72"/>
  <c r="BR28" i="72"/>
  <c r="BP28" i="72"/>
  <c r="BN28" i="72"/>
  <c r="BM28" i="72"/>
  <c r="BL28" i="72"/>
  <c r="BK28" i="72"/>
  <c r="BI28" i="72"/>
  <c r="BH28" i="72"/>
  <c r="BG28" i="72"/>
  <c r="BF28" i="72"/>
  <c r="BE28" i="72"/>
  <c r="BD28" i="72"/>
  <c r="BB28" i="72"/>
  <c r="BA28" i="72"/>
  <c r="AZ28" i="72"/>
  <c r="AX28" i="72"/>
  <c r="CG27" i="72"/>
  <c r="CF27" i="72"/>
  <c r="CE27" i="72"/>
  <c r="CD27" i="72"/>
  <c r="CC27" i="72"/>
  <c r="CA27" i="72"/>
  <c r="BZ27" i="72"/>
  <c r="BY27" i="72"/>
  <c r="BX27" i="72"/>
  <c r="BW27" i="72"/>
  <c r="BV27" i="72"/>
  <c r="BT27" i="72"/>
  <c r="BS27" i="72"/>
  <c r="BR27" i="72"/>
  <c r="BP27" i="72"/>
  <c r="BN27" i="72"/>
  <c r="BM27" i="72"/>
  <c r="BL27" i="72"/>
  <c r="BK27" i="72"/>
  <c r="BI27" i="72"/>
  <c r="BH27" i="72"/>
  <c r="BG27" i="72"/>
  <c r="BF27" i="72"/>
  <c r="BE27" i="72"/>
  <c r="BD27" i="72"/>
  <c r="BB27" i="72"/>
  <c r="BA27" i="72"/>
  <c r="AZ27" i="72"/>
  <c r="AX27" i="72"/>
  <c r="CG26" i="72"/>
  <c r="CF26" i="72"/>
  <c r="CE26" i="72"/>
  <c r="CD26" i="72"/>
  <c r="CC26" i="72"/>
  <c r="CA26" i="72"/>
  <c r="BZ26" i="72"/>
  <c r="BY26" i="72"/>
  <c r="BX26" i="72"/>
  <c r="BW26" i="72"/>
  <c r="BV26" i="72"/>
  <c r="BT26" i="72"/>
  <c r="BS26" i="72"/>
  <c r="BR26" i="72"/>
  <c r="BP26" i="72"/>
  <c r="BN26" i="72"/>
  <c r="BM26" i="72"/>
  <c r="BL26" i="72"/>
  <c r="BK26" i="72"/>
  <c r="BI26" i="72"/>
  <c r="BH26" i="72"/>
  <c r="BG26" i="72"/>
  <c r="BF26" i="72"/>
  <c r="BE26" i="72"/>
  <c r="BD26" i="72"/>
  <c r="BB26" i="72"/>
  <c r="BA26" i="72"/>
  <c r="AZ26" i="72"/>
  <c r="AX26" i="72"/>
  <c r="CG25" i="72"/>
  <c r="CF25" i="72"/>
  <c r="CE25" i="72"/>
  <c r="CD25" i="72"/>
  <c r="CC25" i="72"/>
  <c r="CA25" i="72"/>
  <c r="BZ25" i="72"/>
  <c r="BY25" i="72"/>
  <c r="BX25" i="72"/>
  <c r="BW25" i="72"/>
  <c r="BV25" i="72"/>
  <c r="BT25" i="72"/>
  <c r="BS25" i="72"/>
  <c r="BR25" i="72"/>
  <c r="BP25" i="72"/>
  <c r="BN25" i="72"/>
  <c r="BM25" i="72"/>
  <c r="BL25" i="72"/>
  <c r="BK25" i="72"/>
  <c r="BI25" i="72"/>
  <c r="BH25" i="72"/>
  <c r="BG25" i="72"/>
  <c r="BF25" i="72"/>
  <c r="BE25" i="72"/>
  <c r="BD25" i="72"/>
  <c r="BB25" i="72"/>
  <c r="BA25" i="72"/>
  <c r="AZ25" i="72"/>
  <c r="AX25" i="72"/>
  <c r="CG24" i="72"/>
  <c r="CF24" i="72"/>
  <c r="CE24" i="72"/>
  <c r="CD24" i="72"/>
  <c r="CC24" i="72"/>
  <c r="CA24" i="72"/>
  <c r="BZ24" i="72"/>
  <c r="BY24" i="72"/>
  <c r="BX24" i="72"/>
  <c r="BW24" i="72"/>
  <c r="BV24" i="72"/>
  <c r="BT24" i="72"/>
  <c r="BS24" i="72"/>
  <c r="BR24" i="72"/>
  <c r="BP24" i="72"/>
  <c r="BN24" i="72"/>
  <c r="BM24" i="72"/>
  <c r="BL24" i="72"/>
  <c r="BK24" i="72"/>
  <c r="BI24" i="72"/>
  <c r="BH24" i="72"/>
  <c r="BG24" i="72"/>
  <c r="BF24" i="72"/>
  <c r="BE24" i="72"/>
  <c r="BD24" i="72"/>
  <c r="BB24" i="72"/>
  <c r="BA24" i="72"/>
  <c r="AZ24" i="72"/>
  <c r="AX24" i="72"/>
  <c r="CG23" i="72"/>
  <c r="CF23" i="72"/>
  <c r="CE23" i="72"/>
  <c r="CD23" i="72"/>
  <c r="CC23" i="72"/>
  <c r="CA23" i="72"/>
  <c r="BZ23" i="72"/>
  <c r="BY23" i="72"/>
  <c r="BX23" i="72"/>
  <c r="BW23" i="72"/>
  <c r="BV23" i="72"/>
  <c r="BT23" i="72"/>
  <c r="BS23" i="72"/>
  <c r="BR23" i="72"/>
  <c r="BP23" i="72"/>
  <c r="BN23" i="72"/>
  <c r="BM23" i="72"/>
  <c r="BL23" i="72"/>
  <c r="BK23" i="72"/>
  <c r="BI23" i="72"/>
  <c r="BH23" i="72"/>
  <c r="BG23" i="72"/>
  <c r="BF23" i="72"/>
  <c r="BE23" i="72"/>
  <c r="BD23" i="72"/>
  <c r="BB23" i="72"/>
  <c r="BA23" i="72"/>
  <c r="AZ23" i="72"/>
  <c r="AX23" i="72"/>
  <c r="CG22" i="72"/>
  <c r="CF22" i="72"/>
  <c r="CE22" i="72"/>
  <c r="CD22" i="72"/>
  <c r="CC22" i="72"/>
  <c r="CA22" i="72"/>
  <c r="BZ22" i="72"/>
  <c r="BY22" i="72"/>
  <c r="BX22" i="72"/>
  <c r="BW22" i="72"/>
  <c r="BV22" i="72"/>
  <c r="BT22" i="72"/>
  <c r="BS22" i="72"/>
  <c r="BR22" i="72"/>
  <c r="BP22" i="72"/>
  <c r="BN22" i="72"/>
  <c r="BM22" i="72"/>
  <c r="BL22" i="72"/>
  <c r="BK22" i="72"/>
  <c r="BI22" i="72"/>
  <c r="BH22" i="72"/>
  <c r="BG22" i="72"/>
  <c r="BF22" i="72"/>
  <c r="BE22" i="72"/>
  <c r="BD22" i="72"/>
  <c r="BB22" i="72"/>
  <c r="BA22" i="72"/>
  <c r="AZ22" i="72"/>
  <c r="AX22" i="72"/>
  <c r="CG21" i="72"/>
  <c r="CF21" i="72"/>
  <c r="CE21" i="72"/>
  <c r="CD21" i="72"/>
  <c r="CC21" i="72"/>
  <c r="CA21" i="72"/>
  <c r="BZ21" i="72"/>
  <c r="BY21" i="72"/>
  <c r="BX21" i="72"/>
  <c r="BW21" i="72"/>
  <c r="BV21" i="72"/>
  <c r="BT21" i="72"/>
  <c r="BS21" i="72"/>
  <c r="BR21" i="72"/>
  <c r="BP21" i="72"/>
  <c r="BN21" i="72"/>
  <c r="BM21" i="72"/>
  <c r="BL21" i="72"/>
  <c r="BK21" i="72"/>
  <c r="BI21" i="72"/>
  <c r="BH21" i="72"/>
  <c r="BG21" i="72"/>
  <c r="BF21" i="72"/>
  <c r="BE21" i="72"/>
  <c r="BD21" i="72"/>
  <c r="BB21" i="72"/>
  <c r="BA21" i="72"/>
  <c r="AZ21" i="72"/>
  <c r="AX21" i="72"/>
  <c r="CG20" i="72"/>
  <c r="CF20" i="72"/>
  <c r="CE20" i="72"/>
  <c r="CD20" i="72"/>
  <c r="CC20" i="72"/>
  <c r="CA20" i="72"/>
  <c r="BZ20" i="72"/>
  <c r="BY20" i="72"/>
  <c r="BX20" i="72"/>
  <c r="BW20" i="72"/>
  <c r="BV20" i="72"/>
  <c r="BT20" i="72"/>
  <c r="BS20" i="72"/>
  <c r="BR20" i="72"/>
  <c r="BP20" i="72"/>
  <c r="BN20" i="72"/>
  <c r="BM20" i="72"/>
  <c r="BL20" i="72"/>
  <c r="BK20" i="72"/>
  <c r="BI20" i="72"/>
  <c r="BH20" i="72"/>
  <c r="BG20" i="72"/>
  <c r="BF20" i="72"/>
  <c r="BE20" i="72"/>
  <c r="BD20" i="72"/>
  <c r="BB20" i="72"/>
  <c r="BA20" i="72"/>
  <c r="AZ20" i="72"/>
  <c r="AX20" i="72"/>
  <c r="CG19" i="72"/>
  <c r="CF19" i="72"/>
  <c r="CE19" i="72"/>
  <c r="CD19" i="72"/>
  <c r="CC19" i="72"/>
  <c r="CA19" i="72"/>
  <c r="BZ19" i="72"/>
  <c r="BY19" i="72"/>
  <c r="BX19" i="72"/>
  <c r="BW19" i="72"/>
  <c r="BV19" i="72"/>
  <c r="BT19" i="72"/>
  <c r="BS19" i="72"/>
  <c r="BR19" i="72"/>
  <c r="BP19" i="72"/>
  <c r="BN19" i="72"/>
  <c r="BM19" i="72"/>
  <c r="BL19" i="72"/>
  <c r="BK19" i="72"/>
  <c r="BI19" i="72"/>
  <c r="BH19" i="72"/>
  <c r="BG19" i="72"/>
  <c r="BF19" i="72"/>
  <c r="BE19" i="72"/>
  <c r="BD19" i="72"/>
  <c r="BB19" i="72"/>
  <c r="BA19" i="72"/>
  <c r="AZ19" i="72"/>
  <c r="AX19" i="72"/>
  <c r="CG18" i="72"/>
  <c r="CF18" i="72"/>
  <c r="CE18" i="72"/>
  <c r="CD18" i="72"/>
  <c r="CC18" i="72"/>
  <c r="CA18" i="72"/>
  <c r="BZ18" i="72"/>
  <c r="BY18" i="72"/>
  <c r="BX18" i="72"/>
  <c r="BW18" i="72"/>
  <c r="BV18" i="72"/>
  <c r="BT18" i="72"/>
  <c r="BS18" i="72"/>
  <c r="BR18" i="72"/>
  <c r="BP18" i="72"/>
  <c r="BN18" i="72"/>
  <c r="BM18" i="72"/>
  <c r="BL18" i="72"/>
  <c r="BK18" i="72"/>
  <c r="BI18" i="72"/>
  <c r="BH18" i="72"/>
  <c r="BG18" i="72"/>
  <c r="BF18" i="72"/>
  <c r="BE18" i="72"/>
  <c r="BD18" i="72"/>
  <c r="BB18" i="72"/>
  <c r="BA18" i="72"/>
  <c r="AZ18" i="72"/>
  <c r="AX18" i="72"/>
  <c r="CG17" i="72"/>
  <c r="CF17" i="72"/>
  <c r="CE17" i="72"/>
  <c r="CD17" i="72"/>
  <c r="CC17" i="72"/>
  <c r="CA17" i="72"/>
  <c r="BZ17" i="72"/>
  <c r="BY17" i="72"/>
  <c r="BX17" i="72"/>
  <c r="BW17" i="72"/>
  <c r="BV17" i="72"/>
  <c r="BT17" i="72"/>
  <c r="BS17" i="72"/>
  <c r="BR17" i="72"/>
  <c r="BP17" i="72"/>
  <c r="BN17" i="72"/>
  <c r="BM17" i="72"/>
  <c r="BL17" i="72"/>
  <c r="BK17" i="72"/>
  <c r="BI17" i="72"/>
  <c r="BH17" i="72"/>
  <c r="BG17" i="72"/>
  <c r="BF17" i="72"/>
  <c r="BE17" i="72"/>
  <c r="BD17" i="72"/>
  <c r="BB17" i="72"/>
  <c r="BA17" i="72"/>
  <c r="AZ17" i="72"/>
  <c r="AX17" i="72"/>
  <c r="CG16" i="72"/>
  <c r="CF16" i="72"/>
  <c r="CE16" i="72"/>
  <c r="CD16" i="72"/>
  <c r="CC16" i="72"/>
  <c r="CA16" i="72"/>
  <c r="BZ16" i="72"/>
  <c r="BY16" i="72"/>
  <c r="BX16" i="72"/>
  <c r="BW16" i="72"/>
  <c r="BV16" i="72"/>
  <c r="BT16" i="72"/>
  <c r="BS16" i="72"/>
  <c r="BR16" i="72"/>
  <c r="BP16" i="72"/>
  <c r="BN16" i="72"/>
  <c r="BM16" i="72"/>
  <c r="BL16" i="72"/>
  <c r="BK16" i="72"/>
  <c r="BI16" i="72"/>
  <c r="BH16" i="72"/>
  <c r="BG16" i="72"/>
  <c r="BF16" i="72"/>
  <c r="BE16" i="72"/>
  <c r="BD16" i="72"/>
  <c r="BB16" i="72"/>
  <c r="BA16" i="72"/>
  <c r="AZ16" i="72"/>
  <c r="AX16" i="72"/>
  <c r="CG15" i="72"/>
  <c r="CF15" i="72"/>
  <c r="CE15" i="72"/>
  <c r="CD15" i="72"/>
  <c r="CC15" i="72"/>
  <c r="CA15" i="72"/>
  <c r="BZ15" i="72"/>
  <c r="BY15" i="72"/>
  <c r="BX15" i="72"/>
  <c r="BW15" i="72"/>
  <c r="BV15" i="72"/>
  <c r="BT15" i="72"/>
  <c r="BS15" i="72"/>
  <c r="BR15" i="72"/>
  <c r="BP15" i="72"/>
  <c r="BN15" i="72"/>
  <c r="BM15" i="72"/>
  <c r="BL15" i="72"/>
  <c r="BK15" i="72"/>
  <c r="BI15" i="72"/>
  <c r="BH15" i="72"/>
  <c r="BG15" i="72"/>
  <c r="BF15" i="72"/>
  <c r="BE15" i="72"/>
  <c r="BD15" i="72"/>
  <c r="BB15" i="72"/>
  <c r="BA15" i="72"/>
  <c r="AZ15" i="72"/>
  <c r="AX15" i="72"/>
  <c r="CG14" i="72"/>
  <c r="CF14" i="72"/>
  <c r="CE14" i="72"/>
  <c r="CD14" i="72"/>
  <c r="CC14" i="72"/>
  <c r="CA14" i="72"/>
  <c r="BZ14" i="72"/>
  <c r="BY14" i="72"/>
  <c r="BX14" i="72"/>
  <c r="BW14" i="72"/>
  <c r="BV14" i="72"/>
  <c r="BT14" i="72"/>
  <c r="BS14" i="72"/>
  <c r="BR14" i="72"/>
  <c r="BP14" i="72"/>
  <c r="BN14" i="72"/>
  <c r="BM14" i="72"/>
  <c r="BL14" i="72"/>
  <c r="BK14" i="72"/>
  <c r="BI14" i="72"/>
  <c r="BH14" i="72"/>
  <c r="BG14" i="72"/>
  <c r="BF14" i="72"/>
  <c r="BE14" i="72"/>
  <c r="BD14" i="72"/>
  <c r="BB14" i="72"/>
  <c r="BA14" i="72"/>
  <c r="AZ14" i="72"/>
  <c r="AX14" i="72"/>
  <c r="CG13" i="72"/>
  <c r="CF13" i="72"/>
  <c r="CE13" i="72"/>
  <c r="CD13" i="72"/>
  <c r="CC13" i="72"/>
  <c r="CA13" i="72"/>
  <c r="BZ13" i="72"/>
  <c r="BY13" i="72"/>
  <c r="BX13" i="72"/>
  <c r="BW13" i="72"/>
  <c r="BV13" i="72"/>
  <c r="BT13" i="72"/>
  <c r="BS13" i="72"/>
  <c r="BR13" i="72"/>
  <c r="BP13" i="72"/>
  <c r="BN13" i="72"/>
  <c r="BM13" i="72"/>
  <c r="BL13" i="72"/>
  <c r="BK13" i="72"/>
  <c r="BI13" i="72"/>
  <c r="BH13" i="72"/>
  <c r="BG13" i="72"/>
  <c r="BF13" i="72"/>
  <c r="BE13" i="72"/>
  <c r="BD13" i="72"/>
  <c r="BB13" i="72"/>
  <c r="BA13" i="72"/>
  <c r="AZ13" i="72"/>
  <c r="AX13" i="72"/>
  <c r="CG12" i="72"/>
  <c r="CF12" i="72"/>
  <c r="CE12" i="72"/>
  <c r="CD12" i="72"/>
  <c r="CC12" i="72"/>
  <c r="CA12" i="72"/>
  <c r="BZ12" i="72"/>
  <c r="BY12" i="72"/>
  <c r="BX12" i="72"/>
  <c r="BW12" i="72"/>
  <c r="BV12" i="72"/>
  <c r="BT12" i="72"/>
  <c r="BS12" i="72"/>
  <c r="BR12" i="72"/>
  <c r="BP12" i="72"/>
  <c r="BN12" i="72"/>
  <c r="BM12" i="72"/>
  <c r="BL12" i="72"/>
  <c r="BK12" i="72"/>
  <c r="BI12" i="72"/>
  <c r="BH12" i="72"/>
  <c r="BG12" i="72"/>
  <c r="BF12" i="72"/>
  <c r="BE12" i="72"/>
  <c r="BD12" i="72"/>
  <c r="BB12" i="72"/>
  <c r="BA12" i="72"/>
  <c r="AZ12" i="72"/>
  <c r="AX12" i="72"/>
  <c r="CG11" i="72"/>
  <c r="CF11" i="72"/>
  <c r="CE11" i="72"/>
  <c r="CD11" i="72"/>
  <c r="CC11" i="72"/>
  <c r="CA11" i="72"/>
  <c r="BZ11" i="72"/>
  <c r="BY11" i="72"/>
  <c r="BX11" i="72"/>
  <c r="BW11" i="72"/>
  <c r="BV11" i="72"/>
  <c r="BT11" i="72"/>
  <c r="BS11" i="72"/>
  <c r="BR11" i="72"/>
  <c r="BP11" i="72"/>
  <c r="BN11" i="72"/>
  <c r="BM11" i="72"/>
  <c r="BL11" i="72"/>
  <c r="BK11" i="72"/>
  <c r="BI11" i="72"/>
  <c r="BH11" i="72"/>
  <c r="BG11" i="72"/>
  <c r="BF11" i="72"/>
  <c r="BE11" i="72"/>
  <c r="BD11" i="72"/>
  <c r="BB11" i="72"/>
  <c r="BA11" i="72"/>
  <c r="AZ11" i="72"/>
  <c r="AX11" i="72"/>
  <c r="CG10" i="72"/>
  <c r="CF10" i="72"/>
  <c r="CE10" i="72"/>
  <c r="CD10" i="72"/>
  <c r="CC10" i="72"/>
  <c r="CA10" i="72"/>
  <c r="BZ10" i="72"/>
  <c r="BY10" i="72"/>
  <c r="BX10" i="72"/>
  <c r="BW10" i="72"/>
  <c r="BV10" i="72"/>
  <c r="BT10" i="72"/>
  <c r="BS10" i="72"/>
  <c r="BR10" i="72"/>
  <c r="BP10" i="72"/>
  <c r="BN10" i="72"/>
  <c r="BM10" i="72"/>
  <c r="BL10" i="72"/>
  <c r="BK10" i="72"/>
  <c r="BI10" i="72"/>
  <c r="BH10" i="72"/>
  <c r="BG10" i="72"/>
  <c r="BF10" i="72"/>
  <c r="BE10" i="72"/>
  <c r="BD10" i="72"/>
  <c r="BB10" i="72"/>
  <c r="BA10" i="72"/>
  <c r="AZ10" i="72"/>
  <c r="AX10" i="72"/>
  <c r="CG9" i="72"/>
  <c r="CF9" i="72"/>
  <c r="CE9" i="72"/>
  <c r="CD9" i="72"/>
  <c r="CC9" i="72"/>
  <c r="CA9" i="72"/>
  <c r="BZ9" i="72"/>
  <c r="BY9" i="72"/>
  <c r="BX9" i="72"/>
  <c r="BW9" i="72"/>
  <c r="BV9" i="72"/>
  <c r="BT9" i="72"/>
  <c r="BS9" i="72"/>
  <c r="BR9" i="72"/>
  <c r="BP9" i="72"/>
  <c r="BN9" i="72"/>
  <c r="BM9" i="72"/>
  <c r="BL9" i="72"/>
  <c r="BK9" i="72"/>
  <c r="BI9" i="72"/>
  <c r="BH9" i="72"/>
  <c r="BG9" i="72"/>
  <c r="BF9" i="72"/>
  <c r="BE9" i="72"/>
  <c r="BD9" i="72"/>
  <c r="BB9" i="72"/>
  <c r="BA9" i="72"/>
  <c r="AZ9" i="72"/>
  <c r="AX9" i="72"/>
  <c r="CG8" i="72"/>
  <c r="CF8" i="72"/>
  <c r="CE8" i="72"/>
  <c r="CD8" i="72"/>
  <c r="CC8" i="72"/>
  <c r="CA8" i="72"/>
  <c r="BZ8" i="72"/>
  <c r="BY8" i="72"/>
  <c r="BX8" i="72"/>
  <c r="BW8" i="72"/>
  <c r="BV8" i="72"/>
  <c r="BT8" i="72"/>
  <c r="BS8" i="72"/>
  <c r="BR8" i="72"/>
  <c r="BP8" i="72"/>
  <c r="BN8" i="72"/>
  <c r="BM8" i="72"/>
  <c r="BL8" i="72"/>
  <c r="BK8" i="72"/>
  <c r="BI8" i="72"/>
  <c r="BH8" i="72"/>
  <c r="BG8" i="72"/>
  <c r="BF8" i="72"/>
  <c r="BE8" i="72"/>
  <c r="BD8" i="72"/>
  <c r="BB8" i="72"/>
  <c r="BA8" i="72"/>
  <c r="AZ8" i="72"/>
  <c r="AX8" i="72"/>
  <c r="CG7" i="72"/>
  <c r="CF7" i="72"/>
  <c r="CE7" i="72"/>
  <c r="CD7" i="72"/>
  <c r="CC7" i="72"/>
  <c r="CA7" i="72"/>
  <c r="BZ7" i="72"/>
  <c r="BY7" i="72"/>
  <c r="BX7" i="72"/>
  <c r="BW7" i="72"/>
  <c r="BV7" i="72"/>
  <c r="BT7" i="72"/>
  <c r="BS7" i="72"/>
  <c r="BR7" i="72"/>
  <c r="BP7" i="72"/>
  <c r="BN7" i="72"/>
  <c r="BM7" i="72"/>
  <c r="BL7" i="72"/>
  <c r="BK7" i="72"/>
  <c r="BI7" i="72"/>
  <c r="BH7" i="72"/>
  <c r="BG7" i="72"/>
  <c r="BF7" i="72"/>
  <c r="BE7" i="72"/>
  <c r="BD7" i="72"/>
  <c r="BB7" i="72"/>
  <c r="BA7" i="72"/>
  <c r="AZ7" i="72"/>
  <c r="AX7" i="72"/>
  <c r="CG6" i="72"/>
  <c r="CF6" i="72"/>
  <c r="CE6" i="72"/>
  <c r="CD6" i="72"/>
  <c r="CC6" i="72"/>
  <c r="CA6" i="72"/>
  <c r="BZ6" i="72"/>
  <c r="BY6" i="72"/>
  <c r="BX6" i="72"/>
  <c r="BW6" i="72"/>
  <c r="BV6" i="72"/>
  <c r="BT6" i="72"/>
  <c r="BS6" i="72"/>
  <c r="BR6" i="72"/>
  <c r="BP6" i="72"/>
  <c r="BN6" i="72"/>
  <c r="BM6" i="72"/>
  <c r="BL6" i="72"/>
  <c r="BK6" i="72"/>
  <c r="BI6" i="72"/>
  <c r="BH6" i="72"/>
  <c r="BG6" i="72"/>
  <c r="BF6" i="72"/>
  <c r="BE6" i="72"/>
  <c r="BD6" i="72"/>
  <c r="BB6" i="72"/>
  <c r="BA6" i="72"/>
  <c r="AZ6" i="72"/>
  <c r="AX6" i="72"/>
  <c r="CG5" i="72"/>
  <c r="CF5" i="72"/>
  <c r="CE5" i="72"/>
  <c r="CD5" i="72"/>
  <c r="CC5" i="72"/>
  <c r="CA5" i="72"/>
  <c r="BZ5" i="72"/>
  <c r="BY5" i="72"/>
  <c r="BX5" i="72"/>
  <c r="BW5" i="72"/>
  <c r="BV5" i="72"/>
  <c r="BT5" i="72"/>
  <c r="BS5" i="72"/>
  <c r="BR5" i="72"/>
  <c r="BP5" i="72"/>
  <c r="BN5" i="72"/>
  <c r="BM5" i="72"/>
  <c r="BL5" i="72"/>
  <c r="BK5" i="72"/>
  <c r="BI5" i="72"/>
  <c r="BH5" i="72"/>
  <c r="BG5" i="72"/>
  <c r="BF5" i="72"/>
  <c r="BE5" i="72"/>
  <c r="BD5" i="72"/>
  <c r="BB5" i="72"/>
  <c r="BA5" i="72"/>
  <c r="AZ5" i="72"/>
  <c r="AX5" i="72"/>
  <c r="CG4" i="72"/>
  <c r="CF4" i="72"/>
  <c r="CE4" i="72"/>
  <c r="CD4" i="72"/>
  <c r="CC4" i="72"/>
  <c r="CA4" i="72"/>
  <c r="BZ4" i="72"/>
  <c r="BY4" i="72"/>
  <c r="BX4" i="72"/>
  <c r="BW4" i="72"/>
  <c r="BV4" i="72"/>
  <c r="BT4" i="72"/>
  <c r="BS4" i="72"/>
  <c r="BR4" i="72"/>
  <c r="BP4" i="72"/>
  <c r="BN4" i="72"/>
  <c r="BM4" i="72"/>
  <c r="BL4" i="72"/>
  <c r="BK4" i="72"/>
  <c r="BI4" i="72"/>
  <c r="BH4" i="72"/>
  <c r="BG4" i="72"/>
  <c r="BF4" i="72"/>
  <c r="BE4" i="72"/>
  <c r="BD4" i="72"/>
  <c r="BB4" i="72"/>
  <c r="BA4" i="72"/>
  <c r="AZ4" i="72"/>
  <c r="AX4" i="72"/>
  <c r="A4" i="72"/>
  <c r="A5" i="72" s="1"/>
  <c r="AW36" i="73"/>
  <c r="AS36" i="73"/>
  <c r="AR36" i="73"/>
  <c r="AQ36" i="73"/>
  <c r="AP36" i="73"/>
  <c r="AO36" i="73"/>
  <c r="AN36" i="73"/>
  <c r="AM36" i="73"/>
  <c r="AL36" i="73"/>
  <c r="K36" i="73"/>
  <c r="D36" i="73"/>
  <c r="AW35" i="73"/>
  <c r="AS35" i="73"/>
  <c r="AR35" i="73"/>
  <c r="AQ35" i="73"/>
  <c r="AP35" i="73"/>
  <c r="AO35" i="73"/>
  <c r="AN35" i="73"/>
  <c r="AM35" i="73"/>
  <c r="AL35" i="73"/>
  <c r="K35" i="73"/>
  <c r="D35" i="73"/>
  <c r="CG34" i="73"/>
  <c r="CF34" i="73"/>
  <c r="CE34" i="73"/>
  <c r="CD34" i="73"/>
  <c r="CC34" i="73"/>
  <c r="CA34" i="73"/>
  <c r="BZ34" i="73"/>
  <c r="BY34" i="73"/>
  <c r="BX34" i="73"/>
  <c r="BW34" i="73"/>
  <c r="BV34" i="73"/>
  <c r="BT34" i="73"/>
  <c r="BS34" i="73"/>
  <c r="BR34" i="73"/>
  <c r="BP34" i="73"/>
  <c r="BN34" i="73"/>
  <c r="BM34" i="73"/>
  <c r="BL34" i="73"/>
  <c r="BK34" i="73"/>
  <c r="BI34" i="73"/>
  <c r="BH34" i="73"/>
  <c r="BG34" i="73"/>
  <c r="BF34" i="73"/>
  <c r="BE34" i="73"/>
  <c r="BD34" i="73"/>
  <c r="BB34" i="73"/>
  <c r="BA34" i="73"/>
  <c r="AZ34" i="73"/>
  <c r="AX34" i="73"/>
  <c r="CG33" i="73"/>
  <c r="CF33" i="73"/>
  <c r="CE33" i="73"/>
  <c r="CD33" i="73"/>
  <c r="CC33" i="73"/>
  <c r="CA33" i="73"/>
  <c r="BZ33" i="73"/>
  <c r="BY33" i="73"/>
  <c r="BX33" i="73"/>
  <c r="BW33" i="73"/>
  <c r="BV33" i="73"/>
  <c r="BT33" i="73"/>
  <c r="BS33" i="73"/>
  <c r="BR33" i="73"/>
  <c r="BP33" i="73"/>
  <c r="BN33" i="73"/>
  <c r="BM33" i="73"/>
  <c r="BL33" i="73"/>
  <c r="BK33" i="73"/>
  <c r="BI33" i="73"/>
  <c r="BH33" i="73"/>
  <c r="BG33" i="73"/>
  <c r="BF33" i="73"/>
  <c r="BE33" i="73"/>
  <c r="BD33" i="73"/>
  <c r="BB33" i="73"/>
  <c r="BA33" i="73"/>
  <c r="AZ33" i="73"/>
  <c r="AX33" i="73"/>
  <c r="BY32" i="73"/>
  <c r="BI32" i="73"/>
  <c r="BG32" i="73"/>
  <c r="AX32" i="73"/>
  <c r="CG31" i="73"/>
  <c r="CF31" i="73"/>
  <c r="CE31" i="73"/>
  <c r="CD31" i="73"/>
  <c r="CC31" i="73"/>
  <c r="CA31" i="73"/>
  <c r="BZ31" i="73"/>
  <c r="BY31" i="73"/>
  <c r="BX31" i="73"/>
  <c r="BW31" i="73"/>
  <c r="BV31" i="73"/>
  <c r="BT31" i="73"/>
  <c r="BS31" i="73"/>
  <c r="BR31" i="73"/>
  <c r="BP31" i="73"/>
  <c r="BN31" i="73"/>
  <c r="BM31" i="73"/>
  <c r="BL31" i="73"/>
  <c r="BK31" i="73"/>
  <c r="BI31" i="73"/>
  <c r="BH31" i="73"/>
  <c r="BG31" i="73"/>
  <c r="BF31" i="73"/>
  <c r="BE31" i="73"/>
  <c r="BD31" i="73"/>
  <c r="BB31" i="73"/>
  <c r="BA31" i="73"/>
  <c r="AZ31" i="73"/>
  <c r="AX31" i="73"/>
  <c r="CG30" i="73"/>
  <c r="CF30" i="73"/>
  <c r="CE30" i="73"/>
  <c r="CD30" i="73"/>
  <c r="CC30" i="73"/>
  <c r="CA30" i="73"/>
  <c r="BZ30" i="73"/>
  <c r="BY30" i="73"/>
  <c r="BX30" i="73"/>
  <c r="BW30" i="73"/>
  <c r="BV30" i="73"/>
  <c r="BT30" i="73"/>
  <c r="BS30" i="73"/>
  <c r="BR30" i="73"/>
  <c r="BP30" i="73"/>
  <c r="BN30" i="73"/>
  <c r="BM30" i="73"/>
  <c r="BL30" i="73"/>
  <c r="BK30" i="73"/>
  <c r="BI30" i="73"/>
  <c r="BH30" i="73"/>
  <c r="BG30" i="73"/>
  <c r="BF30" i="73"/>
  <c r="BE30" i="73"/>
  <c r="BD30" i="73"/>
  <c r="BB30" i="73"/>
  <c r="BA30" i="73"/>
  <c r="AZ30" i="73"/>
  <c r="AX30" i="73"/>
  <c r="CG29" i="73"/>
  <c r="CF29" i="73"/>
  <c r="CE29" i="73"/>
  <c r="CD29" i="73"/>
  <c r="CC29" i="73"/>
  <c r="CA29" i="73"/>
  <c r="BZ29" i="73"/>
  <c r="BY29" i="73"/>
  <c r="BX29" i="73"/>
  <c r="BW29" i="73"/>
  <c r="BV29" i="73"/>
  <c r="BT29" i="73"/>
  <c r="BS29" i="73"/>
  <c r="BR29" i="73"/>
  <c r="BP29" i="73"/>
  <c r="BN29" i="73"/>
  <c r="BM29" i="73"/>
  <c r="BL29" i="73"/>
  <c r="BK29" i="73"/>
  <c r="BI29" i="73"/>
  <c r="BH29" i="73"/>
  <c r="BG29" i="73"/>
  <c r="BF29" i="73"/>
  <c r="BE29" i="73"/>
  <c r="BD29" i="73"/>
  <c r="BB29" i="73"/>
  <c r="BA29" i="73"/>
  <c r="AZ29" i="73"/>
  <c r="AX29" i="73"/>
  <c r="CG28" i="73"/>
  <c r="CF28" i="73"/>
  <c r="CE28" i="73"/>
  <c r="CD28" i="73"/>
  <c r="CC28" i="73"/>
  <c r="CA28" i="73"/>
  <c r="BZ28" i="73"/>
  <c r="BY28" i="73"/>
  <c r="BX28" i="73"/>
  <c r="BW28" i="73"/>
  <c r="BV28" i="73"/>
  <c r="BT28" i="73"/>
  <c r="BS28" i="73"/>
  <c r="BR28" i="73"/>
  <c r="BP28" i="73"/>
  <c r="BN28" i="73"/>
  <c r="BM28" i="73"/>
  <c r="BL28" i="73"/>
  <c r="BK28" i="73"/>
  <c r="BI28" i="73"/>
  <c r="BH28" i="73"/>
  <c r="BG28" i="73"/>
  <c r="BF28" i="73"/>
  <c r="BE28" i="73"/>
  <c r="BD28" i="73"/>
  <c r="BB28" i="73"/>
  <c r="BA28" i="73"/>
  <c r="AZ28" i="73"/>
  <c r="AX28" i="73"/>
  <c r="CG27" i="73"/>
  <c r="CF27" i="73"/>
  <c r="CE27" i="73"/>
  <c r="CD27" i="73"/>
  <c r="CC27" i="73"/>
  <c r="CA27" i="73"/>
  <c r="BZ27" i="73"/>
  <c r="BY27" i="73"/>
  <c r="BX27" i="73"/>
  <c r="BW27" i="73"/>
  <c r="BV27" i="73"/>
  <c r="BT27" i="73"/>
  <c r="BS27" i="73"/>
  <c r="BR27" i="73"/>
  <c r="BP27" i="73"/>
  <c r="BN27" i="73"/>
  <c r="BM27" i="73"/>
  <c r="BL27" i="73"/>
  <c r="BK27" i="73"/>
  <c r="BI27" i="73"/>
  <c r="BH27" i="73"/>
  <c r="BG27" i="73"/>
  <c r="BF27" i="73"/>
  <c r="BE27" i="73"/>
  <c r="BD27" i="73"/>
  <c r="BB27" i="73"/>
  <c r="BA27" i="73"/>
  <c r="AZ27" i="73"/>
  <c r="AX27" i="73"/>
  <c r="CG26" i="73"/>
  <c r="CF26" i="73"/>
  <c r="CE26" i="73"/>
  <c r="CD26" i="73"/>
  <c r="CC26" i="73"/>
  <c r="CA26" i="73"/>
  <c r="BZ26" i="73"/>
  <c r="BY26" i="73"/>
  <c r="BX26" i="73"/>
  <c r="BW26" i="73"/>
  <c r="BV26" i="73"/>
  <c r="BT26" i="73"/>
  <c r="BS26" i="73"/>
  <c r="BR26" i="73"/>
  <c r="BP26" i="73"/>
  <c r="BN26" i="73"/>
  <c r="BM26" i="73"/>
  <c r="BL26" i="73"/>
  <c r="BK26" i="73"/>
  <c r="BI26" i="73"/>
  <c r="BH26" i="73"/>
  <c r="BG26" i="73"/>
  <c r="BF26" i="73"/>
  <c r="BE26" i="73"/>
  <c r="BD26" i="73"/>
  <c r="BB26" i="73"/>
  <c r="BA26" i="73"/>
  <c r="AZ26" i="73"/>
  <c r="AX26" i="73"/>
  <c r="CG25" i="73"/>
  <c r="CF25" i="73"/>
  <c r="CE25" i="73"/>
  <c r="CD25" i="73"/>
  <c r="CC25" i="73"/>
  <c r="CA25" i="73"/>
  <c r="BZ25" i="73"/>
  <c r="BY25" i="73"/>
  <c r="BX25" i="73"/>
  <c r="BW25" i="73"/>
  <c r="BV25" i="73"/>
  <c r="BT25" i="73"/>
  <c r="BS25" i="73"/>
  <c r="BR25" i="73"/>
  <c r="BP25" i="73"/>
  <c r="BN25" i="73"/>
  <c r="BM25" i="73"/>
  <c r="BL25" i="73"/>
  <c r="BK25" i="73"/>
  <c r="BI25" i="73"/>
  <c r="BH25" i="73"/>
  <c r="BG25" i="73"/>
  <c r="BF25" i="73"/>
  <c r="BE25" i="73"/>
  <c r="BD25" i="73"/>
  <c r="BB25" i="73"/>
  <c r="BA25" i="73"/>
  <c r="AZ25" i="73"/>
  <c r="AX25" i="73"/>
  <c r="CG24" i="73"/>
  <c r="CF24" i="73"/>
  <c r="CE24" i="73"/>
  <c r="CD24" i="73"/>
  <c r="CC24" i="73"/>
  <c r="CA24" i="73"/>
  <c r="BZ24" i="73"/>
  <c r="BY24" i="73"/>
  <c r="BX24" i="73"/>
  <c r="BW24" i="73"/>
  <c r="BV24" i="73"/>
  <c r="BT24" i="73"/>
  <c r="BS24" i="73"/>
  <c r="BR24" i="73"/>
  <c r="BP24" i="73"/>
  <c r="BN24" i="73"/>
  <c r="BM24" i="73"/>
  <c r="BL24" i="73"/>
  <c r="BK24" i="73"/>
  <c r="BI24" i="73"/>
  <c r="BH24" i="73"/>
  <c r="BG24" i="73"/>
  <c r="BF24" i="73"/>
  <c r="BE24" i="73"/>
  <c r="BD24" i="73"/>
  <c r="BB24" i="73"/>
  <c r="BA24" i="73"/>
  <c r="AZ24" i="73"/>
  <c r="AX24" i="73"/>
  <c r="CG23" i="73"/>
  <c r="CF23" i="73"/>
  <c r="CE23" i="73"/>
  <c r="CD23" i="73"/>
  <c r="CC23" i="73"/>
  <c r="CA23" i="73"/>
  <c r="BZ23" i="73"/>
  <c r="BY23" i="73"/>
  <c r="BX23" i="73"/>
  <c r="BW23" i="73"/>
  <c r="BV23" i="73"/>
  <c r="BT23" i="73"/>
  <c r="BS23" i="73"/>
  <c r="BR23" i="73"/>
  <c r="BP23" i="73"/>
  <c r="BN23" i="73"/>
  <c r="BM23" i="73"/>
  <c r="BL23" i="73"/>
  <c r="BK23" i="73"/>
  <c r="BI23" i="73"/>
  <c r="BH23" i="73"/>
  <c r="BG23" i="73"/>
  <c r="BF23" i="73"/>
  <c r="BE23" i="73"/>
  <c r="BD23" i="73"/>
  <c r="BB23" i="73"/>
  <c r="BA23" i="73"/>
  <c r="AZ23" i="73"/>
  <c r="AX23" i="73"/>
  <c r="CG22" i="73"/>
  <c r="CF22" i="73"/>
  <c r="CE22" i="73"/>
  <c r="CD22" i="73"/>
  <c r="CC22" i="73"/>
  <c r="CA22" i="73"/>
  <c r="BZ22" i="73"/>
  <c r="BY22" i="73"/>
  <c r="BX22" i="73"/>
  <c r="BW22" i="73"/>
  <c r="BV22" i="73"/>
  <c r="BT22" i="73"/>
  <c r="BS22" i="73"/>
  <c r="BR22" i="73"/>
  <c r="BP22" i="73"/>
  <c r="BN22" i="73"/>
  <c r="BM22" i="73"/>
  <c r="BL22" i="73"/>
  <c r="BK22" i="73"/>
  <c r="BI22" i="73"/>
  <c r="BH22" i="73"/>
  <c r="BG22" i="73"/>
  <c r="BF22" i="73"/>
  <c r="BE22" i="73"/>
  <c r="BD22" i="73"/>
  <c r="BB22" i="73"/>
  <c r="BA22" i="73"/>
  <c r="AZ22" i="73"/>
  <c r="AX22" i="73"/>
  <c r="CG21" i="73"/>
  <c r="CF21" i="73"/>
  <c r="CE21" i="73"/>
  <c r="CD21" i="73"/>
  <c r="CC21" i="73"/>
  <c r="CA21" i="73"/>
  <c r="BZ21" i="73"/>
  <c r="BY21" i="73"/>
  <c r="BX21" i="73"/>
  <c r="BW21" i="73"/>
  <c r="BV21" i="73"/>
  <c r="BT21" i="73"/>
  <c r="BS21" i="73"/>
  <c r="BR21" i="73"/>
  <c r="BP21" i="73"/>
  <c r="BN21" i="73"/>
  <c r="BM21" i="73"/>
  <c r="BL21" i="73"/>
  <c r="BK21" i="73"/>
  <c r="BI21" i="73"/>
  <c r="BH21" i="73"/>
  <c r="BG21" i="73"/>
  <c r="BF21" i="73"/>
  <c r="BE21" i="73"/>
  <c r="BD21" i="73"/>
  <c r="BB21" i="73"/>
  <c r="BA21" i="73"/>
  <c r="AZ21" i="73"/>
  <c r="AX21" i="73"/>
  <c r="CG20" i="73"/>
  <c r="CF20" i="73"/>
  <c r="CE20" i="73"/>
  <c r="CD20" i="73"/>
  <c r="CC20" i="73"/>
  <c r="CA20" i="73"/>
  <c r="BZ20" i="73"/>
  <c r="BY20" i="73"/>
  <c r="BX20" i="73"/>
  <c r="BW20" i="73"/>
  <c r="BV20" i="73"/>
  <c r="BT20" i="73"/>
  <c r="BS20" i="73"/>
  <c r="BR20" i="73"/>
  <c r="BP20" i="73"/>
  <c r="BN20" i="73"/>
  <c r="BM20" i="73"/>
  <c r="BL20" i="73"/>
  <c r="BK20" i="73"/>
  <c r="BI20" i="73"/>
  <c r="BH20" i="73"/>
  <c r="BG20" i="73"/>
  <c r="BF20" i="73"/>
  <c r="BE20" i="73"/>
  <c r="BD20" i="73"/>
  <c r="BB20" i="73"/>
  <c r="BA20" i="73"/>
  <c r="AZ20" i="73"/>
  <c r="AX20" i="73"/>
  <c r="CG19" i="73"/>
  <c r="CF19" i="73"/>
  <c r="CE19" i="73"/>
  <c r="CD19" i="73"/>
  <c r="CC19" i="73"/>
  <c r="CA19" i="73"/>
  <c r="BZ19" i="73"/>
  <c r="BY19" i="73"/>
  <c r="BX19" i="73"/>
  <c r="BW19" i="73"/>
  <c r="BV19" i="73"/>
  <c r="BT19" i="73"/>
  <c r="BS19" i="73"/>
  <c r="BR19" i="73"/>
  <c r="BP19" i="73"/>
  <c r="BN19" i="73"/>
  <c r="BM19" i="73"/>
  <c r="BL19" i="73"/>
  <c r="BK19" i="73"/>
  <c r="BI19" i="73"/>
  <c r="BH19" i="73"/>
  <c r="BG19" i="73"/>
  <c r="BF19" i="73"/>
  <c r="BE19" i="73"/>
  <c r="BD19" i="73"/>
  <c r="BB19" i="73"/>
  <c r="BA19" i="73"/>
  <c r="AZ19" i="73"/>
  <c r="AX19" i="73"/>
  <c r="CG18" i="73"/>
  <c r="CF18" i="73"/>
  <c r="CE18" i="73"/>
  <c r="CD18" i="73"/>
  <c r="CC18" i="73"/>
  <c r="CA18" i="73"/>
  <c r="BZ18" i="73"/>
  <c r="BY18" i="73"/>
  <c r="BX18" i="73"/>
  <c r="BW18" i="73"/>
  <c r="BV18" i="73"/>
  <c r="BT18" i="73"/>
  <c r="BS18" i="73"/>
  <c r="BR18" i="73"/>
  <c r="BP18" i="73"/>
  <c r="BN18" i="73"/>
  <c r="BM18" i="73"/>
  <c r="BL18" i="73"/>
  <c r="BK18" i="73"/>
  <c r="BI18" i="73"/>
  <c r="BH18" i="73"/>
  <c r="BG18" i="73"/>
  <c r="BF18" i="73"/>
  <c r="BE18" i="73"/>
  <c r="BD18" i="73"/>
  <c r="BB18" i="73"/>
  <c r="BA18" i="73"/>
  <c r="AZ18" i="73"/>
  <c r="AX18" i="73"/>
  <c r="CG17" i="73"/>
  <c r="CF17" i="73"/>
  <c r="CE17" i="73"/>
  <c r="CD17" i="73"/>
  <c r="CC17" i="73"/>
  <c r="CA17" i="73"/>
  <c r="BZ17" i="73"/>
  <c r="BY17" i="73"/>
  <c r="BX17" i="73"/>
  <c r="BW17" i="73"/>
  <c r="BV17" i="73"/>
  <c r="BT17" i="73"/>
  <c r="BS17" i="73"/>
  <c r="BR17" i="73"/>
  <c r="BP17" i="73"/>
  <c r="BN17" i="73"/>
  <c r="BM17" i="73"/>
  <c r="BL17" i="73"/>
  <c r="BK17" i="73"/>
  <c r="BI17" i="73"/>
  <c r="BH17" i="73"/>
  <c r="BG17" i="73"/>
  <c r="BF17" i="73"/>
  <c r="BE17" i="73"/>
  <c r="BD17" i="73"/>
  <c r="BB17" i="73"/>
  <c r="BA17" i="73"/>
  <c r="AZ17" i="73"/>
  <c r="AX17" i="73"/>
  <c r="CG16" i="73"/>
  <c r="CF16" i="73"/>
  <c r="CE16" i="73"/>
  <c r="CD16" i="73"/>
  <c r="CC16" i="73"/>
  <c r="CA16" i="73"/>
  <c r="BZ16" i="73"/>
  <c r="BY16" i="73"/>
  <c r="BX16" i="73"/>
  <c r="BW16" i="73"/>
  <c r="BV16" i="73"/>
  <c r="BT16" i="73"/>
  <c r="BS16" i="73"/>
  <c r="BR16" i="73"/>
  <c r="BP16" i="73"/>
  <c r="BN16" i="73"/>
  <c r="BM16" i="73"/>
  <c r="BL16" i="73"/>
  <c r="BK16" i="73"/>
  <c r="BI16" i="73"/>
  <c r="BH16" i="73"/>
  <c r="BG16" i="73"/>
  <c r="BF16" i="73"/>
  <c r="BE16" i="73"/>
  <c r="BD16" i="73"/>
  <c r="BB16" i="73"/>
  <c r="BA16" i="73"/>
  <c r="AZ16" i="73"/>
  <c r="AX16" i="73"/>
  <c r="CG15" i="73"/>
  <c r="CF15" i="73"/>
  <c r="CE15" i="73"/>
  <c r="CD15" i="73"/>
  <c r="CC15" i="73"/>
  <c r="CA15" i="73"/>
  <c r="BZ15" i="73"/>
  <c r="BY15" i="73"/>
  <c r="BX15" i="73"/>
  <c r="BW15" i="73"/>
  <c r="BV15" i="73"/>
  <c r="BT15" i="73"/>
  <c r="BS15" i="73"/>
  <c r="BR15" i="73"/>
  <c r="BP15" i="73"/>
  <c r="BN15" i="73"/>
  <c r="BM15" i="73"/>
  <c r="BL15" i="73"/>
  <c r="BK15" i="73"/>
  <c r="BI15" i="73"/>
  <c r="BH15" i="73"/>
  <c r="BG15" i="73"/>
  <c r="BF15" i="73"/>
  <c r="BE15" i="73"/>
  <c r="BD15" i="73"/>
  <c r="BB15" i="73"/>
  <c r="BA15" i="73"/>
  <c r="AZ15" i="73"/>
  <c r="AX15" i="73"/>
  <c r="CG14" i="73"/>
  <c r="CF14" i="73"/>
  <c r="CE14" i="73"/>
  <c r="CD14" i="73"/>
  <c r="CC14" i="73"/>
  <c r="CA14" i="73"/>
  <c r="BZ14" i="73"/>
  <c r="BY14" i="73"/>
  <c r="BX14" i="73"/>
  <c r="BW14" i="73"/>
  <c r="BV14" i="73"/>
  <c r="BT14" i="73"/>
  <c r="BS14" i="73"/>
  <c r="BR14" i="73"/>
  <c r="BP14" i="73"/>
  <c r="BN14" i="73"/>
  <c r="BM14" i="73"/>
  <c r="BL14" i="73"/>
  <c r="BK14" i="73"/>
  <c r="BI14" i="73"/>
  <c r="BH14" i="73"/>
  <c r="BG14" i="73"/>
  <c r="BF14" i="73"/>
  <c r="BE14" i="73"/>
  <c r="BD14" i="73"/>
  <c r="BB14" i="73"/>
  <c r="BA14" i="73"/>
  <c r="AZ14" i="73"/>
  <c r="AX14" i="73"/>
  <c r="CG13" i="73"/>
  <c r="CF13" i="73"/>
  <c r="CE13" i="73"/>
  <c r="CD13" i="73"/>
  <c r="CC13" i="73"/>
  <c r="CA13" i="73"/>
  <c r="BZ13" i="73"/>
  <c r="BY13" i="73"/>
  <c r="BX13" i="73"/>
  <c r="BW13" i="73"/>
  <c r="BV13" i="73"/>
  <c r="BT13" i="73"/>
  <c r="BS13" i="73"/>
  <c r="BR13" i="73"/>
  <c r="BP13" i="73"/>
  <c r="BN13" i="73"/>
  <c r="BM13" i="73"/>
  <c r="BL13" i="73"/>
  <c r="BK13" i="73"/>
  <c r="BI13" i="73"/>
  <c r="BH13" i="73"/>
  <c r="BG13" i="73"/>
  <c r="BF13" i="73"/>
  <c r="BE13" i="73"/>
  <c r="BD13" i="73"/>
  <c r="BB13" i="73"/>
  <c r="BA13" i="73"/>
  <c r="AZ13" i="73"/>
  <c r="AX13" i="73"/>
  <c r="CG12" i="73"/>
  <c r="CF12" i="73"/>
  <c r="CE12" i="73"/>
  <c r="CD12" i="73"/>
  <c r="CC12" i="73"/>
  <c r="CA12" i="73"/>
  <c r="BZ12" i="73"/>
  <c r="BY12" i="73"/>
  <c r="BX12" i="73"/>
  <c r="BW12" i="73"/>
  <c r="BV12" i="73"/>
  <c r="BT12" i="73"/>
  <c r="BS12" i="73"/>
  <c r="BR12" i="73"/>
  <c r="BP12" i="73"/>
  <c r="BN12" i="73"/>
  <c r="BM12" i="73"/>
  <c r="BL12" i="73"/>
  <c r="BK12" i="73"/>
  <c r="BI12" i="73"/>
  <c r="BH12" i="73"/>
  <c r="BG12" i="73"/>
  <c r="BF12" i="73"/>
  <c r="BE12" i="73"/>
  <c r="BD12" i="73"/>
  <c r="BB12" i="73"/>
  <c r="BA12" i="73"/>
  <c r="AZ12" i="73"/>
  <c r="AX12" i="73"/>
  <c r="CG11" i="73"/>
  <c r="CF11" i="73"/>
  <c r="CE11" i="73"/>
  <c r="CD11" i="73"/>
  <c r="CC11" i="73"/>
  <c r="CA11" i="73"/>
  <c r="BZ11" i="73"/>
  <c r="BY11" i="73"/>
  <c r="BX11" i="73"/>
  <c r="BW11" i="73"/>
  <c r="BV11" i="73"/>
  <c r="BT11" i="73"/>
  <c r="BS11" i="73"/>
  <c r="BR11" i="73"/>
  <c r="BP11" i="73"/>
  <c r="BN11" i="73"/>
  <c r="BM11" i="73"/>
  <c r="BL11" i="73"/>
  <c r="BK11" i="73"/>
  <c r="BI11" i="73"/>
  <c r="BH11" i="73"/>
  <c r="BG11" i="73"/>
  <c r="BF11" i="73"/>
  <c r="BE11" i="73"/>
  <c r="BD11" i="73"/>
  <c r="BB11" i="73"/>
  <c r="BA11" i="73"/>
  <c r="AZ11" i="73"/>
  <c r="AX11" i="73"/>
  <c r="CG10" i="73"/>
  <c r="CF10" i="73"/>
  <c r="CE10" i="73"/>
  <c r="CD10" i="73"/>
  <c r="CC10" i="73"/>
  <c r="CA10" i="73"/>
  <c r="BZ10" i="73"/>
  <c r="BY10" i="73"/>
  <c r="BX10" i="73"/>
  <c r="BW10" i="73"/>
  <c r="BV10" i="73"/>
  <c r="BT10" i="73"/>
  <c r="BS10" i="73"/>
  <c r="BR10" i="73"/>
  <c r="BP10" i="73"/>
  <c r="BN10" i="73"/>
  <c r="BM10" i="73"/>
  <c r="BL10" i="73"/>
  <c r="BK10" i="73"/>
  <c r="BI10" i="73"/>
  <c r="BH10" i="73"/>
  <c r="BG10" i="73"/>
  <c r="BF10" i="73"/>
  <c r="BE10" i="73"/>
  <c r="BD10" i="73"/>
  <c r="BB10" i="73"/>
  <c r="BA10" i="73"/>
  <c r="AZ10" i="73"/>
  <c r="AX10" i="73"/>
  <c r="CG9" i="73"/>
  <c r="CF9" i="73"/>
  <c r="CE9" i="73"/>
  <c r="CD9" i="73"/>
  <c r="CC9" i="73"/>
  <c r="CA9" i="73"/>
  <c r="BZ9" i="73"/>
  <c r="BY9" i="73"/>
  <c r="BX9" i="73"/>
  <c r="BW9" i="73"/>
  <c r="BV9" i="73"/>
  <c r="BT9" i="73"/>
  <c r="BS9" i="73"/>
  <c r="BR9" i="73"/>
  <c r="BP9" i="73"/>
  <c r="BN9" i="73"/>
  <c r="BM9" i="73"/>
  <c r="BL9" i="73"/>
  <c r="BK9" i="73"/>
  <c r="BI9" i="73"/>
  <c r="BH9" i="73"/>
  <c r="BG9" i="73"/>
  <c r="BF9" i="73"/>
  <c r="BE9" i="73"/>
  <c r="BD9" i="73"/>
  <c r="BB9" i="73"/>
  <c r="BA9" i="73"/>
  <c r="AZ9" i="73"/>
  <c r="AX9" i="73"/>
  <c r="CG8" i="73"/>
  <c r="CF8" i="73"/>
  <c r="CE8" i="73"/>
  <c r="CD8" i="73"/>
  <c r="CC8" i="73"/>
  <c r="CA8" i="73"/>
  <c r="BZ8" i="73"/>
  <c r="BY8" i="73"/>
  <c r="BX8" i="73"/>
  <c r="BW8" i="73"/>
  <c r="BV8" i="73"/>
  <c r="BT8" i="73"/>
  <c r="BS8" i="73"/>
  <c r="BR8" i="73"/>
  <c r="BP8" i="73"/>
  <c r="BN8" i="73"/>
  <c r="BM8" i="73"/>
  <c r="BL8" i="73"/>
  <c r="BK8" i="73"/>
  <c r="BI8" i="73"/>
  <c r="BH8" i="73"/>
  <c r="BG8" i="73"/>
  <c r="BF8" i="73"/>
  <c r="BE8" i="73"/>
  <c r="BD8" i="73"/>
  <c r="BB8" i="73"/>
  <c r="BA8" i="73"/>
  <c r="AZ8" i="73"/>
  <c r="AX8" i="73"/>
  <c r="CG7" i="73"/>
  <c r="CF7" i="73"/>
  <c r="CE7" i="73"/>
  <c r="CD7" i="73"/>
  <c r="CC7" i="73"/>
  <c r="CA7" i="73"/>
  <c r="BZ7" i="73"/>
  <c r="BY7" i="73"/>
  <c r="BX7" i="73"/>
  <c r="BW7" i="73"/>
  <c r="BV7" i="73"/>
  <c r="BT7" i="73"/>
  <c r="BS7" i="73"/>
  <c r="BR7" i="73"/>
  <c r="BP7" i="73"/>
  <c r="BN7" i="73"/>
  <c r="BM7" i="73"/>
  <c r="BL7" i="73"/>
  <c r="BK7" i="73"/>
  <c r="BI7" i="73"/>
  <c r="BH7" i="73"/>
  <c r="BG7" i="73"/>
  <c r="BF7" i="73"/>
  <c r="BE7" i="73"/>
  <c r="BD7" i="73"/>
  <c r="BB7" i="73"/>
  <c r="BA7" i="73"/>
  <c r="AZ7" i="73"/>
  <c r="AX7" i="73"/>
  <c r="CG6" i="73"/>
  <c r="CF6" i="73"/>
  <c r="CE6" i="73"/>
  <c r="CD6" i="73"/>
  <c r="CC6" i="73"/>
  <c r="CA6" i="73"/>
  <c r="BZ6" i="73"/>
  <c r="BY6" i="73"/>
  <c r="BX6" i="73"/>
  <c r="BW6" i="73"/>
  <c r="BV6" i="73"/>
  <c r="BT6" i="73"/>
  <c r="BS6" i="73"/>
  <c r="BR6" i="73"/>
  <c r="BP6" i="73"/>
  <c r="BN6" i="73"/>
  <c r="BM6" i="73"/>
  <c r="BL6" i="73"/>
  <c r="BK6" i="73"/>
  <c r="BI6" i="73"/>
  <c r="BH6" i="73"/>
  <c r="BG6" i="73"/>
  <c r="BF6" i="73"/>
  <c r="BE6" i="73"/>
  <c r="BD6" i="73"/>
  <c r="BB6" i="73"/>
  <c r="BA6" i="73"/>
  <c r="AZ6" i="73"/>
  <c r="AX6" i="73"/>
  <c r="CG5" i="73"/>
  <c r="CF5" i="73"/>
  <c r="CE5" i="73"/>
  <c r="CD5" i="73"/>
  <c r="CC5" i="73"/>
  <c r="CA5" i="73"/>
  <c r="BZ5" i="73"/>
  <c r="BY5" i="73"/>
  <c r="BX5" i="73"/>
  <c r="BW5" i="73"/>
  <c r="BV5" i="73"/>
  <c r="BT5" i="73"/>
  <c r="BS5" i="73"/>
  <c r="BR5" i="73"/>
  <c r="BP5" i="73"/>
  <c r="BN5" i="73"/>
  <c r="BM5" i="73"/>
  <c r="BL5" i="73"/>
  <c r="BK5" i="73"/>
  <c r="BI5" i="73"/>
  <c r="BH5" i="73"/>
  <c r="BG5" i="73"/>
  <c r="BF5" i="73"/>
  <c r="BE5" i="73"/>
  <c r="BD5" i="73"/>
  <c r="BB5" i="73"/>
  <c r="BA5" i="73"/>
  <c r="AZ5" i="73"/>
  <c r="AX5" i="73"/>
  <c r="BY4" i="73"/>
  <c r="BI4" i="73"/>
  <c r="BG4" i="73"/>
  <c r="AX4" i="73"/>
  <c r="A4" i="73"/>
  <c r="A5" i="73" s="1"/>
  <c r="B5" i="73" s="1"/>
  <c r="AW36" i="74"/>
  <c r="AV36" i="74"/>
  <c r="AU36" i="74"/>
  <c r="AT36" i="74"/>
  <c r="AS36" i="74"/>
  <c r="AR36" i="74"/>
  <c r="AQ36" i="74"/>
  <c r="AP36" i="74"/>
  <c r="AO36" i="74"/>
  <c r="AN36" i="74"/>
  <c r="AM36" i="74"/>
  <c r="AL36" i="74"/>
  <c r="AK36" i="74"/>
  <c r="AJ36" i="74"/>
  <c r="AI36" i="74"/>
  <c r="AH36" i="74"/>
  <c r="AG36" i="74"/>
  <c r="AF36" i="74"/>
  <c r="AE36" i="74"/>
  <c r="AD36" i="74"/>
  <c r="AC36" i="74"/>
  <c r="AB36" i="74"/>
  <c r="AA36" i="74"/>
  <c r="Z36" i="74"/>
  <c r="Y36" i="74"/>
  <c r="X36" i="74"/>
  <c r="W36" i="74"/>
  <c r="V36" i="74"/>
  <c r="U36" i="74"/>
  <c r="T36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G36" i="74"/>
  <c r="BH36" i="74" s="1"/>
  <c r="F36" i="74"/>
  <c r="E36" i="74"/>
  <c r="D36" i="74"/>
  <c r="C36" i="74"/>
  <c r="AW35" i="74"/>
  <c r="AV35" i="74"/>
  <c r="AU35" i="74"/>
  <c r="AT35" i="74"/>
  <c r="AS35" i="74"/>
  <c r="AR35" i="74"/>
  <c r="AQ35" i="74"/>
  <c r="AP35" i="74"/>
  <c r="AO35" i="74"/>
  <c r="AN35" i="74"/>
  <c r="AM35" i="74"/>
  <c r="AL35" i="74"/>
  <c r="AK35" i="74"/>
  <c r="AJ35" i="74"/>
  <c r="AI35" i="74"/>
  <c r="AH35" i="74"/>
  <c r="AG35" i="74"/>
  <c r="AF35" i="74"/>
  <c r="AE35" i="74"/>
  <c r="AD35" i="74"/>
  <c r="AC35" i="74"/>
  <c r="AB35" i="74"/>
  <c r="AA35" i="74"/>
  <c r="Z35" i="74"/>
  <c r="Y35" i="74"/>
  <c r="X35" i="74"/>
  <c r="W35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BT35" i="74" s="1"/>
  <c r="I35" i="74"/>
  <c r="H35" i="74"/>
  <c r="G35" i="74"/>
  <c r="F35" i="74"/>
  <c r="E35" i="74"/>
  <c r="D35" i="74"/>
  <c r="C35" i="74"/>
  <c r="CG34" i="74"/>
  <c r="CF34" i="74"/>
  <c r="CE34" i="74"/>
  <c r="CD34" i="74"/>
  <c r="CC34" i="74"/>
  <c r="CA34" i="74"/>
  <c r="BZ34" i="74"/>
  <c r="BY34" i="74"/>
  <c r="BX34" i="74"/>
  <c r="BW34" i="74"/>
  <c r="BV34" i="74"/>
  <c r="BT34" i="74"/>
  <c r="BS34" i="74"/>
  <c r="BR34" i="74"/>
  <c r="BP34" i="74"/>
  <c r="BN34" i="74"/>
  <c r="BM34" i="74"/>
  <c r="BL34" i="74"/>
  <c r="BK34" i="74"/>
  <c r="BI34" i="74"/>
  <c r="BH34" i="74"/>
  <c r="BG34" i="74"/>
  <c r="BF34" i="74"/>
  <c r="BE34" i="74"/>
  <c r="BD34" i="74"/>
  <c r="BB34" i="74"/>
  <c r="BA34" i="74"/>
  <c r="AZ34" i="74"/>
  <c r="AX34" i="74"/>
  <c r="CG33" i="74"/>
  <c r="CF33" i="74"/>
  <c r="CE33" i="74"/>
  <c r="CD33" i="74"/>
  <c r="CC33" i="74"/>
  <c r="CA33" i="74"/>
  <c r="BZ33" i="74"/>
  <c r="BY33" i="74"/>
  <c r="BX33" i="74"/>
  <c r="BW33" i="74"/>
  <c r="BV33" i="74"/>
  <c r="BT33" i="74"/>
  <c r="BS33" i="74"/>
  <c r="BR33" i="74"/>
  <c r="BP33" i="74"/>
  <c r="BN33" i="74"/>
  <c r="BM33" i="74"/>
  <c r="BL33" i="74"/>
  <c r="BK33" i="74"/>
  <c r="BI33" i="74"/>
  <c r="BH33" i="74"/>
  <c r="BG33" i="74"/>
  <c r="BF33" i="74"/>
  <c r="BE33" i="74"/>
  <c r="BD33" i="74"/>
  <c r="BB33" i="74"/>
  <c r="BA33" i="74"/>
  <c r="AZ33" i="74"/>
  <c r="AX33" i="74"/>
  <c r="CG32" i="74"/>
  <c r="CF32" i="74"/>
  <c r="CE32" i="74"/>
  <c r="CD32" i="74"/>
  <c r="CC32" i="74"/>
  <c r="CA32" i="74"/>
  <c r="BZ32" i="74"/>
  <c r="BY32" i="74"/>
  <c r="BX32" i="74"/>
  <c r="BW32" i="74"/>
  <c r="BV32" i="74"/>
  <c r="BT32" i="74"/>
  <c r="BS32" i="74"/>
  <c r="BR32" i="74"/>
  <c r="BP32" i="74"/>
  <c r="BN32" i="74"/>
  <c r="BM32" i="74"/>
  <c r="BL32" i="74"/>
  <c r="BK32" i="74"/>
  <c r="BI32" i="74"/>
  <c r="BH32" i="74"/>
  <c r="BG32" i="74"/>
  <c r="BF32" i="74"/>
  <c r="BE32" i="74"/>
  <c r="BD32" i="74"/>
  <c r="BB32" i="74"/>
  <c r="BA32" i="74"/>
  <c r="AZ32" i="74"/>
  <c r="AX32" i="74"/>
  <c r="CG31" i="74"/>
  <c r="CF31" i="74"/>
  <c r="CE31" i="74"/>
  <c r="CD31" i="74"/>
  <c r="CC31" i="74"/>
  <c r="CA31" i="74"/>
  <c r="BZ31" i="74"/>
  <c r="BY31" i="74"/>
  <c r="BX31" i="74"/>
  <c r="BW31" i="74"/>
  <c r="BV31" i="74"/>
  <c r="BT31" i="74"/>
  <c r="BS31" i="74"/>
  <c r="BR31" i="74"/>
  <c r="BP31" i="74"/>
  <c r="BN31" i="74"/>
  <c r="BM31" i="74"/>
  <c r="BL31" i="74"/>
  <c r="BK31" i="74"/>
  <c r="BI31" i="74"/>
  <c r="BH31" i="74"/>
  <c r="BG31" i="74"/>
  <c r="BF31" i="74"/>
  <c r="BE31" i="74"/>
  <c r="BD31" i="74"/>
  <c r="BB31" i="74"/>
  <c r="BA31" i="74"/>
  <c r="AZ31" i="74"/>
  <c r="AX31" i="74"/>
  <c r="CG30" i="74"/>
  <c r="CF30" i="74"/>
  <c r="CE30" i="74"/>
  <c r="CD30" i="74"/>
  <c r="CC30" i="74"/>
  <c r="CA30" i="74"/>
  <c r="BZ30" i="74"/>
  <c r="BY30" i="74"/>
  <c r="BX30" i="74"/>
  <c r="BW30" i="74"/>
  <c r="BV30" i="74"/>
  <c r="BT30" i="74"/>
  <c r="BS30" i="74"/>
  <c r="BR30" i="74"/>
  <c r="BP30" i="74"/>
  <c r="BN30" i="74"/>
  <c r="BM30" i="74"/>
  <c r="BL30" i="74"/>
  <c r="BK30" i="74"/>
  <c r="BI30" i="74"/>
  <c r="BH30" i="74"/>
  <c r="BG30" i="74"/>
  <c r="BF30" i="74"/>
  <c r="BE30" i="74"/>
  <c r="BD30" i="74"/>
  <c r="BB30" i="74"/>
  <c r="BA30" i="74"/>
  <c r="AZ30" i="74"/>
  <c r="AX30" i="74"/>
  <c r="CG29" i="74"/>
  <c r="CF29" i="74"/>
  <c r="CE29" i="74"/>
  <c r="CD29" i="74"/>
  <c r="CC29" i="74"/>
  <c r="CA29" i="74"/>
  <c r="BZ29" i="74"/>
  <c r="BY29" i="74"/>
  <c r="BX29" i="74"/>
  <c r="BW29" i="74"/>
  <c r="BV29" i="74"/>
  <c r="BT29" i="74"/>
  <c r="BS29" i="74"/>
  <c r="BR29" i="74"/>
  <c r="BP29" i="74"/>
  <c r="BN29" i="74"/>
  <c r="BM29" i="74"/>
  <c r="BL29" i="74"/>
  <c r="BK29" i="74"/>
  <c r="BI29" i="74"/>
  <c r="BH29" i="74"/>
  <c r="BG29" i="74"/>
  <c r="BF29" i="74"/>
  <c r="BE29" i="74"/>
  <c r="BD29" i="74"/>
  <c r="BB29" i="74"/>
  <c r="BA29" i="74"/>
  <c r="AZ29" i="74"/>
  <c r="AX29" i="74"/>
  <c r="CG28" i="74"/>
  <c r="CF28" i="74"/>
  <c r="CE28" i="74"/>
  <c r="CD28" i="74"/>
  <c r="CC28" i="74"/>
  <c r="CA28" i="74"/>
  <c r="BZ28" i="74"/>
  <c r="BY28" i="74"/>
  <c r="BX28" i="74"/>
  <c r="BW28" i="74"/>
  <c r="BV28" i="74"/>
  <c r="BT28" i="74"/>
  <c r="BS28" i="74"/>
  <c r="BR28" i="74"/>
  <c r="BP28" i="74"/>
  <c r="BN28" i="74"/>
  <c r="BM28" i="74"/>
  <c r="BL28" i="74"/>
  <c r="BK28" i="74"/>
  <c r="BI28" i="74"/>
  <c r="BH28" i="74"/>
  <c r="BG28" i="74"/>
  <c r="BF28" i="74"/>
  <c r="BE28" i="74"/>
  <c r="BD28" i="74"/>
  <c r="BB28" i="74"/>
  <c r="BA28" i="74"/>
  <c r="AZ28" i="74"/>
  <c r="AX28" i="74"/>
  <c r="CG27" i="74"/>
  <c r="CF27" i="74"/>
  <c r="CE27" i="74"/>
  <c r="CD27" i="74"/>
  <c r="CC27" i="74"/>
  <c r="CA27" i="74"/>
  <c r="BZ27" i="74"/>
  <c r="BY27" i="74"/>
  <c r="BX27" i="74"/>
  <c r="BW27" i="74"/>
  <c r="BV27" i="74"/>
  <c r="BT27" i="74"/>
  <c r="BS27" i="74"/>
  <c r="BR27" i="74"/>
  <c r="BP27" i="74"/>
  <c r="BN27" i="74"/>
  <c r="BM27" i="74"/>
  <c r="BL27" i="74"/>
  <c r="BK27" i="74"/>
  <c r="BI27" i="74"/>
  <c r="BH27" i="74"/>
  <c r="BG27" i="74"/>
  <c r="BF27" i="74"/>
  <c r="BE27" i="74"/>
  <c r="BD27" i="74"/>
  <c r="BB27" i="74"/>
  <c r="BA27" i="74"/>
  <c r="AZ27" i="74"/>
  <c r="AX27" i="74"/>
  <c r="CG26" i="74"/>
  <c r="CF26" i="74"/>
  <c r="CE26" i="74"/>
  <c r="CD26" i="74"/>
  <c r="CC26" i="74"/>
  <c r="CA26" i="74"/>
  <c r="BZ26" i="74"/>
  <c r="BY26" i="74"/>
  <c r="BX26" i="74"/>
  <c r="BW26" i="74"/>
  <c r="BV26" i="74"/>
  <c r="BT26" i="74"/>
  <c r="BS26" i="74"/>
  <c r="BR26" i="74"/>
  <c r="BP26" i="74"/>
  <c r="BN26" i="74"/>
  <c r="BM26" i="74"/>
  <c r="BL26" i="74"/>
  <c r="BK26" i="74"/>
  <c r="BI26" i="74"/>
  <c r="BH26" i="74"/>
  <c r="BG26" i="74"/>
  <c r="BF26" i="74"/>
  <c r="BE26" i="74"/>
  <c r="BD26" i="74"/>
  <c r="BB26" i="74"/>
  <c r="BA26" i="74"/>
  <c r="AZ26" i="74"/>
  <c r="AX26" i="74"/>
  <c r="CG25" i="74"/>
  <c r="CF25" i="74"/>
  <c r="CE25" i="74"/>
  <c r="CD25" i="74"/>
  <c r="CC25" i="74"/>
  <c r="CA25" i="74"/>
  <c r="BZ25" i="74"/>
  <c r="BY25" i="74"/>
  <c r="BX25" i="74"/>
  <c r="BW25" i="74"/>
  <c r="BV25" i="74"/>
  <c r="BT25" i="74"/>
  <c r="BS25" i="74"/>
  <c r="BR25" i="74"/>
  <c r="BP25" i="74"/>
  <c r="BN25" i="74"/>
  <c r="BM25" i="74"/>
  <c r="BL25" i="74"/>
  <c r="BK25" i="74"/>
  <c r="BI25" i="74"/>
  <c r="BH25" i="74"/>
  <c r="BG25" i="74"/>
  <c r="BF25" i="74"/>
  <c r="BE25" i="74"/>
  <c r="BD25" i="74"/>
  <c r="BB25" i="74"/>
  <c r="BA25" i="74"/>
  <c r="AZ25" i="74"/>
  <c r="AX25" i="74"/>
  <c r="CG24" i="74"/>
  <c r="CF24" i="74"/>
  <c r="CE24" i="74"/>
  <c r="CD24" i="74"/>
  <c r="CC24" i="74"/>
  <c r="CA24" i="74"/>
  <c r="BZ24" i="74"/>
  <c r="BY24" i="74"/>
  <c r="BX24" i="74"/>
  <c r="BW24" i="74"/>
  <c r="BV24" i="74"/>
  <c r="BT24" i="74"/>
  <c r="BS24" i="74"/>
  <c r="BR24" i="74"/>
  <c r="BP24" i="74"/>
  <c r="BN24" i="74"/>
  <c r="BM24" i="74"/>
  <c r="BL24" i="74"/>
  <c r="BK24" i="74"/>
  <c r="BI24" i="74"/>
  <c r="BH24" i="74"/>
  <c r="BG24" i="74"/>
  <c r="BF24" i="74"/>
  <c r="BE24" i="74"/>
  <c r="BD24" i="74"/>
  <c r="BB24" i="74"/>
  <c r="BA24" i="74"/>
  <c r="AZ24" i="74"/>
  <c r="AX24" i="74"/>
  <c r="CG23" i="74"/>
  <c r="CF23" i="74"/>
  <c r="CE23" i="74"/>
  <c r="CD23" i="74"/>
  <c r="CC23" i="74"/>
  <c r="CA23" i="74"/>
  <c r="BZ23" i="74"/>
  <c r="BY23" i="74"/>
  <c r="BX23" i="74"/>
  <c r="BW23" i="74"/>
  <c r="BV23" i="74"/>
  <c r="BT23" i="74"/>
  <c r="BS23" i="74"/>
  <c r="BR23" i="74"/>
  <c r="BP23" i="74"/>
  <c r="BN23" i="74"/>
  <c r="BM23" i="74"/>
  <c r="BL23" i="74"/>
  <c r="BK23" i="74"/>
  <c r="BI23" i="74"/>
  <c r="BH23" i="74"/>
  <c r="BG23" i="74"/>
  <c r="BF23" i="74"/>
  <c r="BE23" i="74"/>
  <c r="BD23" i="74"/>
  <c r="BB23" i="74"/>
  <c r="BA23" i="74"/>
  <c r="AZ23" i="74"/>
  <c r="AX23" i="74"/>
  <c r="CG22" i="74"/>
  <c r="CF22" i="74"/>
  <c r="CE22" i="74"/>
  <c r="CD22" i="74"/>
  <c r="CC22" i="74"/>
  <c r="CA22" i="74"/>
  <c r="BZ22" i="74"/>
  <c r="BY22" i="74"/>
  <c r="BX22" i="74"/>
  <c r="BW22" i="74"/>
  <c r="BV22" i="74"/>
  <c r="BT22" i="74"/>
  <c r="BS22" i="74"/>
  <c r="BR22" i="74"/>
  <c r="BP22" i="74"/>
  <c r="BN22" i="74"/>
  <c r="BM22" i="74"/>
  <c r="BL22" i="74"/>
  <c r="BK22" i="74"/>
  <c r="BI22" i="74"/>
  <c r="BH22" i="74"/>
  <c r="BG22" i="74"/>
  <c r="BF22" i="74"/>
  <c r="BE22" i="74"/>
  <c r="BD22" i="74"/>
  <c r="BB22" i="74"/>
  <c r="BA22" i="74"/>
  <c r="AZ22" i="74"/>
  <c r="AX22" i="74"/>
  <c r="CG21" i="74"/>
  <c r="CF21" i="74"/>
  <c r="CE21" i="74"/>
  <c r="CD21" i="74"/>
  <c r="CC21" i="74"/>
  <c r="CA21" i="74"/>
  <c r="BZ21" i="74"/>
  <c r="BY21" i="74"/>
  <c r="BX21" i="74"/>
  <c r="BW21" i="74"/>
  <c r="BV21" i="74"/>
  <c r="BT21" i="74"/>
  <c r="BS21" i="74"/>
  <c r="BR21" i="74"/>
  <c r="BP21" i="74"/>
  <c r="BN21" i="74"/>
  <c r="BM21" i="74"/>
  <c r="BL21" i="74"/>
  <c r="BK21" i="74"/>
  <c r="BI21" i="74"/>
  <c r="BH21" i="74"/>
  <c r="BG21" i="74"/>
  <c r="BF21" i="74"/>
  <c r="BE21" i="74"/>
  <c r="BD21" i="74"/>
  <c r="BB21" i="74"/>
  <c r="BA21" i="74"/>
  <c r="AZ21" i="74"/>
  <c r="AX21" i="74"/>
  <c r="CG20" i="74"/>
  <c r="CF20" i="74"/>
  <c r="CE20" i="74"/>
  <c r="CD20" i="74"/>
  <c r="CC20" i="74"/>
  <c r="CA20" i="74"/>
  <c r="BZ20" i="74"/>
  <c r="BY20" i="74"/>
  <c r="BX20" i="74"/>
  <c r="BW20" i="74"/>
  <c r="BV20" i="74"/>
  <c r="BT20" i="74"/>
  <c r="BS20" i="74"/>
  <c r="BR20" i="74"/>
  <c r="BP20" i="74"/>
  <c r="BN20" i="74"/>
  <c r="BM20" i="74"/>
  <c r="BL20" i="74"/>
  <c r="BK20" i="74"/>
  <c r="BI20" i="74"/>
  <c r="BH20" i="74"/>
  <c r="BG20" i="74"/>
  <c r="BF20" i="74"/>
  <c r="BE20" i="74"/>
  <c r="BD20" i="74"/>
  <c r="BB20" i="74"/>
  <c r="BA20" i="74"/>
  <c r="AZ20" i="74"/>
  <c r="AX20" i="74"/>
  <c r="CG19" i="74"/>
  <c r="CF19" i="74"/>
  <c r="CE19" i="74"/>
  <c r="CD19" i="74"/>
  <c r="CC19" i="74"/>
  <c r="CA19" i="74"/>
  <c r="BZ19" i="74"/>
  <c r="BY19" i="74"/>
  <c r="BX19" i="74"/>
  <c r="BW19" i="74"/>
  <c r="BV19" i="74"/>
  <c r="BT19" i="74"/>
  <c r="BS19" i="74"/>
  <c r="BR19" i="74"/>
  <c r="BP19" i="74"/>
  <c r="BN19" i="74"/>
  <c r="BM19" i="74"/>
  <c r="BL19" i="74"/>
  <c r="BK19" i="74"/>
  <c r="BI19" i="74"/>
  <c r="BH19" i="74"/>
  <c r="BG19" i="74"/>
  <c r="BF19" i="74"/>
  <c r="BE19" i="74"/>
  <c r="BD19" i="74"/>
  <c r="BB19" i="74"/>
  <c r="BA19" i="74"/>
  <c r="AZ19" i="74"/>
  <c r="AX19" i="74"/>
  <c r="CG18" i="74"/>
  <c r="CF18" i="74"/>
  <c r="CE18" i="74"/>
  <c r="CD18" i="74"/>
  <c r="CC18" i="74"/>
  <c r="CA18" i="74"/>
  <c r="BZ18" i="74"/>
  <c r="BY18" i="74"/>
  <c r="BX18" i="74"/>
  <c r="BW18" i="74"/>
  <c r="BV18" i="74"/>
  <c r="BT18" i="74"/>
  <c r="BS18" i="74"/>
  <c r="BR18" i="74"/>
  <c r="BP18" i="74"/>
  <c r="BN18" i="74"/>
  <c r="BM18" i="74"/>
  <c r="BL18" i="74"/>
  <c r="BK18" i="74"/>
  <c r="BI18" i="74"/>
  <c r="BH18" i="74"/>
  <c r="BG18" i="74"/>
  <c r="BF18" i="74"/>
  <c r="BE18" i="74"/>
  <c r="BD18" i="74"/>
  <c r="BB18" i="74"/>
  <c r="BA18" i="74"/>
  <c r="AZ18" i="74"/>
  <c r="AX18" i="74"/>
  <c r="CG17" i="74"/>
  <c r="CF17" i="74"/>
  <c r="CE17" i="74"/>
  <c r="CD17" i="74"/>
  <c r="CC17" i="74"/>
  <c r="CA17" i="74"/>
  <c r="BZ17" i="74"/>
  <c r="BY17" i="74"/>
  <c r="BX17" i="74"/>
  <c r="BW17" i="74"/>
  <c r="BV17" i="74"/>
  <c r="BT17" i="74"/>
  <c r="BS17" i="74"/>
  <c r="BR17" i="74"/>
  <c r="BP17" i="74"/>
  <c r="BN17" i="74"/>
  <c r="BM17" i="74"/>
  <c r="BL17" i="74"/>
  <c r="BK17" i="74"/>
  <c r="BI17" i="74"/>
  <c r="BH17" i="74"/>
  <c r="BG17" i="74"/>
  <c r="BF17" i="74"/>
  <c r="BE17" i="74"/>
  <c r="BD17" i="74"/>
  <c r="BB17" i="74"/>
  <c r="BA17" i="74"/>
  <c r="AZ17" i="74"/>
  <c r="AX17" i="74"/>
  <c r="CG16" i="74"/>
  <c r="CF16" i="74"/>
  <c r="CE16" i="74"/>
  <c r="CD16" i="74"/>
  <c r="CC16" i="74"/>
  <c r="CA16" i="74"/>
  <c r="BZ16" i="74"/>
  <c r="BY16" i="74"/>
  <c r="BX16" i="74"/>
  <c r="BW16" i="74"/>
  <c r="BV16" i="74"/>
  <c r="BT16" i="74"/>
  <c r="BS16" i="74"/>
  <c r="BR16" i="74"/>
  <c r="BP16" i="74"/>
  <c r="BN16" i="74"/>
  <c r="BM16" i="74"/>
  <c r="BL16" i="74"/>
  <c r="BK16" i="74"/>
  <c r="BI16" i="74"/>
  <c r="BH16" i="74"/>
  <c r="BG16" i="74"/>
  <c r="BF16" i="74"/>
  <c r="BE16" i="74"/>
  <c r="BD16" i="74"/>
  <c r="BB16" i="74"/>
  <c r="BA16" i="74"/>
  <c r="AZ16" i="74"/>
  <c r="AX16" i="74"/>
  <c r="CG15" i="74"/>
  <c r="CF15" i="74"/>
  <c r="CE15" i="74"/>
  <c r="CD15" i="74"/>
  <c r="CC15" i="74"/>
  <c r="CA15" i="74"/>
  <c r="BZ15" i="74"/>
  <c r="BY15" i="74"/>
  <c r="BX15" i="74"/>
  <c r="BW15" i="74"/>
  <c r="BV15" i="74"/>
  <c r="BT15" i="74"/>
  <c r="BS15" i="74"/>
  <c r="BR15" i="74"/>
  <c r="BP15" i="74"/>
  <c r="BN15" i="74"/>
  <c r="BM15" i="74"/>
  <c r="BL15" i="74"/>
  <c r="BK15" i="74"/>
  <c r="BI15" i="74"/>
  <c r="BH15" i="74"/>
  <c r="BG15" i="74"/>
  <c r="BF15" i="74"/>
  <c r="BE15" i="74"/>
  <c r="BD15" i="74"/>
  <c r="BB15" i="74"/>
  <c r="BA15" i="74"/>
  <c r="AZ15" i="74"/>
  <c r="AX15" i="74"/>
  <c r="CG14" i="74"/>
  <c r="CF14" i="74"/>
  <c r="CE14" i="74"/>
  <c r="CD14" i="74"/>
  <c r="CC14" i="74"/>
  <c r="CA14" i="74"/>
  <c r="BZ14" i="74"/>
  <c r="BY14" i="74"/>
  <c r="BX14" i="74"/>
  <c r="BW14" i="74"/>
  <c r="BV14" i="74"/>
  <c r="BT14" i="74"/>
  <c r="BS14" i="74"/>
  <c r="BR14" i="74"/>
  <c r="BP14" i="74"/>
  <c r="BN14" i="74"/>
  <c r="BM14" i="74"/>
  <c r="BL14" i="74"/>
  <c r="BK14" i="74"/>
  <c r="BI14" i="74"/>
  <c r="BH14" i="74"/>
  <c r="BG14" i="74"/>
  <c r="BF14" i="74"/>
  <c r="BE14" i="74"/>
  <c r="BD14" i="74"/>
  <c r="BB14" i="74"/>
  <c r="BA14" i="74"/>
  <c r="AZ14" i="74"/>
  <c r="AX14" i="74"/>
  <c r="CG13" i="74"/>
  <c r="CF13" i="74"/>
  <c r="CE13" i="74"/>
  <c r="CD13" i="74"/>
  <c r="CC13" i="74"/>
  <c r="CA13" i="74"/>
  <c r="BZ13" i="74"/>
  <c r="BY13" i="74"/>
  <c r="BX13" i="74"/>
  <c r="BW13" i="74"/>
  <c r="BV13" i="74"/>
  <c r="BT13" i="74"/>
  <c r="BS13" i="74"/>
  <c r="BR13" i="74"/>
  <c r="BP13" i="74"/>
  <c r="BN13" i="74"/>
  <c r="BM13" i="74"/>
  <c r="BL13" i="74"/>
  <c r="BK13" i="74"/>
  <c r="BI13" i="74"/>
  <c r="BH13" i="74"/>
  <c r="BG13" i="74"/>
  <c r="BF13" i="74"/>
  <c r="BE13" i="74"/>
  <c r="BD13" i="74"/>
  <c r="BB13" i="74"/>
  <c r="BA13" i="74"/>
  <c r="AZ13" i="74"/>
  <c r="AX13" i="74"/>
  <c r="CG12" i="74"/>
  <c r="CF12" i="74"/>
  <c r="CE12" i="74"/>
  <c r="CD12" i="74"/>
  <c r="CC12" i="74"/>
  <c r="CA12" i="74"/>
  <c r="BZ12" i="74"/>
  <c r="BY12" i="74"/>
  <c r="BX12" i="74"/>
  <c r="BW12" i="74"/>
  <c r="BV12" i="74"/>
  <c r="BT12" i="74"/>
  <c r="BS12" i="74"/>
  <c r="BR12" i="74"/>
  <c r="BP12" i="74"/>
  <c r="BN12" i="74"/>
  <c r="BM12" i="74"/>
  <c r="BL12" i="74"/>
  <c r="BK12" i="74"/>
  <c r="BI12" i="74"/>
  <c r="BH12" i="74"/>
  <c r="BG12" i="74"/>
  <c r="BF12" i="74"/>
  <c r="BE12" i="74"/>
  <c r="BD12" i="74"/>
  <c r="BB12" i="74"/>
  <c r="BA12" i="74"/>
  <c r="AZ12" i="74"/>
  <c r="AX12" i="74"/>
  <c r="CG11" i="74"/>
  <c r="CF11" i="74"/>
  <c r="CE11" i="74"/>
  <c r="CD11" i="74"/>
  <c r="CC11" i="74"/>
  <c r="CA11" i="74"/>
  <c r="BZ11" i="74"/>
  <c r="BY11" i="74"/>
  <c r="BX11" i="74"/>
  <c r="BW11" i="74"/>
  <c r="BV11" i="74"/>
  <c r="BT11" i="74"/>
  <c r="BS11" i="74"/>
  <c r="BR11" i="74"/>
  <c r="BP11" i="74"/>
  <c r="BN11" i="74"/>
  <c r="BM11" i="74"/>
  <c r="BL11" i="74"/>
  <c r="BK11" i="74"/>
  <c r="BI11" i="74"/>
  <c r="BH11" i="74"/>
  <c r="BG11" i="74"/>
  <c r="BF11" i="74"/>
  <c r="BE11" i="74"/>
  <c r="BD11" i="74"/>
  <c r="BB11" i="74"/>
  <c r="BA11" i="74"/>
  <c r="AZ11" i="74"/>
  <c r="AX11" i="74"/>
  <c r="CG10" i="74"/>
  <c r="CF10" i="74"/>
  <c r="CE10" i="74"/>
  <c r="CD10" i="74"/>
  <c r="CC10" i="74"/>
  <c r="CA10" i="74"/>
  <c r="BZ10" i="74"/>
  <c r="BY10" i="74"/>
  <c r="BX10" i="74"/>
  <c r="BW10" i="74"/>
  <c r="BV10" i="74"/>
  <c r="BT10" i="74"/>
  <c r="BS10" i="74"/>
  <c r="BR10" i="74"/>
  <c r="BP10" i="74"/>
  <c r="BN10" i="74"/>
  <c r="BM10" i="74"/>
  <c r="BL10" i="74"/>
  <c r="BK10" i="74"/>
  <c r="BI10" i="74"/>
  <c r="BH10" i="74"/>
  <c r="BG10" i="74"/>
  <c r="BF10" i="74"/>
  <c r="BE10" i="74"/>
  <c r="BD10" i="74"/>
  <c r="BB10" i="74"/>
  <c r="BA10" i="74"/>
  <c r="AZ10" i="74"/>
  <c r="AX10" i="74"/>
  <c r="CG9" i="74"/>
  <c r="CF9" i="74"/>
  <c r="CE9" i="74"/>
  <c r="CD9" i="74"/>
  <c r="CC9" i="74"/>
  <c r="CA9" i="74"/>
  <c r="BZ9" i="74"/>
  <c r="BY9" i="74"/>
  <c r="BX9" i="74"/>
  <c r="BW9" i="74"/>
  <c r="BV9" i="74"/>
  <c r="BT9" i="74"/>
  <c r="BS9" i="74"/>
  <c r="BR9" i="74"/>
  <c r="BP9" i="74"/>
  <c r="BN9" i="74"/>
  <c r="BM9" i="74"/>
  <c r="BL9" i="74"/>
  <c r="BK9" i="74"/>
  <c r="BI9" i="74"/>
  <c r="BH9" i="74"/>
  <c r="BG9" i="74"/>
  <c r="BF9" i="74"/>
  <c r="BE9" i="74"/>
  <c r="BD9" i="74"/>
  <c r="BB9" i="74"/>
  <c r="BA9" i="74"/>
  <c r="AZ9" i="74"/>
  <c r="AX9" i="74"/>
  <c r="CG8" i="74"/>
  <c r="CF8" i="74"/>
  <c r="CE8" i="74"/>
  <c r="CD8" i="74"/>
  <c r="CC8" i="74"/>
  <c r="CA8" i="74"/>
  <c r="BZ8" i="74"/>
  <c r="BY8" i="74"/>
  <c r="BX8" i="74"/>
  <c r="BW8" i="74"/>
  <c r="BV8" i="74"/>
  <c r="BT8" i="74"/>
  <c r="BS8" i="74"/>
  <c r="BR8" i="74"/>
  <c r="BP8" i="74"/>
  <c r="BN8" i="74"/>
  <c r="BM8" i="74"/>
  <c r="BL8" i="74"/>
  <c r="BK8" i="74"/>
  <c r="BI8" i="74"/>
  <c r="BH8" i="74"/>
  <c r="BG8" i="74"/>
  <c r="BF8" i="74"/>
  <c r="BE8" i="74"/>
  <c r="BD8" i="74"/>
  <c r="BB8" i="74"/>
  <c r="BA8" i="74"/>
  <c r="AZ8" i="74"/>
  <c r="AX8" i="74"/>
  <c r="CG7" i="74"/>
  <c r="CF7" i="74"/>
  <c r="CE7" i="74"/>
  <c r="CD7" i="74"/>
  <c r="CC7" i="74"/>
  <c r="CA7" i="74"/>
  <c r="BZ7" i="74"/>
  <c r="BY7" i="74"/>
  <c r="BX7" i="74"/>
  <c r="BW7" i="74"/>
  <c r="BV7" i="74"/>
  <c r="BT7" i="74"/>
  <c r="BS7" i="74"/>
  <c r="BR7" i="74"/>
  <c r="BP7" i="74"/>
  <c r="BN7" i="74"/>
  <c r="BM7" i="74"/>
  <c r="BL7" i="74"/>
  <c r="BK7" i="74"/>
  <c r="BI7" i="74"/>
  <c r="BH7" i="74"/>
  <c r="BG7" i="74"/>
  <c r="BF7" i="74"/>
  <c r="BE7" i="74"/>
  <c r="BD7" i="74"/>
  <c r="BB7" i="74"/>
  <c r="BA7" i="74"/>
  <c r="AZ7" i="74"/>
  <c r="AX7" i="74"/>
  <c r="CG6" i="74"/>
  <c r="CF6" i="74"/>
  <c r="CE6" i="74"/>
  <c r="CD6" i="74"/>
  <c r="CC6" i="74"/>
  <c r="CA6" i="74"/>
  <c r="BZ6" i="74"/>
  <c r="BY6" i="74"/>
  <c r="BX6" i="74"/>
  <c r="BW6" i="74"/>
  <c r="BV6" i="74"/>
  <c r="BT6" i="74"/>
  <c r="BS6" i="74"/>
  <c r="BR6" i="74"/>
  <c r="BP6" i="74"/>
  <c r="BN6" i="74"/>
  <c r="BM6" i="74"/>
  <c r="BL6" i="74"/>
  <c r="BK6" i="74"/>
  <c r="BI6" i="74"/>
  <c r="BH6" i="74"/>
  <c r="BG6" i="74"/>
  <c r="BF6" i="74"/>
  <c r="BE6" i="74"/>
  <c r="BD6" i="74"/>
  <c r="BB6" i="74"/>
  <c r="BA6" i="74"/>
  <c r="AZ6" i="74"/>
  <c r="AX6" i="74"/>
  <c r="CG5" i="74"/>
  <c r="CF5" i="74"/>
  <c r="CE5" i="74"/>
  <c r="CD5" i="74"/>
  <c r="CC5" i="74"/>
  <c r="CA5" i="74"/>
  <c r="BZ5" i="74"/>
  <c r="BY5" i="74"/>
  <c r="BX5" i="74"/>
  <c r="BW5" i="74"/>
  <c r="BV5" i="74"/>
  <c r="BT5" i="74"/>
  <c r="BS5" i="74"/>
  <c r="BR5" i="74"/>
  <c r="BP5" i="74"/>
  <c r="BN5" i="74"/>
  <c r="BM5" i="74"/>
  <c r="BL5" i="74"/>
  <c r="BK5" i="74"/>
  <c r="BI5" i="74"/>
  <c r="BH5" i="74"/>
  <c r="BG5" i="74"/>
  <c r="BF5" i="74"/>
  <c r="BE5" i="74"/>
  <c r="BD5" i="74"/>
  <c r="BB5" i="74"/>
  <c r="BA5" i="74"/>
  <c r="AZ5" i="74"/>
  <c r="AX5" i="74"/>
  <c r="CG4" i="74"/>
  <c r="CF4" i="74"/>
  <c r="CE4" i="74"/>
  <c r="CD4" i="74"/>
  <c r="CC4" i="74"/>
  <c r="CA4" i="74"/>
  <c r="BZ4" i="74"/>
  <c r="BY4" i="74"/>
  <c r="BX4" i="74"/>
  <c r="BW4" i="74"/>
  <c r="BV4" i="74"/>
  <c r="BT4" i="74"/>
  <c r="BS4" i="74"/>
  <c r="BR4" i="74"/>
  <c r="BP4" i="74"/>
  <c r="BN4" i="74"/>
  <c r="BM4" i="74"/>
  <c r="BL4" i="74"/>
  <c r="BK4" i="74"/>
  <c r="BI4" i="74"/>
  <c r="BH4" i="74"/>
  <c r="BG4" i="74"/>
  <c r="BF4" i="74"/>
  <c r="BE4" i="74"/>
  <c r="BD4" i="74"/>
  <c r="BB4" i="74"/>
  <c r="BA4" i="74"/>
  <c r="AZ4" i="74"/>
  <c r="AX4" i="74"/>
  <c r="A4" i="74"/>
  <c r="A5" i="74" s="1"/>
  <c r="B5" i="74" s="1"/>
  <c r="AW36" i="75"/>
  <c r="AV36" i="75"/>
  <c r="AU36" i="75"/>
  <c r="AT36" i="75"/>
  <c r="AS36" i="75"/>
  <c r="AR36" i="75"/>
  <c r="AQ36" i="75"/>
  <c r="AP36" i="75"/>
  <c r="AO36" i="75"/>
  <c r="AN36" i="75"/>
  <c r="AM36" i="75"/>
  <c r="AL36" i="75"/>
  <c r="AK36" i="75"/>
  <c r="AJ36" i="75"/>
  <c r="AI36" i="75"/>
  <c r="AH36" i="75"/>
  <c r="AG36" i="75"/>
  <c r="AF36" i="75"/>
  <c r="AE36" i="75"/>
  <c r="AD36" i="75"/>
  <c r="AC36" i="75"/>
  <c r="AB36" i="75"/>
  <c r="AA36" i="75"/>
  <c r="Z36" i="75"/>
  <c r="Y36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G36" i="75"/>
  <c r="F36" i="75"/>
  <c r="E36" i="75"/>
  <c r="D36" i="75"/>
  <c r="C36" i="75"/>
  <c r="AW35" i="75"/>
  <c r="AV35" i="75"/>
  <c r="AU35" i="75"/>
  <c r="AT35" i="75"/>
  <c r="AS35" i="75"/>
  <c r="AR35" i="75"/>
  <c r="AQ35" i="75"/>
  <c r="AP35" i="75"/>
  <c r="AO35" i="75"/>
  <c r="AN35" i="75"/>
  <c r="AM35" i="75"/>
  <c r="AL35" i="75"/>
  <c r="AK35" i="75"/>
  <c r="AJ35" i="75"/>
  <c r="AI35" i="75"/>
  <c r="AH35" i="75"/>
  <c r="AG35" i="75"/>
  <c r="AF35" i="75"/>
  <c r="AE35" i="75"/>
  <c r="AD35" i="75"/>
  <c r="AC35" i="75"/>
  <c r="AB35" i="75"/>
  <c r="AA35" i="75"/>
  <c r="Z35" i="75"/>
  <c r="Y35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H35" i="75"/>
  <c r="G35" i="75"/>
  <c r="F35" i="75"/>
  <c r="E35" i="75"/>
  <c r="D35" i="75"/>
  <c r="C35" i="75"/>
  <c r="CG34" i="75"/>
  <c r="CF34" i="75"/>
  <c r="CE34" i="75"/>
  <c r="CD34" i="75"/>
  <c r="CC34" i="75"/>
  <c r="CA34" i="75"/>
  <c r="BZ34" i="75"/>
  <c r="BY34" i="75"/>
  <c r="BX34" i="75"/>
  <c r="BW34" i="75"/>
  <c r="BV34" i="75"/>
  <c r="BT34" i="75"/>
  <c r="BS34" i="75"/>
  <c r="BR34" i="75"/>
  <c r="BP34" i="75"/>
  <c r="BN34" i="75"/>
  <c r="BM34" i="75"/>
  <c r="BL34" i="75"/>
  <c r="BK34" i="75"/>
  <c r="BI34" i="75"/>
  <c r="BH34" i="75"/>
  <c r="BG34" i="75"/>
  <c r="BF34" i="75"/>
  <c r="BE34" i="75"/>
  <c r="BD34" i="75"/>
  <c r="BB34" i="75"/>
  <c r="BA34" i="75"/>
  <c r="AZ34" i="75"/>
  <c r="AX34" i="75"/>
  <c r="CG33" i="75"/>
  <c r="CF33" i="75"/>
  <c r="CE33" i="75"/>
  <c r="CD33" i="75"/>
  <c r="CC33" i="75"/>
  <c r="CA33" i="75"/>
  <c r="BZ33" i="75"/>
  <c r="BY33" i="75"/>
  <c r="BX33" i="75"/>
  <c r="BW33" i="75"/>
  <c r="BV33" i="75"/>
  <c r="BT33" i="75"/>
  <c r="BS33" i="75"/>
  <c r="BR33" i="75"/>
  <c r="BP33" i="75"/>
  <c r="BN33" i="75"/>
  <c r="BM33" i="75"/>
  <c r="BL33" i="75"/>
  <c r="BK33" i="75"/>
  <c r="BI33" i="75"/>
  <c r="BH33" i="75"/>
  <c r="BG33" i="75"/>
  <c r="BF33" i="75"/>
  <c r="BE33" i="75"/>
  <c r="BD33" i="75"/>
  <c r="BB33" i="75"/>
  <c r="BA33" i="75"/>
  <c r="AZ33" i="75"/>
  <c r="AX33" i="75"/>
  <c r="CG32" i="75"/>
  <c r="CF32" i="75"/>
  <c r="CE32" i="75"/>
  <c r="CD32" i="75"/>
  <c r="CC32" i="75"/>
  <c r="CA32" i="75"/>
  <c r="BZ32" i="75"/>
  <c r="BY32" i="75"/>
  <c r="BX32" i="75"/>
  <c r="BW32" i="75"/>
  <c r="BV32" i="75"/>
  <c r="BT32" i="75"/>
  <c r="BS32" i="75"/>
  <c r="BR32" i="75"/>
  <c r="BP32" i="75"/>
  <c r="BN32" i="75"/>
  <c r="BM32" i="75"/>
  <c r="BL32" i="75"/>
  <c r="BK32" i="75"/>
  <c r="BI32" i="75"/>
  <c r="BH32" i="75"/>
  <c r="BG32" i="75"/>
  <c r="BF32" i="75"/>
  <c r="BE32" i="75"/>
  <c r="BD32" i="75"/>
  <c r="BB32" i="75"/>
  <c r="BA32" i="75"/>
  <c r="AZ32" i="75"/>
  <c r="AX32" i="75"/>
  <c r="CG31" i="75"/>
  <c r="CF31" i="75"/>
  <c r="CE31" i="75"/>
  <c r="CD31" i="75"/>
  <c r="CC31" i="75"/>
  <c r="CA31" i="75"/>
  <c r="BZ31" i="75"/>
  <c r="BY31" i="75"/>
  <c r="BX31" i="75"/>
  <c r="BW31" i="75"/>
  <c r="BV31" i="75"/>
  <c r="BT31" i="75"/>
  <c r="BS31" i="75"/>
  <c r="BR31" i="75"/>
  <c r="BP31" i="75"/>
  <c r="BN31" i="75"/>
  <c r="BM31" i="75"/>
  <c r="BL31" i="75"/>
  <c r="BK31" i="75"/>
  <c r="BI31" i="75"/>
  <c r="BH31" i="75"/>
  <c r="BG31" i="75"/>
  <c r="BF31" i="75"/>
  <c r="BE31" i="75"/>
  <c r="BD31" i="75"/>
  <c r="BB31" i="75"/>
  <c r="BA31" i="75"/>
  <c r="AZ31" i="75"/>
  <c r="CG30" i="75"/>
  <c r="CF30" i="75"/>
  <c r="CE30" i="75"/>
  <c r="CD30" i="75"/>
  <c r="CC30" i="75"/>
  <c r="CA30" i="75"/>
  <c r="BZ30" i="75"/>
  <c r="BY30" i="75"/>
  <c r="BX30" i="75"/>
  <c r="BW30" i="75"/>
  <c r="BV30" i="75"/>
  <c r="BT30" i="75"/>
  <c r="BS30" i="75"/>
  <c r="BR30" i="75"/>
  <c r="BP30" i="75"/>
  <c r="BN30" i="75"/>
  <c r="BM30" i="75"/>
  <c r="BL30" i="75"/>
  <c r="BK30" i="75"/>
  <c r="BI30" i="75"/>
  <c r="BH30" i="75"/>
  <c r="BG30" i="75"/>
  <c r="BF30" i="75"/>
  <c r="BE30" i="75"/>
  <c r="BD30" i="75"/>
  <c r="BB30" i="75"/>
  <c r="BA30" i="75"/>
  <c r="AZ30" i="75"/>
  <c r="AX30" i="75"/>
  <c r="CG29" i="75"/>
  <c r="CF29" i="75"/>
  <c r="CE29" i="75"/>
  <c r="CD29" i="75"/>
  <c r="CC29" i="75"/>
  <c r="CA29" i="75"/>
  <c r="BZ29" i="75"/>
  <c r="BY29" i="75"/>
  <c r="BX29" i="75"/>
  <c r="BW29" i="75"/>
  <c r="BV29" i="75"/>
  <c r="BT29" i="75"/>
  <c r="BS29" i="75"/>
  <c r="BR29" i="75"/>
  <c r="BP29" i="75"/>
  <c r="BN29" i="75"/>
  <c r="BM29" i="75"/>
  <c r="BL29" i="75"/>
  <c r="BK29" i="75"/>
  <c r="BI29" i="75"/>
  <c r="BH29" i="75"/>
  <c r="BG29" i="75"/>
  <c r="BF29" i="75"/>
  <c r="BE29" i="75"/>
  <c r="BD29" i="75"/>
  <c r="BB29" i="75"/>
  <c r="BA29" i="75"/>
  <c r="AZ29" i="75"/>
  <c r="CG28" i="75"/>
  <c r="CF28" i="75"/>
  <c r="CE28" i="75"/>
  <c r="CD28" i="75"/>
  <c r="CC28" i="75"/>
  <c r="CA28" i="75"/>
  <c r="BZ28" i="75"/>
  <c r="BY28" i="75"/>
  <c r="BX28" i="75"/>
  <c r="BW28" i="75"/>
  <c r="BV28" i="75"/>
  <c r="BT28" i="75"/>
  <c r="BS28" i="75"/>
  <c r="BR28" i="75"/>
  <c r="BP28" i="75"/>
  <c r="BN28" i="75"/>
  <c r="BM28" i="75"/>
  <c r="BL28" i="75"/>
  <c r="BK28" i="75"/>
  <c r="BI28" i="75"/>
  <c r="BH28" i="75"/>
  <c r="BG28" i="75"/>
  <c r="BF28" i="75"/>
  <c r="BE28" i="75"/>
  <c r="BD28" i="75"/>
  <c r="BB28" i="75"/>
  <c r="BA28" i="75"/>
  <c r="AZ28" i="75"/>
  <c r="AX28" i="75"/>
  <c r="CG27" i="75"/>
  <c r="CF27" i="75"/>
  <c r="CE27" i="75"/>
  <c r="CD27" i="75"/>
  <c r="CC27" i="75"/>
  <c r="CA27" i="75"/>
  <c r="BZ27" i="75"/>
  <c r="BY27" i="75"/>
  <c r="BX27" i="75"/>
  <c r="BW27" i="75"/>
  <c r="BV27" i="75"/>
  <c r="BT27" i="75"/>
  <c r="BS27" i="75"/>
  <c r="BR27" i="75"/>
  <c r="BP27" i="75"/>
  <c r="BN27" i="75"/>
  <c r="BM27" i="75"/>
  <c r="BL27" i="75"/>
  <c r="BK27" i="75"/>
  <c r="BI27" i="75"/>
  <c r="BH27" i="75"/>
  <c r="BG27" i="75"/>
  <c r="BF27" i="75"/>
  <c r="BE27" i="75"/>
  <c r="BD27" i="75"/>
  <c r="BB27" i="75"/>
  <c r="BA27" i="75"/>
  <c r="AZ27" i="75"/>
  <c r="AX27" i="75"/>
  <c r="CG26" i="75"/>
  <c r="CF26" i="75"/>
  <c r="CE26" i="75"/>
  <c r="CD26" i="75"/>
  <c r="CC26" i="75"/>
  <c r="CA26" i="75"/>
  <c r="BZ26" i="75"/>
  <c r="BY26" i="75"/>
  <c r="BX26" i="75"/>
  <c r="BW26" i="75"/>
  <c r="BV26" i="75"/>
  <c r="BT26" i="75"/>
  <c r="BS26" i="75"/>
  <c r="BR26" i="75"/>
  <c r="BP26" i="75"/>
  <c r="BN26" i="75"/>
  <c r="BM26" i="75"/>
  <c r="BL26" i="75"/>
  <c r="BK26" i="75"/>
  <c r="BI26" i="75"/>
  <c r="BH26" i="75"/>
  <c r="BG26" i="75"/>
  <c r="BF26" i="75"/>
  <c r="BE26" i="75"/>
  <c r="BD26" i="75"/>
  <c r="BB26" i="75"/>
  <c r="BA26" i="75"/>
  <c r="AZ26" i="75"/>
  <c r="AX26" i="75"/>
  <c r="CG25" i="75"/>
  <c r="CF25" i="75"/>
  <c r="CE25" i="75"/>
  <c r="CD25" i="75"/>
  <c r="CC25" i="75"/>
  <c r="CA25" i="75"/>
  <c r="BZ25" i="75"/>
  <c r="BY25" i="75"/>
  <c r="BX25" i="75"/>
  <c r="BW25" i="75"/>
  <c r="BV25" i="75"/>
  <c r="BT25" i="75"/>
  <c r="BS25" i="75"/>
  <c r="BR25" i="75"/>
  <c r="BP25" i="75"/>
  <c r="BN25" i="75"/>
  <c r="BM25" i="75"/>
  <c r="BL25" i="75"/>
  <c r="BK25" i="75"/>
  <c r="BI25" i="75"/>
  <c r="BH25" i="75"/>
  <c r="BG25" i="75"/>
  <c r="BF25" i="75"/>
  <c r="BE25" i="75"/>
  <c r="BD25" i="75"/>
  <c r="BB25" i="75"/>
  <c r="BA25" i="75"/>
  <c r="AZ25" i="75"/>
  <c r="AX25" i="75"/>
  <c r="CG24" i="75"/>
  <c r="CF24" i="75"/>
  <c r="CE24" i="75"/>
  <c r="CD24" i="75"/>
  <c r="CC24" i="75"/>
  <c r="CA24" i="75"/>
  <c r="BZ24" i="75"/>
  <c r="BY24" i="75"/>
  <c r="BX24" i="75"/>
  <c r="BW24" i="75"/>
  <c r="BV24" i="75"/>
  <c r="BT24" i="75"/>
  <c r="BS24" i="75"/>
  <c r="BR24" i="75"/>
  <c r="BP24" i="75"/>
  <c r="BN24" i="75"/>
  <c r="BM24" i="75"/>
  <c r="BL24" i="75"/>
  <c r="BK24" i="75"/>
  <c r="BI24" i="75"/>
  <c r="BH24" i="75"/>
  <c r="BG24" i="75"/>
  <c r="BF24" i="75"/>
  <c r="BE24" i="75"/>
  <c r="BD24" i="75"/>
  <c r="BB24" i="75"/>
  <c r="BA24" i="75"/>
  <c r="AZ24" i="75"/>
  <c r="AX24" i="75"/>
  <c r="CG23" i="75"/>
  <c r="CF23" i="75"/>
  <c r="CE23" i="75"/>
  <c r="CD23" i="75"/>
  <c r="CC23" i="75"/>
  <c r="CA23" i="75"/>
  <c r="BZ23" i="75"/>
  <c r="BY23" i="75"/>
  <c r="BX23" i="75"/>
  <c r="BW23" i="75"/>
  <c r="BV23" i="75"/>
  <c r="BT23" i="75"/>
  <c r="BS23" i="75"/>
  <c r="BR23" i="75"/>
  <c r="BP23" i="75"/>
  <c r="BN23" i="75"/>
  <c r="BM23" i="75"/>
  <c r="BL23" i="75"/>
  <c r="BK23" i="75"/>
  <c r="BI23" i="75"/>
  <c r="BH23" i="75"/>
  <c r="BG23" i="75"/>
  <c r="BF23" i="75"/>
  <c r="BE23" i="75"/>
  <c r="BD23" i="75"/>
  <c r="BB23" i="75"/>
  <c r="BA23" i="75"/>
  <c r="AZ23" i="75"/>
  <c r="AX23" i="75"/>
  <c r="CG22" i="75"/>
  <c r="CF22" i="75"/>
  <c r="CE22" i="75"/>
  <c r="CD22" i="75"/>
  <c r="CC22" i="75"/>
  <c r="CA22" i="75"/>
  <c r="BZ22" i="75"/>
  <c r="BY22" i="75"/>
  <c r="BX22" i="75"/>
  <c r="BW22" i="75"/>
  <c r="BV22" i="75"/>
  <c r="BT22" i="75"/>
  <c r="BS22" i="75"/>
  <c r="BR22" i="75"/>
  <c r="BP22" i="75"/>
  <c r="BN22" i="75"/>
  <c r="BM22" i="75"/>
  <c r="BL22" i="75"/>
  <c r="BK22" i="75"/>
  <c r="BI22" i="75"/>
  <c r="BH22" i="75"/>
  <c r="BG22" i="75"/>
  <c r="BF22" i="75"/>
  <c r="BE22" i="75"/>
  <c r="BD22" i="75"/>
  <c r="BB22" i="75"/>
  <c r="BA22" i="75"/>
  <c r="AZ22" i="75"/>
  <c r="AX22" i="75"/>
  <c r="CG21" i="75"/>
  <c r="CF21" i="75"/>
  <c r="CE21" i="75"/>
  <c r="CD21" i="75"/>
  <c r="CC21" i="75"/>
  <c r="CA21" i="75"/>
  <c r="BZ21" i="75"/>
  <c r="BY21" i="75"/>
  <c r="BX21" i="75"/>
  <c r="BW21" i="75"/>
  <c r="BV21" i="75"/>
  <c r="BT21" i="75"/>
  <c r="BS21" i="75"/>
  <c r="BR21" i="75"/>
  <c r="BP21" i="75"/>
  <c r="BN21" i="75"/>
  <c r="BM21" i="75"/>
  <c r="BL21" i="75"/>
  <c r="BK21" i="75"/>
  <c r="BI21" i="75"/>
  <c r="BH21" i="75"/>
  <c r="BG21" i="75"/>
  <c r="BF21" i="75"/>
  <c r="BE21" i="75"/>
  <c r="BD21" i="75"/>
  <c r="BB21" i="75"/>
  <c r="BA21" i="75"/>
  <c r="AZ21" i="75"/>
  <c r="AX21" i="75"/>
  <c r="CG20" i="75"/>
  <c r="CF20" i="75"/>
  <c r="CE20" i="75"/>
  <c r="CD20" i="75"/>
  <c r="CC20" i="75"/>
  <c r="CA20" i="75"/>
  <c r="BZ20" i="75"/>
  <c r="BY20" i="75"/>
  <c r="BX20" i="75"/>
  <c r="BW20" i="75"/>
  <c r="BV20" i="75"/>
  <c r="BT20" i="75"/>
  <c r="BS20" i="75"/>
  <c r="BR20" i="75"/>
  <c r="BP20" i="75"/>
  <c r="BN20" i="75"/>
  <c r="BM20" i="75"/>
  <c r="BL20" i="75"/>
  <c r="BK20" i="75"/>
  <c r="BI20" i="75"/>
  <c r="BH20" i="75"/>
  <c r="BG20" i="75"/>
  <c r="BF20" i="75"/>
  <c r="BE20" i="75"/>
  <c r="BD20" i="75"/>
  <c r="BB20" i="75"/>
  <c r="BA20" i="75"/>
  <c r="AZ20" i="75"/>
  <c r="AX20" i="75"/>
  <c r="CG19" i="75"/>
  <c r="CF19" i="75"/>
  <c r="CE19" i="75"/>
  <c r="CD19" i="75"/>
  <c r="CC19" i="75"/>
  <c r="CA19" i="75"/>
  <c r="BZ19" i="75"/>
  <c r="BY19" i="75"/>
  <c r="BX19" i="75"/>
  <c r="BW19" i="75"/>
  <c r="BV19" i="75"/>
  <c r="BT19" i="75"/>
  <c r="BS19" i="75"/>
  <c r="BR19" i="75"/>
  <c r="BP19" i="75"/>
  <c r="BN19" i="75"/>
  <c r="BM19" i="75"/>
  <c r="BL19" i="75"/>
  <c r="BK19" i="75"/>
  <c r="BI19" i="75"/>
  <c r="BH19" i="75"/>
  <c r="BG19" i="75"/>
  <c r="BF19" i="75"/>
  <c r="BE19" i="75"/>
  <c r="BD19" i="75"/>
  <c r="BB19" i="75"/>
  <c r="BA19" i="75"/>
  <c r="AZ19" i="75"/>
  <c r="CG18" i="75"/>
  <c r="CF18" i="75"/>
  <c r="CE18" i="75"/>
  <c r="CD18" i="75"/>
  <c r="CC18" i="75"/>
  <c r="CA18" i="75"/>
  <c r="BZ18" i="75"/>
  <c r="BY18" i="75"/>
  <c r="BX18" i="75"/>
  <c r="BW18" i="75"/>
  <c r="BV18" i="75"/>
  <c r="BT18" i="75"/>
  <c r="BS18" i="75"/>
  <c r="BR18" i="75"/>
  <c r="BP18" i="75"/>
  <c r="BN18" i="75"/>
  <c r="BM18" i="75"/>
  <c r="BL18" i="75"/>
  <c r="BK18" i="75"/>
  <c r="BI18" i="75"/>
  <c r="BH18" i="75"/>
  <c r="BG18" i="75"/>
  <c r="BF18" i="75"/>
  <c r="BE18" i="75"/>
  <c r="BD18" i="75"/>
  <c r="BB18" i="75"/>
  <c r="BA18" i="75"/>
  <c r="AZ18" i="75"/>
  <c r="AX18" i="75"/>
  <c r="CG17" i="75"/>
  <c r="CF17" i="75"/>
  <c r="CE17" i="75"/>
  <c r="CD17" i="75"/>
  <c r="CC17" i="75"/>
  <c r="CA17" i="75"/>
  <c r="BZ17" i="75"/>
  <c r="BY17" i="75"/>
  <c r="BX17" i="75"/>
  <c r="BW17" i="75"/>
  <c r="BV17" i="75"/>
  <c r="BT17" i="75"/>
  <c r="BS17" i="75"/>
  <c r="BR17" i="75"/>
  <c r="BP17" i="75"/>
  <c r="BN17" i="75"/>
  <c r="BM17" i="75"/>
  <c r="BL17" i="75"/>
  <c r="BK17" i="75"/>
  <c r="BI17" i="75"/>
  <c r="BH17" i="75"/>
  <c r="BG17" i="75"/>
  <c r="BF17" i="75"/>
  <c r="BE17" i="75"/>
  <c r="BD17" i="75"/>
  <c r="BB17" i="75"/>
  <c r="BA17" i="75"/>
  <c r="AZ17" i="75"/>
  <c r="AX17" i="75"/>
  <c r="CG16" i="75"/>
  <c r="CF16" i="75"/>
  <c r="CE16" i="75"/>
  <c r="CD16" i="75"/>
  <c r="CC16" i="75"/>
  <c r="CA16" i="75"/>
  <c r="BZ16" i="75"/>
  <c r="BY16" i="75"/>
  <c r="BX16" i="75"/>
  <c r="BW16" i="75"/>
  <c r="BV16" i="75"/>
  <c r="BT16" i="75"/>
  <c r="BS16" i="75"/>
  <c r="BR16" i="75"/>
  <c r="BP16" i="75"/>
  <c r="BN16" i="75"/>
  <c r="BM16" i="75"/>
  <c r="BL16" i="75"/>
  <c r="BK16" i="75"/>
  <c r="BI16" i="75"/>
  <c r="BH16" i="75"/>
  <c r="BG16" i="75"/>
  <c r="BF16" i="75"/>
  <c r="BE16" i="75"/>
  <c r="BD16" i="75"/>
  <c r="BB16" i="75"/>
  <c r="BA16" i="75"/>
  <c r="AZ16" i="75"/>
  <c r="AX16" i="75"/>
  <c r="CG15" i="75"/>
  <c r="CF15" i="75"/>
  <c r="CE15" i="75"/>
  <c r="CD15" i="75"/>
  <c r="CC15" i="75"/>
  <c r="CA15" i="75"/>
  <c r="BZ15" i="75"/>
  <c r="BY15" i="75"/>
  <c r="BX15" i="75"/>
  <c r="BW15" i="75"/>
  <c r="BV15" i="75"/>
  <c r="BT15" i="75"/>
  <c r="BS15" i="75"/>
  <c r="BR15" i="75"/>
  <c r="BP15" i="75"/>
  <c r="BN15" i="75"/>
  <c r="BM15" i="75"/>
  <c r="BL15" i="75"/>
  <c r="BK15" i="75"/>
  <c r="BI15" i="75"/>
  <c r="BH15" i="75"/>
  <c r="BG15" i="75"/>
  <c r="BF15" i="75"/>
  <c r="BE15" i="75"/>
  <c r="BD15" i="75"/>
  <c r="BB15" i="75"/>
  <c r="BA15" i="75"/>
  <c r="AZ15" i="75"/>
  <c r="AX15" i="75"/>
  <c r="CG14" i="75"/>
  <c r="CF14" i="75"/>
  <c r="CE14" i="75"/>
  <c r="CD14" i="75"/>
  <c r="CC14" i="75"/>
  <c r="CA14" i="75"/>
  <c r="BZ14" i="75"/>
  <c r="BY14" i="75"/>
  <c r="BX14" i="75"/>
  <c r="BW14" i="75"/>
  <c r="BV14" i="75"/>
  <c r="BT14" i="75"/>
  <c r="BS14" i="75"/>
  <c r="BR14" i="75"/>
  <c r="BP14" i="75"/>
  <c r="BN14" i="75"/>
  <c r="BM14" i="75"/>
  <c r="BL14" i="75"/>
  <c r="BK14" i="75"/>
  <c r="BI14" i="75"/>
  <c r="BH14" i="75"/>
  <c r="BG14" i="75"/>
  <c r="BF14" i="75"/>
  <c r="BE14" i="75"/>
  <c r="BD14" i="75"/>
  <c r="BB14" i="75"/>
  <c r="BA14" i="75"/>
  <c r="AZ14" i="75"/>
  <c r="AX14" i="75"/>
  <c r="CG13" i="75"/>
  <c r="CF13" i="75"/>
  <c r="CE13" i="75"/>
  <c r="CD13" i="75"/>
  <c r="CC13" i="75"/>
  <c r="CA13" i="75"/>
  <c r="BZ13" i="75"/>
  <c r="BY13" i="75"/>
  <c r="BX13" i="75"/>
  <c r="BW13" i="75"/>
  <c r="BV13" i="75"/>
  <c r="BT13" i="75"/>
  <c r="BS13" i="75"/>
  <c r="BR13" i="75"/>
  <c r="BP13" i="75"/>
  <c r="BN13" i="75"/>
  <c r="BM13" i="75"/>
  <c r="BL13" i="75"/>
  <c r="BK13" i="75"/>
  <c r="BI13" i="75"/>
  <c r="BH13" i="75"/>
  <c r="BG13" i="75"/>
  <c r="BF13" i="75"/>
  <c r="BE13" i="75"/>
  <c r="BD13" i="75"/>
  <c r="BB13" i="75"/>
  <c r="BA13" i="75"/>
  <c r="AZ13" i="75"/>
  <c r="AX13" i="75"/>
  <c r="CG12" i="75"/>
  <c r="CF12" i="75"/>
  <c r="CE12" i="75"/>
  <c r="CD12" i="75"/>
  <c r="CC12" i="75"/>
  <c r="CA12" i="75"/>
  <c r="BZ12" i="75"/>
  <c r="BY12" i="75"/>
  <c r="BX12" i="75"/>
  <c r="BW12" i="75"/>
  <c r="BV12" i="75"/>
  <c r="BT12" i="75"/>
  <c r="BS12" i="75"/>
  <c r="BR12" i="75"/>
  <c r="BP12" i="75"/>
  <c r="BN12" i="75"/>
  <c r="BM12" i="75"/>
  <c r="BL12" i="75"/>
  <c r="BK12" i="75"/>
  <c r="BI12" i="75"/>
  <c r="BH12" i="75"/>
  <c r="BG12" i="75"/>
  <c r="BF12" i="75"/>
  <c r="BE12" i="75"/>
  <c r="BD12" i="75"/>
  <c r="BB12" i="75"/>
  <c r="BA12" i="75"/>
  <c r="AZ12" i="75"/>
  <c r="AX12" i="75"/>
  <c r="CG11" i="75"/>
  <c r="CF11" i="75"/>
  <c r="CE11" i="75"/>
  <c r="CD11" i="75"/>
  <c r="CC11" i="75"/>
  <c r="CA11" i="75"/>
  <c r="BZ11" i="75"/>
  <c r="BY11" i="75"/>
  <c r="BX11" i="75"/>
  <c r="BW11" i="75"/>
  <c r="BV11" i="75"/>
  <c r="BT11" i="75"/>
  <c r="BS11" i="75"/>
  <c r="BR11" i="75"/>
  <c r="BP11" i="75"/>
  <c r="BN11" i="75"/>
  <c r="BM11" i="75"/>
  <c r="BL11" i="75"/>
  <c r="BK11" i="75"/>
  <c r="BI11" i="75"/>
  <c r="BH11" i="75"/>
  <c r="BG11" i="75"/>
  <c r="BF11" i="75"/>
  <c r="BE11" i="75"/>
  <c r="BD11" i="75"/>
  <c r="BB11" i="75"/>
  <c r="BA11" i="75"/>
  <c r="AZ11" i="75"/>
  <c r="AX11" i="75"/>
  <c r="CG10" i="75"/>
  <c r="CF10" i="75"/>
  <c r="CE10" i="75"/>
  <c r="CD10" i="75"/>
  <c r="CC10" i="75"/>
  <c r="CA10" i="75"/>
  <c r="BZ10" i="75"/>
  <c r="BY10" i="75"/>
  <c r="BX10" i="75"/>
  <c r="BW10" i="75"/>
  <c r="BV10" i="75"/>
  <c r="BT10" i="75"/>
  <c r="BS10" i="75"/>
  <c r="BR10" i="75"/>
  <c r="BP10" i="75"/>
  <c r="BN10" i="75"/>
  <c r="BM10" i="75"/>
  <c r="BL10" i="75"/>
  <c r="BK10" i="75"/>
  <c r="BI10" i="75"/>
  <c r="BH10" i="75"/>
  <c r="BG10" i="75"/>
  <c r="BF10" i="75"/>
  <c r="BE10" i="75"/>
  <c r="BD10" i="75"/>
  <c r="BB10" i="75"/>
  <c r="BA10" i="75"/>
  <c r="AZ10" i="75"/>
  <c r="AX10" i="75"/>
  <c r="CG9" i="75"/>
  <c r="CF9" i="75"/>
  <c r="CE9" i="75"/>
  <c r="CD9" i="75"/>
  <c r="CC9" i="75"/>
  <c r="CA9" i="75"/>
  <c r="BZ9" i="75"/>
  <c r="BY9" i="75"/>
  <c r="BX9" i="75"/>
  <c r="BW9" i="75"/>
  <c r="BV9" i="75"/>
  <c r="BT9" i="75"/>
  <c r="BS9" i="75"/>
  <c r="BR9" i="75"/>
  <c r="BP9" i="75"/>
  <c r="BN9" i="75"/>
  <c r="BM9" i="75"/>
  <c r="BL9" i="75"/>
  <c r="BK9" i="75"/>
  <c r="BI9" i="75"/>
  <c r="BH9" i="75"/>
  <c r="BG9" i="75"/>
  <c r="BF9" i="75"/>
  <c r="BE9" i="75"/>
  <c r="BD9" i="75"/>
  <c r="BB9" i="75"/>
  <c r="BA9" i="75"/>
  <c r="AZ9" i="75"/>
  <c r="AX9" i="75"/>
  <c r="CG8" i="75"/>
  <c r="CF8" i="75"/>
  <c r="CE8" i="75"/>
  <c r="CD8" i="75"/>
  <c r="CC8" i="75"/>
  <c r="CA8" i="75"/>
  <c r="BZ8" i="75"/>
  <c r="BY8" i="75"/>
  <c r="BX8" i="75"/>
  <c r="BW8" i="75"/>
  <c r="BV8" i="75"/>
  <c r="BT8" i="75"/>
  <c r="BS8" i="75"/>
  <c r="BR8" i="75"/>
  <c r="BP8" i="75"/>
  <c r="BN8" i="75"/>
  <c r="BM8" i="75"/>
  <c r="BL8" i="75"/>
  <c r="BK8" i="75"/>
  <c r="BI8" i="75"/>
  <c r="BH8" i="75"/>
  <c r="BG8" i="75"/>
  <c r="BF8" i="75"/>
  <c r="BE8" i="75"/>
  <c r="BD8" i="75"/>
  <c r="BB8" i="75"/>
  <c r="BA8" i="75"/>
  <c r="AZ8" i="75"/>
  <c r="AX8" i="75"/>
  <c r="CG7" i="75"/>
  <c r="CF7" i="75"/>
  <c r="CE7" i="75"/>
  <c r="CD7" i="75"/>
  <c r="CC7" i="75"/>
  <c r="CA7" i="75"/>
  <c r="BZ7" i="75"/>
  <c r="BY7" i="75"/>
  <c r="BX7" i="75"/>
  <c r="BW7" i="75"/>
  <c r="BV7" i="75"/>
  <c r="BT7" i="75"/>
  <c r="BS7" i="75"/>
  <c r="BR7" i="75"/>
  <c r="BP7" i="75"/>
  <c r="BN7" i="75"/>
  <c r="BM7" i="75"/>
  <c r="BL7" i="75"/>
  <c r="BK7" i="75"/>
  <c r="BI7" i="75"/>
  <c r="BH7" i="75"/>
  <c r="BG7" i="75"/>
  <c r="BF7" i="75"/>
  <c r="BE7" i="75"/>
  <c r="BD7" i="75"/>
  <c r="BB7" i="75"/>
  <c r="BA7" i="75"/>
  <c r="AZ7" i="75"/>
  <c r="AX7" i="75"/>
  <c r="CG6" i="75"/>
  <c r="CF6" i="75"/>
  <c r="CE6" i="75"/>
  <c r="CD6" i="75"/>
  <c r="CC6" i="75"/>
  <c r="CA6" i="75"/>
  <c r="BZ6" i="75"/>
  <c r="BY6" i="75"/>
  <c r="BX6" i="75"/>
  <c r="BW6" i="75"/>
  <c r="BV6" i="75"/>
  <c r="BT6" i="75"/>
  <c r="BS6" i="75"/>
  <c r="BR6" i="75"/>
  <c r="BP6" i="75"/>
  <c r="BN6" i="75"/>
  <c r="BM6" i="75"/>
  <c r="BL6" i="75"/>
  <c r="BK6" i="75"/>
  <c r="BI6" i="75"/>
  <c r="BH6" i="75"/>
  <c r="BG6" i="75"/>
  <c r="BF6" i="75"/>
  <c r="BE6" i="75"/>
  <c r="BD6" i="75"/>
  <c r="BB6" i="75"/>
  <c r="BA6" i="75"/>
  <c r="AZ6" i="75"/>
  <c r="AX6" i="75"/>
  <c r="CG5" i="75"/>
  <c r="CF5" i="75"/>
  <c r="CE5" i="75"/>
  <c r="CD5" i="75"/>
  <c r="CC5" i="75"/>
  <c r="CA5" i="75"/>
  <c r="BZ5" i="75"/>
  <c r="BY5" i="75"/>
  <c r="BX5" i="75"/>
  <c r="BW5" i="75"/>
  <c r="BV5" i="75"/>
  <c r="BT5" i="75"/>
  <c r="BS5" i="75"/>
  <c r="BR5" i="75"/>
  <c r="BP5" i="75"/>
  <c r="BN5" i="75"/>
  <c r="BM5" i="75"/>
  <c r="BL5" i="75"/>
  <c r="BK5" i="75"/>
  <c r="BI5" i="75"/>
  <c r="BH5" i="75"/>
  <c r="BG5" i="75"/>
  <c r="BF5" i="75"/>
  <c r="BE5" i="75"/>
  <c r="BD5" i="75"/>
  <c r="BB5" i="75"/>
  <c r="BA5" i="75"/>
  <c r="AZ5" i="75"/>
  <c r="AX5" i="75"/>
  <c r="CG4" i="75"/>
  <c r="CF4" i="75"/>
  <c r="CE4" i="75"/>
  <c r="CD4" i="75"/>
  <c r="CC4" i="75"/>
  <c r="CA4" i="75"/>
  <c r="BZ4" i="75"/>
  <c r="BY4" i="75"/>
  <c r="BX4" i="75"/>
  <c r="BW4" i="75"/>
  <c r="BV4" i="75"/>
  <c r="BT4" i="75"/>
  <c r="BS4" i="75"/>
  <c r="BR4" i="75"/>
  <c r="BP4" i="75"/>
  <c r="BN4" i="75"/>
  <c r="BM4" i="75"/>
  <c r="BL4" i="75"/>
  <c r="BK4" i="75"/>
  <c r="BI4" i="75"/>
  <c r="BH4" i="75"/>
  <c r="BG4" i="75"/>
  <c r="BF4" i="75"/>
  <c r="BE4" i="75"/>
  <c r="BD4" i="75"/>
  <c r="BB4" i="75"/>
  <c r="BA4" i="75"/>
  <c r="AZ4" i="75"/>
  <c r="AX4" i="75"/>
  <c r="A4" i="75"/>
  <c r="A5" i="75" s="1"/>
  <c r="BT36" i="74" l="1"/>
  <c r="BH35" i="74"/>
  <c r="BH36" i="72"/>
  <c r="BT35" i="72"/>
  <c r="B4" i="73"/>
  <c r="BH35" i="71"/>
  <c r="BS36" i="71"/>
  <c r="B4" i="74"/>
  <c r="BY36" i="73"/>
  <c r="BS36" i="70"/>
  <c r="BY35" i="73"/>
  <c r="BS36" i="74"/>
  <c r="B4" i="71"/>
  <c r="B4" i="70"/>
  <c r="B4" i="72"/>
  <c r="CD36" i="71"/>
  <c r="BM35" i="74"/>
  <c r="CE36" i="70"/>
  <c r="BS35" i="70"/>
  <c r="BN36" i="70"/>
  <c r="BF35" i="71"/>
  <c r="CD36" i="72"/>
  <c r="BY35" i="72"/>
  <c r="BI35" i="73"/>
  <c r="BY35" i="74"/>
  <c r="BF35" i="74"/>
  <c r="CD36" i="70"/>
  <c r="CC35" i="70"/>
  <c r="CD35" i="70"/>
  <c r="BF36" i="70"/>
  <c r="BS35" i="71"/>
  <c r="CD35" i="71"/>
  <c r="BM36" i="71"/>
  <c r="BM35" i="71"/>
  <c r="BI35" i="71"/>
  <c r="BM35" i="72"/>
  <c r="BF35" i="72"/>
  <c r="CF35" i="72"/>
  <c r="BM36" i="72"/>
  <c r="BF36" i="72"/>
  <c r="CF36" i="72"/>
  <c r="CD36" i="74"/>
  <c r="BS35" i="74"/>
  <c r="CD35" i="74"/>
  <c r="BM36" i="74"/>
  <c r="BE36" i="75"/>
  <c r="CE36" i="75"/>
  <c r="BM35" i="70"/>
  <c r="BF35" i="70"/>
  <c r="CF35" i="70"/>
  <c r="CC36" i="70"/>
  <c r="CG35" i="70"/>
  <c r="AZ35" i="70"/>
  <c r="BY35" i="70"/>
  <c r="BM36" i="70"/>
  <c r="CF36" i="70"/>
  <c r="BY36" i="70"/>
  <c r="BN35" i="70"/>
  <c r="CE35" i="70"/>
  <c r="BI35" i="70"/>
  <c r="CG36" i="70"/>
  <c r="AZ36" i="70"/>
  <c r="CE35" i="71"/>
  <c r="CG36" i="71"/>
  <c r="AZ36" i="71"/>
  <c r="CC35" i="71"/>
  <c r="BN35" i="71"/>
  <c r="CE36" i="71"/>
  <c r="BN36" i="71"/>
  <c r="CF35" i="71"/>
  <c r="CC36" i="71"/>
  <c r="CG35" i="71"/>
  <c r="AZ35" i="71"/>
  <c r="BY35" i="71"/>
  <c r="BF36" i="71"/>
  <c r="CF36" i="71"/>
  <c r="BY36" i="71"/>
  <c r="BI35" i="72"/>
  <c r="BK36" i="72"/>
  <c r="CG35" i="72"/>
  <c r="AZ35" i="72"/>
  <c r="BK35" i="72"/>
  <c r="CD35" i="72"/>
  <c r="CG36" i="72"/>
  <c r="AZ36" i="72"/>
  <c r="BN36" i="72"/>
  <c r="CE35" i="72"/>
  <c r="BA35" i="72"/>
  <c r="BN35" i="72"/>
  <c r="CE36" i="72"/>
  <c r="BA36" i="72"/>
  <c r="BS35" i="72"/>
  <c r="CC35" i="72"/>
  <c r="BS36" i="72"/>
  <c r="CC36" i="72"/>
  <c r="BY36" i="72"/>
  <c r="CF35" i="74"/>
  <c r="CC36" i="74"/>
  <c r="CG35" i="74"/>
  <c r="AZ35" i="74"/>
  <c r="BF36" i="74"/>
  <c r="CF36" i="74"/>
  <c r="BY36" i="74"/>
  <c r="CE35" i="74"/>
  <c r="BI35" i="74"/>
  <c r="CG36" i="74"/>
  <c r="AZ36" i="74"/>
  <c r="CC35" i="74"/>
  <c r="BN35" i="74"/>
  <c r="CE36" i="74"/>
  <c r="BN36" i="74"/>
  <c r="BE35" i="75"/>
  <c r="CE35" i="75"/>
  <c r="BP36" i="75"/>
  <c r="BX36" i="75"/>
  <c r="BP35" i="75"/>
  <c r="CD35" i="75"/>
  <c r="CD36" i="75"/>
  <c r="BS35" i="75"/>
  <c r="BS36" i="75"/>
  <c r="BZ35" i="75"/>
  <c r="BW36" i="75"/>
  <c r="BL35" i="75"/>
  <c r="BF35" i="75"/>
  <c r="CF35" i="75"/>
  <c r="BM35" i="75"/>
  <c r="BX35" i="75"/>
  <c r="BL36" i="75"/>
  <c r="BF36" i="75"/>
  <c r="CF36" i="75"/>
  <c r="BM36" i="75"/>
  <c r="BD35" i="75"/>
  <c r="BD36" i="75"/>
  <c r="BH35" i="75"/>
  <c r="BW35" i="75"/>
  <c r="BZ36" i="75"/>
  <c r="BH36" i="75"/>
  <c r="CC35" i="75"/>
  <c r="CG35" i="75"/>
  <c r="AX35" i="75"/>
  <c r="BR35" i="75"/>
  <c r="CA35" i="75"/>
  <c r="CC36" i="75"/>
  <c r="CG36" i="75"/>
  <c r="AX36" i="75"/>
  <c r="BR36" i="75"/>
  <c r="CA36" i="75"/>
  <c r="A20" i="77"/>
  <c r="B19" i="77"/>
  <c r="B18" i="76"/>
  <c r="A19" i="76"/>
  <c r="BE36" i="70"/>
  <c r="BI36" i="70"/>
  <c r="A6" i="70"/>
  <c r="BA35" i="70"/>
  <c r="BK35" i="70"/>
  <c r="BP35" i="70"/>
  <c r="BV35" i="70"/>
  <c r="BZ35" i="70"/>
  <c r="BA36" i="70"/>
  <c r="BK36" i="70"/>
  <c r="BP36" i="70"/>
  <c r="BV36" i="70"/>
  <c r="BZ36" i="70"/>
  <c r="BB35" i="70"/>
  <c r="BG35" i="70"/>
  <c r="BL35" i="70"/>
  <c r="BR35" i="70"/>
  <c r="BW35" i="70"/>
  <c r="CA35" i="70"/>
  <c r="BB36" i="70"/>
  <c r="BG36" i="70"/>
  <c r="BL36" i="70"/>
  <c r="BR36" i="70"/>
  <c r="BW36" i="70"/>
  <c r="CA36" i="70"/>
  <c r="BE35" i="70"/>
  <c r="AX35" i="70"/>
  <c r="BD35" i="70"/>
  <c r="BX35" i="70"/>
  <c r="AX36" i="70"/>
  <c r="BD36" i="70"/>
  <c r="BX36" i="70"/>
  <c r="BE35" i="71"/>
  <c r="BE36" i="71"/>
  <c r="BI36" i="71"/>
  <c r="A6" i="71"/>
  <c r="BA35" i="71"/>
  <c r="BK35" i="71"/>
  <c r="BP35" i="71"/>
  <c r="BV35" i="71"/>
  <c r="BZ35" i="71"/>
  <c r="BA36" i="71"/>
  <c r="BK36" i="71"/>
  <c r="BP36" i="71"/>
  <c r="BV36" i="71"/>
  <c r="BZ36" i="71"/>
  <c r="BB35" i="71"/>
  <c r="BG35" i="71"/>
  <c r="BL35" i="71"/>
  <c r="BR35" i="71"/>
  <c r="BW35" i="71"/>
  <c r="CA35" i="71"/>
  <c r="BB36" i="71"/>
  <c r="BG36" i="71"/>
  <c r="BL36" i="71"/>
  <c r="BR36" i="71"/>
  <c r="BW36" i="71"/>
  <c r="CA36" i="71"/>
  <c r="AX35" i="71"/>
  <c r="BD35" i="71"/>
  <c r="BX35" i="71"/>
  <c r="AX36" i="71"/>
  <c r="BD36" i="71"/>
  <c r="BX36" i="71"/>
  <c r="B5" i="72"/>
  <c r="A6" i="72"/>
  <c r="BE35" i="72"/>
  <c r="BI36" i="72"/>
  <c r="BV35" i="72"/>
  <c r="BP36" i="72"/>
  <c r="BB35" i="72"/>
  <c r="BG35" i="72"/>
  <c r="BL35" i="72"/>
  <c r="BR35" i="72"/>
  <c r="BW35" i="72"/>
  <c r="CA35" i="72"/>
  <c r="BB36" i="72"/>
  <c r="BG36" i="72"/>
  <c r="BL36" i="72"/>
  <c r="BR36" i="72"/>
  <c r="BW36" i="72"/>
  <c r="CA36" i="72"/>
  <c r="BE36" i="72"/>
  <c r="BP35" i="72"/>
  <c r="BZ35" i="72"/>
  <c r="BV36" i="72"/>
  <c r="BZ36" i="72"/>
  <c r="AX35" i="72"/>
  <c r="BD35" i="72"/>
  <c r="BX35" i="72"/>
  <c r="AX36" i="72"/>
  <c r="BD36" i="72"/>
  <c r="BX36" i="72"/>
  <c r="BI36" i="73"/>
  <c r="A6" i="73"/>
  <c r="BG35" i="73"/>
  <c r="BG36" i="73"/>
  <c r="AX35" i="73"/>
  <c r="AX36" i="73"/>
  <c r="BE35" i="74"/>
  <c r="BE36" i="74"/>
  <c r="BI36" i="74"/>
  <c r="A6" i="74"/>
  <c r="BA35" i="74"/>
  <c r="BK35" i="74"/>
  <c r="BP35" i="74"/>
  <c r="BV35" i="74"/>
  <c r="BZ35" i="74"/>
  <c r="BA36" i="74"/>
  <c r="BK36" i="74"/>
  <c r="BP36" i="74"/>
  <c r="BV36" i="74"/>
  <c r="BZ36" i="74"/>
  <c r="BB35" i="74"/>
  <c r="BG35" i="74"/>
  <c r="BL35" i="74"/>
  <c r="BR35" i="74"/>
  <c r="BW35" i="74"/>
  <c r="CA35" i="74"/>
  <c r="BB36" i="74"/>
  <c r="BG36" i="74"/>
  <c r="BL36" i="74"/>
  <c r="BR36" i="74"/>
  <c r="BW36" i="74"/>
  <c r="CA36" i="74"/>
  <c r="AX35" i="74"/>
  <c r="BD35" i="74"/>
  <c r="BX35" i="74"/>
  <c r="AX36" i="74"/>
  <c r="BD36" i="74"/>
  <c r="BX36" i="74"/>
  <c r="A6" i="75"/>
  <c r="B5" i="75"/>
  <c r="B4" i="75"/>
  <c r="AZ35" i="75"/>
  <c r="BI35" i="75"/>
  <c r="BN35" i="75"/>
  <c r="BT35" i="75"/>
  <c r="BY35" i="75"/>
  <c r="AZ36" i="75"/>
  <c r="BI36" i="75"/>
  <c r="BN36" i="75"/>
  <c r="BT36" i="75"/>
  <c r="BY36" i="75"/>
  <c r="BA35" i="75"/>
  <c r="BK35" i="75"/>
  <c r="BV35" i="75"/>
  <c r="BA36" i="75"/>
  <c r="BK36" i="75"/>
  <c r="BV36" i="75"/>
  <c r="BB35" i="75"/>
  <c r="BG35" i="75"/>
  <c r="BB36" i="75"/>
  <c r="BG36" i="75"/>
  <c r="AX9" i="66"/>
  <c r="AX9" i="69"/>
  <c r="AX25" i="49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A21" i="77" l="1"/>
  <c r="B20" i="77"/>
  <c r="A20" i="76"/>
  <c r="B19" i="76"/>
  <c r="A7" i="70"/>
  <c r="B6" i="70"/>
  <c r="B6" i="71"/>
  <c r="A7" i="71"/>
  <c r="B6" i="72"/>
  <c r="A7" i="72"/>
  <c r="B6" i="73"/>
  <c r="A7" i="73"/>
  <c r="B6" i="74"/>
  <c r="A7" i="74"/>
  <c r="B6" i="75"/>
  <c r="A7" i="75"/>
  <c r="B21" i="77" l="1"/>
  <c r="A22" i="77"/>
  <c r="B20" i="76"/>
  <c r="A21" i="76"/>
  <c r="A8" i="70"/>
  <c r="B7" i="70"/>
  <c r="A8" i="71"/>
  <c r="B7" i="71"/>
  <c r="A8" i="72"/>
  <c r="B7" i="72"/>
  <c r="A8" i="73"/>
  <c r="B7" i="73"/>
  <c r="A8" i="74"/>
  <c r="B7" i="74"/>
  <c r="B7" i="75"/>
  <c r="A8" i="75"/>
  <c r="CG34" i="57"/>
  <c r="CF34" i="57"/>
  <c r="CE34" i="57"/>
  <c r="CD34" i="57"/>
  <c r="CC34" i="57"/>
  <c r="CA34" i="57"/>
  <c r="BZ34" i="57"/>
  <c r="BY34" i="57"/>
  <c r="BX34" i="57"/>
  <c r="BW34" i="57"/>
  <c r="BV34" i="57"/>
  <c r="BT34" i="57"/>
  <c r="BS34" i="57"/>
  <c r="BR34" i="57"/>
  <c r="BP34" i="57"/>
  <c r="BN34" i="57"/>
  <c r="BM34" i="57"/>
  <c r="BL34" i="57"/>
  <c r="BK34" i="57"/>
  <c r="BI34" i="57"/>
  <c r="BH34" i="57"/>
  <c r="BG34" i="57"/>
  <c r="BF34" i="57"/>
  <c r="BE34" i="57"/>
  <c r="BD34" i="57"/>
  <c r="BB34" i="57"/>
  <c r="BA34" i="57"/>
  <c r="AZ34" i="57"/>
  <c r="BY33" i="57"/>
  <c r="BN32" i="57"/>
  <c r="CD32" i="57"/>
  <c r="BI32" i="57"/>
  <c r="BY32" i="57"/>
  <c r="BT32" i="57"/>
  <c r="BH32" i="57"/>
  <c r="CD31" i="57"/>
  <c r="BW31" i="57"/>
  <c r="BP31" i="57"/>
  <c r="BT31" i="57"/>
  <c r="BF31" i="57"/>
  <c r="BE31" i="57"/>
  <c r="CD30" i="57"/>
  <c r="BS30" i="57"/>
  <c r="BY30" i="57"/>
  <c r="BT30" i="57"/>
  <c r="BF30" i="57"/>
  <c r="BH30" i="57"/>
  <c r="AZ30" i="57"/>
  <c r="BS28" i="57"/>
  <c r="BY28" i="57"/>
  <c r="BT28" i="57"/>
  <c r="BH28" i="57"/>
  <c r="BR27" i="57"/>
  <c r="BT27" i="57"/>
  <c r="BT26" i="57"/>
  <c r="BH26" i="57"/>
  <c r="CD25" i="57"/>
  <c r="BW25" i="57"/>
  <c r="BP25" i="57"/>
  <c r="BT25" i="57"/>
  <c r="BE25" i="57"/>
  <c r="BS24" i="57"/>
  <c r="BY24" i="57"/>
  <c r="BT24" i="57"/>
  <c r="BT23" i="57"/>
  <c r="BH23" i="57"/>
  <c r="BY21" i="57"/>
  <c r="BI21" i="57"/>
  <c r="BG21" i="57"/>
  <c r="CG20" i="57"/>
  <c r="CF20" i="57"/>
  <c r="CE20" i="57"/>
  <c r="CD20" i="57"/>
  <c r="CC20" i="57"/>
  <c r="CA20" i="57"/>
  <c r="BZ20" i="57"/>
  <c r="BY20" i="57"/>
  <c r="BX20" i="57"/>
  <c r="BW20" i="57"/>
  <c r="BV20" i="57"/>
  <c r="BT20" i="57"/>
  <c r="BS20" i="57"/>
  <c r="BR20" i="57"/>
  <c r="BP20" i="57"/>
  <c r="BN20" i="57"/>
  <c r="BM20" i="57"/>
  <c r="BL20" i="57"/>
  <c r="BK20" i="57"/>
  <c r="BI20" i="57"/>
  <c r="BH20" i="57"/>
  <c r="BG20" i="57"/>
  <c r="BF20" i="57"/>
  <c r="BE20" i="57"/>
  <c r="BD20" i="57"/>
  <c r="BB20" i="57"/>
  <c r="BA20" i="57"/>
  <c r="AZ20" i="57"/>
  <c r="CG19" i="57"/>
  <c r="CF19" i="57"/>
  <c r="CE19" i="57"/>
  <c r="CD19" i="57"/>
  <c r="CC19" i="57"/>
  <c r="CA19" i="57"/>
  <c r="BZ19" i="57"/>
  <c r="BY19" i="57"/>
  <c r="BX19" i="57"/>
  <c r="BW19" i="57"/>
  <c r="BV19" i="57"/>
  <c r="BT19" i="57"/>
  <c r="BS19" i="57"/>
  <c r="BR19" i="57"/>
  <c r="BP19" i="57"/>
  <c r="BN19" i="57"/>
  <c r="BM19" i="57"/>
  <c r="BL19" i="57"/>
  <c r="BK19" i="57"/>
  <c r="BI19" i="57"/>
  <c r="BH19" i="57"/>
  <c r="BG19" i="57"/>
  <c r="BF19" i="57"/>
  <c r="BE19" i="57"/>
  <c r="BD19" i="57"/>
  <c r="BB19" i="57"/>
  <c r="BA19" i="57"/>
  <c r="AZ19" i="57"/>
  <c r="CG18" i="57"/>
  <c r="CF18" i="57"/>
  <c r="CE18" i="57"/>
  <c r="CD18" i="57"/>
  <c r="CC18" i="57"/>
  <c r="CA18" i="57"/>
  <c r="BZ18" i="57"/>
  <c r="BY18" i="57"/>
  <c r="BX18" i="57"/>
  <c r="BW18" i="57"/>
  <c r="BV18" i="57"/>
  <c r="BT18" i="57"/>
  <c r="BS18" i="57"/>
  <c r="BR18" i="57"/>
  <c r="BP18" i="57"/>
  <c r="BN18" i="57"/>
  <c r="BM18" i="57"/>
  <c r="BL18" i="57"/>
  <c r="BK18" i="57"/>
  <c r="BI18" i="57"/>
  <c r="BH18" i="57"/>
  <c r="BG18" i="57"/>
  <c r="BF18" i="57"/>
  <c r="BE18" i="57"/>
  <c r="BD18" i="57"/>
  <c r="BB18" i="57"/>
  <c r="BA18" i="57"/>
  <c r="AZ18" i="57"/>
  <c r="CG17" i="57"/>
  <c r="CF17" i="57"/>
  <c r="CE17" i="57"/>
  <c r="CD17" i="57"/>
  <c r="CC17" i="57"/>
  <c r="CA17" i="57"/>
  <c r="BZ17" i="57"/>
  <c r="BY17" i="57"/>
  <c r="BX17" i="57"/>
  <c r="BW17" i="57"/>
  <c r="BV17" i="57"/>
  <c r="BT17" i="57"/>
  <c r="BS17" i="57"/>
  <c r="BR17" i="57"/>
  <c r="BP17" i="57"/>
  <c r="BN17" i="57"/>
  <c r="BM17" i="57"/>
  <c r="BL17" i="57"/>
  <c r="BK17" i="57"/>
  <c r="BI17" i="57"/>
  <c r="BH17" i="57"/>
  <c r="BG17" i="57"/>
  <c r="BF17" i="57"/>
  <c r="BE17" i="57"/>
  <c r="BD17" i="57"/>
  <c r="BB17" i="57"/>
  <c r="BA17" i="57"/>
  <c r="AZ17" i="57"/>
  <c r="CG16" i="57"/>
  <c r="CF16" i="57"/>
  <c r="CE16" i="57"/>
  <c r="CD16" i="57"/>
  <c r="CC16" i="57"/>
  <c r="CA16" i="57"/>
  <c r="BZ16" i="57"/>
  <c r="BY16" i="57"/>
  <c r="BX16" i="57"/>
  <c r="BW16" i="57"/>
  <c r="BV16" i="57"/>
  <c r="BT16" i="57"/>
  <c r="BS16" i="57"/>
  <c r="BR16" i="57"/>
  <c r="BP16" i="57"/>
  <c r="BN16" i="57"/>
  <c r="BM16" i="57"/>
  <c r="BL16" i="57"/>
  <c r="BK16" i="57"/>
  <c r="BI16" i="57"/>
  <c r="BH16" i="57"/>
  <c r="BG16" i="57"/>
  <c r="BF16" i="57"/>
  <c r="BE16" i="57"/>
  <c r="BD16" i="57"/>
  <c r="BB16" i="57"/>
  <c r="BA16" i="57"/>
  <c r="AZ16" i="57"/>
  <c r="CG15" i="57"/>
  <c r="CF15" i="57"/>
  <c r="CE15" i="57"/>
  <c r="CD15" i="57"/>
  <c r="CC15" i="57"/>
  <c r="CA15" i="57"/>
  <c r="BZ15" i="57"/>
  <c r="BY15" i="57"/>
  <c r="BX15" i="57"/>
  <c r="BW15" i="57"/>
  <c r="BV15" i="57"/>
  <c r="BT15" i="57"/>
  <c r="BS15" i="57"/>
  <c r="BR15" i="57"/>
  <c r="BP15" i="57"/>
  <c r="BN15" i="57"/>
  <c r="BM15" i="57"/>
  <c r="BL15" i="57"/>
  <c r="BK15" i="57"/>
  <c r="BI15" i="57"/>
  <c r="BH15" i="57"/>
  <c r="BG15" i="57"/>
  <c r="BF15" i="57"/>
  <c r="BE15" i="57"/>
  <c r="BD15" i="57"/>
  <c r="BB15" i="57"/>
  <c r="BA15" i="57"/>
  <c r="AZ15" i="57"/>
  <c r="CG14" i="57"/>
  <c r="CF14" i="57"/>
  <c r="CE14" i="57"/>
  <c r="CD14" i="57"/>
  <c r="CC14" i="57"/>
  <c r="CA14" i="57"/>
  <c r="BZ14" i="57"/>
  <c r="BY14" i="57"/>
  <c r="BX14" i="57"/>
  <c r="BW14" i="57"/>
  <c r="BV14" i="57"/>
  <c r="BT14" i="57"/>
  <c r="BS14" i="57"/>
  <c r="BR14" i="57"/>
  <c r="BP14" i="57"/>
  <c r="BN14" i="57"/>
  <c r="BM14" i="57"/>
  <c r="BL14" i="57"/>
  <c r="BK14" i="57"/>
  <c r="BI14" i="57"/>
  <c r="BH14" i="57"/>
  <c r="BG14" i="57"/>
  <c r="BF14" i="57"/>
  <c r="BE14" i="57"/>
  <c r="BD14" i="57"/>
  <c r="BB14" i="57"/>
  <c r="BA14" i="57"/>
  <c r="AZ14" i="57"/>
  <c r="BY13" i="57"/>
  <c r="BI13" i="57"/>
  <c r="BG13" i="57"/>
  <c r="CG12" i="57"/>
  <c r="CF12" i="57"/>
  <c r="CE12" i="57"/>
  <c r="CD12" i="57"/>
  <c r="CC12" i="57"/>
  <c r="CA12" i="57"/>
  <c r="BZ12" i="57"/>
  <c r="BY12" i="57"/>
  <c r="BX12" i="57"/>
  <c r="BW12" i="57"/>
  <c r="BV12" i="57"/>
  <c r="BT12" i="57"/>
  <c r="BS12" i="57"/>
  <c r="BR12" i="57"/>
  <c r="BP12" i="57"/>
  <c r="BN12" i="57"/>
  <c r="BM12" i="57"/>
  <c r="BL12" i="57"/>
  <c r="BK12" i="57"/>
  <c r="BI12" i="57"/>
  <c r="BH12" i="57"/>
  <c r="BG12" i="57"/>
  <c r="BF12" i="57"/>
  <c r="BE12" i="57"/>
  <c r="BD12" i="57"/>
  <c r="BB12" i="57"/>
  <c r="BA12" i="57"/>
  <c r="AZ12" i="57"/>
  <c r="CG11" i="57"/>
  <c r="CF11" i="57"/>
  <c r="CE11" i="57"/>
  <c r="CD11" i="57"/>
  <c r="CC11" i="57"/>
  <c r="CA11" i="57"/>
  <c r="BZ11" i="57"/>
  <c r="BY11" i="57"/>
  <c r="BX11" i="57"/>
  <c r="BW11" i="57"/>
  <c r="BV11" i="57"/>
  <c r="BT11" i="57"/>
  <c r="BS11" i="57"/>
  <c r="BR11" i="57"/>
  <c r="BP11" i="57"/>
  <c r="BN11" i="57"/>
  <c r="BM11" i="57"/>
  <c r="BL11" i="57"/>
  <c r="BK11" i="57"/>
  <c r="BI11" i="57"/>
  <c r="BH11" i="57"/>
  <c r="BG11" i="57"/>
  <c r="BF11" i="57"/>
  <c r="BE11" i="57"/>
  <c r="BD11" i="57"/>
  <c r="BB11" i="57"/>
  <c r="BA11" i="57"/>
  <c r="AZ11" i="57"/>
  <c r="CG10" i="57"/>
  <c r="CF10" i="57"/>
  <c r="CE10" i="57"/>
  <c r="CD10" i="57"/>
  <c r="CC10" i="57"/>
  <c r="CA10" i="57"/>
  <c r="BZ10" i="57"/>
  <c r="BY10" i="57"/>
  <c r="BX10" i="57"/>
  <c r="BW10" i="57"/>
  <c r="BV10" i="57"/>
  <c r="BT10" i="57"/>
  <c r="BS10" i="57"/>
  <c r="BR10" i="57"/>
  <c r="BP10" i="57"/>
  <c r="BN10" i="57"/>
  <c r="BM10" i="57"/>
  <c r="BL10" i="57"/>
  <c r="BK10" i="57"/>
  <c r="BI10" i="57"/>
  <c r="BH10" i="57"/>
  <c r="BG10" i="57"/>
  <c r="BF10" i="57"/>
  <c r="BE10" i="57"/>
  <c r="BD10" i="57"/>
  <c r="BB10" i="57"/>
  <c r="BA10" i="57"/>
  <c r="AZ10" i="57"/>
  <c r="CG9" i="57"/>
  <c r="CF9" i="57"/>
  <c r="CE9" i="57"/>
  <c r="CD9" i="57"/>
  <c r="CC9" i="57"/>
  <c r="CA9" i="57"/>
  <c r="BZ9" i="57"/>
  <c r="BY9" i="57"/>
  <c r="BX9" i="57"/>
  <c r="BW9" i="57"/>
  <c r="BV9" i="57"/>
  <c r="BT9" i="57"/>
  <c r="BS9" i="57"/>
  <c r="BR9" i="57"/>
  <c r="BP9" i="57"/>
  <c r="BN9" i="57"/>
  <c r="BM9" i="57"/>
  <c r="BL9" i="57"/>
  <c r="BK9" i="57"/>
  <c r="BI9" i="57"/>
  <c r="BH9" i="57"/>
  <c r="BG9" i="57"/>
  <c r="BF9" i="57"/>
  <c r="BE9" i="57"/>
  <c r="BD9" i="57"/>
  <c r="BB9" i="57"/>
  <c r="BA9" i="57"/>
  <c r="AZ9" i="57"/>
  <c r="CG8" i="57"/>
  <c r="CF8" i="57"/>
  <c r="CE8" i="57"/>
  <c r="CD8" i="57"/>
  <c r="CC8" i="57"/>
  <c r="CA8" i="57"/>
  <c r="BZ8" i="57"/>
  <c r="BY8" i="57"/>
  <c r="BX8" i="57"/>
  <c r="BW8" i="57"/>
  <c r="BV8" i="57"/>
  <c r="BT8" i="57"/>
  <c r="BS8" i="57"/>
  <c r="BR8" i="57"/>
  <c r="BP8" i="57"/>
  <c r="BN8" i="57"/>
  <c r="BM8" i="57"/>
  <c r="BL8" i="57"/>
  <c r="BK8" i="57"/>
  <c r="BI8" i="57"/>
  <c r="BH8" i="57"/>
  <c r="BG8" i="57"/>
  <c r="BF8" i="57"/>
  <c r="BE8" i="57"/>
  <c r="BD8" i="57"/>
  <c r="BB8" i="57"/>
  <c r="AZ8" i="57"/>
  <c r="CG7" i="57"/>
  <c r="CF7" i="57"/>
  <c r="CE7" i="57"/>
  <c r="CD7" i="57"/>
  <c r="CC7" i="57"/>
  <c r="CA7" i="57"/>
  <c r="BZ7" i="57"/>
  <c r="BY7" i="57"/>
  <c r="BX7" i="57"/>
  <c r="BW7" i="57"/>
  <c r="BT7" i="57"/>
  <c r="BS7" i="57"/>
  <c r="BR7" i="57"/>
  <c r="BP7" i="57"/>
  <c r="BN7" i="57"/>
  <c r="BM7" i="57"/>
  <c r="BL7" i="57"/>
  <c r="BK7" i="57"/>
  <c r="BI7" i="57"/>
  <c r="BH7" i="57"/>
  <c r="BG7" i="57"/>
  <c r="BF7" i="57"/>
  <c r="BE7" i="57"/>
  <c r="BD7" i="57"/>
  <c r="BB7" i="57"/>
  <c r="BA7" i="57"/>
  <c r="AZ7" i="57"/>
  <c r="CG6" i="57"/>
  <c r="CF6" i="57"/>
  <c r="CE6" i="57"/>
  <c r="CD6" i="57"/>
  <c r="CC6" i="57"/>
  <c r="CA6" i="57"/>
  <c r="BZ6" i="57"/>
  <c r="BY6" i="57"/>
  <c r="BX6" i="57"/>
  <c r="BW6" i="57"/>
  <c r="BV6" i="57"/>
  <c r="BT6" i="57"/>
  <c r="BS6" i="57"/>
  <c r="BR6" i="57"/>
  <c r="BP6" i="57"/>
  <c r="BN6" i="57"/>
  <c r="BM6" i="57"/>
  <c r="BL6" i="57"/>
  <c r="BK6" i="57"/>
  <c r="BI6" i="57"/>
  <c r="BH6" i="57"/>
  <c r="BG6" i="57"/>
  <c r="BF6" i="57"/>
  <c r="BE6" i="57"/>
  <c r="BD6" i="57"/>
  <c r="BB6" i="57"/>
  <c r="BA6" i="57"/>
  <c r="AZ6" i="57"/>
  <c r="CG5" i="57"/>
  <c r="CF5" i="57"/>
  <c r="CE5" i="57"/>
  <c r="CD5" i="57"/>
  <c r="CC5" i="57"/>
  <c r="CA5" i="57"/>
  <c r="BZ5" i="57"/>
  <c r="BY5" i="57"/>
  <c r="BX5" i="57"/>
  <c r="BW5" i="57"/>
  <c r="BV5" i="57"/>
  <c r="BT5" i="57"/>
  <c r="BS5" i="57"/>
  <c r="BR5" i="57"/>
  <c r="BP5" i="57"/>
  <c r="BN5" i="57"/>
  <c r="BM5" i="57"/>
  <c r="BL5" i="57"/>
  <c r="BK5" i="57"/>
  <c r="BI5" i="57"/>
  <c r="BH5" i="57"/>
  <c r="BG5" i="57"/>
  <c r="BF5" i="57"/>
  <c r="BE5" i="57"/>
  <c r="BD5" i="57"/>
  <c r="BB5" i="57"/>
  <c r="BA5" i="57"/>
  <c r="AZ5" i="57"/>
  <c r="A4" i="57"/>
  <c r="A5" i="57" s="1"/>
  <c r="AV4" i="59"/>
  <c r="A4" i="59"/>
  <c r="AV31" i="60"/>
  <c r="AU31" i="60"/>
  <c r="AT31" i="60"/>
  <c r="AS31" i="60"/>
  <c r="AR31" i="60"/>
  <c r="AQ31" i="60"/>
  <c r="AP31" i="60"/>
  <c r="AO31" i="60"/>
  <c r="AN31" i="60"/>
  <c r="AM31" i="60"/>
  <c r="AL31" i="60"/>
  <c r="AK31" i="60"/>
  <c r="AJ31" i="60"/>
  <c r="AI31" i="60"/>
  <c r="AH31" i="60"/>
  <c r="AG31" i="60"/>
  <c r="AF31" i="60"/>
  <c r="AE31" i="60"/>
  <c r="AD31" i="60"/>
  <c r="AC31" i="60"/>
  <c r="AB31" i="60"/>
  <c r="AA31" i="60"/>
  <c r="Z31" i="60"/>
  <c r="Y31" i="60"/>
  <c r="X31" i="60"/>
  <c r="W31" i="60"/>
  <c r="V31" i="60"/>
  <c r="U31" i="60"/>
  <c r="T31" i="60"/>
  <c r="S31" i="60"/>
  <c r="R31" i="60"/>
  <c r="Q31" i="60"/>
  <c r="P31" i="60"/>
  <c r="O31" i="60"/>
  <c r="N31" i="60"/>
  <c r="M31" i="60"/>
  <c r="L31" i="60"/>
  <c r="K31" i="60"/>
  <c r="J31" i="60"/>
  <c r="I31" i="60"/>
  <c r="H31" i="60"/>
  <c r="G31" i="60"/>
  <c r="F31" i="60"/>
  <c r="E31" i="60"/>
  <c r="D31" i="60"/>
  <c r="C31" i="60"/>
  <c r="AV30" i="60"/>
  <c r="AU30" i="60"/>
  <c r="AT30" i="60"/>
  <c r="AS30" i="60"/>
  <c r="AR30" i="60"/>
  <c r="AQ30" i="60"/>
  <c r="AP30" i="60"/>
  <c r="AO30" i="60"/>
  <c r="AN30" i="60"/>
  <c r="AM30" i="60"/>
  <c r="AL30" i="60"/>
  <c r="AK30" i="60"/>
  <c r="AJ30" i="60"/>
  <c r="AI30" i="60"/>
  <c r="AH30" i="60"/>
  <c r="AG30" i="60"/>
  <c r="AF30" i="60"/>
  <c r="AE30" i="60"/>
  <c r="AD30" i="60"/>
  <c r="AC30" i="60"/>
  <c r="AB30" i="60"/>
  <c r="AA30" i="60"/>
  <c r="Z30" i="60"/>
  <c r="Y30" i="60"/>
  <c r="X30" i="60"/>
  <c r="W30" i="60"/>
  <c r="V30" i="60"/>
  <c r="U30" i="60"/>
  <c r="T30" i="60"/>
  <c r="S30" i="60"/>
  <c r="R30" i="60"/>
  <c r="Q30" i="60"/>
  <c r="P30" i="60"/>
  <c r="O30" i="60"/>
  <c r="N30" i="60"/>
  <c r="M30" i="60"/>
  <c r="L30" i="60"/>
  <c r="K30" i="60"/>
  <c r="J30" i="60"/>
  <c r="I30" i="60"/>
  <c r="H30" i="60"/>
  <c r="G30" i="60"/>
  <c r="F30" i="60"/>
  <c r="E30" i="60"/>
  <c r="D30" i="60"/>
  <c r="C30" i="60"/>
  <c r="AV29" i="60"/>
  <c r="AU29" i="60"/>
  <c r="AT29" i="60"/>
  <c r="AS29" i="60"/>
  <c r="AR29" i="60"/>
  <c r="AQ29" i="60"/>
  <c r="AP29" i="60"/>
  <c r="AO29" i="60"/>
  <c r="AN29" i="60"/>
  <c r="AM29" i="60"/>
  <c r="AL29" i="60"/>
  <c r="AK29" i="60"/>
  <c r="AJ29" i="60"/>
  <c r="AI29" i="60"/>
  <c r="AH29" i="60"/>
  <c r="AG29" i="60"/>
  <c r="AF29" i="60"/>
  <c r="AE29" i="60"/>
  <c r="AD29" i="60"/>
  <c r="AC29" i="60"/>
  <c r="AB29" i="60"/>
  <c r="AA29" i="60"/>
  <c r="Z29" i="60"/>
  <c r="Y29" i="60"/>
  <c r="X29" i="60"/>
  <c r="W29" i="60"/>
  <c r="V29" i="60"/>
  <c r="U29" i="60"/>
  <c r="T29" i="60"/>
  <c r="S29" i="60"/>
  <c r="R29" i="60"/>
  <c r="Q29" i="60"/>
  <c r="P29" i="60"/>
  <c r="O29" i="60"/>
  <c r="N29" i="60"/>
  <c r="M29" i="60"/>
  <c r="L29" i="60"/>
  <c r="K29" i="60"/>
  <c r="J29" i="60"/>
  <c r="I29" i="60"/>
  <c r="H29" i="60"/>
  <c r="G29" i="60"/>
  <c r="BG29" i="60" s="1"/>
  <c r="F29" i="60"/>
  <c r="E29" i="60"/>
  <c r="D29" i="60"/>
  <c r="C29" i="60"/>
  <c r="AV28" i="60"/>
  <c r="AU28" i="60"/>
  <c r="AT28" i="60"/>
  <c r="AS28" i="60"/>
  <c r="AR28" i="60"/>
  <c r="AQ28" i="60"/>
  <c r="AP28" i="60"/>
  <c r="AO28" i="60"/>
  <c r="AN28" i="60"/>
  <c r="AM28" i="60"/>
  <c r="AL28" i="60"/>
  <c r="AK28" i="60"/>
  <c r="AJ28" i="60"/>
  <c r="AI28" i="60"/>
  <c r="BQ28" i="60" s="1"/>
  <c r="AH28" i="60"/>
  <c r="AG28" i="60"/>
  <c r="AF28" i="60"/>
  <c r="AE28" i="60"/>
  <c r="AD28" i="60"/>
  <c r="AC28" i="60"/>
  <c r="AB28" i="60"/>
  <c r="AA28" i="60"/>
  <c r="Z28" i="60"/>
  <c r="Y28" i="60"/>
  <c r="X28" i="60"/>
  <c r="W28" i="60"/>
  <c r="V28" i="60"/>
  <c r="U28" i="60"/>
  <c r="T28" i="60"/>
  <c r="S28" i="60"/>
  <c r="R28" i="60"/>
  <c r="Q28" i="60"/>
  <c r="P28" i="60"/>
  <c r="O28" i="60"/>
  <c r="N28" i="60"/>
  <c r="M28" i="60"/>
  <c r="L28" i="60"/>
  <c r="K28" i="60"/>
  <c r="J28" i="60"/>
  <c r="I28" i="60"/>
  <c r="H28" i="60"/>
  <c r="G28" i="60"/>
  <c r="F28" i="60"/>
  <c r="E28" i="60"/>
  <c r="D28" i="60"/>
  <c r="C28" i="60"/>
  <c r="AV27" i="60"/>
  <c r="AU27" i="60"/>
  <c r="AT27" i="60"/>
  <c r="AS27" i="60"/>
  <c r="AR27" i="60"/>
  <c r="AQ27" i="60"/>
  <c r="AP27" i="60"/>
  <c r="AO27" i="60"/>
  <c r="AN27" i="60"/>
  <c r="AM27" i="60"/>
  <c r="AL27" i="60"/>
  <c r="AK27" i="60"/>
  <c r="AJ27" i="60"/>
  <c r="AI27" i="60"/>
  <c r="AH27" i="60"/>
  <c r="AG27" i="60"/>
  <c r="AF27" i="60"/>
  <c r="AE27" i="60"/>
  <c r="AD27" i="60"/>
  <c r="AC27" i="60"/>
  <c r="AB27" i="60"/>
  <c r="AA27" i="60"/>
  <c r="Z27" i="60"/>
  <c r="Y27" i="60"/>
  <c r="X27" i="60"/>
  <c r="W27" i="60"/>
  <c r="V27" i="60"/>
  <c r="U27" i="60"/>
  <c r="T27" i="60"/>
  <c r="S27" i="60"/>
  <c r="R27" i="60"/>
  <c r="Q27" i="60"/>
  <c r="P27" i="60"/>
  <c r="O27" i="60"/>
  <c r="N27" i="60"/>
  <c r="M27" i="60"/>
  <c r="L27" i="60"/>
  <c r="K27" i="60"/>
  <c r="J27" i="60"/>
  <c r="I27" i="60"/>
  <c r="H27" i="60"/>
  <c r="G27" i="60"/>
  <c r="F27" i="60"/>
  <c r="E27" i="60"/>
  <c r="BJ27" i="60" s="1"/>
  <c r="D27" i="60"/>
  <c r="C27" i="60"/>
  <c r="AV26" i="60"/>
  <c r="AU26" i="60"/>
  <c r="AT26" i="60"/>
  <c r="AS26" i="60"/>
  <c r="AR26" i="60"/>
  <c r="AQ26" i="60"/>
  <c r="AP26" i="60"/>
  <c r="AO26" i="60"/>
  <c r="AN26" i="60"/>
  <c r="AM26" i="60"/>
  <c r="AL26" i="60"/>
  <c r="AK26" i="60"/>
  <c r="AJ26" i="60"/>
  <c r="AI26" i="60"/>
  <c r="AH26" i="60"/>
  <c r="AG26" i="60"/>
  <c r="AF26" i="60"/>
  <c r="AE26" i="60"/>
  <c r="AD26" i="60"/>
  <c r="AC26" i="60"/>
  <c r="AB26" i="60"/>
  <c r="AA26" i="60"/>
  <c r="Z26" i="60"/>
  <c r="Y26" i="60"/>
  <c r="X26" i="60"/>
  <c r="W26" i="60"/>
  <c r="V26" i="60"/>
  <c r="U26" i="60"/>
  <c r="T26" i="60"/>
  <c r="S26" i="60"/>
  <c r="R26" i="60"/>
  <c r="Q26" i="60"/>
  <c r="P26" i="60"/>
  <c r="O26" i="60"/>
  <c r="N26" i="60"/>
  <c r="M26" i="60"/>
  <c r="L26" i="60"/>
  <c r="K26" i="60"/>
  <c r="J26" i="60"/>
  <c r="I26" i="60"/>
  <c r="H26" i="60"/>
  <c r="G26" i="60"/>
  <c r="BG26" i="60" s="1"/>
  <c r="F26" i="60"/>
  <c r="E26" i="60"/>
  <c r="D26" i="60"/>
  <c r="C26" i="60"/>
  <c r="AV25" i="60"/>
  <c r="AU25" i="60"/>
  <c r="AT25" i="60"/>
  <c r="AS25" i="60"/>
  <c r="AR25" i="60"/>
  <c r="AQ25" i="60"/>
  <c r="AP25" i="60"/>
  <c r="AO25" i="60"/>
  <c r="AN25" i="60"/>
  <c r="AM25" i="60"/>
  <c r="AL25" i="60"/>
  <c r="AK25" i="60"/>
  <c r="AJ25" i="60"/>
  <c r="AI25" i="60"/>
  <c r="AH25" i="60"/>
  <c r="AG25" i="60"/>
  <c r="AF25" i="60"/>
  <c r="AE25" i="60"/>
  <c r="AD25" i="60"/>
  <c r="AC25" i="60"/>
  <c r="AB25" i="60"/>
  <c r="AA25" i="60"/>
  <c r="Z25" i="60"/>
  <c r="Y25" i="60"/>
  <c r="X25" i="60"/>
  <c r="W25" i="60"/>
  <c r="V25" i="60"/>
  <c r="U25" i="60"/>
  <c r="T25" i="60"/>
  <c r="S25" i="60"/>
  <c r="R25" i="60"/>
  <c r="Q25" i="60"/>
  <c r="P25" i="60"/>
  <c r="O25" i="60"/>
  <c r="N25" i="60"/>
  <c r="M25" i="60"/>
  <c r="L25" i="60"/>
  <c r="K25" i="60"/>
  <c r="J25" i="60"/>
  <c r="I25" i="60"/>
  <c r="H25" i="60"/>
  <c r="G25" i="60"/>
  <c r="F25" i="60"/>
  <c r="E25" i="60"/>
  <c r="D25" i="60"/>
  <c r="C25" i="60"/>
  <c r="AV24" i="60"/>
  <c r="AU24" i="60"/>
  <c r="AT24" i="60"/>
  <c r="AS24" i="60"/>
  <c r="AR24" i="60"/>
  <c r="AQ24" i="60"/>
  <c r="AP24" i="60"/>
  <c r="AO24" i="60"/>
  <c r="AN24" i="60"/>
  <c r="AM24" i="60"/>
  <c r="AL24" i="60"/>
  <c r="AK24" i="60"/>
  <c r="AJ24" i="60"/>
  <c r="AI24" i="60"/>
  <c r="AH24" i="60"/>
  <c r="AG24" i="60"/>
  <c r="AF24" i="60"/>
  <c r="AE24" i="60"/>
  <c r="AD24" i="60"/>
  <c r="AC24" i="60"/>
  <c r="AB24" i="60"/>
  <c r="AA24" i="60"/>
  <c r="Z24" i="60"/>
  <c r="Y24" i="60"/>
  <c r="X24" i="60"/>
  <c r="W24" i="60"/>
  <c r="V24" i="60"/>
  <c r="U24" i="60"/>
  <c r="T24" i="60"/>
  <c r="S24" i="60"/>
  <c r="R24" i="60"/>
  <c r="Q24" i="60"/>
  <c r="P24" i="60"/>
  <c r="O24" i="60"/>
  <c r="N24" i="60"/>
  <c r="M24" i="60"/>
  <c r="L24" i="60"/>
  <c r="K24" i="60"/>
  <c r="J24" i="60"/>
  <c r="I24" i="60"/>
  <c r="H24" i="60"/>
  <c r="G24" i="60"/>
  <c r="BG24" i="60" s="1"/>
  <c r="F24" i="60"/>
  <c r="E24" i="60"/>
  <c r="D24" i="60"/>
  <c r="C24" i="60"/>
  <c r="AV23" i="60"/>
  <c r="AU23" i="60"/>
  <c r="AT23" i="60"/>
  <c r="AS23" i="60"/>
  <c r="AR23" i="60"/>
  <c r="AQ23" i="60"/>
  <c r="AP23" i="60"/>
  <c r="AO23" i="60"/>
  <c r="AN23" i="60"/>
  <c r="AM23" i="60"/>
  <c r="AL23" i="60"/>
  <c r="AK23" i="60"/>
  <c r="AJ23" i="60"/>
  <c r="AI23" i="60"/>
  <c r="AH23" i="60"/>
  <c r="AG23" i="60"/>
  <c r="AF23" i="60"/>
  <c r="AE23" i="60"/>
  <c r="AD23" i="60"/>
  <c r="AC23" i="60"/>
  <c r="AB23" i="60"/>
  <c r="AA23" i="60"/>
  <c r="Z23" i="60"/>
  <c r="Y23" i="60"/>
  <c r="X23" i="60"/>
  <c r="W23" i="60"/>
  <c r="V23" i="60"/>
  <c r="U23" i="60"/>
  <c r="T23" i="60"/>
  <c r="S23" i="60"/>
  <c r="R23" i="60"/>
  <c r="Q23" i="60"/>
  <c r="P23" i="60"/>
  <c r="O23" i="60"/>
  <c r="N23" i="60"/>
  <c r="M23" i="60"/>
  <c r="L23" i="60"/>
  <c r="K23" i="60"/>
  <c r="J23" i="60"/>
  <c r="I23" i="60"/>
  <c r="H23" i="60"/>
  <c r="G23" i="60"/>
  <c r="BG23" i="60" s="1"/>
  <c r="F23" i="60"/>
  <c r="E23" i="60"/>
  <c r="D23" i="60"/>
  <c r="C23" i="60"/>
  <c r="AV22" i="60"/>
  <c r="AU22" i="60"/>
  <c r="AT22" i="60"/>
  <c r="AS22" i="60"/>
  <c r="AR22" i="60"/>
  <c r="AQ22" i="60"/>
  <c r="AP22" i="60"/>
  <c r="AO22" i="60"/>
  <c r="AN22" i="60"/>
  <c r="AM22" i="60"/>
  <c r="AL22" i="60"/>
  <c r="AK22" i="60"/>
  <c r="AJ22" i="60"/>
  <c r="AI22" i="60"/>
  <c r="AH22" i="60"/>
  <c r="AG22" i="60"/>
  <c r="AF22" i="60"/>
  <c r="AE22" i="60"/>
  <c r="AD22" i="60"/>
  <c r="AC22" i="60"/>
  <c r="AB22" i="60"/>
  <c r="AA22" i="60"/>
  <c r="Z22" i="60"/>
  <c r="Y22" i="60"/>
  <c r="X22" i="60"/>
  <c r="W22" i="60"/>
  <c r="V22" i="60"/>
  <c r="U22" i="60"/>
  <c r="T22" i="60"/>
  <c r="S22" i="60"/>
  <c r="R22" i="60"/>
  <c r="Q22" i="60"/>
  <c r="P22" i="60"/>
  <c r="O22" i="60"/>
  <c r="N22" i="60"/>
  <c r="M22" i="60"/>
  <c r="L22" i="60"/>
  <c r="K22" i="60"/>
  <c r="J22" i="60"/>
  <c r="I22" i="60"/>
  <c r="H22" i="60"/>
  <c r="G22" i="60"/>
  <c r="BG22" i="60" s="1"/>
  <c r="F22" i="60"/>
  <c r="E22" i="60"/>
  <c r="D22" i="60"/>
  <c r="C22" i="60"/>
  <c r="AV21" i="60"/>
  <c r="AR21" i="60"/>
  <c r="AQ21" i="60"/>
  <c r="AP21" i="60"/>
  <c r="AO21" i="60"/>
  <c r="AN21" i="60"/>
  <c r="AM21" i="60"/>
  <c r="AL21" i="60"/>
  <c r="AK21" i="60"/>
  <c r="K21" i="60"/>
  <c r="D21" i="60"/>
  <c r="AV20" i="60"/>
  <c r="AU20" i="60"/>
  <c r="AT20" i="60"/>
  <c r="AS20" i="60"/>
  <c r="AR20" i="60"/>
  <c r="AQ20" i="60"/>
  <c r="AP20" i="60"/>
  <c r="AO20" i="60"/>
  <c r="AN20" i="60"/>
  <c r="AM20" i="60"/>
  <c r="AL20" i="60"/>
  <c r="AK20" i="60"/>
  <c r="AJ20" i="60"/>
  <c r="AI20" i="60"/>
  <c r="AH20" i="60"/>
  <c r="AG20" i="60"/>
  <c r="AF20" i="60"/>
  <c r="AE20" i="60"/>
  <c r="AD20" i="60"/>
  <c r="AC20" i="60"/>
  <c r="AB20" i="60"/>
  <c r="AA20" i="60"/>
  <c r="Z20" i="60"/>
  <c r="Y20" i="60"/>
  <c r="X20" i="60"/>
  <c r="W20" i="60"/>
  <c r="V20" i="60"/>
  <c r="U20" i="60"/>
  <c r="T20" i="60"/>
  <c r="S20" i="60"/>
  <c r="R20" i="60"/>
  <c r="Q20" i="60"/>
  <c r="P20" i="60"/>
  <c r="O20" i="60"/>
  <c r="N20" i="60"/>
  <c r="M20" i="60"/>
  <c r="L20" i="60"/>
  <c r="K20" i="60"/>
  <c r="J20" i="60"/>
  <c r="I20" i="60"/>
  <c r="H20" i="60"/>
  <c r="G20" i="60"/>
  <c r="BG20" i="60" s="1"/>
  <c r="F20" i="60"/>
  <c r="E20" i="60"/>
  <c r="D20" i="60"/>
  <c r="C20" i="60"/>
  <c r="AV19" i="60"/>
  <c r="AU19" i="60"/>
  <c r="AT19" i="60"/>
  <c r="AS19" i="60"/>
  <c r="AR19" i="60"/>
  <c r="AQ19" i="60"/>
  <c r="AP19" i="60"/>
  <c r="AO19" i="60"/>
  <c r="AN19" i="60"/>
  <c r="AM19" i="60"/>
  <c r="AL19" i="60"/>
  <c r="AK19" i="60"/>
  <c r="AJ19" i="60"/>
  <c r="AI19" i="60"/>
  <c r="AH19" i="60"/>
  <c r="AG19" i="60"/>
  <c r="AF19" i="60"/>
  <c r="AE19" i="60"/>
  <c r="AD19" i="60"/>
  <c r="AC19" i="60"/>
  <c r="AB19" i="60"/>
  <c r="AA19" i="60"/>
  <c r="Z19" i="60"/>
  <c r="Y19" i="60"/>
  <c r="X19" i="60"/>
  <c r="W19" i="60"/>
  <c r="V19" i="60"/>
  <c r="U19" i="60"/>
  <c r="T19" i="60"/>
  <c r="S19" i="60"/>
  <c r="R19" i="60"/>
  <c r="Q19" i="60"/>
  <c r="P19" i="60"/>
  <c r="O19" i="60"/>
  <c r="N19" i="60"/>
  <c r="M19" i="60"/>
  <c r="L19" i="60"/>
  <c r="K19" i="60"/>
  <c r="J19" i="60"/>
  <c r="I19" i="60"/>
  <c r="H19" i="60"/>
  <c r="G19" i="60"/>
  <c r="F19" i="60"/>
  <c r="E19" i="60"/>
  <c r="D19" i="60"/>
  <c r="C19" i="60"/>
  <c r="AV18" i="60"/>
  <c r="AU18" i="60"/>
  <c r="AT18" i="60"/>
  <c r="AS18" i="60"/>
  <c r="AR18" i="60"/>
  <c r="AQ18" i="60"/>
  <c r="AP18" i="60"/>
  <c r="AO18" i="60"/>
  <c r="AN18" i="60"/>
  <c r="AM18" i="60"/>
  <c r="AL18" i="60"/>
  <c r="AK18" i="60"/>
  <c r="AJ18" i="60"/>
  <c r="AI18" i="60"/>
  <c r="AH18" i="60"/>
  <c r="AG18" i="60"/>
  <c r="AF18" i="60"/>
  <c r="AE18" i="60"/>
  <c r="AD18" i="60"/>
  <c r="AC18" i="60"/>
  <c r="AB18" i="60"/>
  <c r="AA18" i="60"/>
  <c r="Z18" i="60"/>
  <c r="Y18" i="60"/>
  <c r="X18" i="60"/>
  <c r="W18" i="60"/>
  <c r="V18" i="60"/>
  <c r="U18" i="60"/>
  <c r="T18" i="60"/>
  <c r="S18" i="60"/>
  <c r="R18" i="60"/>
  <c r="Q18" i="60"/>
  <c r="P18" i="60"/>
  <c r="O18" i="60"/>
  <c r="N18" i="60"/>
  <c r="M18" i="60"/>
  <c r="L18" i="60"/>
  <c r="K18" i="60"/>
  <c r="J18" i="60"/>
  <c r="I18" i="60"/>
  <c r="H18" i="60"/>
  <c r="G18" i="60"/>
  <c r="F18" i="60"/>
  <c r="E18" i="60"/>
  <c r="D18" i="60"/>
  <c r="C18" i="60"/>
  <c r="AV17" i="60"/>
  <c r="AU17" i="60"/>
  <c r="AT17" i="60"/>
  <c r="AS17" i="60"/>
  <c r="AR17" i="60"/>
  <c r="AQ17" i="60"/>
  <c r="AP17" i="60"/>
  <c r="AO17" i="60"/>
  <c r="AN17" i="60"/>
  <c r="AM17" i="60"/>
  <c r="AL17" i="60"/>
  <c r="AK17" i="60"/>
  <c r="AJ17" i="60"/>
  <c r="AI17" i="60"/>
  <c r="AH17" i="60"/>
  <c r="AG17" i="60"/>
  <c r="AF17" i="60"/>
  <c r="AE17" i="60"/>
  <c r="AD17" i="60"/>
  <c r="AC17" i="60"/>
  <c r="AB17" i="60"/>
  <c r="AA17" i="60"/>
  <c r="Z17" i="60"/>
  <c r="Y17" i="60"/>
  <c r="X17" i="60"/>
  <c r="W17" i="60"/>
  <c r="V17" i="60"/>
  <c r="U17" i="60"/>
  <c r="T17" i="60"/>
  <c r="S17" i="60"/>
  <c r="R17" i="60"/>
  <c r="Q17" i="60"/>
  <c r="P17" i="60"/>
  <c r="O17" i="60"/>
  <c r="N17" i="60"/>
  <c r="M17" i="60"/>
  <c r="L17" i="60"/>
  <c r="K17" i="60"/>
  <c r="J17" i="60"/>
  <c r="I17" i="60"/>
  <c r="H17" i="60"/>
  <c r="G17" i="60"/>
  <c r="F17" i="60"/>
  <c r="E17" i="60"/>
  <c r="D17" i="60"/>
  <c r="C17" i="60"/>
  <c r="AV16" i="60"/>
  <c r="AU16" i="60"/>
  <c r="AT16" i="60"/>
  <c r="AS16" i="60"/>
  <c r="AR16" i="60"/>
  <c r="AQ16" i="60"/>
  <c r="AP16" i="60"/>
  <c r="AO16" i="60"/>
  <c r="AN16" i="60"/>
  <c r="AM16" i="60"/>
  <c r="AL16" i="60"/>
  <c r="AK16" i="60"/>
  <c r="AJ16" i="60"/>
  <c r="AI16" i="60"/>
  <c r="AH16" i="60"/>
  <c r="AG16" i="60"/>
  <c r="AF16" i="60"/>
  <c r="AE16" i="60"/>
  <c r="AD16" i="60"/>
  <c r="AC16" i="60"/>
  <c r="AB16" i="60"/>
  <c r="AA16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BX16" i="60" s="1"/>
  <c r="J16" i="60"/>
  <c r="I16" i="60"/>
  <c r="H16" i="60"/>
  <c r="G16" i="60"/>
  <c r="BG16" i="60" s="1"/>
  <c r="F16" i="60"/>
  <c r="E16" i="60"/>
  <c r="D16" i="60"/>
  <c r="C16" i="60"/>
  <c r="AV15" i="60"/>
  <c r="AU15" i="60"/>
  <c r="AT15" i="60"/>
  <c r="AS15" i="60"/>
  <c r="AR15" i="60"/>
  <c r="AQ15" i="60"/>
  <c r="AP15" i="60"/>
  <c r="AO15" i="60"/>
  <c r="AN15" i="60"/>
  <c r="AM15" i="60"/>
  <c r="AL15" i="60"/>
  <c r="AK15" i="60"/>
  <c r="AJ15" i="60"/>
  <c r="AI15" i="60"/>
  <c r="AH15" i="60"/>
  <c r="AG15" i="60"/>
  <c r="AF15" i="60"/>
  <c r="AE15" i="60"/>
  <c r="AD15" i="60"/>
  <c r="AC15" i="60"/>
  <c r="AB15" i="60"/>
  <c r="AA15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H15" i="60"/>
  <c r="G15" i="60"/>
  <c r="F15" i="60"/>
  <c r="E15" i="60"/>
  <c r="D15" i="60"/>
  <c r="C15" i="60"/>
  <c r="AV14" i="60"/>
  <c r="AU14" i="60"/>
  <c r="AT14" i="60"/>
  <c r="AS14" i="60"/>
  <c r="AR14" i="60"/>
  <c r="AQ14" i="60"/>
  <c r="AP14" i="60"/>
  <c r="AO14" i="60"/>
  <c r="AN14" i="60"/>
  <c r="AM14" i="60"/>
  <c r="AL14" i="60"/>
  <c r="AK14" i="60"/>
  <c r="AJ14" i="60"/>
  <c r="AI14" i="60"/>
  <c r="AH14" i="60"/>
  <c r="AG14" i="60"/>
  <c r="AF14" i="60"/>
  <c r="AE14" i="60"/>
  <c r="AD14" i="60"/>
  <c r="AC14" i="60"/>
  <c r="AB14" i="60"/>
  <c r="AA14" i="60"/>
  <c r="Z14" i="60"/>
  <c r="Y14" i="60"/>
  <c r="X14" i="60"/>
  <c r="W14" i="60"/>
  <c r="V14" i="60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H14" i="60"/>
  <c r="G14" i="60"/>
  <c r="F14" i="60"/>
  <c r="E14" i="60"/>
  <c r="D14" i="60"/>
  <c r="C14" i="60"/>
  <c r="AV13" i="60"/>
  <c r="AR13" i="60"/>
  <c r="AQ13" i="60"/>
  <c r="AP13" i="60"/>
  <c r="AO13" i="60"/>
  <c r="AN13" i="60"/>
  <c r="AM13" i="60"/>
  <c r="AL13" i="60"/>
  <c r="AK13" i="60"/>
  <c r="K13" i="60"/>
  <c r="D13" i="60"/>
  <c r="AV12" i="60"/>
  <c r="AU12" i="60"/>
  <c r="AT12" i="60"/>
  <c r="AS12" i="60"/>
  <c r="AR12" i="60"/>
  <c r="AQ12" i="60"/>
  <c r="AP12" i="60"/>
  <c r="AO12" i="60"/>
  <c r="AN12" i="60"/>
  <c r="AM12" i="60"/>
  <c r="AL12" i="60"/>
  <c r="AK12" i="60"/>
  <c r="AJ12" i="60"/>
  <c r="AI12" i="60"/>
  <c r="AH12" i="60"/>
  <c r="AG12" i="60"/>
  <c r="AF12" i="60"/>
  <c r="AE12" i="60"/>
  <c r="AD12" i="60"/>
  <c r="AC12" i="60"/>
  <c r="AB12" i="60"/>
  <c r="AA12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H12" i="60"/>
  <c r="G12" i="60"/>
  <c r="BG12" i="60" s="1"/>
  <c r="F12" i="60"/>
  <c r="E12" i="60"/>
  <c r="D12" i="60"/>
  <c r="C12" i="60"/>
  <c r="AV11" i="60"/>
  <c r="AU11" i="60"/>
  <c r="AT11" i="60"/>
  <c r="AS11" i="60"/>
  <c r="AR11" i="60"/>
  <c r="AQ11" i="60"/>
  <c r="AP11" i="60"/>
  <c r="AO11" i="60"/>
  <c r="AN11" i="60"/>
  <c r="AM11" i="60"/>
  <c r="AL11" i="60"/>
  <c r="AK11" i="60"/>
  <c r="AJ11" i="60"/>
  <c r="AI11" i="60"/>
  <c r="AH11" i="60"/>
  <c r="AG11" i="60"/>
  <c r="AF11" i="60"/>
  <c r="AE11" i="60"/>
  <c r="AD11" i="60"/>
  <c r="AC11" i="60"/>
  <c r="AB11" i="60"/>
  <c r="AA11" i="60"/>
  <c r="Z11" i="60"/>
  <c r="Y11" i="60"/>
  <c r="X11" i="60"/>
  <c r="W11" i="60"/>
  <c r="V11" i="60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H11" i="60"/>
  <c r="G11" i="60"/>
  <c r="F11" i="60"/>
  <c r="E11" i="60"/>
  <c r="D11" i="60"/>
  <c r="C11" i="60"/>
  <c r="AV10" i="60"/>
  <c r="AU10" i="60"/>
  <c r="AT10" i="60"/>
  <c r="AS10" i="60"/>
  <c r="AR10" i="60"/>
  <c r="AQ10" i="60"/>
  <c r="AP10" i="60"/>
  <c r="AO10" i="60"/>
  <c r="AN10" i="60"/>
  <c r="AM10" i="60"/>
  <c r="AL10" i="60"/>
  <c r="AK10" i="60"/>
  <c r="AJ10" i="60"/>
  <c r="AI10" i="60"/>
  <c r="AH10" i="60"/>
  <c r="AG10" i="60"/>
  <c r="AF10" i="60"/>
  <c r="AE10" i="60"/>
  <c r="AD10" i="60"/>
  <c r="AC10" i="60"/>
  <c r="AB10" i="60"/>
  <c r="AA10" i="60"/>
  <c r="Z10" i="60"/>
  <c r="Y10" i="60"/>
  <c r="X10" i="60"/>
  <c r="W10" i="60"/>
  <c r="V10" i="60"/>
  <c r="U10" i="60"/>
  <c r="T10" i="60"/>
  <c r="S10" i="60"/>
  <c r="R10" i="60"/>
  <c r="Q10" i="60"/>
  <c r="P10" i="60"/>
  <c r="O10" i="60"/>
  <c r="N10" i="60"/>
  <c r="M10" i="60"/>
  <c r="L10" i="60"/>
  <c r="K10" i="60"/>
  <c r="J10" i="60"/>
  <c r="I10" i="60"/>
  <c r="H10" i="60"/>
  <c r="G10" i="60"/>
  <c r="F10" i="60"/>
  <c r="E10" i="60"/>
  <c r="D10" i="60"/>
  <c r="C10" i="60"/>
  <c r="AV9" i="60"/>
  <c r="AU9" i="60"/>
  <c r="AT9" i="60"/>
  <c r="AS9" i="60"/>
  <c r="AR9" i="60"/>
  <c r="AQ9" i="60"/>
  <c r="AP9" i="60"/>
  <c r="AO9" i="60"/>
  <c r="AN9" i="60"/>
  <c r="AM9" i="60"/>
  <c r="AL9" i="60"/>
  <c r="AK9" i="60"/>
  <c r="AJ9" i="60"/>
  <c r="AI9" i="60"/>
  <c r="AH9" i="60"/>
  <c r="AG9" i="60"/>
  <c r="AF9" i="60"/>
  <c r="AE9" i="60"/>
  <c r="AD9" i="60"/>
  <c r="AC9" i="60"/>
  <c r="AB9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G9" i="60"/>
  <c r="F9" i="60"/>
  <c r="E9" i="60"/>
  <c r="D9" i="60"/>
  <c r="C9" i="60"/>
  <c r="AV8" i="60"/>
  <c r="AU8" i="60"/>
  <c r="AT8" i="60"/>
  <c r="AS8" i="60"/>
  <c r="AR8" i="60"/>
  <c r="AQ8" i="60"/>
  <c r="AP8" i="60"/>
  <c r="AO8" i="60"/>
  <c r="AN8" i="60"/>
  <c r="AM8" i="60"/>
  <c r="AL8" i="60"/>
  <c r="AK8" i="60"/>
  <c r="AJ8" i="60"/>
  <c r="AI8" i="60"/>
  <c r="AH8" i="60"/>
  <c r="AG8" i="60"/>
  <c r="AF8" i="60"/>
  <c r="AE8" i="60"/>
  <c r="AD8" i="60"/>
  <c r="AC8" i="60"/>
  <c r="AB8" i="60"/>
  <c r="AA8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H8" i="60"/>
  <c r="G8" i="60"/>
  <c r="BG8" i="60" s="1"/>
  <c r="F8" i="60"/>
  <c r="E8" i="60"/>
  <c r="D8" i="60"/>
  <c r="C8" i="60"/>
  <c r="AV7" i="60"/>
  <c r="AU7" i="60"/>
  <c r="AT7" i="60"/>
  <c r="AS7" i="60"/>
  <c r="AR7" i="60"/>
  <c r="AQ7" i="60"/>
  <c r="AP7" i="60"/>
  <c r="AO7" i="60"/>
  <c r="AN7" i="60"/>
  <c r="AM7" i="60"/>
  <c r="AL7" i="60"/>
  <c r="AK7" i="60"/>
  <c r="AJ7" i="60"/>
  <c r="AI7" i="60"/>
  <c r="AH7" i="60"/>
  <c r="AG7" i="60"/>
  <c r="AF7" i="60"/>
  <c r="AE7" i="60"/>
  <c r="AD7" i="60"/>
  <c r="AC7" i="60"/>
  <c r="AB7" i="60"/>
  <c r="AA7" i="60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H7" i="60"/>
  <c r="G7" i="60"/>
  <c r="F7" i="60"/>
  <c r="E7" i="60"/>
  <c r="D7" i="60"/>
  <c r="C7" i="60"/>
  <c r="AV6" i="60"/>
  <c r="AU6" i="60"/>
  <c r="AT6" i="60"/>
  <c r="AS6" i="60"/>
  <c r="AR6" i="60"/>
  <c r="AQ6" i="60"/>
  <c r="AP6" i="60"/>
  <c r="AO6" i="60"/>
  <c r="AN6" i="60"/>
  <c r="AM6" i="60"/>
  <c r="AL6" i="60"/>
  <c r="AK6" i="60"/>
  <c r="AJ6" i="60"/>
  <c r="AI6" i="60"/>
  <c r="AH6" i="60"/>
  <c r="AG6" i="60"/>
  <c r="AF6" i="60"/>
  <c r="AE6" i="60"/>
  <c r="AD6" i="60"/>
  <c r="AC6" i="60"/>
  <c r="AB6" i="60"/>
  <c r="AA6" i="60"/>
  <c r="Z6" i="60"/>
  <c r="Y6" i="60"/>
  <c r="X6" i="60"/>
  <c r="W6" i="60"/>
  <c r="V6" i="60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H6" i="60"/>
  <c r="G6" i="60"/>
  <c r="F6" i="60"/>
  <c r="E6" i="60"/>
  <c r="D6" i="60"/>
  <c r="C6" i="60"/>
  <c r="AV5" i="60"/>
  <c r="AU5" i="60"/>
  <c r="AT5" i="60"/>
  <c r="AS5" i="60"/>
  <c r="AR5" i="60"/>
  <c r="AQ5" i="60"/>
  <c r="AP5" i="60"/>
  <c r="AO5" i="60"/>
  <c r="AN5" i="60"/>
  <c r="AM5" i="60"/>
  <c r="AL5" i="60"/>
  <c r="AK5" i="60"/>
  <c r="AJ5" i="60"/>
  <c r="AI5" i="60"/>
  <c r="AH5" i="60"/>
  <c r="AG5" i="60"/>
  <c r="AF5" i="60"/>
  <c r="AE5" i="60"/>
  <c r="AD5" i="60"/>
  <c r="AC5" i="60"/>
  <c r="AB5" i="60"/>
  <c r="AA5" i="60"/>
  <c r="Z5" i="60"/>
  <c r="Y5" i="60"/>
  <c r="X5" i="60"/>
  <c r="W5" i="60"/>
  <c r="V5" i="60"/>
  <c r="U5" i="60"/>
  <c r="T5" i="60"/>
  <c r="S5" i="60"/>
  <c r="R5" i="60"/>
  <c r="Q5" i="60"/>
  <c r="P5" i="60"/>
  <c r="O5" i="60"/>
  <c r="N5" i="60"/>
  <c r="M5" i="60"/>
  <c r="L5" i="60"/>
  <c r="K5" i="60"/>
  <c r="J5" i="60"/>
  <c r="I5" i="60"/>
  <c r="H5" i="60"/>
  <c r="G5" i="60"/>
  <c r="F5" i="60"/>
  <c r="E5" i="60"/>
  <c r="D5" i="60"/>
  <c r="C5" i="60"/>
  <c r="AV4" i="60"/>
  <c r="AU4" i="60"/>
  <c r="AT4" i="60"/>
  <c r="AS4" i="60"/>
  <c r="AR4" i="60"/>
  <c r="AQ4" i="60"/>
  <c r="AP4" i="60"/>
  <c r="AO4" i="60"/>
  <c r="AN4" i="60"/>
  <c r="AM4" i="60"/>
  <c r="AL4" i="60"/>
  <c r="AK4" i="60"/>
  <c r="AJ4" i="60"/>
  <c r="AI4" i="60"/>
  <c r="AH4" i="60"/>
  <c r="AG4" i="60"/>
  <c r="AF4" i="60"/>
  <c r="AE4" i="60"/>
  <c r="AD4" i="60"/>
  <c r="AC4" i="60"/>
  <c r="AB4" i="60"/>
  <c r="AA4" i="60"/>
  <c r="Z4" i="60"/>
  <c r="Y4" i="60"/>
  <c r="X4" i="60"/>
  <c r="W4" i="60"/>
  <c r="V4" i="60"/>
  <c r="U4" i="60"/>
  <c r="T4" i="60"/>
  <c r="S4" i="60"/>
  <c r="R4" i="60"/>
  <c r="Q4" i="60"/>
  <c r="P4" i="60"/>
  <c r="O4" i="60"/>
  <c r="N4" i="60"/>
  <c r="M4" i="60"/>
  <c r="L4" i="60"/>
  <c r="K4" i="60"/>
  <c r="J4" i="60"/>
  <c r="I4" i="60"/>
  <c r="H4" i="60"/>
  <c r="G4" i="60"/>
  <c r="F4" i="60"/>
  <c r="E4" i="60"/>
  <c r="D4" i="60"/>
  <c r="C4" i="60"/>
  <c r="A4" i="60"/>
  <c r="A5" i="60" s="1"/>
  <c r="AV33" i="51"/>
  <c r="AU33" i="51"/>
  <c r="AT33" i="51"/>
  <c r="AS33" i="51"/>
  <c r="AR33" i="51"/>
  <c r="AQ33" i="51"/>
  <c r="AP33" i="51"/>
  <c r="AO33" i="51"/>
  <c r="AN33" i="51"/>
  <c r="AM33" i="51"/>
  <c r="BY33" i="51" s="1"/>
  <c r="AL33" i="51"/>
  <c r="AK33" i="51"/>
  <c r="AJ33" i="51"/>
  <c r="AI33" i="51"/>
  <c r="BO33" i="51" s="1"/>
  <c r="AH33" i="51"/>
  <c r="AG33" i="51"/>
  <c r="AF33" i="51"/>
  <c r="AE33" i="51"/>
  <c r="AD33" i="51"/>
  <c r="AC33" i="51"/>
  <c r="AB33" i="51"/>
  <c r="AA33" i="51"/>
  <c r="Z33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BS33" i="51" s="1"/>
  <c r="I33" i="51"/>
  <c r="BE33" i="51" s="1"/>
  <c r="H33" i="51"/>
  <c r="G33" i="51"/>
  <c r="BD33" i="51" s="1"/>
  <c r="F33" i="51"/>
  <c r="E33" i="51"/>
  <c r="BM33" i="51" s="1"/>
  <c r="D33" i="51"/>
  <c r="C33" i="51"/>
  <c r="AV32" i="51"/>
  <c r="AU32" i="51"/>
  <c r="AT32" i="51"/>
  <c r="AS32" i="51"/>
  <c r="AR32" i="51"/>
  <c r="AQ32" i="51"/>
  <c r="AP32" i="51"/>
  <c r="AO32" i="51"/>
  <c r="AN32" i="51"/>
  <c r="BH32" i="51" s="1"/>
  <c r="AM32" i="51"/>
  <c r="AL32" i="51"/>
  <c r="AK32" i="51"/>
  <c r="AJ32" i="51"/>
  <c r="AI32" i="51"/>
  <c r="BR32" i="51" s="1"/>
  <c r="AH32" i="51"/>
  <c r="AG32" i="51"/>
  <c r="AF32" i="51"/>
  <c r="AE32" i="51"/>
  <c r="AD32" i="51"/>
  <c r="AC32" i="51"/>
  <c r="AB32" i="51"/>
  <c r="AA32" i="51"/>
  <c r="Z32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BE32" i="51" s="1"/>
  <c r="H32" i="51"/>
  <c r="G32" i="51"/>
  <c r="BG32" i="51" s="1"/>
  <c r="F32" i="51"/>
  <c r="E32" i="51"/>
  <c r="BL32" i="51" s="1"/>
  <c r="D32" i="51"/>
  <c r="C32" i="51"/>
  <c r="CF31" i="51"/>
  <c r="CE31" i="51"/>
  <c r="CD31" i="51"/>
  <c r="CC31" i="51"/>
  <c r="CB31" i="51"/>
  <c r="BZ31" i="51"/>
  <c r="BY31" i="51"/>
  <c r="BX31" i="51"/>
  <c r="BW31" i="51"/>
  <c r="BV31" i="51"/>
  <c r="BU31" i="51"/>
  <c r="BS31" i="51"/>
  <c r="BR31" i="51"/>
  <c r="BQ31" i="51"/>
  <c r="BO31" i="51"/>
  <c r="BM31" i="51"/>
  <c r="BL31" i="51"/>
  <c r="BK31" i="51"/>
  <c r="BJ31" i="51"/>
  <c r="BH31" i="51"/>
  <c r="BG31" i="51"/>
  <c r="BF31" i="51"/>
  <c r="BE31" i="51"/>
  <c r="BD31" i="51"/>
  <c r="BC31" i="51"/>
  <c r="BA31" i="51"/>
  <c r="AZ31" i="51"/>
  <c r="AY31" i="51"/>
  <c r="AW31" i="51"/>
  <c r="CF30" i="51"/>
  <c r="CE30" i="51"/>
  <c r="CD30" i="51"/>
  <c r="CC30" i="51"/>
  <c r="CB30" i="51"/>
  <c r="BZ30" i="51"/>
  <c r="BY30" i="51"/>
  <c r="BX30" i="51"/>
  <c r="BW30" i="51"/>
  <c r="BV30" i="51"/>
  <c r="BU30" i="51"/>
  <c r="BS30" i="51"/>
  <c r="BR30" i="51"/>
  <c r="BQ30" i="51"/>
  <c r="BO30" i="51"/>
  <c r="BM30" i="51"/>
  <c r="BL30" i="51"/>
  <c r="BK30" i="51"/>
  <c r="BJ30" i="51"/>
  <c r="BH30" i="51"/>
  <c r="BG30" i="51"/>
  <c r="BF30" i="51"/>
  <c r="BE30" i="51"/>
  <c r="BD30" i="51"/>
  <c r="BC30" i="51"/>
  <c r="BA30" i="51"/>
  <c r="AZ30" i="51"/>
  <c r="AY30" i="51"/>
  <c r="AW30" i="51"/>
  <c r="CF29" i="51"/>
  <c r="CE29" i="51"/>
  <c r="CD29" i="51"/>
  <c r="CC29" i="51"/>
  <c r="CB29" i="51"/>
  <c r="BZ29" i="51"/>
  <c r="BY29" i="51"/>
  <c r="BX29" i="51"/>
  <c r="BW29" i="51"/>
  <c r="BV29" i="51"/>
  <c r="BU29" i="51"/>
  <c r="BS29" i="51"/>
  <c r="BR29" i="51"/>
  <c r="BQ29" i="51"/>
  <c r="BO29" i="51"/>
  <c r="BM29" i="51"/>
  <c r="BL29" i="51"/>
  <c r="BK29" i="51"/>
  <c r="BJ29" i="51"/>
  <c r="BH29" i="51"/>
  <c r="BG29" i="51"/>
  <c r="BF29" i="51"/>
  <c r="BE29" i="51"/>
  <c r="BD29" i="51"/>
  <c r="BC29" i="51"/>
  <c r="BA29" i="51"/>
  <c r="AZ29" i="51"/>
  <c r="AY29" i="51"/>
  <c r="AW29" i="51"/>
  <c r="CF28" i="51"/>
  <c r="CE28" i="51"/>
  <c r="CD28" i="51"/>
  <c r="CC28" i="51"/>
  <c r="CB28" i="51"/>
  <c r="BZ28" i="51"/>
  <c r="BY28" i="51"/>
  <c r="BX28" i="51"/>
  <c r="BW28" i="51"/>
  <c r="BV28" i="51"/>
  <c r="BU28" i="51"/>
  <c r="BS28" i="51"/>
  <c r="BR28" i="51"/>
  <c r="BQ28" i="51"/>
  <c r="BO28" i="51"/>
  <c r="BM28" i="51"/>
  <c r="BL28" i="51"/>
  <c r="BK28" i="51"/>
  <c r="BJ28" i="51"/>
  <c r="BH28" i="51"/>
  <c r="BG28" i="51"/>
  <c r="BF28" i="51"/>
  <c r="BE28" i="51"/>
  <c r="BD28" i="51"/>
  <c r="BC28" i="51"/>
  <c r="BA28" i="51"/>
  <c r="AZ28" i="51"/>
  <c r="AY28" i="51"/>
  <c r="AW28" i="51"/>
  <c r="CF27" i="51"/>
  <c r="CE27" i="51"/>
  <c r="CD27" i="51"/>
  <c r="CC27" i="51"/>
  <c r="CB27" i="51"/>
  <c r="BZ27" i="51"/>
  <c r="BY27" i="51"/>
  <c r="BX27" i="51"/>
  <c r="BW27" i="51"/>
  <c r="BV27" i="51"/>
  <c r="BU27" i="51"/>
  <c r="BS27" i="51"/>
  <c r="BR27" i="51"/>
  <c r="BQ27" i="51"/>
  <c r="BO27" i="51"/>
  <c r="BM27" i="51"/>
  <c r="BL27" i="51"/>
  <c r="BK27" i="51"/>
  <c r="BJ27" i="51"/>
  <c r="BH27" i="51"/>
  <c r="BG27" i="51"/>
  <c r="BF27" i="51"/>
  <c r="BE27" i="51"/>
  <c r="BD27" i="51"/>
  <c r="BC27" i="51"/>
  <c r="BA27" i="51"/>
  <c r="AZ27" i="51"/>
  <c r="AY27" i="51"/>
  <c r="AW27" i="51"/>
  <c r="CF26" i="51"/>
  <c r="CE26" i="51"/>
  <c r="CD26" i="51"/>
  <c r="CC26" i="51"/>
  <c r="CB26" i="51"/>
  <c r="BZ26" i="51"/>
  <c r="BY26" i="51"/>
  <c r="BX26" i="51"/>
  <c r="BW26" i="51"/>
  <c r="BV26" i="51"/>
  <c r="BU26" i="51"/>
  <c r="BS26" i="51"/>
  <c r="BR26" i="51"/>
  <c r="BQ26" i="51"/>
  <c r="BO26" i="51"/>
  <c r="BM26" i="51"/>
  <c r="BL26" i="51"/>
  <c r="BK26" i="51"/>
  <c r="BJ26" i="51"/>
  <c r="BH26" i="51"/>
  <c r="BG26" i="51"/>
  <c r="BF26" i="51"/>
  <c r="BE26" i="51"/>
  <c r="BD26" i="51"/>
  <c r="BC26" i="51"/>
  <c r="BA26" i="51"/>
  <c r="AZ26" i="51"/>
  <c r="AY26" i="51"/>
  <c r="AW26" i="51"/>
  <c r="CF25" i="51"/>
  <c r="CE25" i="51"/>
  <c r="CD25" i="51"/>
  <c r="CC25" i="51"/>
  <c r="CB25" i="51"/>
  <c r="BZ25" i="51"/>
  <c r="BY25" i="51"/>
  <c r="BX25" i="51"/>
  <c r="BW25" i="51"/>
  <c r="BV25" i="51"/>
  <c r="BU25" i="51"/>
  <c r="BS25" i="51"/>
  <c r="BR25" i="51"/>
  <c r="BQ25" i="51"/>
  <c r="BO25" i="51"/>
  <c r="BM25" i="51"/>
  <c r="BL25" i="51"/>
  <c r="BK25" i="51"/>
  <c r="BJ25" i="51"/>
  <c r="BH25" i="51"/>
  <c r="BG25" i="51"/>
  <c r="BF25" i="51"/>
  <c r="BE25" i="51"/>
  <c r="BD25" i="51"/>
  <c r="BC25" i="51"/>
  <c r="BA25" i="51"/>
  <c r="AZ25" i="51"/>
  <c r="AY25" i="51"/>
  <c r="AW25" i="51"/>
  <c r="CF24" i="51"/>
  <c r="CE24" i="51"/>
  <c r="CD24" i="51"/>
  <c r="CC24" i="51"/>
  <c r="CB24" i="51"/>
  <c r="BZ24" i="51"/>
  <c r="BY24" i="51"/>
  <c r="BX24" i="51"/>
  <c r="BW24" i="51"/>
  <c r="BV24" i="51"/>
  <c r="BU24" i="51"/>
  <c r="BS24" i="51"/>
  <c r="BR24" i="51"/>
  <c r="BQ24" i="51"/>
  <c r="BO24" i="51"/>
  <c r="BM24" i="51"/>
  <c r="BL24" i="51"/>
  <c r="BK24" i="51"/>
  <c r="BJ24" i="51"/>
  <c r="BH24" i="51"/>
  <c r="BG24" i="51"/>
  <c r="BF24" i="51"/>
  <c r="BE24" i="51"/>
  <c r="BD24" i="51"/>
  <c r="BC24" i="51"/>
  <c r="BA24" i="51"/>
  <c r="AZ24" i="51"/>
  <c r="AY24" i="51"/>
  <c r="AW24" i="51"/>
  <c r="CF23" i="51"/>
  <c r="CE23" i="51"/>
  <c r="CD23" i="51"/>
  <c r="CC23" i="51"/>
  <c r="CB23" i="51"/>
  <c r="BZ23" i="51"/>
  <c r="BY23" i="51"/>
  <c r="BX23" i="51"/>
  <c r="BW23" i="51"/>
  <c r="BV23" i="51"/>
  <c r="BU23" i="51"/>
  <c r="BS23" i="51"/>
  <c r="BR23" i="51"/>
  <c r="BQ23" i="51"/>
  <c r="BO23" i="51"/>
  <c r="BM23" i="51"/>
  <c r="BL23" i="51"/>
  <c r="BK23" i="51"/>
  <c r="BJ23" i="51"/>
  <c r="BH23" i="51"/>
  <c r="BG23" i="51"/>
  <c r="BF23" i="51"/>
  <c r="BE23" i="51"/>
  <c r="BD23" i="51"/>
  <c r="BC23" i="51"/>
  <c r="BA23" i="51"/>
  <c r="AZ23" i="51"/>
  <c r="AY23" i="51"/>
  <c r="AW23" i="51"/>
  <c r="CF22" i="51"/>
  <c r="CE22" i="51"/>
  <c r="CD22" i="51"/>
  <c r="CC22" i="51"/>
  <c r="CB22" i="51"/>
  <c r="BZ22" i="51"/>
  <c r="BY22" i="51"/>
  <c r="BX22" i="51"/>
  <c r="BW22" i="51"/>
  <c r="BV22" i="51"/>
  <c r="BU22" i="51"/>
  <c r="BS22" i="51"/>
  <c r="BR22" i="51"/>
  <c r="BQ22" i="51"/>
  <c r="BO22" i="51"/>
  <c r="BM22" i="51"/>
  <c r="BL22" i="51"/>
  <c r="BK22" i="51"/>
  <c r="BJ22" i="51"/>
  <c r="BH22" i="51"/>
  <c r="BG22" i="51"/>
  <c r="BF22" i="51"/>
  <c r="BE22" i="51"/>
  <c r="BD22" i="51"/>
  <c r="BC22" i="51"/>
  <c r="BA22" i="51"/>
  <c r="AZ22" i="51"/>
  <c r="AY22" i="51"/>
  <c r="AW22" i="51"/>
  <c r="CF21" i="51"/>
  <c r="CE21" i="51"/>
  <c r="CD21" i="51"/>
  <c r="CC21" i="51"/>
  <c r="CB21" i="51"/>
  <c r="BZ21" i="51"/>
  <c r="BY21" i="51"/>
  <c r="BX21" i="51"/>
  <c r="BW21" i="51"/>
  <c r="BV21" i="51"/>
  <c r="BU21" i="51"/>
  <c r="BS21" i="51"/>
  <c r="BR21" i="51"/>
  <c r="BQ21" i="51"/>
  <c r="BO21" i="51"/>
  <c r="BM21" i="51"/>
  <c r="BL21" i="51"/>
  <c r="BK21" i="51"/>
  <c r="BJ21" i="51"/>
  <c r="BH21" i="51"/>
  <c r="BG21" i="51"/>
  <c r="BF21" i="51"/>
  <c r="BE21" i="51"/>
  <c r="BD21" i="51"/>
  <c r="BC21" i="51"/>
  <c r="BA21" i="51"/>
  <c r="AZ21" i="51"/>
  <c r="AY21" i="51"/>
  <c r="AW21" i="51"/>
  <c r="CF20" i="51"/>
  <c r="CE20" i="51"/>
  <c r="CD20" i="51"/>
  <c r="CC20" i="51"/>
  <c r="CB20" i="51"/>
  <c r="BZ20" i="51"/>
  <c r="BY20" i="51"/>
  <c r="BX20" i="51"/>
  <c r="BW20" i="51"/>
  <c r="BV20" i="51"/>
  <c r="BU20" i="51"/>
  <c r="BS20" i="51"/>
  <c r="BR20" i="51"/>
  <c r="BQ20" i="51"/>
  <c r="BO20" i="51"/>
  <c r="BM20" i="51"/>
  <c r="BL20" i="51"/>
  <c r="BK20" i="51"/>
  <c r="BJ20" i="51"/>
  <c r="BH20" i="51"/>
  <c r="BG20" i="51"/>
  <c r="BF20" i="51"/>
  <c r="BE20" i="51"/>
  <c r="BD20" i="51"/>
  <c r="BC20" i="51"/>
  <c r="BA20" i="51"/>
  <c r="AZ20" i="51"/>
  <c r="AY20" i="51"/>
  <c r="AW20" i="51"/>
  <c r="CF19" i="51"/>
  <c r="CE19" i="51"/>
  <c r="CD19" i="51"/>
  <c r="CC19" i="51"/>
  <c r="CB19" i="51"/>
  <c r="BZ19" i="51"/>
  <c r="BY19" i="51"/>
  <c r="BX19" i="51"/>
  <c r="BW19" i="51"/>
  <c r="BV19" i="51"/>
  <c r="BU19" i="51"/>
  <c r="BS19" i="51"/>
  <c r="BR19" i="51"/>
  <c r="BQ19" i="51"/>
  <c r="BO19" i="51"/>
  <c r="BM19" i="51"/>
  <c r="BL19" i="51"/>
  <c r="BK19" i="51"/>
  <c r="BJ19" i="51"/>
  <c r="BH19" i="51"/>
  <c r="BG19" i="51"/>
  <c r="BF19" i="51"/>
  <c r="BE19" i="51"/>
  <c r="BD19" i="51"/>
  <c r="BC19" i="51"/>
  <c r="BA19" i="51"/>
  <c r="AZ19" i="51"/>
  <c r="AY19" i="51"/>
  <c r="AW19" i="51"/>
  <c r="CF18" i="51"/>
  <c r="CE18" i="51"/>
  <c r="CD18" i="51"/>
  <c r="CC18" i="51"/>
  <c r="CB18" i="51"/>
  <c r="BZ18" i="51"/>
  <c r="BY18" i="51"/>
  <c r="BX18" i="51"/>
  <c r="BW18" i="51"/>
  <c r="BV18" i="51"/>
  <c r="BU18" i="51"/>
  <c r="BS18" i="51"/>
  <c r="BR18" i="51"/>
  <c r="BQ18" i="51"/>
  <c r="BO18" i="51"/>
  <c r="BM18" i="51"/>
  <c r="BL18" i="51"/>
  <c r="BK18" i="51"/>
  <c r="BJ18" i="51"/>
  <c r="BH18" i="51"/>
  <c r="BG18" i="51"/>
  <c r="BF18" i="51"/>
  <c r="BE18" i="51"/>
  <c r="BD18" i="51"/>
  <c r="BC18" i="51"/>
  <c r="BA18" i="51"/>
  <c r="AZ18" i="51"/>
  <c r="AY18" i="51"/>
  <c r="AW18" i="51"/>
  <c r="CF17" i="51"/>
  <c r="CE17" i="51"/>
  <c r="CD17" i="51"/>
  <c r="CC17" i="51"/>
  <c r="CB17" i="51"/>
  <c r="BZ17" i="51"/>
  <c r="BY17" i="51"/>
  <c r="BX17" i="51"/>
  <c r="BW17" i="51"/>
  <c r="BV17" i="51"/>
  <c r="BU17" i="51"/>
  <c r="BS17" i="51"/>
  <c r="BR17" i="51"/>
  <c r="BQ17" i="51"/>
  <c r="BO17" i="51"/>
  <c r="BM17" i="51"/>
  <c r="BL17" i="51"/>
  <c r="BK17" i="51"/>
  <c r="BJ17" i="51"/>
  <c r="BH17" i="51"/>
  <c r="BG17" i="51"/>
  <c r="BF17" i="51"/>
  <c r="BE17" i="51"/>
  <c r="BD17" i="51"/>
  <c r="BC17" i="51"/>
  <c r="BA17" i="51"/>
  <c r="AZ17" i="51"/>
  <c r="AY17" i="51"/>
  <c r="AW17" i="51"/>
  <c r="CF16" i="51"/>
  <c r="CE16" i="51"/>
  <c r="CD16" i="51"/>
  <c r="CC16" i="51"/>
  <c r="CB16" i="51"/>
  <c r="BZ16" i="51"/>
  <c r="BY16" i="51"/>
  <c r="BX16" i="51"/>
  <c r="BW16" i="51"/>
  <c r="BV16" i="51"/>
  <c r="BU16" i="51"/>
  <c r="BS16" i="51"/>
  <c r="BR16" i="51"/>
  <c r="BQ16" i="51"/>
  <c r="BO16" i="51"/>
  <c r="BM16" i="51"/>
  <c r="BL16" i="51"/>
  <c r="BK16" i="51"/>
  <c r="BJ16" i="51"/>
  <c r="BH16" i="51"/>
  <c r="BG16" i="51"/>
  <c r="BF16" i="51"/>
  <c r="BE16" i="51"/>
  <c r="BD16" i="51"/>
  <c r="BC16" i="51"/>
  <c r="BA16" i="51"/>
  <c r="AZ16" i="51"/>
  <c r="AY16" i="51"/>
  <c r="AW16" i="51"/>
  <c r="CF15" i="51"/>
  <c r="CE15" i="51"/>
  <c r="CD15" i="51"/>
  <c r="CC15" i="51"/>
  <c r="CB15" i="51"/>
  <c r="BZ15" i="51"/>
  <c r="BY15" i="51"/>
  <c r="BX15" i="51"/>
  <c r="BW15" i="51"/>
  <c r="BV15" i="51"/>
  <c r="BU15" i="51"/>
  <c r="BS15" i="51"/>
  <c r="BR15" i="51"/>
  <c r="BQ15" i="51"/>
  <c r="BO15" i="51"/>
  <c r="BM15" i="51"/>
  <c r="BL15" i="51"/>
  <c r="BK15" i="51"/>
  <c r="BJ15" i="51"/>
  <c r="BH15" i="51"/>
  <c r="BG15" i="51"/>
  <c r="BF15" i="51"/>
  <c r="BE15" i="51"/>
  <c r="BD15" i="51"/>
  <c r="BC15" i="51"/>
  <c r="BA15" i="51"/>
  <c r="AZ15" i="51"/>
  <c r="AY15" i="51"/>
  <c r="AW15" i="51"/>
  <c r="CF14" i="51"/>
  <c r="CE14" i="51"/>
  <c r="CD14" i="51"/>
  <c r="CC14" i="51"/>
  <c r="CB14" i="51"/>
  <c r="BZ14" i="51"/>
  <c r="BY14" i="51"/>
  <c r="BX14" i="51"/>
  <c r="BW14" i="51"/>
  <c r="BV14" i="51"/>
  <c r="BU14" i="51"/>
  <c r="BS14" i="51"/>
  <c r="BR14" i="51"/>
  <c r="BQ14" i="51"/>
  <c r="BO14" i="51"/>
  <c r="BM14" i="51"/>
  <c r="BL14" i="51"/>
  <c r="BK14" i="51"/>
  <c r="BJ14" i="51"/>
  <c r="BH14" i="51"/>
  <c r="BG14" i="51"/>
  <c r="BF14" i="51"/>
  <c r="BE14" i="51"/>
  <c r="BD14" i="51"/>
  <c r="BC14" i="51"/>
  <c r="BA14" i="51"/>
  <c r="AZ14" i="51"/>
  <c r="AY14" i="51"/>
  <c r="AW14" i="51"/>
  <c r="CF13" i="51"/>
  <c r="CE13" i="51"/>
  <c r="CD13" i="51"/>
  <c r="CC13" i="51"/>
  <c r="CB13" i="51"/>
  <c r="BZ13" i="51"/>
  <c r="BY13" i="51"/>
  <c r="BX13" i="51"/>
  <c r="BW13" i="51"/>
  <c r="BV13" i="51"/>
  <c r="BU13" i="51"/>
  <c r="BS13" i="51"/>
  <c r="BR13" i="51"/>
  <c r="BQ13" i="51"/>
  <c r="BO13" i="51"/>
  <c r="BM13" i="51"/>
  <c r="BL13" i="51"/>
  <c r="BK13" i="51"/>
  <c r="BJ13" i="51"/>
  <c r="BH13" i="51"/>
  <c r="BG13" i="51"/>
  <c r="BF13" i="51"/>
  <c r="BE13" i="51"/>
  <c r="BD13" i="51"/>
  <c r="BC13" i="51"/>
  <c r="BA13" i="51"/>
  <c r="AZ13" i="51"/>
  <c r="AY13" i="51"/>
  <c r="AW13" i="51"/>
  <c r="CF12" i="51"/>
  <c r="CE12" i="51"/>
  <c r="CD12" i="51"/>
  <c r="CC12" i="51"/>
  <c r="CB12" i="51"/>
  <c r="BZ12" i="51"/>
  <c r="BY12" i="51"/>
  <c r="BX12" i="51"/>
  <c r="BW12" i="51"/>
  <c r="BV12" i="51"/>
  <c r="BU12" i="51"/>
  <c r="BS12" i="51"/>
  <c r="BR12" i="51"/>
  <c r="BQ12" i="51"/>
  <c r="BO12" i="51"/>
  <c r="BM12" i="51"/>
  <c r="BL12" i="51"/>
  <c r="BK12" i="51"/>
  <c r="BJ12" i="51"/>
  <c r="BH12" i="51"/>
  <c r="BG12" i="51"/>
  <c r="BF12" i="51"/>
  <c r="BE12" i="51"/>
  <c r="BD12" i="51"/>
  <c r="BC12" i="51"/>
  <c r="BA12" i="51"/>
  <c r="AZ12" i="51"/>
  <c r="AY12" i="51"/>
  <c r="AW12" i="51"/>
  <c r="CF11" i="51"/>
  <c r="CE11" i="51"/>
  <c r="CD11" i="51"/>
  <c r="CC11" i="51"/>
  <c r="CB11" i="51"/>
  <c r="BZ11" i="51"/>
  <c r="BY11" i="51"/>
  <c r="BX11" i="51"/>
  <c r="BW11" i="51"/>
  <c r="BV11" i="51"/>
  <c r="BU11" i="51"/>
  <c r="BS11" i="51"/>
  <c r="BR11" i="51"/>
  <c r="BQ11" i="51"/>
  <c r="BO11" i="51"/>
  <c r="BM11" i="51"/>
  <c r="BL11" i="51"/>
  <c r="BK11" i="51"/>
  <c r="BJ11" i="51"/>
  <c r="BH11" i="51"/>
  <c r="BG11" i="51"/>
  <c r="BF11" i="51"/>
  <c r="BE11" i="51"/>
  <c r="BD11" i="51"/>
  <c r="BC11" i="51"/>
  <c r="BA11" i="51"/>
  <c r="AZ11" i="51"/>
  <c r="AY11" i="51"/>
  <c r="AW11" i="51"/>
  <c r="CF10" i="51"/>
  <c r="CE10" i="51"/>
  <c r="CD10" i="51"/>
  <c r="CC10" i="51"/>
  <c r="CB10" i="51"/>
  <c r="BZ10" i="51"/>
  <c r="BY10" i="51"/>
  <c r="BX10" i="51"/>
  <c r="BW10" i="51"/>
  <c r="BV10" i="51"/>
  <c r="BU10" i="51"/>
  <c r="BS10" i="51"/>
  <c r="BR10" i="51"/>
  <c r="BQ10" i="51"/>
  <c r="BO10" i="51"/>
  <c r="BM10" i="51"/>
  <c r="BL10" i="51"/>
  <c r="BK10" i="51"/>
  <c r="BJ10" i="51"/>
  <c r="BH10" i="51"/>
  <c r="BG10" i="51"/>
  <c r="BF10" i="51"/>
  <c r="BE10" i="51"/>
  <c r="BD10" i="51"/>
  <c r="BC10" i="51"/>
  <c r="BA10" i="51"/>
  <c r="AZ10" i="51"/>
  <c r="AY10" i="51"/>
  <c r="AW10" i="51"/>
  <c r="CF9" i="51"/>
  <c r="CE9" i="51"/>
  <c r="CD9" i="51"/>
  <c r="CC9" i="51"/>
  <c r="CB9" i="51"/>
  <c r="BZ9" i="51"/>
  <c r="BY9" i="51"/>
  <c r="BX9" i="51"/>
  <c r="BW9" i="51"/>
  <c r="BV9" i="51"/>
  <c r="BU9" i="51"/>
  <c r="BS9" i="51"/>
  <c r="BR9" i="51"/>
  <c r="BQ9" i="51"/>
  <c r="BO9" i="51"/>
  <c r="BM9" i="51"/>
  <c r="BL9" i="51"/>
  <c r="BK9" i="51"/>
  <c r="BJ9" i="51"/>
  <c r="BH9" i="51"/>
  <c r="BG9" i="51"/>
  <c r="BF9" i="51"/>
  <c r="BE9" i="51"/>
  <c r="BD9" i="51"/>
  <c r="BC9" i="51"/>
  <c r="BA9" i="51"/>
  <c r="AZ9" i="51"/>
  <c r="AY9" i="51"/>
  <c r="AW9" i="51"/>
  <c r="CF8" i="51"/>
  <c r="CE8" i="51"/>
  <c r="CD8" i="51"/>
  <c r="CC8" i="51"/>
  <c r="CB8" i="51"/>
  <c r="BZ8" i="51"/>
  <c r="BY8" i="51"/>
  <c r="BX8" i="51"/>
  <c r="BW8" i="51"/>
  <c r="BV8" i="51"/>
  <c r="BU8" i="51"/>
  <c r="BS8" i="51"/>
  <c r="BR8" i="51"/>
  <c r="BQ8" i="51"/>
  <c r="BO8" i="51"/>
  <c r="BM8" i="51"/>
  <c r="BL8" i="51"/>
  <c r="BK8" i="51"/>
  <c r="BJ8" i="51"/>
  <c r="BH8" i="51"/>
  <c r="BG8" i="51"/>
  <c r="BF8" i="51"/>
  <c r="BE8" i="51"/>
  <c r="BD8" i="51"/>
  <c r="BC8" i="51"/>
  <c r="BA8" i="51"/>
  <c r="AZ8" i="51"/>
  <c r="AY8" i="51"/>
  <c r="AW8" i="51"/>
  <c r="CF7" i="51"/>
  <c r="CE7" i="51"/>
  <c r="CD7" i="51"/>
  <c r="CC7" i="51"/>
  <c r="CB7" i="51"/>
  <c r="BZ7" i="51"/>
  <c r="BY7" i="51"/>
  <c r="BX7" i="51"/>
  <c r="BW7" i="51"/>
  <c r="BV7" i="51"/>
  <c r="BU7" i="51"/>
  <c r="BS7" i="51"/>
  <c r="BR7" i="51"/>
  <c r="BQ7" i="51"/>
  <c r="BO7" i="51"/>
  <c r="BM7" i="51"/>
  <c r="BL7" i="51"/>
  <c r="BK7" i="51"/>
  <c r="BJ7" i="51"/>
  <c r="BH7" i="51"/>
  <c r="BG7" i="51"/>
  <c r="BF7" i="51"/>
  <c r="BE7" i="51"/>
  <c r="BD7" i="51"/>
  <c r="BC7" i="51"/>
  <c r="BA7" i="51"/>
  <c r="AZ7" i="51"/>
  <c r="AY7" i="51"/>
  <c r="AW7" i="51"/>
  <c r="CF6" i="51"/>
  <c r="CE6" i="51"/>
  <c r="CD6" i="51"/>
  <c r="CC6" i="51"/>
  <c r="CB6" i="51"/>
  <c r="BZ6" i="51"/>
  <c r="BY6" i="51"/>
  <c r="BX6" i="51"/>
  <c r="BW6" i="51"/>
  <c r="BV6" i="51"/>
  <c r="BU6" i="51"/>
  <c r="BS6" i="51"/>
  <c r="BR6" i="51"/>
  <c r="BQ6" i="51"/>
  <c r="BO6" i="51"/>
  <c r="BM6" i="51"/>
  <c r="BL6" i="51"/>
  <c r="BK6" i="51"/>
  <c r="BJ6" i="51"/>
  <c r="BH6" i="51"/>
  <c r="BG6" i="51"/>
  <c r="BF6" i="51"/>
  <c r="BE6" i="51"/>
  <c r="BD6" i="51"/>
  <c r="BC6" i="51"/>
  <c r="BA6" i="51"/>
  <c r="AZ6" i="51"/>
  <c r="AY6" i="51"/>
  <c r="AW6" i="51"/>
  <c r="CF5" i="51"/>
  <c r="CE5" i="51"/>
  <c r="CD5" i="51"/>
  <c r="CC5" i="51"/>
  <c r="CB5" i="51"/>
  <c r="BZ5" i="51"/>
  <c r="BY5" i="51"/>
  <c r="BX5" i="51"/>
  <c r="BW5" i="51"/>
  <c r="BV5" i="51"/>
  <c r="BU5" i="51"/>
  <c r="BS5" i="51"/>
  <c r="BR5" i="51"/>
  <c r="BQ5" i="51"/>
  <c r="BO5" i="51"/>
  <c r="BM5" i="51"/>
  <c r="BL5" i="51"/>
  <c r="BK5" i="51"/>
  <c r="BJ5" i="51"/>
  <c r="BH5" i="51"/>
  <c r="BG5" i="51"/>
  <c r="BF5" i="51"/>
  <c r="BE5" i="51"/>
  <c r="BD5" i="51"/>
  <c r="BC5" i="51"/>
  <c r="BA5" i="51"/>
  <c r="AZ5" i="51"/>
  <c r="AY5" i="51"/>
  <c r="AW5" i="51"/>
  <c r="CF4" i="51"/>
  <c r="CE4" i="51"/>
  <c r="CD4" i="51"/>
  <c r="CC4" i="51"/>
  <c r="CB4" i="51"/>
  <c r="BZ4" i="51"/>
  <c r="BY4" i="51"/>
  <c r="BX4" i="51"/>
  <c r="BW4" i="51"/>
  <c r="BV4" i="51"/>
  <c r="BU4" i="51"/>
  <c r="BS4" i="51"/>
  <c r="BR4" i="51"/>
  <c r="BQ4" i="51"/>
  <c r="BO4" i="51"/>
  <c r="BM4" i="51"/>
  <c r="BL4" i="51"/>
  <c r="BK4" i="51"/>
  <c r="BJ4" i="51"/>
  <c r="BH4" i="51"/>
  <c r="BG4" i="51"/>
  <c r="BF4" i="51"/>
  <c r="BE4" i="51"/>
  <c r="BD4" i="51"/>
  <c r="BC4" i="51"/>
  <c r="BA4" i="51"/>
  <c r="AZ4" i="51"/>
  <c r="AY4" i="51"/>
  <c r="AW4" i="51"/>
  <c r="A4" i="51"/>
  <c r="B4" i="51" s="1"/>
  <c r="AV33" i="62"/>
  <c r="AU33" i="62"/>
  <c r="AT33" i="62"/>
  <c r="AS33" i="62"/>
  <c r="AR33" i="62"/>
  <c r="AQ33" i="62"/>
  <c r="AP33" i="62"/>
  <c r="AO33" i="62"/>
  <c r="AN33" i="62"/>
  <c r="AM33" i="62"/>
  <c r="BY33" i="62" s="1"/>
  <c r="AL33" i="62"/>
  <c r="AK33" i="62"/>
  <c r="AJ33" i="62"/>
  <c r="AI33" i="62"/>
  <c r="BO33" i="62" s="1"/>
  <c r="AH33" i="62"/>
  <c r="AG33" i="62"/>
  <c r="AF33" i="62"/>
  <c r="AE33" i="62"/>
  <c r="AD33" i="62"/>
  <c r="AC33" i="62"/>
  <c r="AB33" i="62"/>
  <c r="AA33" i="62"/>
  <c r="Z33" i="62"/>
  <c r="Y33" i="62"/>
  <c r="X33" i="62"/>
  <c r="W33" i="62"/>
  <c r="V33" i="62"/>
  <c r="U33" i="62"/>
  <c r="T33" i="62"/>
  <c r="S33" i="62"/>
  <c r="R33" i="62"/>
  <c r="Q33" i="62"/>
  <c r="P33" i="62"/>
  <c r="O33" i="62"/>
  <c r="N33" i="62"/>
  <c r="M33" i="62"/>
  <c r="L33" i="62"/>
  <c r="K33" i="62"/>
  <c r="J33" i="62"/>
  <c r="I33" i="62"/>
  <c r="BE33" i="62" s="1"/>
  <c r="H33" i="62"/>
  <c r="G33" i="62"/>
  <c r="BG33" i="62" s="1"/>
  <c r="F33" i="62"/>
  <c r="E33" i="62"/>
  <c r="BJ33" i="62" s="1"/>
  <c r="D33" i="62"/>
  <c r="C33" i="62"/>
  <c r="AV32" i="62"/>
  <c r="AU32" i="62"/>
  <c r="AT32" i="62"/>
  <c r="AS32" i="62"/>
  <c r="AR32" i="62"/>
  <c r="AQ32" i="62"/>
  <c r="AP32" i="62"/>
  <c r="AO32" i="62"/>
  <c r="AN32" i="62"/>
  <c r="AM32" i="62"/>
  <c r="BX32" i="62" s="1"/>
  <c r="AL32" i="62"/>
  <c r="AK32" i="62"/>
  <c r="AJ32" i="62"/>
  <c r="AI32" i="62"/>
  <c r="BQ32" i="62" s="1"/>
  <c r="AH32" i="62"/>
  <c r="AG32" i="62"/>
  <c r="AF32" i="62"/>
  <c r="AE32" i="62"/>
  <c r="AD32" i="62"/>
  <c r="AC32" i="62"/>
  <c r="AB32" i="62"/>
  <c r="AA32" i="62"/>
  <c r="Z32" i="62"/>
  <c r="Y32" i="62"/>
  <c r="X32" i="62"/>
  <c r="W32" i="62"/>
  <c r="V32" i="62"/>
  <c r="U32" i="62"/>
  <c r="T32" i="62"/>
  <c r="S32" i="62"/>
  <c r="R32" i="62"/>
  <c r="Q32" i="62"/>
  <c r="P32" i="62"/>
  <c r="O32" i="62"/>
  <c r="N32" i="62"/>
  <c r="M32" i="62"/>
  <c r="L32" i="62"/>
  <c r="K32" i="62"/>
  <c r="J32" i="62"/>
  <c r="I32" i="62"/>
  <c r="BE32" i="62" s="1"/>
  <c r="H32" i="62"/>
  <c r="G32" i="62"/>
  <c r="BD32" i="62" s="1"/>
  <c r="F32" i="62"/>
  <c r="E32" i="62"/>
  <c r="BM32" i="62" s="1"/>
  <c r="D32" i="62"/>
  <c r="C32" i="62"/>
  <c r="CF31" i="62"/>
  <c r="CE31" i="62"/>
  <c r="CD31" i="62"/>
  <c r="CC31" i="62"/>
  <c r="CB31" i="62"/>
  <c r="BZ31" i="62"/>
  <c r="BY31" i="62"/>
  <c r="BX31" i="62"/>
  <c r="BW31" i="62"/>
  <c r="BV31" i="62"/>
  <c r="BU31" i="62"/>
  <c r="BS31" i="62"/>
  <c r="BR31" i="62"/>
  <c r="BQ31" i="62"/>
  <c r="BO31" i="62"/>
  <c r="BM31" i="62"/>
  <c r="BL31" i="62"/>
  <c r="BK31" i="62"/>
  <c r="BJ31" i="62"/>
  <c r="BH31" i="62"/>
  <c r="BG31" i="62"/>
  <c r="BF31" i="62"/>
  <c r="BE31" i="62"/>
  <c r="BD31" i="62"/>
  <c r="BC31" i="62"/>
  <c r="BA31" i="62"/>
  <c r="AZ31" i="62"/>
  <c r="AY31" i="62"/>
  <c r="AW31" i="62"/>
  <c r="CF30" i="62"/>
  <c r="CE30" i="62"/>
  <c r="CD30" i="62"/>
  <c r="CC30" i="62"/>
  <c r="CB30" i="62"/>
  <c r="BZ30" i="62"/>
  <c r="BY30" i="62"/>
  <c r="BX30" i="62"/>
  <c r="BW30" i="62"/>
  <c r="BV30" i="62"/>
  <c r="BU30" i="62"/>
  <c r="BS30" i="62"/>
  <c r="BR30" i="62"/>
  <c r="BQ30" i="62"/>
  <c r="BO30" i="62"/>
  <c r="BM30" i="62"/>
  <c r="BL30" i="62"/>
  <c r="BK30" i="62"/>
  <c r="BJ30" i="62"/>
  <c r="BH30" i="62"/>
  <c r="BG30" i="62"/>
  <c r="BF30" i="62"/>
  <c r="BE30" i="62"/>
  <c r="BD30" i="62"/>
  <c r="BC30" i="62"/>
  <c r="BA30" i="62"/>
  <c r="AZ30" i="62"/>
  <c r="AY30" i="62"/>
  <c r="AW30" i="62"/>
  <c r="CF29" i="62"/>
  <c r="CE29" i="62"/>
  <c r="CD29" i="62"/>
  <c r="CC29" i="62"/>
  <c r="CB29" i="62"/>
  <c r="BZ29" i="62"/>
  <c r="BY29" i="62"/>
  <c r="BX29" i="62"/>
  <c r="BW29" i="62"/>
  <c r="BV29" i="62"/>
  <c r="BU29" i="62"/>
  <c r="BS29" i="62"/>
  <c r="BR29" i="62"/>
  <c r="BQ29" i="62"/>
  <c r="BO29" i="62"/>
  <c r="BM29" i="62"/>
  <c r="BL29" i="62"/>
  <c r="BK29" i="62"/>
  <c r="BJ29" i="62"/>
  <c r="BH29" i="62"/>
  <c r="BG29" i="62"/>
  <c r="BF29" i="62"/>
  <c r="BE29" i="62"/>
  <c r="BD29" i="62"/>
  <c r="BC29" i="62"/>
  <c r="BA29" i="62"/>
  <c r="AZ29" i="62"/>
  <c r="AY29" i="62"/>
  <c r="AW29" i="62"/>
  <c r="CF28" i="62"/>
  <c r="CE28" i="62"/>
  <c r="CD28" i="62"/>
  <c r="CC28" i="62"/>
  <c r="CB28" i="62"/>
  <c r="BZ28" i="62"/>
  <c r="BY28" i="62"/>
  <c r="BX28" i="62"/>
  <c r="BW28" i="62"/>
  <c r="BV28" i="62"/>
  <c r="BU28" i="62"/>
  <c r="BS28" i="62"/>
  <c r="BR28" i="62"/>
  <c r="BQ28" i="62"/>
  <c r="BO28" i="62"/>
  <c r="BM28" i="62"/>
  <c r="BL28" i="62"/>
  <c r="BK28" i="62"/>
  <c r="BJ28" i="62"/>
  <c r="BH28" i="62"/>
  <c r="BG28" i="62"/>
  <c r="BF28" i="62"/>
  <c r="BE28" i="62"/>
  <c r="BD28" i="62"/>
  <c r="BC28" i="62"/>
  <c r="BA28" i="62"/>
  <c r="AZ28" i="62"/>
  <c r="AY28" i="62"/>
  <c r="AW28" i="62"/>
  <c r="CF27" i="62"/>
  <c r="CE27" i="62"/>
  <c r="CD27" i="62"/>
  <c r="CC27" i="62"/>
  <c r="CB27" i="62"/>
  <c r="BZ27" i="62"/>
  <c r="BY27" i="62"/>
  <c r="BX27" i="62"/>
  <c r="BW27" i="62"/>
  <c r="BV27" i="62"/>
  <c r="BU27" i="62"/>
  <c r="BS27" i="62"/>
  <c r="BR27" i="62"/>
  <c r="BQ27" i="62"/>
  <c r="BO27" i="62"/>
  <c r="BM27" i="62"/>
  <c r="BL27" i="62"/>
  <c r="BK27" i="62"/>
  <c r="BJ27" i="62"/>
  <c r="BH27" i="62"/>
  <c r="BG27" i="62"/>
  <c r="BF27" i="62"/>
  <c r="BE27" i="62"/>
  <c r="BD27" i="62"/>
  <c r="BC27" i="62"/>
  <c r="BA27" i="62"/>
  <c r="AZ27" i="62"/>
  <c r="AY27" i="62"/>
  <c r="AW27" i="62"/>
  <c r="CF26" i="62"/>
  <c r="CE26" i="62"/>
  <c r="CD26" i="62"/>
  <c r="CC26" i="62"/>
  <c r="CB26" i="62"/>
  <c r="BZ26" i="62"/>
  <c r="BY26" i="62"/>
  <c r="BX26" i="62"/>
  <c r="BW26" i="62"/>
  <c r="BV26" i="62"/>
  <c r="BU26" i="62"/>
  <c r="BS26" i="62"/>
  <c r="BR26" i="62"/>
  <c r="BQ26" i="62"/>
  <c r="BO26" i="62"/>
  <c r="BM26" i="62"/>
  <c r="BL26" i="62"/>
  <c r="BK26" i="62"/>
  <c r="BJ26" i="62"/>
  <c r="BH26" i="62"/>
  <c r="BG26" i="62"/>
  <c r="BF26" i="62"/>
  <c r="BE26" i="62"/>
  <c r="BD26" i="62"/>
  <c r="BC26" i="62"/>
  <c r="BA26" i="62"/>
  <c r="AZ26" i="62"/>
  <c r="AY26" i="62"/>
  <c r="AW26" i="62"/>
  <c r="CF25" i="62"/>
  <c r="CE25" i="62"/>
  <c r="CD25" i="62"/>
  <c r="CC25" i="62"/>
  <c r="CB25" i="62"/>
  <c r="BZ25" i="62"/>
  <c r="BY25" i="62"/>
  <c r="BX25" i="62"/>
  <c r="BW25" i="62"/>
  <c r="BV25" i="62"/>
  <c r="BU25" i="62"/>
  <c r="BS25" i="62"/>
  <c r="BR25" i="62"/>
  <c r="BQ25" i="62"/>
  <c r="BO25" i="62"/>
  <c r="BM25" i="62"/>
  <c r="BL25" i="62"/>
  <c r="BK25" i="62"/>
  <c r="BJ25" i="62"/>
  <c r="BH25" i="62"/>
  <c r="BG25" i="62"/>
  <c r="BF25" i="62"/>
  <c r="BE25" i="62"/>
  <c r="BD25" i="62"/>
  <c r="BC25" i="62"/>
  <c r="BA25" i="62"/>
  <c r="AZ25" i="62"/>
  <c r="AY25" i="62"/>
  <c r="AW25" i="62"/>
  <c r="CF24" i="62"/>
  <c r="CE24" i="62"/>
  <c r="CD24" i="62"/>
  <c r="CC24" i="62"/>
  <c r="CB24" i="62"/>
  <c r="BZ24" i="62"/>
  <c r="BY24" i="62"/>
  <c r="BX24" i="62"/>
  <c r="BW24" i="62"/>
  <c r="BV24" i="62"/>
  <c r="BU24" i="62"/>
  <c r="BS24" i="62"/>
  <c r="BR24" i="62"/>
  <c r="BQ24" i="62"/>
  <c r="BO24" i="62"/>
  <c r="BM24" i="62"/>
  <c r="BL24" i="62"/>
  <c r="BK24" i="62"/>
  <c r="BJ24" i="62"/>
  <c r="BH24" i="62"/>
  <c r="BG24" i="62"/>
  <c r="BF24" i="62"/>
  <c r="BE24" i="62"/>
  <c r="BD24" i="62"/>
  <c r="BC24" i="62"/>
  <c r="BA24" i="62"/>
  <c r="AZ24" i="62"/>
  <c r="AY24" i="62"/>
  <c r="AW24" i="62"/>
  <c r="CF23" i="62"/>
  <c r="CE23" i="62"/>
  <c r="CD23" i="62"/>
  <c r="CC23" i="62"/>
  <c r="CB23" i="62"/>
  <c r="BZ23" i="62"/>
  <c r="BY23" i="62"/>
  <c r="BX23" i="62"/>
  <c r="BW23" i="62"/>
  <c r="BV23" i="62"/>
  <c r="BU23" i="62"/>
  <c r="BS23" i="62"/>
  <c r="BR23" i="62"/>
  <c r="BQ23" i="62"/>
  <c r="BO23" i="62"/>
  <c r="BM23" i="62"/>
  <c r="BL23" i="62"/>
  <c r="BK23" i="62"/>
  <c r="BJ23" i="62"/>
  <c r="BH23" i="62"/>
  <c r="BG23" i="62"/>
  <c r="BF23" i="62"/>
  <c r="BE23" i="62"/>
  <c r="BD23" i="62"/>
  <c r="BC23" i="62"/>
  <c r="BA23" i="62"/>
  <c r="AZ23" i="62"/>
  <c r="AY23" i="62"/>
  <c r="AW23" i="62"/>
  <c r="CF22" i="62"/>
  <c r="CE22" i="62"/>
  <c r="CD22" i="62"/>
  <c r="CC22" i="62"/>
  <c r="CB22" i="62"/>
  <c r="BZ22" i="62"/>
  <c r="BY22" i="62"/>
  <c r="BX22" i="62"/>
  <c r="BW22" i="62"/>
  <c r="BV22" i="62"/>
  <c r="BU22" i="62"/>
  <c r="BS22" i="62"/>
  <c r="BR22" i="62"/>
  <c r="BQ22" i="62"/>
  <c r="BO22" i="62"/>
  <c r="BM22" i="62"/>
  <c r="BL22" i="62"/>
  <c r="BK22" i="62"/>
  <c r="BJ22" i="62"/>
  <c r="BH22" i="62"/>
  <c r="BG22" i="62"/>
  <c r="BF22" i="62"/>
  <c r="BE22" i="62"/>
  <c r="BD22" i="62"/>
  <c r="BC22" i="62"/>
  <c r="BA22" i="62"/>
  <c r="AZ22" i="62"/>
  <c r="AY22" i="62"/>
  <c r="AW22" i="62"/>
  <c r="CF21" i="62"/>
  <c r="CE21" i="62"/>
  <c r="CD21" i="62"/>
  <c r="CC21" i="62"/>
  <c r="CB21" i="62"/>
  <c r="BZ21" i="62"/>
  <c r="BY21" i="62"/>
  <c r="BX21" i="62"/>
  <c r="BW21" i="62"/>
  <c r="BV21" i="62"/>
  <c r="BU21" i="62"/>
  <c r="BS21" i="62"/>
  <c r="BR21" i="62"/>
  <c r="BQ21" i="62"/>
  <c r="BO21" i="62"/>
  <c r="BM21" i="62"/>
  <c r="BL21" i="62"/>
  <c r="BK21" i="62"/>
  <c r="BJ21" i="62"/>
  <c r="BH21" i="62"/>
  <c r="BG21" i="62"/>
  <c r="BF21" i="62"/>
  <c r="BE21" i="62"/>
  <c r="BD21" i="62"/>
  <c r="BC21" i="62"/>
  <c r="BA21" i="62"/>
  <c r="AZ21" i="62"/>
  <c r="AY21" i="62"/>
  <c r="AW21" i="62"/>
  <c r="CF20" i="62"/>
  <c r="CE20" i="62"/>
  <c r="CD20" i="62"/>
  <c r="CC20" i="62"/>
  <c r="CB20" i="62"/>
  <c r="BZ20" i="62"/>
  <c r="BY20" i="62"/>
  <c r="BX20" i="62"/>
  <c r="BW20" i="62"/>
  <c r="BV20" i="62"/>
  <c r="BU20" i="62"/>
  <c r="BS20" i="62"/>
  <c r="BR20" i="62"/>
  <c r="BQ20" i="62"/>
  <c r="BO20" i="62"/>
  <c r="BM20" i="62"/>
  <c r="BL20" i="62"/>
  <c r="BK20" i="62"/>
  <c r="BJ20" i="62"/>
  <c r="BH20" i="62"/>
  <c r="BG20" i="62"/>
  <c r="BF20" i="62"/>
  <c r="BE20" i="62"/>
  <c r="BD20" i="62"/>
  <c r="BC20" i="62"/>
  <c r="BA20" i="62"/>
  <c r="AZ20" i="62"/>
  <c r="AY20" i="62"/>
  <c r="AW20" i="62"/>
  <c r="CF19" i="62"/>
  <c r="CE19" i="62"/>
  <c r="CD19" i="62"/>
  <c r="CC19" i="62"/>
  <c r="CB19" i="62"/>
  <c r="BZ19" i="62"/>
  <c r="BY19" i="62"/>
  <c r="BX19" i="62"/>
  <c r="BW19" i="62"/>
  <c r="BV19" i="62"/>
  <c r="BU19" i="62"/>
  <c r="BS19" i="62"/>
  <c r="BR19" i="62"/>
  <c r="BQ19" i="62"/>
  <c r="BO19" i="62"/>
  <c r="BM19" i="62"/>
  <c r="BL19" i="62"/>
  <c r="BK19" i="62"/>
  <c r="BJ19" i="62"/>
  <c r="BH19" i="62"/>
  <c r="BG19" i="62"/>
  <c r="BF19" i="62"/>
  <c r="BE19" i="62"/>
  <c r="BD19" i="62"/>
  <c r="BC19" i="62"/>
  <c r="BA19" i="62"/>
  <c r="AZ19" i="62"/>
  <c r="AY19" i="62"/>
  <c r="AW19" i="62"/>
  <c r="CF18" i="62"/>
  <c r="CE18" i="62"/>
  <c r="CD18" i="62"/>
  <c r="CC18" i="62"/>
  <c r="CB18" i="62"/>
  <c r="BZ18" i="62"/>
  <c r="BY18" i="62"/>
  <c r="BX18" i="62"/>
  <c r="BW18" i="62"/>
  <c r="BV18" i="62"/>
  <c r="BU18" i="62"/>
  <c r="BS18" i="62"/>
  <c r="BR18" i="62"/>
  <c r="BQ18" i="62"/>
  <c r="BO18" i="62"/>
  <c r="BM18" i="62"/>
  <c r="BL18" i="62"/>
  <c r="BK18" i="62"/>
  <c r="BJ18" i="62"/>
  <c r="BH18" i="62"/>
  <c r="BG18" i="62"/>
  <c r="BF18" i="62"/>
  <c r="BE18" i="62"/>
  <c r="BD18" i="62"/>
  <c r="BC18" i="62"/>
  <c r="BA18" i="62"/>
  <c r="AZ18" i="62"/>
  <c r="AY18" i="62"/>
  <c r="AW18" i="62"/>
  <c r="CF17" i="62"/>
  <c r="CE17" i="62"/>
  <c r="CD17" i="62"/>
  <c r="CC17" i="62"/>
  <c r="CB17" i="62"/>
  <c r="BZ17" i="62"/>
  <c r="BY17" i="62"/>
  <c r="BX17" i="62"/>
  <c r="BW17" i="62"/>
  <c r="BV17" i="62"/>
  <c r="BU17" i="62"/>
  <c r="BS17" i="62"/>
  <c r="BR17" i="62"/>
  <c r="BQ17" i="62"/>
  <c r="BO17" i="62"/>
  <c r="BM17" i="62"/>
  <c r="BL17" i="62"/>
  <c r="BK17" i="62"/>
  <c r="BJ17" i="62"/>
  <c r="BH17" i="62"/>
  <c r="BG17" i="62"/>
  <c r="BF17" i="62"/>
  <c r="BE17" i="62"/>
  <c r="BD17" i="62"/>
  <c r="BC17" i="62"/>
  <c r="BA17" i="62"/>
  <c r="AZ17" i="62"/>
  <c r="AY17" i="62"/>
  <c r="AW17" i="62"/>
  <c r="CF16" i="62"/>
  <c r="CE16" i="62"/>
  <c r="CD16" i="62"/>
  <c r="CC16" i="62"/>
  <c r="CB16" i="62"/>
  <c r="BZ16" i="62"/>
  <c r="BY16" i="62"/>
  <c r="BX16" i="62"/>
  <c r="BW16" i="62"/>
  <c r="BV16" i="62"/>
  <c r="BU16" i="62"/>
  <c r="BS16" i="62"/>
  <c r="BR16" i="62"/>
  <c r="BQ16" i="62"/>
  <c r="BO16" i="62"/>
  <c r="BM16" i="62"/>
  <c r="BL16" i="62"/>
  <c r="BK16" i="62"/>
  <c r="BJ16" i="62"/>
  <c r="BH16" i="62"/>
  <c r="BG16" i="62"/>
  <c r="BF16" i="62"/>
  <c r="BE16" i="62"/>
  <c r="BD16" i="62"/>
  <c r="BC16" i="62"/>
  <c r="BA16" i="62"/>
  <c r="AZ16" i="62"/>
  <c r="AY16" i="62"/>
  <c r="AW16" i="62"/>
  <c r="CF15" i="62"/>
  <c r="CE15" i="62"/>
  <c r="CD15" i="62"/>
  <c r="CC15" i="62"/>
  <c r="CB15" i="62"/>
  <c r="BZ15" i="62"/>
  <c r="BY15" i="62"/>
  <c r="BX15" i="62"/>
  <c r="BW15" i="62"/>
  <c r="BV15" i="62"/>
  <c r="BU15" i="62"/>
  <c r="BS15" i="62"/>
  <c r="BR15" i="62"/>
  <c r="BQ15" i="62"/>
  <c r="BO15" i="62"/>
  <c r="BM15" i="62"/>
  <c r="BL15" i="62"/>
  <c r="BK15" i="62"/>
  <c r="BJ15" i="62"/>
  <c r="BH15" i="62"/>
  <c r="BG15" i="62"/>
  <c r="BF15" i="62"/>
  <c r="BE15" i="62"/>
  <c r="BD15" i="62"/>
  <c r="BC15" i="62"/>
  <c r="BA15" i="62"/>
  <c r="AZ15" i="62"/>
  <c r="AY15" i="62"/>
  <c r="AW15" i="62"/>
  <c r="CF14" i="62"/>
  <c r="CE14" i="62"/>
  <c r="CD14" i="62"/>
  <c r="CC14" i="62"/>
  <c r="CB14" i="62"/>
  <c r="BZ14" i="62"/>
  <c r="BY14" i="62"/>
  <c r="BX14" i="62"/>
  <c r="BW14" i="62"/>
  <c r="BV14" i="62"/>
  <c r="BU14" i="62"/>
  <c r="BS14" i="62"/>
  <c r="BR14" i="62"/>
  <c r="BQ14" i="62"/>
  <c r="BO14" i="62"/>
  <c r="BM14" i="62"/>
  <c r="BL14" i="62"/>
  <c r="BK14" i="62"/>
  <c r="BJ14" i="62"/>
  <c r="BH14" i="62"/>
  <c r="BG14" i="62"/>
  <c r="BF14" i="62"/>
  <c r="BE14" i="62"/>
  <c r="BD14" i="62"/>
  <c r="BC14" i="62"/>
  <c r="BA14" i="62"/>
  <c r="AZ14" i="62"/>
  <c r="AY14" i="62"/>
  <c r="AW14" i="62"/>
  <c r="CF13" i="62"/>
  <c r="CE13" i="62"/>
  <c r="CD13" i="62"/>
  <c r="CC13" i="62"/>
  <c r="CB13" i="62"/>
  <c r="BZ13" i="62"/>
  <c r="BY13" i="62"/>
  <c r="BX13" i="62"/>
  <c r="BW13" i="62"/>
  <c r="BV13" i="62"/>
  <c r="BU13" i="62"/>
  <c r="BS13" i="62"/>
  <c r="BR13" i="62"/>
  <c r="BQ13" i="62"/>
  <c r="BO13" i="62"/>
  <c r="BM13" i="62"/>
  <c r="BL13" i="62"/>
  <c r="BK13" i="62"/>
  <c r="BJ13" i="62"/>
  <c r="BH13" i="62"/>
  <c r="BG13" i="62"/>
  <c r="BF13" i="62"/>
  <c r="BE13" i="62"/>
  <c r="BD13" i="62"/>
  <c r="BC13" i="62"/>
  <c r="BA13" i="62"/>
  <c r="AZ13" i="62"/>
  <c r="AY13" i="62"/>
  <c r="AW13" i="62"/>
  <c r="CF12" i="62"/>
  <c r="CE12" i="62"/>
  <c r="CD12" i="62"/>
  <c r="CC12" i="62"/>
  <c r="CB12" i="62"/>
  <c r="BZ12" i="62"/>
  <c r="BY12" i="62"/>
  <c r="BX12" i="62"/>
  <c r="BW12" i="62"/>
  <c r="BV12" i="62"/>
  <c r="BU12" i="62"/>
  <c r="BS12" i="62"/>
  <c r="BR12" i="62"/>
  <c r="BQ12" i="62"/>
  <c r="BO12" i="62"/>
  <c r="BM12" i="62"/>
  <c r="BL12" i="62"/>
  <c r="BK12" i="62"/>
  <c r="BJ12" i="62"/>
  <c r="BH12" i="62"/>
  <c r="BG12" i="62"/>
  <c r="BF12" i="62"/>
  <c r="BE12" i="62"/>
  <c r="BD12" i="62"/>
  <c r="BC12" i="62"/>
  <c r="BA12" i="62"/>
  <c r="AZ12" i="62"/>
  <c r="AY12" i="62"/>
  <c r="AW12" i="62"/>
  <c r="CF11" i="62"/>
  <c r="CE11" i="62"/>
  <c r="CD11" i="62"/>
  <c r="CC11" i="62"/>
  <c r="CB11" i="62"/>
  <c r="BZ11" i="62"/>
  <c r="BY11" i="62"/>
  <c r="BX11" i="62"/>
  <c r="BW11" i="62"/>
  <c r="BV11" i="62"/>
  <c r="BU11" i="62"/>
  <c r="BS11" i="62"/>
  <c r="BR11" i="62"/>
  <c r="BQ11" i="62"/>
  <c r="BO11" i="62"/>
  <c r="BM11" i="62"/>
  <c r="BL11" i="62"/>
  <c r="BK11" i="62"/>
  <c r="BJ11" i="62"/>
  <c r="BH11" i="62"/>
  <c r="BG11" i="62"/>
  <c r="BF11" i="62"/>
  <c r="BE11" i="62"/>
  <c r="BD11" i="62"/>
  <c r="BC11" i="62"/>
  <c r="BA11" i="62"/>
  <c r="AZ11" i="62"/>
  <c r="AY11" i="62"/>
  <c r="AW11" i="62"/>
  <c r="CF10" i="62"/>
  <c r="CE10" i="62"/>
  <c r="CD10" i="62"/>
  <c r="CC10" i="62"/>
  <c r="CB10" i="62"/>
  <c r="BZ10" i="62"/>
  <c r="BY10" i="62"/>
  <c r="BX10" i="62"/>
  <c r="BW10" i="62"/>
  <c r="BV10" i="62"/>
  <c r="BU10" i="62"/>
  <c r="BS10" i="62"/>
  <c r="BR10" i="62"/>
  <c r="BQ10" i="62"/>
  <c r="BO10" i="62"/>
  <c r="BM10" i="62"/>
  <c r="BL10" i="62"/>
  <c r="BK10" i="62"/>
  <c r="BJ10" i="62"/>
  <c r="BH10" i="62"/>
  <c r="BG10" i="62"/>
  <c r="BF10" i="62"/>
  <c r="BE10" i="62"/>
  <c r="BD10" i="62"/>
  <c r="BC10" i="62"/>
  <c r="BA10" i="62"/>
  <c r="AZ10" i="62"/>
  <c r="AY10" i="62"/>
  <c r="AW10" i="62"/>
  <c r="CF9" i="62"/>
  <c r="CE9" i="62"/>
  <c r="CD9" i="62"/>
  <c r="CC9" i="62"/>
  <c r="CB9" i="62"/>
  <c r="BZ9" i="62"/>
  <c r="BY9" i="62"/>
  <c r="BX9" i="62"/>
  <c r="BW9" i="62"/>
  <c r="BV9" i="62"/>
  <c r="BU9" i="62"/>
  <c r="BS9" i="62"/>
  <c r="BR9" i="62"/>
  <c r="BQ9" i="62"/>
  <c r="BO9" i="62"/>
  <c r="BM9" i="62"/>
  <c r="BL9" i="62"/>
  <c r="BK9" i="62"/>
  <c r="BJ9" i="62"/>
  <c r="BH9" i="62"/>
  <c r="BG9" i="62"/>
  <c r="BF9" i="62"/>
  <c r="BE9" i="62"/>
  <c r="BD9" i="62"/>
  <c r="BC9" i="62"/>
  <c r="BA9" i="62"/>
  <c r="AZ9" i="62"/>
  <c r="AY9" i="62"/>
  <c r="AW9" i="62"/>
  <c r="CF8" i="62"/>
  <c r="CE8" i="62"/>
  <c r="CD8" i="62"/>
  <c r="CC8" i="62"/>
  <c r="CB8" i="62"/>
  <c r="BZ8" i="62"/>
  <c r="BY8" i="62"/>
  <c r="BX8" i="62"/>
  <c r="BW8" i="62"/>
  <c r="BV8" i="62"/>
  <c r="BU8" i="62"/>
  <c r="BS8" i="62"/>
  <c r="BR8" i="62"/>
  <c r="BQ8" i="62"/>
  <c r="BO8" i="62"/>
  <c r="BM8" i="62"/>
  <c r="BL8" i="62"/>
  <c r="BK8" i="62"/>
  <c r="BJ8" i="62"/>
  <c r="BH8" i="62"/>
  <c r="BG8" i="62"/>
  <c r="BF8" i="62"/>
  <c r="BE8" i="62"/>
  <c r="BD8" i="62"/>
  <c r="BC8" i="62"/>
  <c r="BA8" i="62"/>
  <c r="AZ8" i="62"/>
  <c r="AY8" i="62"/>
  <c r="AW8" i="62"/>
  <c r="CF7" i="62"/>
  <c r="CE7" i="62"/>
  <c r="CD7" i="62"/>
  <c r="CC7" i="62"/>
  <c r="CB7" i="62"/>
  <c r="BZ7" i="62"/>
  <c r="BY7" i="62"/>
  <c r="BX7" i="62"/>
  <c r="BW7" i="62"/>
  <c r="BV7" i="62"/>
  <c r="BU7" i="62"/>
  <c r="BS7" i="62"/>
  <c r="BR7" i="62"/>
  <c r="BQ7" i="62"/>
  <c r="BO7" i="62"/>
  <c r="BM7" i="62"/>
  <c r="BL7" i="62"/>
  <c r="BK7" i="62"/>
  <c r="BJ7" i="62"/>
  <c r="BH7" i="62"/>
  <c r="BG7" i="62"/>
  <c r="BF7" i="62"/>
  <c r="BE7" i="62"/>
  <c r="BD7" i="62"/>
  <c r="BC7" i="62"/>
  <c r="BA7" i="62"/>
  <c r="AZ7" i="62"/>
  <c r="AY7" i="62"/>
  <c r="AW7" i="62"/>
  <c r="CF6" i="62"/>
  <c r="CE6" i="62"/>
  <c r="CD6" i="62"/>
  <c r="CC6" i="62"/>
  <c r="CB6" i="62"/>
  <c r="BZ6" i="62"/>
  <c r="BY6" i="62"/>
  <c r="BX6" i="62"/>
  <c r="BW6" i="62"/>
  <c r="BV6" i="62"/>
  <c r="BU6" i="62"/>
  <c r="BS6" i="62"/>
  <c r="BR6" i="62"/>
  <c r="BQ6" i="62"/>
  <c r="BO6" i="62"/>
  <c r="BM6" i="62"/>
  <c r="BL6" i="62"/>
  <c r="BK6" i="62"/>
  <c r="BJ6" i="62"/>
  <c r="BH6" i="62"/>
  <c r="BG6" i="62"/>
  <c r="BF6" i="62"/>
  <c r="BE6" i="62"/>
  <c r="BD6" i="62"/>
  <c r="BC6" i="62"/>
  <c r="BA6" i="62"/>
  <c r="AZ6" i="62"/>
  <c r="AY6" i="62"/>
  <c r="AW6" i="62"/>
  <c r="CF5" i="62"/>
  <c r="CE5" i="62"/>
  <c r="CD5" i="62"/>
  <c r="CC5" i="62"/>
  <c r="CB5" i="62"/>
  <c r="BZ5" i="62"/>
  <c r="BY5" i="62"/>
  <c r="BX5" i="62"/>
  <c r="BW5" i="62"/>
  <c r="BV5" i="62"/>
  <c r="BU5" i="62"/>
  <c r="BS5" i="62"/>
  <c r="BR5" i="62"/>
  <c r="BQ5" i="62"/>
  <c r="BO5" i="62"/>
  <c r="BM5" i="62"/>
  <c r="BL5" i="62"/>
  <c r="BK5" i="62"/>
  <c r="BJ5" i="62"/>
  <c r="BH5" i="62"/>
  <c r="BG5" i="62"/>
  <c r="BF5" i="62"/>
  <c r="BE5" i="62"/>
  <c r="BD5" i="62"/>
  <c r="BC5" i="62"/>
  <c r="BA5" i="62"/>
  <c r="AZ5" i="62"/>
  <c r="AY5" i="62"/>
  <c r="AW5" i="62"/>
  <c r="CF4" i="62"/>
  <c r="CE4" i="62"/>
  <c r="CD4" i="62"/>
  <c r="CC4" i="62"/>
  <c r="CB4" i="62"/>
  <c r="BZ4" i="62"/>
  <c r="BY4" i="62"/>
  <c r="BX4" i="62"/>
  <c r="BW4" i="62"/>
  <c r="BV4" i="62"/>
  <c r="BU4" i="62"/>
  <c r="BS4" i="62"/>
  <c r="BR4" i="62"/>
  <c r="BQ4" i="62"/>
  <c r="BO4" i="62"/>
  <c r="BM4" i="62"/>
  <c r="BL4" i="62"/>
  <c r="BK4" i="62"/>
  <c r="BJ4" i="62"/>
  <c r="BH4" i="62"/>
  <c r="BG4" i="62"/>
  <c r="BF4" i="62"/>
  <c r="BE4" i="62"/>
  <c r="BD4" i="62"/>
  <c r="BC4" i="62"/>
  <c r="BA4" i="62"/>
  <c r="AZ4" i="62"/>
  <c r="AY4" i="62"/>
  <c r="AW4" i="62"/>
  <c r="A4" i="62"/>
  <c r="AV33" i="63"/>
  <c r="AU33" i="63"/>
  <c r="AT33" i="63"/>
  <c r="AS33" i="63"/>
  <c r="AR33" i="63"/>
  <c r="AQ33" i="63"/>
  <c r="AP33" i="63"/>
  <c r="AO33" i="63"/>
  <c r="AN33" i="63"/>
  <c r="AM33" i="63"/>
  <c r="BX33" i="63" s="1"/>
  <c r="AL33" i="63"/>
  <c r="AK33" i="63"/>
  <c r="AJ33" i="63"/>
  <c r="AI33" i="63"/>
  <c r="BQ33" i="63" s="1"/>
  <c r="AH33" i="63"/>
  <c r="AG33" i="63"/>
  <c r="AF33" i="63"/>
  <c r="AE33" i="63"/>
  <c r="AD33" i="63"/>
  <c r="AC33" i="63"/>
  <c r="AB33" i="63"/>
  <c r="AA33" i="63"/>
  <c r="Z33" i="63"/>
  <c r="Y33" i="63"/>
  <c r="X33" i="63"/>
  <c r="W33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BS33" i="63" s="1"/>
  <c r="I33" i="63"/>
  <c r="BE33" i="63" s="1"/>
  <c r="H33" i="63"/>
  <c r="G33" i="63"/>
  <c r="BD33" i="63" s="1"/>
  <c r="F33" i="63"/>
  <c r="E33" i="63"/>
  <c r="BL33" i="63" s="1"/>
  <c r="D33" i="63"/>
  <c r="C33" i="63"/>
  <c r="AV32" i="63"/>
  <c r="AU32" i="63"/>
  <c r="AT32" i="63"/>
  <c r="AS32" i="63"/>
  <c r="AR32" i="63"/>
  <c r="AQ32" i="63"/>
  <c r="AP32" i="63"/>
  <c r="AO32" i="63"/>
  <c r="AN32" i="63"/>
  <c r="BF32" i="63" s="1"/>
  <c r="AM32" i="63"/>
  <c r="AL32" i="63"/>
  <c r="AK32" i="63"/>
  <c r="AJ32" i="63"/>
  <c r="AI32" i="63"/>
  <c r="BQ32" i="63" s="1"/>
  <c r="AH32" i="63"/>
  <c r="AG32" i="63"/>
  <c r="AF32" i="63"/>
  <c r="AE32" i="63"/>
  <c r="AD32" i="63"/>
  <c r="AC32" i="63"/>
  <c r="AB32" i="63"/>
  <c r="AA32" i="63"/>
  <c r="Z32" i="63"/>
  <c r="Y32" i="63"/>
  <c r="X32" i="63"/>
  <c r="W32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BS32" i="63" s="1"/>
  <c r="I32" i="63"/>
  <c r="BE32" i="63" s="1"/>
  <c r="H32" i="63"/>
  <c r="G32" i="63"/>
  <c r="BG32" i="63" s="1"/>
  <c r="F32" i="63"/>
  <c r="E32" i="63"/>
  <c r="BL32" i="63" s="1"/>
  <c r="D32" i="63"/>
  <c r="C32" i="63"/>
  <c r="CF31" i="63"/>
  <c r="CE31" i="63"/>
  <c r="CD31" i="63"/>
  <c r="CC31" i="63"/>
  <c r="CB31" i="63"/>
  <c r="BZ31" i="63"/>
  <c r="BY31" i="63"/>
  <c r="BX31" i="63"/>
  <c r="BW31" i="63"/>
  <c r="BV31" i="63"/>
  <c r="BU31" i="63"/>
  <c r="BS31" i="63"/>
  <c r="BR31" i="63"/>
  <c r="BQ31" i="63"/>
  <c r="BO31" i="63"/>
  <c r="BM31" i="63"/>
  <c r="BL31" i="63"/>
  <c r="BK31" i="63"/>
  <c r="BJ31" i="63"/>
  <c r="BH31" i="63"/>
  <c r="BG31" i="63"/>
  <c r="BF31" i="63"/>
  <c r="BE31" i="63"/>
  <c r="BD31" i="63"/>
  <c r="BC31" i="63"/>
  <c r="BA31" i="63"/>
  <c r="AZ31" i="63"/>
  <c r="AY31" i="63"/>
  <c r="AW31" i="63"/>
  <c r="CF30" i="63"/>
  <c r="CE30" i="63"/>
  <c r="CD30" i="63"/>
  <c r="CC30" i="63"/>
  <c r="CB30" i="63"/>
  <c r="BZ30" i="63"/>
  <c r="BY30" i="63"/>
  <c r="BX30" i="63"/>
  <c r="BW30" i="63"/>
  <c r="BV30" i="63"/>
  <c r="BU30" i="63"/>
  <c r="BS30" i="63"/>
  <c r="BR30" i="63"/>
  <c r="BQ30" i="63"/>
  <c r="BO30" i="63"/>
  <c r="BM30" i="63"/>
  <c r="BL30" i="63"/>
  <c r="BK30" i="63"/>
  <c r="BJ30" i="63"/>
  <c r="BH30" i="63"/>
  <c r="BG30" i="63"/>
  <c r="BF30" i="63"/>
  <c r="BE30" i="63"/>
  <c r="BD30" i="63"/>
  <c r="BC30" i="63"/>
  <c r="BA30" i="63"/>
  <c r="AZ30" i="63"/>
  <c r="AY30" i="63"/>
  <c r="AW30" i="63"/>
  <c r="CF29" i="63"/>
  <c r="CE29" i="63"/>
  <c r="CD29" i="63"/>
  <c r="CC29" i="63"/>
  <c r="CB29" i="63"/>
  <c r="BZ29" i="63"/>
  <c r="BY29" i="63"/>
  <c r="BX29" i="63"/>
  <c r="BW29" i="63"/>
  <c r="BV29" i="63"/>
  <c r="BU29" i="63"/>
  <c r="BS29" i="63"/>
  <c r="BR29" i="63"/>
  <c r="BQ29" i="63"/>
  <c r="BO29" i="63"/>
  <c r="BM29" i="63"/>
  <c r="BL29" i="63"/>
  <c r="BK29" i="63"/>
  <c r="BJ29" i="63"/>
  <c r="BH29" i="63"/>
  <c r="BG29" i="63"/>
  <c r="BF29" i="63"/>
  <c r="BE29" i="63"/>
  <c r="BD29" i="63"/>
  <c r="BC29" i="63"/>
  <c r="BA29" i="63"/>
  <c r="AZ29" i="63"/>
  <c r="AY29" i="63"/>
  <c r="AW29" i="63"/>
  <c r="CF28" i="63"/>
  <c r="CE28" i="63"/>
  <c r="CD28" i="63"/>
  <c r="CC28" i="63"/>
  <c r="CB28" i="63"/>
  <c r="BZ28" i="63"/>
  <c r="BY28" i="63"/>
  <c r="BX28" i="63"/>
  <c r="BW28" i="63"/>
  <c r="BV28" i="63"/>
  <c r="BU28" i="63"/>
  <c r="BS28" i="63"/>
  <c r="BR28" i="63"/>
  <c r="BQ28" i="63"/>
  <c r="BO28" i="63"/>
  <c r="BM28" i="63"/>
  <c r="BL28" i="63"/>
  <c r="BK28" i="63"/>
  <c r="BJ28" i="63"/>
  <c r="BH28" i="63"/>
  <c r="BG28" i="63"/>
  <c r="BF28" i="63"/>
  <c r="BE28" i="63"/>
  <c r="BD28" i="63"/>
  <c r="BC28" i="63"/>
  <c r="BA28" i="63"/>
  <c r="AZ28" i="63"/>
  <c r="AY28" i="63"/>
  <c r="AW28" i="63"/>
  <c r="CF27" i="63"/>
  <c r="CE27" i="63"/>
  <c r="CD27" i="63"/>
  <c r="CC27" i="63"/>
  <c r="CB27" i="63"/>
  <c r="BZ27" i="63"/>
  <c r="BY27" i="63"/>
  <c r="BX27" i="63"/>
  <c r="BW27" i="63"/>
  <c r="BV27" i="63"/>
  <c r="BU27" i="63"/>
  <c r="BS27" i="63"/>
  <c r="BR27" i="63"/>
  <c r="BQ27" i="63"/>
  <c r="BO27" i="63"/>
  <c r="BM27" i="63"/>
  <c r="BL27" i="63"/>
  <c r="BK27" i="63"/>
  <c r="BJ27" i="63"/>
  <c r="BH27" i="63"/>
  <c r="BG27" i="63"/>
  <c r="BF27" i="63"/>
  <c r="BE27" i="63"/>
  <c r="BD27" i="63"/>
  <c r="BC27" i="63"/>
  <c r="BA27" i="63"/>
  <c r="AZ27" i="63"/>
  <c r="AY27" i="63"/>
  <c r="AW27" i="63"/>
  <c r="CF26" i="63"/>
  <c r="CE26" i="63"/>
  <c r="CD26" i="63"/>
  <c r="CC26" i="63"/>
  <c r="CB26" i="63"/>
  <c r="BZ26" i="63"/>
  <c r="BY26" i="63"/>
  <c r="BX26" i="63"/>
  <c r="BW26" i="63"/>
  <c r="BV26" i="63"/>
  <c r="BU26" i="63"/>
  <c r="BS26" i="63"/>
  <c r="BR26" i="63"/>
  <c r="BQ26" i="63"/>
  <c r="BO26" i="63"/>
  <c r="BM26" i="63"/>
  <c r="BL26" i="63"/>
  <c r="BK26" i="63"/>
  <c r="BJ26" i="63"/>
  <c r="BH26" i="63"/>
  <c r="BG26" i="63"/>
  <c r="BF26" i="63"/>
  <c r="BE26" i="63"/>
  <c r="BD26" i="63"/>
  <c r="BC26" i="63"/>
  <c r="BA26" i="63"/>
  <c r="AZ26" i="63"/>
  <c r="AY26" i="63"/>
  <c r="AW26" i="63"/>
  <c r="CF25" i="63"/>
  <c r="CE25" i="63"/>
  <c r="CD25" i="63"/>
  <c r="CC25" i="63"/>
  <c r="CB25" i="63"/>
  <c r="BZ25" i="63"/>
  <c r="BY25" i="63"/>
  <c r="BX25" i="63"/>
  <c r="BW25" i="63"/>
  <c r="BV25" i="63"/>
  <c r="BU25" i="63"/>
  <c r="BS25" i="63"/>
  <c r="BR25" i="63"/>
  <c r="BQ25" i="63"/>
  <c r="BO25" i="63"/>
  <c r="BM25" i="63"/>
  <c r="BL25" i="63"/>
  <c r="BK25" i="63"/>
  <c r="BJ25" i="63"/>
  <c r="BH25" i="63"/>
  <c r="BG25" i="63"/>
  <c r="BF25" i="63"/>
  <c r="BE25" i="63"/>
  <c r="BD25" i="63"/>
  <c r="BC25" i="63"/>
  <c r="BA25" i="63"/>
  <c r="AZ25" i="63"/>
  <c r="AY25" i="63"/>
  <c r="AW25" i="63"/>
  <c r="CF24" i="63"/>
  <c r="CE24" i="63"/>
  <c r="CD24" i="63"/>
  <c r="CC24" i="63"/>
  <c r="CB24" i="63"/>
  <c r="BZ24" i="63"/>
  <c r="BY24" i="63"/>
  <c r="BX24" i="63"/>
  <c r="BW24" i="63"/>
  <c r="BV24" i="63"/>
  <c r="BU24" i="63"/>
  <c r="BS24" i="63"/>
  <c r="BR24" i="63"/>
  <c r="BQ24" i="63"/>
  <c r="BO24" i="63"/>
  <c r="BM24" i="63"/>
  <c r="BL24" i="63"/>
  <c r="BK24" i="63"/>
  <c r="BJ24" i="63"/>
  <c r="BH24" i="63"/>
  <c r="BG24" i="63"/>
  <c r="BF24" i="63"/>
  <c r="BE24" i="63"/>
  <c r="BD24" i="63"/>
  <c r="BC24" i="63"/>
  <c r="BA24" i="63"/>
  <c r="AZ24" i="63"/>
  <c r="AY24" i="63"/>
  <c r="AW24" i="63"/>
  <c r="CF23" i="63"/>
  <c r="CE23" i="63"/>
  <c r="CD23" i="63"/>
  <c r="CC23" i="63"/>
  <c r="CB23" i="63"/>
  <c r="BZ23" i="63"/>
  <c r="BY23" i="63"/>
  <c r="BX23" i="63"/>
  <c r="BW23" i="63"/>
  <c r="BV23" i="63"/>
  <c r="BU23" i="63"/>
  <c r="BS23" i="63"/>
  <c r="BR23" i="63"/>
  <c r="BQ23" i="63"/>
  <c r="BO23" i="63"/>
  <c r="BM23" i="63"/>
  <c r="BL23" i="63"/>
  <c r="BK23" i="63"/>
  <c r="BJ23" i="63"/>
  <c r="BH23" i="63"/>
  <c r="BG23" i="63"/>
  <c r="BF23" i="63"/>
  <c r="BE23" i="63"/>
  <c r="BD23" i="63"/>
  <c r="BC23" i="63"/>
  <c r="BA23" i="63"/>
  <c r="AZ23" i="63"/>
  <c r="AY23" i="63"/>
  <c r="AW23" i="63"/>
  <c r="CF22" i="63"/>
  <c r="CE22" i="63"/>
  <c r="CD22" i="63"/>
  <c r="CC22" i="63"/>
  <c r="CB22" i="63"/>
  <c r="BZ22" i="63"/>
  <c r="BY22" i="63"/>
  <c r="BX22" i="63"/>
  <c r="BW22" i="63"/>
  <c r="BV22" i="63"/>
  <c r="BU22" i="63"/>
  <c r="BS22" i="63"/>
  <c r="BR22" i="63"/>
  <c r="BQ22" i="63"/>
  <c r="BO22" i="63"/>
  <c r="BM22" i="63"/>
  <c r="BL22" i="63"/>
  <c r="BK22" i="63"/>
  <c r="BJ22" i="63"/>
  <c r="BH22" i="63"/>
  <c r="BG22" i="63"/>
  <c r="BF22" i="63"/>
  <c r="BE22" i="63"/>
  <c r="BD22" i="63"/>
  <c r="BC22" i="63"/>
  <c r="BA22" i="63"/>
  <c r="AZ22" i="63"/>
  <c r="AY22" i="63"/>
  <c r="AW22" i="63"/>
  <c r="CF21" i="63"/>
  <c r="CE21" i="63"/>
  <c r="CD21" i="63"/>
  <c r="CC21" i="63"/>
  <c r="CB21" i="63"/>
  <c r="BZ21" i="63"/>
  <c r="BY21" i="63"/>
  <c r="BX21" i="63"/>
  <c r="BW21" i="63"/>
  <c r="BV21" i="63"/>
  <c r="BU21" i="63"/>
  <c r="BS21" i="63"/>
  <c r="BR21" i="63"/>
  <c r="BQ21" i="63"/>
  <c r="BO21" i="63"/>
  <c r="BM21" i="63"/>
  <c r="BL21" i="63"/>
  <c r="BK21" i="63"/>
  <c r="BJ21" i="63"/>
  <c r="BH21" i="63"/>
  <c r="BG21" i="63"/>
  <c r="BF21" i="63"/>
  <c r="BE21" i="63"/>
  <c r="BD21" i="63"/>
  <c r="BC21" i="63"/>
  <c r="BA21" i="63"/>
  <c r="AZ21" i="63"/>
  <c r="AY21" i="63"/>
  <c r="AW21" i="63"/>
  <c r="CF20" i="63"/>
  <c r="CE20" i="63"/>
  <c r="CD20" i="63"/>
  <c r="CC20" i="63"/>
  <c r="CB20" i="63"/>
  <c r="BZ20" i="63"/>
  <c r="BY20" i="63"/>
  <c r="BX20" i="63"/>
  <c r="BW20" i="63"/>
  <c r="BV20" i="63"/>
  <c r="BU20" i="63"/>
  <c r="BS20" i="63"/>
  <c r="BR20" i="63"/>
  <c r="BQ20" i="63"/>
  <c r="BO20" i="63"/>
  <c r="BM20" i="63"/>
  <c r="BL20" i="63"/>
  <c r="BK20" i="63"/>
  <c r="BJ20" i="63"/>
  <c r="BH20" i="63"/>
  <c r="BG20" i="63"/>
  <c r="BF20" i="63"/>
  <c r="BE20" i="63"/>
  <c r="BD20" i="63"/>
  <c r="BC20" i="63"/>
  <c r="BA20" i="63"/>
  <c r="AZ20" i="63"/>
  <c r="AY20" i="63"/>
  <c r="AW20" i="63"/>
  <c r="CF19" i="63"/>
  <c r="CE19" i="63"/>
  <c r="CD19" i="63"/>
  <c r="CC19" i="63"/>
  <c r="CB19" i="63"/>
  <c r="BZ19" i="63"/>
  <c r="BY19" i="63"/>
  <c r="BX19" i="63"/>
  <c r="BW19" i="63"/>
  <c r="BV19" i="63"/>
  <c r="BU19" i="63"/>
  <c r="BS19" i="63"/>
  <c r="BR19" i="63"/>
  <c r="BQ19" i="63"/>
  <c r="BO19" i="63"/>
  <c r="BM19" i="63"/>
  <c r="BL19" i="63"/>
  <c r="BK19" i="63"/>
  <c r="BJ19" i="63"/>
  <c r="BH19" i="63"/>
  <c r="BG19" i="63"/>
  <c r="BF19" i="63"/>
  <c r="BE19" i="63"/>
  <c r="BD19" i="63"/>
  <c r="BC19" i="63"/>
  <c r="BA19" i="63"/>
  <c r="AZ19" i="63"/>
  <c r="AY19" i="63"/>
  <c r="AW19" i="63"/>
  <c r="CF18" i="63"/>
  <c r="CE18" i="63"/>
  <c r="CD18" i="63"/>
  <c r="CC18" i="63"/>
  <c r="CB18" i="63"/>
  <c r="BZ18" i="63"/>
  <c r="BY18" i="63"/>
  <c r="BX18" i="63"/>
  <c r="BW18" i="63"/>
  <c r="BV18" i="63"/>
  <c r="BU18" i="63"/>
  <c r="BS18" i="63"/>
  <c r="BR18" i="63"/>
  <c r="BQ18" i="63"/>
  <c r="BO18" i="63"/>
  <c r="BM18" i="63"/>
  <c r="BL18" i="63"/>
  <c r="BK18" i="63"/>
  <c r="BJ18" i="63"/>
  <c r="BH18" i="63"/>
  <c r="BG18" i="63"/>
  <c r="BF18" i="63"/>
  <c r="BE18" i="63"/>
  <c r="BD18" i="63"/>
  <c r="BC18" i="63"/>
  <c r="BA18" i="63"/>
  <c r="AZ18" i="63"/>
  <c r="AY18" i="63"/>
  <c r="AW18" i="63"/>
  <c r="CF17" i="63"/>
  <c r="CE17" i="63"/>
  <c r="CD17" i="63"/>
  <c r="CC17" i="63"/>
  <c r="CB17" i="63"/>
  <c r="BZ17" i="63"/>
  <c r="BY17" i="63"/>
  <c r="BX17" i="63"/>
  <c r="BW17" i="63"/>
  <c r="BV17" i="63"/>
  <c r="BU17" i="63"/>
  <c r="BS17" i="63"/>
  <c r="BR17" i="63"/>
  <c r="BQ17" i="63"/>
  <c r="BO17" i="63"/>
  <c r="BM17" i="63"/>
  <c r="BL17" i="63"/>
  <c r="BK17" i="63"/>
  <c r="BJ17" i="63"/>
  <c r="BH17" i="63"/>
  <c r="BG17" i="63"/>
  <c r="BF17" i="63"/>
  <c r="BE17" i="63"/>
  <c r="BD17" i="63"/>
  <c r="BC17" i="63"/>
  <c r="BA17" i="63"/>
  <c r="AZ17" i="63"/>
  <c r="AY17" i="63"/>
  <c r="AW17" i="63"/>
  <c r="CF16" i="63"/>
  <c r="CE16" i="63"/>
  <c r="CD16" i="63"/>
  <c r="CC16" i="63"/>
  <c r="CB16" i="63"/>
  <c r="BZ16" i="63"/>
  <c r="BY16" i="63"/>
  <c r="BX16" i="63"/>
  <c r="BW16" i="63"/>
  <c r="BV16" i="63"/>
  <c r="BU16" i="63"/>
  <c r="BS16" i="63"/>
  <c r="BR16" i="63"/>
  <c r="BQ16" i="63"/>
  <c r="BO16" i="63"/>
  <c r="BM16" i="63"/>
  <c r="BL16" i="63"/>
  <c r="BK16" i="63"/>
  <c r="BJ16" i="63"/>
  <c r="BH16" i="63"/>
  <c r="BG16" i="63"/>
  <c r="BF16" i="63"/>
  <c r="BE16" i="63"/>
  <c r="BD16" i="63"/>
  <c r="BC16" i="63"/>
  <c r="BA16" i="63"/>
  <c r="AZ16" i="63"/>
  <c r="AY16" i="63"/>
  <c r="AW16" i="63"/>
  <c r="CF15" i="63"/>
  <c r="CE15" i="63"/>
  <c r="CD15" i="63"/>
  <c r="CC15" i="63"/>
  <c r="CB15" i="63"/>
  <c r="BZ15" i="63"/>
  <c r="BY15" i="63"/>
  <c r="BX15" i="63"/>
  <c r="BW15" i="63"/>
  <c r="BV15" i="63"/>
  <c r="BU15" i="63"/>
  <c r="BS15" i="63"/>
  <c r="BR15" i="63"/>
  <c r="BQ15" i="63"/>
  <c r="BO15" i="63"/>
  <c r="BM15" i="63"/>
  <c r="BL15" i="63"/>
  <c r="BK15" i="63"/>
  <c r="BJ15" i="63"/>
  <c r="BH15" i="63"/>
  <c r="BG15" i="63"/>
  <c r="BF15" i="63"/>
  <c r="BE15" i="63"/>
  <c r="BD15" i="63"/>
  <c r="BC15" i="63"/>
  <c r="BA15" i="63"/>
  <c r="AZ15" i="63"/>
  <c r="AY15" i="63"/>
  <c r="AW15" i="63"/>
  <c r="CF14" i="63"/>
  <c r="CE14" i="63"/>
  <c r="CD14" i="63"/>
  <c r="CC14" i="63"/>
  <c r="CB14" i="63"/>
  <c r="BZ14" i="63"/>
  <c r="BY14" i="63"/>
  <c r="BX14" i="63"/>
  <c r="BW14" i="63"/>
  <c r="BV14" i="63"/>
  <c r="BU14" i="63"/>
  <c r="BS14" i="63"/>
  <c r="BR14" i="63"/>
  <c r="BQ14" i="63"/>
  <c r="BO14" i="63"/>
  <c r="BM14" i="63"/>
  <c r="BL14" i="63"/>
  <c r="BK14" i="63"/>
  <c r="BJ14" i="63"/>
  <c r="BH14" i="63"/>
  <c r="BG14" i="63"/>
  <c r="BF14" i="63"/>
  <c r="BE14" i="63"/>
  <c r="BD14" i="63"/>
  <c r="BC14" i="63"/>
  <c r="BA14" i="63"/>
  <c r="AZ14" i="63"/>
  <c r="AY14" i="63"/>
  <c r="AW14" i="63"/>
  <c r="CF13" i="63"/>
  <c r="CE13" i="63"/>
  <c r="CD13" i="63"/>
  <c r="CC13" i="63"/>
  <c r="CB13" i="63"/>
  <c r="BZ13" i="63"/>
  <c r="BY13" i="63"/>
  <c r="BX13" i="63"/>
  <c r="BW13" i="63"/>
  <c r="BV13" i="63"/>
  <c r="BU13" i="63"/>
  <c r="BS13" i="63"/>
  <c r="BR13" i="63"/>
  <c r="BQ13" i="63"/>
  <c r="BO13" i="63"/>
  <c r="BM13" i="63"/>
  <c r="BL13" i="63"/>
  <c r="BK13" i="63"/>
  <c r="BJ13" i="63"/>
  <c r="BH13" i="63"/>
  <c r="BG13" i="63"/>
  <c r="BF13" i="63"/>
  <c r="BE13" i="63"/>
  <c r="BD13" i="63"/>
  <c r="BC13" i="63"/>
  <c r="BA13" i="63"/>
  <c r="AZ13" i="63"/>
  <c r="AY13" i="63"/>
  <c r="AW13" i="63"/>
  <c r="CF12" i="63"/>
  <c r="CE12" i="63"/>
  <c r="CD12" i="63"/>
  <c r="CC12" i="63"/>
  <c r="CB12" i="63"/>
  <c r="BZ12" i="63"/>
  <c r="BY12" i="63"/>
  <c r="BX12" i="63"/>
  <c r="BW12" i="63"/>
  <c r="BV12" i="63"/>
  <c r="BU12" i="63"/>
  <c r="BS12" i="63"/>
  <c r="BR12" i="63"/>
  <c r="BQ12" i="63"/>
  <c r="BO12" i="63"/>
  <c r="BM12" i="63"/>
  <c r="BL12" i="63"/>
  <c r="BK12" i="63"/>
  <c r="BJ12" i="63"/>
  <c r="BH12" i="63"/>
  <c r="BG12" i="63"/>
  <c r="BF12" i="63"/>
  <c r="BE12" i="63"/>
  <c r="BD12" i="63"/>
  <c r="BC12" i="63"/>
  <c r="BA12" i="63"/>
  <c r="AZ12" i="63"/>
  <c r="AY12" i="63"/>
  <c r="AW12" i="63"/>
  <c r="CF11" i="63"/>
  <c r="CE11" i="63"/>
  <c r="CD11" i="63"/>
  <c r="CC11" i="63"/>
  <c r="CB11" i="63"/>
  <c r="BZ11" i="63"/>
  <c r="BY11" i="63"/>
  <c r="BX11" i="63"/>
  <c r="BW11" i="63"/>
  <c r="BV11" i="63"/>
  <c r="BU11" i="63"/>
  <c r="BS11" i="63"/>
  <c r="BR11" i="63"/>
  <c r="BQ11" i="63"/>
  <c r="BO11" i="63"/>
  <c r="BM11" i="63"/>
  <c r="BL11" i="63"/>
  <c r="BK11" i="63"/>
  <c r="BJ11" i="63"/>
  <c r="BH11" i="63"/>
  <c r="BG11" i="63"/>
  <c r="BF11" i="63"/>
  <c r="BE11" i="63"/>
  <c r="BD11" i="63"/>
  <c r="BC11" i="63"/>
  <c r="BA11" i="63"/>
  <c r="AZ11" i="63"/>
  <c r="AY11" i="63"/>
  <c r="AW11" i="63"/>
  <c r="CF10" i="63"/>
  <c r="CE10" i="63"/>
  <c r="CD10" i="63"/>
  <c r="CC10" i="63"/>
  <c r="CB10" i="63"/>
  <c r="BZ10" i="63"/>
  <c r="BY10" i="63"/>
  <c r="BX10" i="63"/>
  <c r="BW10" i="63"/>
  <c r="BV10" i="63"/>
  <c r="BU10" i="63"/>
  <c r="BS10" i="63"/>
  <c r="BR10" i="63"/>
  <c r="BQ10" i="63"/>
  <c r="BO10" i="63"/>
  <c r="BM10" i="63"/>
  <c r="BL10" i="63"/>
  <c r="BK10" i="63"/>
  <c r="BJ10" i="63"/>
  <c r="BH10" i="63"/>
  <c r="BG10" i="63"/>
  <c r="BF10" i="63"/>
  <c r="BE10" i="63"/>
  <c r="BD10" i="63"/>
  <c r="BC10" i="63"/>
  <c r="BA10" i="63"/>
  <c r="AZ10" i="63"/>
  <c r="AY10" i="63"/>
  <c r="AW10" i="63"/>
  <c r="CF9" i="63"/>
  <c r="CE9" i="63"/>
  <c r="CD9" i="63"/>
  <c r="CC9" i="63"/>
  <c r="CB9" i="63"/>
  <c r="BZ9" i="63"/>
  <c r="BY9" i="63"/>
  <c r="BX9" i="63"/>
  <c r="BW9" i="63"/>
  <c r="BV9" i="63"/>
  <c r="BU9" i="63"/>
  <c r="BS9" i="63"/>
  <c r="BR9" i="63"/>
  <c r="BQ9" i="63"/>
  <c r="BO9" i="63"/>
  <c r="BM9" i="63"/>
  <c r="BL9" i="63"/>
  <c r="BK9" i="63"/>
  <c r="BJ9" i="63"/>
  <c r="BH9" i="63"/>
  <c r="BG9" i="63"/>
  <c r="BF9" i="63"/>
  <c r="BE9" i="63"/>
  <c r="BD9" i="63"/>
  <c r="BC9" i="63"/>
  <c r="BA9" i="63"/>
  <c r="AZ9" i="63"/>
  <c r="AY9" i="63"/>
  <c r="AW9" i="63"/>
  <c r="CF8" i="63"/>
  <c r="CE8" i="63"/>
  <c r="CD8" i="63"/>
  <c r="CC8" i="63"/>
  <c r="CB8" i="63"/>
  <c r="BZ8" i="63"/>
  <c r="BY8" i="63"/>
  <c r="BX8" i="63"/>
  <c r="BW8" i="63"/>
  <c r="BV8" i="63"/>
  <c r="BU8" i="63"/>
  <c r="BS8" i="63"/>
  <c r="BR8" i="63"/>
  <c r="BQ8" i="63"/>
  <c r="BO8" i="63"/>
  <c r="BM8" i="63"/>
  <c r="BL8" i="63"/>
  <c r="BK8" i="63"/>
  <c r="BJ8" i="63"/>
  <c r="BH8" i="63"/>
  <c r="BG8" i="63"/>
  <c r="BF8" i="63"/>
  <c r="BE8" i="63"/>
  <c r="BD8" i="63"/>
  <c r="BC8" i="63"/>
  <c r="BA8" i="63"/>
  <c r="AZ8" i="63"/>
  <c r="AY8" i="63"/>
  <c r="AW8" i="63"/>
  <c r="CF7" i="63"/>
  <c r="CE7" i="63"/>
  <c r="CD7" i="63"/>
  <c r="CC7" i="63"/>
  <c r="CB7" i="63"/>
  <c r="BZ7" i="63"/>
  <c r="BY7" i="63"/>
  <c r="BX7" i="63"/>
  <c r="BW7" i="63"/>
  <c r="BV7" i="63"/>
  <c r="BU7" i="63"/>
  <c r="BS7" i="63"/>
  <c r="BR7" i="63"/>
  <c r="BQ7" i="63"/>
  <c r="BO7" i="63"/>
  <c r="BM7" i="63"/>
  <c r="BL7" i="63"/>
  <c r="BK7" i="63"/>
  <c r="BJ7" i="63"/>
  <c r="BH7" i="63"/>
  <c r="BG7" i="63"/>
  <c r="BF7" i="63"/>
  <c r="BE7" i="63"/>
  <c r="BD7" i="63"/>
  <c r="BC7" i="63"/>
  <c r="BA7" i="63"/>
  <c r="AZ7" i="63"/>
  <c r="AY7" i="63"/>
  <c r="AW7" i="63"/>
  <c r="CF6" i="63"/>
  <c r="CE6" i="63"/>
  <c r="CD6" i="63"/>
  <c r="CC6" i="63"/>
  <c r="CB6" i="63"/>
  <c r="BZ6" i="63"/>
  <c r="BY6" i="63"/>
  <c r="BX6" i="63"/>
  <c r="BW6" i="63"/>
  <c r="BV6" i="63"/>
  <c r="BU6" i="63"/>
  <c r="BS6" i="63"/>
  <c r="BR6" i="63"/>
  <c r="BQ6" i="63"/>
  <c r="BO6" i="63"/>
  <c r="BM6" i="63"/>
  <c r="BL6" i="63"/>
  <c r="BK6" i="63"/>
  <c r="BJ6" i="63"/>
  <c r="BH6" i="63"/>
  <c r="BG6" i="63"/>
  <c r="BF6" i="63"/>
  <c r="BE6" i="63"/>
  <c r="BD6" i="63"/>
  <c r="BC6" i="63"/>
  <c r="BA6" i="63"/>
  <c r="AZ6" i="63"/>
  <c r="AY6" i="63"/>
  <c r="AW6" i="63"/>
  <c r="CF5" i="63"/>
  <c r="CE5" i="63"/>
  <c r="CD5" i="63"/>
  <c r="CC5" i="63"/>
  <c r="CB5" i="63"/>
  <c r="BZ5" i="63"/>
  <c r="BY5" i="63"/>
  <c r="BX5" i="63"/>
  <c r="BW5" i="63"/>
  <c r="BV5" i="63"/>
  <c r="BU5" i="63"/>
  <c r="BS5" i="63"/>
  <c r="BR5" i="63"/>
  <c r="BQ5" i="63"/>
  <c r="BO5" i="63"/>
  <c r="BM5" i="63"/>
  <c r="BL5" i="63"/>
  <c r="BK5" i="63"/>
  <c r="BJ5" i="63"/>
  <c r="BH5" i="63"/>
  <c r="BG5" i="63"/>
  <c r="BF5" i="63"/>
  <c r="BE5" i="63"/>
  <c r="BD5" i="63"/>
  <c r="BC5" i="63"/>
  <c r="BA5" i="63"/>
  <c r="AZ5" i="63"/>
  <c r="AY5" i="63"/>
  <c r="AW5" i="63"/>
  <c r="CF4" i="63"/>
  <c r="CE4" i="63"/>
  <c r="CD4" i="63"/>
  <c r="CC4" i="63"/>
  <c r="CB4" i="63"/>
  <c r="BZ4" i="63"/>
  <c r="BY4" i="63"/>
  <c r="BX4" i="63"/>
  <c r="BW4" i="63"/>
  <c r="BV4" i="63"/>
  <c r="BU4" i="63"/>
  <c r="BS4" i="63"/>
  <c r="BR4" i="63"/>
  <c r="BQ4" i="63"/>
  <c r="BO4" i="63"/>
  <c r="BM4" i="63"/>
  <c r="BL4" i="63"/>
  <c r="BK4" i="63"/>
  <c r="BJ4" i="63"/>
  <c r="BH4" i="63"/>
  <c r="BG4" i="63"/>
  <c r="BF4" i="63"/>
  <c r="BE4" i="63"/>
  <c r="BD4" i="63"/>
  <c r="BC4" i="63"/>
  <c r="BA4" i="63"/>
  <c r="AZ4" i="63"/>
  <c r="AY4" i="63"/>
  <c r="AW4" i="63"/>
  <c r="A4" i="63"/>
  <c r="CD34" i="64"/>
  <c r="CE34" i="64"/>
  <c r="CG34" i="64"/>
  <c r="CF34" i="64"/>
  <c r="CC34" i="64"/>
  <c r="BS34" i="64"/>
  <c r="BT34" i="64"/>
  <c r="BF34" i="64"/>
  <c r="BH34" i="64"/>
  <c r="BM34" i="64"/>
  <c r="CA33" i="64"/>
  <c r="BR33" i="64"/>
  <c r="BX33" i="64"/>
  <c r="BF33" i="64"/>
  <c r="BE33" i="64"/>
  <c r="BL33" i="64"/>
  <c r="AV31" i="59"/>
  <c r="AU31" i="59"/>
  <c r="AT31" i="59"/>
  <c r="AS31" i="59"/>
  <c r="AR31" i="59"/>
  <c r="AP31" i="59"/>
  <c r="AO31" i="59"/>
  <c r="BY31" i="64"/>
  <c r="AL31" i="59"/>
  <c r="AK31" i="59"/>
  <c r="AJ31" i="59"/>
  <c r="BS31" i="64"/>
  <c r="AH31" i="59"/>
  <c r="AG31" i="59"/>
  <c r="AF31" i="59"/>
  <c r="AE31" i="59"/>
  <c r="AD31" i="59"/>
  <c r="AC31" i="59"/>
  <c r="AB31" i="59"/>
  <c r="AA31" i="59"/>
  <c r="Z31" i="59"/>
  <c r="Y31" i="59"/>
  <c r="X31" i="59"/>
  <c r="W31" i="59"/>
  <c r="V31" i="59"/>
  <c r="U31" i="59"/>
  <c r="T31" i="59"/>
  <c r="S31" i="59"/>
  <c r="R31" i="59"/>
  <c r="Q31" i="59"/>
  <c r="P31" i="59"/>
  <c r="O31" i="59"/>
  <c r="N31" i="59"/>
  <c r="M31" i="59"/>
  <c r="L31" i="59"/>
  <c r="K31" i="59"/>
  <c r="J31" i="59"/>
  <c r="I31" i="59"/>
  <c r="H31" i="59"/>
  <c r="F31" i="59"/>
  <c r="BN31" i="64"/>
  <c r="D31" i="59"/>
  <c r="C31" i="59"/>
  <c r="AV30" i="59"/>
  <c r="AU30" i="59"/>
  <c r="AT30" i="59"/>
  <c r="AS30" i="59"/>
  <c r="AR30" i="59"/>
  <c r="AQ30" i="59"/>
  <c r="AN30" i="59"/>
  <c r="BW30" i="64"/>
  <c r="AL30" i="59"/>
  <c r="AK30" i="59"/>
  <c r="AJ30" i="59"/>
  <c r="BR30" i="64"/>
  <c r="AH30" i="59"/>
  <c r="AG30" i="59"/>
  <c r="AF30" i="59"/>
  <c r="AE30" i="59"/>
  <c r="AD30" i="59"/>
  <c r="AC30" i="59"/>
  <c r="AB30" i="59"/>
  <c r="AA30" i="59"/>
  <c r="Z30" i="59"/>
  <c r="Y30" i="59"/>
  <c r="X30" i="59"/>
  <c r="W30" i="59"/>
  <c r="V30" i="59"/>
  <c r="U30" i="59"/>
  <c r="T30" i="59"/>
  <c r="S30" i="59"/>
  <c r="R30" i="59"/>
  <c r="Q30" i="59"/>
  <c r="P30" i="59"/>
  <c r="O30" i="59"/>
  <c r="N30" i="59"/>
  <c r="M30" i="59"/>
  <c r="L30" i="59"/>
  <c r="K30" i="59"/>
  <c r="J30" i="59"/>
  <c r="BF30" i="64"/>
  <c r="H30" i="59"/>
  <c r="G30" i="59"/>
  <c r="F30" i="59"/>
  <c r="BK30" i="64"/>
  <c r="D30" i="59"/>
  <c r="C30" i="59"/>
  <c r="AV29" i="59"/>
  <c r="AR29" i="59"/>
  <c r="AP29" i="59"/>
  <c r="AN29" i="59"/>
  <c r="AL29" i="59"/>
  <c r="AK29" i="59"/>
  <c r="K29" i="59"/>
  <c r="D29" i="59"/>
  <c r="AV28" i="59"/>
  <c r="AU28" i="59"/>
  <c r="AT28" i="59"/>
  <c r="AS28" i="59"/>
  <c r="AR28" i="59"/>
  <c r="AQ28" i="59"/>
  <c r="AP28" i="59"/>
  <c r="AN28" i="59"/>
  <c r="AL28" i="59"/>
  <c r="AK28" i="59"/>
  <c r="AJ28" i="59"/>
  <c r="AH28" i="59"/>
  <c r="AG28" i="59"/>
  <c r="AF28" i="59"/>
  <c r="AE28" i="59"/>
  <c r="AD28" i="59"/>
  <c r="AC28" i="59"/>
  <c r="AB28" i="59"/>
  <c r="AA28" i="59"/>
  <c r="Z28" i="59"/>
  <c r="Y28" i="59"/>
  <c r="X28" i="59"/>
  <c r="W28" i="59"/>
  <c r="V28" i="59"/>
  <c r="U28" i="59"/>
  <c r="T28" i="59"/>
  <c r="S28" i="59"/>
  <c r="R28" i="59"/>
  <c r="Q28" i="59"/>
  <c r="P28" i="59"/>
  <c r="O28" i="59"/>
  <c r="N28" i="59"/>
  <c r="M28" i="59"/>
  <c r="L28" i="59"/>
  <c r="K28" i="59"/>
  <c r="J28" i="59"/>
  <c r="H28" i="59"/>
  <c r="G28" i="59"/>
  <c r="F28" i="59"/>
  <c r="D28" i="59"/>
  <c r="C28" i="59"/>
  <c r="AV27" i="59"/>
  <c r="AU27" i="59"/>
  <c r="AT27" i="59"/>
  <c r="AS27" i="59"/>
  <c r="AR27" i="59"/>
  <c r="AP27" i="59"/>
  <c r="AO27" i="59"/>
  <c r="AL27" i="59"/>
  <c r="AK27" i="59"/>
  <c r="AH27" i="59"/>
  <c r="AG27" i="59"/>
  <c r="AF27" i="59"/>
  <c r="AE27" i="59"/>
  <c r="AD27" i="59"/>
  <c r="AC27" i="59"/>
  <c r="AB27" i="59"/>
  <c r="AA27" i="59"/>
  <c r="Z27" i="59"/>
  <c r="Y27" i="59"/>
  <c r="X27" i="59"/>
  <c r="W27" i="59"/>
  <c r="V27" i="59"/>
  <c r="U27" i="59"/>
  <c r="T27" i="59"/>
  <c r="S27" i="59"/>
  <c r="R27" i="59"/>
  <c r="Q27" i="59"/>
  <c r="P27" i="59"/>
  <c r="O27" i="59"/>
  <c r="N27" i="59"/>
  <c r="M27" i="59"/>
  <c r="L27" i="59"/>
  <c r="K27" i="59"/>
  <c r="J27" i="59"/>
  <c r="H27" i="59"/>
  <c r="F27" i="59"/>
  <c r="D27" i="59"/>
  <c r="C27" i="59"/>
  <c r="AV26" i="59"/>
  <c r="AU26" i="59"/>
  <c r="AT26" i="59"/>
  <c r="AS26" i="59"/>
  <c r="AR26" i="59"/>
  <c r="AQ26" i="59"/>
  <c r="AP26" i="59"/>
  <c r="AO26" i="59"/>
  <c r="AN26" i="59"/>
  <c r="AL26" i="59"/>
  <c r="AK26" i="59"/>
  <c r="AJ26" i="59"/>
  <c r="AH26" i="59"/>
  <c r="AG26" i="59"/>
  <c r="AF26" i="59"/>
  <c r="AE26" i="59"/>
  <c r="AD26" i="59"/>
  <c r="AC26" i="59"/>
  <c r="AB26" i="59"/>
  <c r="AA26" i="59"/>
  <c r="Z26" i="59"/>
  <c r="Y26" i="59"/>
  <c r="X26" i="59"/>
  <c r="W26" i="59"/>
  <c r="V26" i="59"/>
  <c r="U26" i="59"/>
  <c r="T26" i="59"/>
  <c r="S26" i="59"/>
  <c r="R26" i="59"/>
  <c r="Q26" i="59"/>
  <c r="P26" i="59"/>
  <c r="O26" i="59"/>
  <c r="N26" i="59"/>
  <c r="M26" i="59"/>
  <c r="L26" i="59"/>
  <c r="K26" i="59"/>
  <c r="I26" i="59"/>
  <c r="H26" i="59"/>
  <c r="F26" i="59"/>
  <c r="E26" i="59"/>
  <c r="D26" i="59"/>
  <c r="C26" i="59"/>
  <c r="AV25" i="59"/>
  <c r="AU25" i="59"/>
  <c r="AT25" i="59"/>
  <c r="AS25" i="59"/>
  <c r="AR25" i="59"/>
  <c r="AP25" i="59"/>
  <c r="CA25" i="64"/>
  <c r="AL25" i="59"/>
  <c r="AK25" i="59"/>
  <c r="AJ25" i="59"/>
  <c r="BR25" i="64"/>
  <c r="AH25" i="59"/>
  <c r="AG25" i="59"/>
  <c r="AF25" i="59"/>
  <c r="AE25" i="59"/>
  <c r="AD25" i="59"/>
  <c r="AC25" i="59"/>
  <c r="AB25" i="59"/>
  <c r="AA25" i="59"/>
  <c r="Z25" i="59"/>
  <c r="Y25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L25" i="59"/>
  <c r="J25" i="59"/>
  <c r="I25" i="59"/>
  <c r="H25" i="59"/>
  <c r="F25" i="59"/>
  <c r="E25" i="59"/>
  <c r="D25" i="59"/>
  <c r="C25" i="59"/>
  <c r="AV24" i="59"/>
  <c r="AU24" i="59"/>
  <c r="AT24" i="59"/>
  <c r="AS24" i="59"/>
  <c r="AR24" i="59"/>
  <c r="AQ24" i="59"/>
  <c r="AO24" i="59"/>
  <c r="AN24" i="59"/>
  <c r="AL24" i="59"/>
  <c r="AK24" i="59"/>
  <c r="AJ24" i="59"/>
  <c r="BR24" i="64"/>
  <c r="AH24" i="59"/>
  <c r="AG24" i="59"/>
  <c r="AF24" i="59"/>
  <c r="AE24" i="59"/>
  <c r="AD24" i="59"/>
  <c r="AC24" i="59"/>
  <c r="AB24" i="59"/>
  <c r="AA24" i="59"/>
  <c r="Z24" i="59"/>
  <c r="Y24" i="59"/>
  <c r="X24" i="59"/>
  <c r="W24" i="59"/>
  <c r="V24" i="59"/>
  <c r="U24" i="59"/>
  <c r="T24" i="59"/>
  <c r="S24" i="59"/>
  <c r="R24" i="59"/>
  <c r="Q24" i="59"/>
  <c r="P24" i="59"/>
  <c r="O24" i="59"/>
  <c r="N24" i="59"/>
  <c r="M24" i="59"/>
  <c r="L24" i="59"/>
  <c r="K24" i="59"/>
  <c r="H24" i="59"/>
  <c r="G24" i="59"/>
  <c r="F24" i="59"/>
  <c r="BK24" i="64"/>
  <c r="D24" i="59"/>
  <c r="C24" i="59"/>
  <c r="AV23" i="59"/>
  <c r="AU23" i="59"/>
  <c r="AT23" i="59"/>
  <c r="AS23" i="59"/>
  <c r="AR23" i="59"/>
  <c r="AQ23" i="59"/>
  <c r="AP23" i="59"/>
  <c r="AX23" i="64"/>
  <c r="AL23" i="59"/>
  <c r="AK23" i="59"/>
  <c r="AJ23" i="59"/>
  <c r="AH23" i="59"/>
  <c r="AG23" i="59"/>
  <c r="AF23" i="59"/>
  <c r="AE23" i="59"/>
  <c r="AD23" i="59"/>
  <c r="AC23" i="59"/>
  <c r="AB23" i="59"/>
  <c r="AA23" i="59"/>
  <c r="Z23" i="59"/>
  <c r="Y23" i="59"/>
  <c r="X23" i="59"/>
  <c r="W23" i="59"/>
  <c r="V23" i="59"/>
  <c r="U23" i="59"/>
  <c r="T23" i="59"/>
  <c r="S23" i="59"/>
  <c r="R23" i="59"/>
  <c r="Q23" i="59"/>
  <c r="P23" i="59"/>
  <c r="O23" i="59"/>
  <c r="N23" i="59"/>
  <c r="M23" i="59"/>
  <c r="L23" i="59"/>
  <c r="J23" i="59"/>
  <c r="I23" i="59"/>
  <c r="H23" i="59"/>
  <c r="F23" i="59"/>
  <c r="C23" i="59"/>
  <c r="AU22" i="59"/>
  <c r="AQ22" i="59"/>
  <c r="AM22" i="59"/>
  <c r="AI22" i="59"/>
  <c r="AE22" i="59"/>
  <c r="AA22" i="59"/>
  <c r="W22" i="59"/>
  <c r="T22" i="59"/>
  <c r="P22" i="59"/>
  <c r="L22" i="59"/>
  <c r="H22" i="59"/>
  <c r="BH22" i="64"/>
  <c r="D22" i="59"/>
  <c r="AV21" i="59"/>
  <c r="AR21" i="59"/>
  <c r="AQ21" i="59"/>
  <c r="AP21" i="59"/>
  <c r="AO21" i="59"/>
  <c r="AN21" i="59"/>
  <c r="AM21" i="59"/>
  <c r="AL21" i="59"/>
  <c r="AK21" i="59"/>
  <c r="K21" i="59"/>
  <c r="D21" i="59"/>
  <c r="AV20" i="59"/>
  <c r="AU20" i="59"/>
  <c r="AT20" i="59"/>
  <c r="AS20" i="59"/>
  <c r="AR20" i="59"/>
  <c r="AQ20" i="59"/>
  <c r="AP20" i="59"/>
  <c r="AO20" i="59"/>
  <c r="AN20" i="59"/>
  <c r="AM20" i="59"/>
  <c r="AL20" i="59"/>
  <c r="AK20" i="59"/>
  <c r="AJ20" i="59"/>
  <c r="AI20" i="59"/>
  <c r="AH20" i="59"/>
  <c r="AG20" i="59"/>
  <c r="AF20" i="59"/>
  <c r="AE20" i="59"/>
  <c r="AD20" i="59"/>
  <c r="AC20" i="59"/>
  <c r="AB20" i="59"/>
  <c r="AA20" i="59"/>
  <c r="Z20" i="59"/>
  <c r="Y20" i="59"/>
  <c r="X20" i="59"/>
  <c r="W20" i="59"/>
  <c r="V20" i="59"/>
  <c r="U20" i="59"/>
  <c r="T20" i="59"/>
  <c r="S20" i="59"/>
  <c r="R20" i="59"/>
  <c r="Q20" i="59"/>
  <c r="P20" i="59"/>
  <c r="O20" i="59"/>
  <c r="N20" i="59"/>
  <c r="M20" i="59"/>
  <c r="L20" i="59"/>
  <c r="K20" i="59"/>
  <c r="J20" i="59"/>
  <c r="I20" i="59"/>
  <c r="H20" i="59"/>
  <c r="G20" i="59"/>
  <c r="F20" i="59"/>
  <c r="E20" i="59"/>
  <c r="D20" i="59"/>
  <c r="C20" i="59"/>
  <c r="AV19" i="59"/>
  <c r="AU19" i="59"/>
  <c r="AT19" i="59"/>
  <c r="AS19" i="59"/>
  <c r="AR19" i="59"/>
  <c r="AQ19" i="59"/>
  <c r="AP19" i="59"/>
  <c r="AO19" i="59"/>
  <c r="AN19" i="59"/>
  <c r="AM19" i="59"/>
  <c r="AL19" i="59"/>
  <c r="AK19" i="59"/>
  <c r="AJ19" i="59"/>
  <c r="AI19" i="59"/>
  <c r="AH19" i="59"/>
  <c r="AG19" i="59"/>
  <c r="AF19" i="59"/>
  <c r="AE19" i="59"/>
  <c r="AD19" i="59"/>
  <c r="AC19" i="59"/>
  <c r="AB19" i="59"/>
  <c r="AA19" i="59"/>
  <c r="Z19" i="59"/>
  <c r="Y19" i="59"/>
  <c r="X19" i="59"/>
  <c r="W19" i="59"/>
  <c r="V19" i="59"/>
  <c r="U19" i="59"/>
  <c r="T19" i="59"/>
  <c r="S19" i="59"/>
  <c r="R19" i="59"/>
  <c r="Q19" i="59"/>
  <c r="P19" i="59"/>
  <c r="O19" i="59"/>
  <c r="N19" i="59"/>
  <c r="M19" i="59"/>
  <c r="L19" i="59"/>
  <c r="K19" i="59"/>
  <c r="J19" i="59"/>
  <c r="I19" i="59"/>
  <c r="H19" i="59"/>
  <c r="G19" i="59"/>
  <c r="F19" i="59"/>
  <c r="E19" i="59"/>
  <c r="D19" i="59"/>
  <c r="C19" i="59"/>
  <c r="AV18" i="59"/>
  <c r="AU18" i="59"/>
  <c r="AT18" i="59"/>
  <c r="AS18" i="59"/>
  <c r="AR18" i="59"/>
  <c r="AQ18" i="59"/>
  <c r="AP18" i="59"/>
  <c r="AO18" i="59"/>
  <c r="AN18" i="59"/>
  <c r="AM18" i="59"/>
  <c r="AL18" i="59"/>
  <c r="AK18" i="59"/>
  <c r="AJ18" i="59"/>
  <c r="AI18" i="59"/>
  <c r="AH18" i="59"/>
  <c r="AG18" i="59"/>
  <c r="AF18" i="59"/>
  <c r="AE18" i="59"/>
  <c r="AD18" i="59"/>
  <c r="AC18" i="59"/>
  <c r="AB18" i="59"/>
  <c r="AA18" i="59"/>
  <c r="Z18" i="59"/>
  <c r="Y18" i="59"/>
  <c r="X18" i="59"/>
  <c r="W18" i="59"/>
  <c r="V18" i="59"/>
  <c r="U18" i="59"/>
  <c r="T18" i="59"/>
  <c r="S18" i="59"/>
  <c r="R18" i="59"/>
  <c r="Q18" i="59"/>
  <c r="P18" i="59"/>
  <c r="O18" i="59"/>
  <c r="N18" i="59"/>
  <c r="M18" i="59"/>
  <c r="L18" i="59"/>
  <c r="K18" i="59"/>
  <c r="J18" i="59"/>
  <c r="I18" i="59"/>
  <c r="H18" i="59"/>
  <c r="G18" i="59"/>
  <c r="F18" i="59"/>
  <c r="E18" i="59"/>
  <c r="D18" i="59"/>
  <c r="C18" i="59"/>
  <c r="AV17" i="59"/>
  <c r="AU17" i="59"/>
  <c r="AT17" i="59"/>
  <c r="AS17" i="59"/>
  <c r="AR17" i="59"/>
  <c r="AQ17" i="59"/>
  <c r="AP17" i="59"/>
  <c r="AO17" i="59"/>
  <c r="AN17" i="59"/>
  <c r="AM17" i="59"/>
  <c r="AL17" i="59"/>
  <c r="AK17" i="59"/>
  <c r="AJ17" i="59"/>
  <c r="AI17" i="59"/>
  <c r="AH17" i="59"/>
  <c r="AG17" i="59"/>
  <c r="AF17" i="59"/>
  <c r="AE17" i="59"/>
  <c r="AD17" i="59"/>
  <c r="AC17" i="59"/>
  <c r="AB17" i="59"/>
  <c r="AA17" i="59"/>
  <c r="Z17" i="59"/>
  <c r="Y17" i="59"/>
  <c r="X17" i="59"/>
  <c r="W17" i="59"/>
  <c r="V17" i="59"/>
  <c r="U17" i="59"/>
  <c r="T17" i="59"/>
  <c r="S17" i="59"/>
  <c r="R17" i="59"/>
  <c r="Q17" i="59"/>
  <c r="P17" i="59"/>
  <c r="O17" i="59"/>
  <c r="N17" i="59"/>
  <c r="M17" i="59"/>
  <c r="L17" i="59"/>
  <c r="K17" i="59"/>
  <c r="J17" i="59"/>
  <c r="I17" i="59"/>
  <c r="H17" i="59"/>
  <c r="G17" i="59"/>
  <c r="F17" i="59"/>
  <c r="E17" i="59"/>
  <c r="D17" i="59"/>
  <c r="C17" i="59"/>
  <c r="AV16" i="59"/>
  <c r="AU16" i="59"/>
  <c r="AT16" i="59"/>
  <c r="AS16" i="59"/>
  <c r="AR16" i="59"/>
  <c r="AQ16" i="59"/>
  <c r="AP16" i="59"/>
  <c r="AO16" i="59"/>
  <c r="AN16" i="59"/>
  <c r="AM16" i="59"/>
  <c r="AL16" i="59"/>
  <c r="AK16" i="59"/>
  <c r="AJ16" i="59"/>
  <c r="AI16" i="59"/>
  <c r="AH16" i="59"/>
  <c r="AG16" i="59"/>
  <c r="AF16" i="59"/>
  <c r="AE16" i="59"/>
  <c r="AD16" i="59"/>
  <c r="AC16" i="59"/>
  <c r="AB16" i="59"/>
  <c r="AA16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G16" i="59"/>
  <c r="F16" i="59"/>
  <c r="E16" i="59"/>
  <c r="D16" i="59"/>
  <c r="C16" i="59"/>
  <c r="AV15" i="59"/>
  <c r="AU15" i="59"/>
  <c r="AT15" i="59"/>
  <c r="AS15" i="59"/>
  <c r="AR15" i="59"/>
  <c r="AQ15" i="59"/>
  <c r="AP15" i="59"/>
  <c r="AO15" i="59"/>
  <c r="AN15" i="59"/>
  <c r="AM15" i="59"/>
  <c r="AL15" i="59"/>
  <c r="AK15" i="59"/>
  <c r="AJ15" i="59"/>
  <c r="AI15" i="59"/>
  <c r="AH15" i="59"/>
  <c r="AG15" i="59"/>
  <c r="AF15" i="59"/>
  <c r="AE15" i="59"/>
  <c r="AD15" i="59"/>
  <c r="AC15" i="59"/>
  <c r="AB15" i="59"/>
  <c r="AA15" i="59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H15" i="59"/>
  <c r="G15" i="59"/>
  <c r="F15" i="59"/>
  <c r="E15" i="59"/>
  <c r="D15" i="59"/>
  <c r="C15" i="59"/>
  <c r="AV14" i="59"/>
  <c r="AU14" i="59"/>
  <c r="AT14" i="59"/>
  <c r="AS14" i="59"/>
  <c r="AR14" i="59"/>
  <c r="AQ14" i="59"/>
  <c r="AP14" i="59"/>
  <c r="AO14" i="59"/>
  <c r="AN14" i="59"/>
  <c r="AM14" i="59"/>
  <c r="AL14" i="59"/>
  <c r="AK14" i="59"/>
  <c r="AJ14" i="59"/>
  <c r="AI14" i="59"/>
  <c r="AH14" i="59"/>
  <c r="AG14" i="59"/>
  <c r="AF14" i="59"/>
  <c r="AE14" i="59"/>
  <c r="AD14" i="59"/>
  <c r="AC14" i="59"/>
  <c r="AB14" i="59"/>
  <c r="AA14" i="59"/>
  <c r="Z14" i="59"/>
  <c r="Y14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H14" i="59"/>
  <c r="G14" i="59"/>
  <c r="F14" i="59"/>
  <c r="E14" i="59"/>
  <c r="D14" i="59"/>
  <c r="C14" i="59"/>
  <c r="AV13" i="59"/>
  <c r="AR13" i="59"/>
  <c r="AQ13" i="59"/>
  <c r="AP13" i="59"/>
  <c r="AO13" i="59"/>
  <c r="AN13" i="59"/>
  <c r="AM13" i="59"/>
  <c r="AL13" i="59"/>
  <c r="AK13" i="59"/>
  <c r="K13" i="59"/>
  <c r="D13" i="59"/>
  <c r="AV12" i="59"/>
  <c r="AU12" i="59"/>
  <c r="AT12" i="59"/>
  <c r="AS12" i="59"/>
  <c r="AR12" i="59"/>
  <c r="AQ12" i="59"/>
  <c r="AP12" i="59"/>
  <c r="AO12" i="59"/>
  <c r="AN12" i="59"/>
  <c r="AM12" i="59"/>
  <c r="AL12" i="59"/>
  <c r="AK12" i="59"/>
  <c r="AJ12" i="59"/>
  <c r="AI12" i="59"/>
  <c r="AH12" i="59"/>
  <c r="AG12" i="59"/>
  <c r="AF12" i="59"/>
  <c r="AE12" i="59"/>
  <c r="AD12" i="59"/>
  <c r="AC12" i="59"/>
  <c r="AB12" i="59"/>
  <c r="AA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G12" i="59"/>
  <c r="F12" i="59"/>
  <c r="E12" i="59"/>
  <c r="D12" i="59"/>
  <c r="C12" i="59"/>
  <c r="AV11" i="59"/>
  <c r="AU11" i="59"/>
  <c r="AT11" i="59"/>
  <c r="AS11" i="59"/>
  <c r="AR11" i="59"/>
  <c r="AQ11" i="59"/>
  <c r="AP11" i="59"/>
  <c r="AO11" i="59"/>
  <c r="AN11" i="59"/>
  <c r="AM11" i="59"/>
  <c r="AL11" i="59"/>
  <c r="AK11" i="59"/>
  <c r="AJ11" i="59"/>
  <c r="AI11" i="59"/>
  <c r="AH11" i="59"/>
  <c r="AG11" i="59"/>
  <c r="AF11" i="59"/>
  <c r="AE11" i="59"/>
  <c r="AD11" i="59"/>
  <c r="AC11" i="59"/>
  <c r="AB11" i="59"/>
  <c r="AA11" i="59"/>
  <c r="Z11" i="59"/>
  <c r="Y11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H11" i="59"/>
  <c r="G11" i="59"/>
  <c r="F11" i="59"/>
  <c r="E11" i="59"/>
  <c r="D11" i="59"/>
  <c r="C11" i="59"/>
  <c r="AV10" i="59"/>
  <c r="AU10" i="59"/>
  <c r="AT10" i="59"/>
  <c r="AS10" i="59"/>
  <c r="AR10" i="59"/>
  <c r="AQ10" i="59"/>
  <c r="AP10" i="59"/>
  <c r="AO10" i="59"/>
  <c r="AN10" i="59"/>
  <c r="AM10" i="59"/>
  <c r="AL10" i="59"/>
  <c r="AK10" i="59"/>
  <c r="AJ10" i="59"/>
  <c r="AI10" i="59"/>
  <c r="AH10" i="59"/>
  <c r="AG10" i="59"/>
  <c r="AF10" i="59"/>
  <c r="AE10" i="59"/>
  <c r="AD10" i="59"/>
  <c r="AC10" i="59"/>
  <c r="AB10" i="59"/>
  <c r="AA10" i="59"/>
  <c r="Z10" i="59"/>
  <c r="Y10" i="59"/>
  <c r="X10" i="59"/>
  <c r="W10" i="59"/>
  <c r="V10" i="59"/>
  <c r="U10" i="59"/>
  <c r="T10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D10" i="59"/>
  <c r="C10" i="59"/>
  <c r="AV9" i="59"/>
  <c r="AU9" i="59"/>
  <c r="AT9" i="59"/>
  <c r="AS9" i="59"/>
  <c r="AR9" i="59"/>
  <c r="AQ9" i="59"/>
  <c r="AP9" i="59"/>
  <c r="AO9" i="59"/>
  <c r="AN9" i="59"/>
  <c r="AM9" i="59"/>
  <c r="AL9" i="59"/>
  <c r="AK9" i="59"/>
  <c r="AJ9" i="59"/>
  <c r="AI9" i="59"/>
  <c r="AH9" i="59"/>
  <c r="AG9" i="59"/>
  <c r="AF9" i="59"/>
  <c r="AE9" i="59"/>
  <c r="AD9" i="59"/>
  <c r="AC9" i="59"/>
  <c r="AB9" i="59"/>
  <c r="AA9" i="59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G9" i="59"/>
  <c r="F9" i="59"/>
  <c r="E9" i="59"/>
  <c r="D9" i="59"/>
  <c r="C9" i="59"/>
  <c r="AV8" i="59"/>
  <c r="AU8" i="59"/>
  <c r="AT8" i="59"/>
  <c r="AS8" i="59"/>
  <c r="AR8" i="59"/>
  <c r="AQ8" i="59"/>
  <c r="AP8" i="59"/>
  <c r="AO8" i="59"/>
  <c r="AN8" i="59"/>
  <c r="AM8" i="59"/>
  <c r="AL8" i="59"/>
  <c r="AK8" i="59"/>
  <c r="AJ8" i="59"/>
  <c r="AI8" i="59"/>
  <c r="AH8" i="59"/>
  <c r="AG8" i="59"/>
  <c r="AF8" i="59"/>
  <c r="AE8" i="59"/>
  <c r="AD8" i="59"/>
  <c r="AC8" i="59"/>
  <c r="AB8" i="59"/>
  <c r="AA8" i="59"/>
  <c r="Z8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H8" i="59"/>
  <c r="G8" i="59"/>
  <c r="F8" i="59"/>
  <c r="E8" i="59"/>
  <c r="D8" i="59"/>
  <c r="C8" i="59"/>
  <c r="AV7" i="59"/>
  <c r="AU7" i="59"/>
  <c r="AT7" i="59"/>
  <c r="AS7" i="59"/>
  <c r="AR7" i="59"/>
  <c r="AQ7" i="59"/>
  <c r="AP7" i="59"/>
  <c r="AO7" i="59"/>
  <c r="AN7" i="59"/>
  <c r="AM7" i="59"/>
  <c r="AL7" i="59"/>
  <c r="AK7" i="59"/>
  <c r="AJ7" i="59"/>
  <c r="AI7" i="59"/>
  <c r="AH7" i="59"/>
  <c r="AG7" i="59"/>
  <c r="AF7" i="59"/>
  <c r="AE7" i="59"/>
  <c r="AD7" i="59"/>
  <c r="AC7" i="59"/>
  <c r="AB7" i="59"/>
  <c r="AA7" i="59"/>
  <c r="Z7" i="59"/>
  <c r="Y7" i="59"/>
  <c r="X7" i="59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H7" i="59"/>
  <c r="G7" i="59"/>
  <c r="F7" i="59"/>
  <c r="E7" i="59"/>
  <c r="D7" i="59"/>
  <c r="C7" i="59"/>
  <c r="AV6" i="59"/>
  <c r="AU6" i="59"/>
  <c r="AT6" i="59"/>
  <c r="AS6" i="59"/>
  <c r="AR6" i="59"/>
  <c r="AQ6" i="59"/>
  <c r="AP6" i="59"/>
  <c r="AO6" i="59"/>
  <c r="AN6" i="59"/>
  <c r="AM6" i="59"/>
  <c r="AL6" i="59"/>
  <c r="AK6" i="59"/>
  <c r="AJ6" i="59"/>
  <c r="AI6" i="59"/>
  <c r="AH6" i="59"/>
  <c r="AG6" i="59"/>
  <c r="AF6" i="59"/>
  <c r="AE6" i="59"/>
  <c r="AD6" i="59"/>
  <c r="AC6" i="59"/>
  <c r="AB6" i="59"/>
  <c r="AA6" i="59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H6" i="59"/>
  <c r="G6" i="59"/>
  <c r="F6" i="59"/>
  <c r="E6" i="59"/>
  <c r="D6" i="59"/>
  <c r="C6" i="59"/>
  <c r="AV5" i="59"/>
  <c r="AU5" i="59"/>
  <c r="AT5" i="59"/>
  <c r="AS5" i="59"/>
  <c r="AR5" i="59"/>
  <c r="AQ5" i="59"/>
  <c r="AP5" i="59"/>
  <c r="AO5" i="59"/>
  <c r="AN5" i="59"/>
  <c r="AM5" i="59"/>
  <c r="AL5" i="59"/>
  <c r="AK5" i="59"/>
  <c r="AJ5" i="59"/>
  <c r="AI5" i="59"/>
  <c r="AH5" i="59"/>
  <c r="AG5" i="59"/>
  <c r="AF5" i="59"/>
  <c r="AE5" i="59"/>
  <c r="AD5" i="59"/>
  <c r="AC5" i="59"/>
  <c r="AB5" i="59"/>
  <c r="AA5" i="59"/>
  <c r="Z5" i="59"/>
  <c r="Y5" i="59"/>
  <c r="X5" i="59"/>
  <c r="W5" i="59"/>
  <c r="V5" i="59"/>
  <c r="U5" i="59"/>
  <c r="T5" i="59"/>
  <c r="S5" i="59"/>
  <c r="R5" i="59"/>
  <c r="Q5" i="59"/>
  <c r="P5" i="59"/>
  <c r="O5" i="59"/>
  <c r="N5" i="59"/>
  <c r="M5" i="59"/>
  <c r="L5" i="59"/>
  <c r="K5" i="59"/>
  <c r="J5" i="59"/>
  <c r="I5" i="59"/>
  <c r="H5" i="59"/>
  <c r="G5" i="59"/>
  <c r="F5" i="59"/>
  <c r="E5" i="59"/>
  <c r="D5" i="59"/>
  <c r="C5" i="59"/>
  <c r="AR4" i="59"/>
  <c r="AP4" i="59"/>
  <c r="AN4" i="59"/>
  <c r="AL4" i="59"/>
  <c r="AK4" i="59"/>
  <c r="K4" i="59"/>
  <c r="D4" i="59"/>
  <c r="A4" i="64"/>
  <c r="A5" i="64" s="1"/>
  <c r="AW36" i="66"/>
  <c r="AV36" i="66"/>
  <c r="AU36" i="66"/>
  <c r="AT36" i="66"/>
  <c r="AS36" i="66"/>
  <c r="AR36" i="66"/>
  <c r="AQ36" i="66"/>
  <c r="AP36" i="66"/>
  <c r="AO36" i="66"/>
  <c r="AN36" i="66"/>
  <c r="AM36" i="66"/>
  <c r="AL36" i="66"/>
  <c r="AK36" i="66"/>
  <c r="AJ36" i="66"/>
  <c r="AI36" i="66"/>
  <c r="AH36" i="66"/>
  <c r="AG36" i="66"/>
  <c r="AF36" i="66"/>
  <c r="AE36" i="66"/>
  <c r="AD36" i="66"/>
  <c r="AC36" i="66"/>
  <c r="AB36" i="66"/>
  <c r="AA36" i="66"/>
  <c r="Z36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BT36" i="66" s="1"/>
  <c r="I36" i="66"/>
  <c r="H36" i="66"/>
  <c r="G36" i="66"/>
  <c r="BH36" i="66" s="1"/>
  <c r="F36" i="66"/>
  <c r="E36" i="66"/>
  <c r="D36" i="66"/>
  <c r="C36" i="66"/>
  <c r="BT35" i="66"/>
  <c r="BH35" i="66"/>
  <c r="D35" i="66"/>
  <c r="C35" i="66"/>
  <c r="CG34" i="66"/>
  <c r="CF34" i="66"/>
  <c r="CE34" i="66"/>
  <c r="CD34" i="66"/>
  <c r="CC34" i="66"/>
  <c r="CA34" i="66"/>
  <c r="BZ34" i="66"/>
  <c r="BY34" i="66"/>
  <c r="BX34" i="66"/>
  <c r="BW34" i="66"/>
  <c r="BV34" i="66"/>
  <c r="BT34" i="66"/>
  <c r="BS34" i="66"/>
  <c r="BR34" i="66"/>
  <c r="BP34" i="66"/>
  <c r="BN34" i="66"/>
  <c r="BM34" i="66"/>
  <c r="BL34" i="66"/>
  <c r="BK34" i="66"/>
  <c r="BI34" i="66"/>
  <c r="BH34" i="66"/>
  <c r="BG34" i="66"/>
  <c r="BF34" i="66"/>
  <c r="BE34" i="66"/>
  <c r="BD34" i="66"/>
  <c r="BB34" i="66"/>
  <c r="BA34" i="66"/>
  <c r="AZ34" i="66"/>
  <c r="AX34" i="66"/>
  <c r="CG33" i="66"/>
  <c r="CF33" i="66"/>
  <c r="CE33" i="66"/>
  <c r="CD33" i="66"/>
  <c r="CC33" i="66"/>
  <c r="CA33" i="66"/>
  <c r="BZ33" i="66"/>
  <c r="BY33" i="66"/>
  <c r="BX33" i="66"/>
  <c r="BW33" i="66"/>
  <c r="BV33" i="66"/>
  <c r="BT33" i="66"/>
  <c r="BS33" i="66"/>
  <c r="BR33" i="66"/>
  <c r="BP33" i="66"/>
  <c r="BN33" i="66"/>
  <c r="BM33" i="66"/>
  <c r="BL33" i="66"/>
  <c r="BK33" i="66"/>
  <c r="BI33" i="66"/>
  <c r="BH33" i="66"/>
  <c r="BG33" i="66"/>
  <c r="BF33" i="66"/>
  <c r="BE33" i="66"/>
  <c r="BD33" i="66"/>
  <c r="BB33" i="66"/>
  <c r="BA33" i="66"/>
  <c r="AZ33" i="66"/>
  <c r="AX33" i="66"/>
  <c r="CG32" i="66"/>
  <c r="CF32" i="66"/>
  <c r="CE32" i="66"/>
  <c r="CD32" i="66"/>
  <c r="CC32" i="66"/>
  <c r="CA32" i="66"/>
  <c r="BZ32" i="66"/>
  <c r="BY32" i="66"/>
  <c r="BX32" i="66"/>
  <c r="BW32" i="66"/>
  <c r="BV32" i="66"/>
  <c r="BT32" i="66"/>
  <c r="BS32" i="66"/>
  <c r="BR32" i="66"/>
  <c r="BP32" i="66"/>
  <c r="BN32" i="66"/>
  <c r="BM32" i="66"/>
  <c r="BL32" i="66"/>
  <c r="BK32" i="66"/>
  <c r="BI32" i="66"/>
  <c r="BH32" i="66"/>
  <c r="BG32" i="66"/>
  <c r="BF32" i="66"/>
  <c r="BE32" i="66"/>
  <c r="BD32" i="66"/>
  <c r="BB32" i="66"/>
  <c r="BA32" i="66"/>
  <c r="AZ32" i="66"/>
  <c r="AX32" i="66"/>
  <c r="CG31" i="66"/>
  <c r="CF31" i="66"/>
  <c r="CE31" i="66"/>
  <c r="CD31" i="66"/>
  <c r="CC31" i="66"/>
  <c r="CA31" i="66"/>
  <c r="BZ31" i="66"/>
  <c r="BY31" i="66"/>
  <c r="BX31" i="66"/>
  <c r="BW31" i="66"/>
  <c r="BV31" i="66"/>
  <c r="BT31" i="66"/>
  <c r="BS31" i="66"/>
  <c r="BR31" i="66"/>
  <c r="BP31" i="66"/>
  <c r="BN31" i="66"/>
  <c r="BM31" i="66"/>
  <c r="BL31" i="66"/>
  <c r="BK31" i="66"/>
  <c r="BI31" i="66"/>
  <c r="BH31" i="66"/>
  <c r="BG31" i="66"/>
  <c r="BF31" i="66"/>
  <c r="BE31" i="66"/>
  <c r="BD31" i="66"/>
  <c r="BB31" i="66"/>
  <c r="BA31" i="66"/>
  <c r="AZ31" i="66"/>
  <c r="AX31" i="66"/>
  <c r="CG30" i="66"/>
  <c r="CF30" i="66"/>
  <c r="CE30" i="66"/>
  <c r="CD30" i="66"/>
  <c r="CC30" i="66"/>
  <c r="CA30" i="66"/>
  <c r="BZ30" i="66"/>
  <c r="BY30" i="66"/>
  <c r="BX30" i="66"/>
  <c r="BW30" i="66"/>
  <c r="BV30" i="66"/>
  <c r="BT30" i="66"/>
  <c r="BS30" i="66"/>
  <c r="BR30" i="66"/>
  <c r="BP30" i="66"/>
  <c r="BN30" i="66"/>
  <c r="BM30" i="66"/>
  <c r="BL30" i="66"/>
  <c r="BK30" i="66"/>
  <c r="BI30" i="66"/>
  <c r="BH30" i="66"/>
  <c r="BG30" i="66"/>
  <c r="BF30" i="66"/>
  <c r="BE30" i="66"/>
  <c r="BD30" i="66"/>
  <c r="BB30" i="66"/>
  <c r="BA30" i="66"/>
  <c r="AZ30" i="66"/>
  <c r="AX30" i="66"/>
  <c r="CG29" i="66"/>
  <c r="CF29" i="66"/>
  <c r="CE29" i="66"/>
  <c r="CD29" i="66"/>
  <c r="CC29" i="66"/>
  <c r="CA29" i="66"/>
  <c r="BZ29" i="66"/>
  <c r="BY29" i="66"/>
  <c r="BX29" i="66"/>
  <c r="BW29" i="66"/>
  <c r="BV29" i="66"/>
  <c r="BT29" i="66"/>
  <c r="BS29" i="66"/>
  <c r="BR29" i="66"/>
  <c r="BP29" i="66"/>
  <c r="BN29" i="66"/>
  <c r="BM29" i="66"/>
  <c r="BL29" i="66"/>
  <c r="BK29" i="66"/>
  <c r="BI29" i="66"/>
  <c r="BH29" i="66"/>
  <c r="BG29" i="66"/>
  <c r="BF29" i="66"/>
  <c r="BE29" i="66"/>
  <c r="BD29" i="66"/>
  <c r="BB29" i="66"/>
  <c r="BA29" i="66"/>
  <c r="AZ29" i="66"/>
  <c r="AX29" i="66"/>
  <c r="CG28" i="66"/>
  <c r="CF28" i="66"/>
  <c r="CE28" i="66"/>
  <c r="CD28" i="66"/>
  <c r="CC28" i="66"/>
  <c r="CA28" i="66"/>
  <c r="BZ28" i="66"/>
  <c r="BY28" i="66"/>
  <c r="BX28" i="66"/>
  <c r="BW28" i="66"/>
  <c r="BV28" i="66"/>
  <c r="BT28" i="66"/>
  <c r="BS28" i="66"/>
  <c r="BR28" i="66"/>
  <c r="BP28" i="66"/>
  <c r="BN28" i="66"/>
  <c r="BM28" i="66"/>
  <c r="BL28" i="66"/>
  <c r="BK28" i="66"/>
  <c r="BI28" i="66"/>
  <c r="BH28" i="66"/>
  <c r="BG28" i="66"/>
  <c r="BF28" i="66"/>
  <c r="BE28" i="66"/>
  <c r="BD28" i="66"/>
  <c r="BB28" i="66"/>
  <c r="BA28" i="66"/>
  <c r="AZ28" i="66"/>
  <c r="AX28" i="66"/>
  <c r="CG27" i="66"/>
  <c r="CF27" i="66"/>
  <c r="CE27" i="66"/>
  <c r="CD27" i="66"/>
  <c r="CC27" i="66"/>
  <c r="CA27" i="66"/>
  <c r="BZ27" i="66"/>
  <c r="BY27" i="66"/>
  <c r="BX27" i="66"/>
  <c r="BW27" i="66"/>
  <c r="BV27" i="66"/>
  <c r="BT27" i="66"/>
  <c r="BS27" i="66"/>
  <c r="BR27" i="66"/>
  <c r="BP27" i="66"/>
  <c r="BN27" i="66"/>
  <c r="BM27" i="66"/>
  <c r="BL27" i="66"/>
  <c r="BK27" i="66"/>
  <c r="BI27" i="66"/>
  <c r="BH27" i="66"/>
  <c r="BG27" i="66"/>
  <c r="BF27" i="66"/>
  <c r="BE27" i="66"/>
  <c r="BD27" i="66"/>
  <c r="BB27" i="66"/>
  <c r="BA27" i="66"/>
  <c r="AZ27" i="66"/>
  <c r="AX27" i="66"/>
  <c r="CG26" i="66"/>
  <c r="CF26" i="66"/>
  <c r="CE26" i="66"/>
  <c r="CD26" i="66"/>
  <c r="CC26" i="66"/>
  <c r="CA26" i="66"/>
  <c r="BZ26" i="66"/>
  <c r="BY26" i="66"/>
  <c r="BX26" i="66"/>
  <c r="BW26" i="66"/>
  <c r="BV26" i="66"/>
  <c r="BT26" i="66"/>
  <c r="BS26" i="66"/>
  <c r="BR26" i="66"/>
  <c r="BP26" i="66"/>
  <c r="BN26" i="66"/>
  <c r="BM26" i="66"/>
  <c r="BL26" i="66"/>
  <c r="BK26" i="66"/>
  <c r="BI26" i="66"/>
  <c r="BH26" i="66"/>
  <c r="BG26" i="66"/>
  <c r="BF26" i="66"/>
  <c r="BE26" i="66"/>
  <c r="BD26" i="66"/>
  <c r="BB26" i="66"/>
  <c r="BA26" i="66"/>
  <c r="AZ26" i="66"/>
  <c r="AX26" i="66"/>
  <c r="CG25" i="66"/>
  <c r="CF25" i="66"/>
  <c r="CE25" i="66"/>
  <c r="CD25" i="66"/>
  <c r="CC25" i="66"/>
  <c r="CA25" i="66"/>
  <c r="BZ25" i="66"/>
  <c r="BY25" i="66"/>
  <c r="BX25" i="66"/>
  <c r="BW25" i="66"/>
  <c r="BV25" i="66"/>
  <c r="BT25" i="66"/>
  <c r="BS25" i="66"/>
  <c r="BR25" i="66"/>
  <c r="BP25" i="66"/>
  <c r="BN25" i="66"/>
  <c r="BM25" i="66"/>
  <c r="BL25" i="66"/>
  <c r="BK25" i="66"/>
  <c r="BI25" i="66"/>
  <c r="BH25" i="66"/>
  <c r="BG25" i="66"/>
  <c r="BF25" i="66"/>
  <c r="BE25" i="66"/>
  <c r="BD25" i="66"/>
  <c r="BB25" i="66"/>
  <c r="BA25" i="66"/>
  <c r="AZ25" i="66"/>
  <c r="AX25" i="66"/>
  <c r="CG24" i="66"/>
  <c r="CF24" i="66"/>
  <c r="CE24" i="66"/>
  <c r="CD24" i="66"/>
  <c r="CC24" i="66"/>
  <c r="CA24" i="66"/>
  <c r="BZ24" i="66"/>
  <c r="BY24" i="66"/>
  <c r="BX24" i="66"/>
  <c r="BW24" i="66"/>
  <c r="BV24" i="66"/>
  <c r="BT24" i="66"/>
  <c r="BS24" i="66"/>
  <c r="BR24" i="66"/>
  <c r="BP24" i="66"/>
  <c r="BN24" i="66"/>
  <c r="BM24" i="66"/>
  <c r="BL24" i="66"/>
  <c r="BK24" i="66"/>
  <c r="BI24" i="66"/>
  <c r="BH24" i="66"/>
  <c r="BG24" i="66"/>
  <c r="BF24" i="66"/>
  <c r="BE24" i="66"/>
  <c r="BD24" i="66"/>
  <c r="BB24" i="66"/>
  <c r="BA24" i="66"/>
  <c r="AZ24" i="66"/>
  <c r="AX24" i="66"/>
  <c r="CG23" i="66"/>
  <c r="CF23" i="66"/>
  <c r="CE23" i="66"/>
  <c r="CD23" i="66"/>
  <c r="CC23" i="66"/>
  <c r="CA23" i="66"/>
  <c r="BZ23" i="66"/>
  <c r="BY23" i="66"/>
  <c r="BX23" i="66"/>
  <c r="BW23" i="66"/>
  <c r="BV23" i="66"/>
  <c r="BT23" i="66"/>
  <c r="BS23" i="66"/>
  <c r="BR23" i="66"/>
  <c r="BP23" i="66"/>
  <c r="BN23" i="66"/>
  <c r="BM23" i="66"/>
  <c r="BL23" i="66"/>
  <c r="BK23" i="66"/>
  <c r="BI23" i="66"/>
  <c r="BH23" i="66"/>
  <c r="BG23" i="66"/>
  <c r="BF23" i="66"/>
  <c r="BE23" i="66"/>
  <c r="BD23" i="66"/>
  <c r="BB23" i="66"/>
  <c r="BA23" i="66"/>
  <c r="AZ23" i="66"/>
  <c r="AX23" i="66"/>
  <c r="CG22" i="66"/>
  <c r="CF22" i="66"/>
  <c r="CE22" i="66"/>
  <c r="CD22" i="66"/>
  <c r="CC22" i="66"/>
  <c r="CA22" i="66"/>
  <c r="BZ22" i="66"/>
  <c r="BY22" i="66"/>
  <c r="BX22" i="66"/>
  <c r="BW22" i="66"/>
  <c r="BV22" i="66"/>
  <c r="BT22" i="66"/>
  <c r="BS22" i="66"/>
  <c r="BR22" i="66"/>
  <c r="BP22" i="66"/>
  <c r="BN22" i="66"/>
  <c r="BM22" i="66"/>
  <c r="BL22" i="66"/>
  <c r="BK22" i="66"/>
  <c r="BI22" i="66"/>
  <c r="BH22" i="66"/>
  <c r="BG22" i="66"/>
  <c r="BF22" i="66"/>
  <c r="BE22" i="66"/>
  <c r="BD22" i="66"/>
  <c r="BB22" i="66"/>
  <c r="BA22" i="66"/>
  <c r="AZ22" i="66"/>
  <c r="AX22" i="66"/>
  <c r="CG21" i="66"/>
  <c r="CF21" i="66"/>
  <c r="CE21" i="66"/>
  <c r="CD21" i="66"/>
  <c r="CC21" i="66"/>
  <c r="CA21" i="66"/>
  <c r="BZ21" i="66"/>
  <c r="BY21" i="66"/>
  <c r="BX21" i="66"/>
  <c r="BW21" i="66"/>
  <c r="BV21" i="66"/>
  <c r="BT21" i="66"/>
  <c r="BS21" i="66"/>
  <c r="BR21" i="66"/>
  <c r="BP21" i="66"/>
  <c r="BN21" i="66"/>
  <c r="BM21" i="66"/>
  <c r="BL21" i="66"/>
  <c r="BK21" i="66"/>
  <c r="BI21" i="66"/>
  <c r="BH21" i="66"/>
  <c r="BG21" i="66"/>
  <c r="BF21" i="66"/>
  <c r="BE21" i="66"/>
  <c r="BD21" i="66"/>
  <c r="BB21" i="66"/>
  <c r="BA21" i="66"/>
  <c r="AZ21" i="66"/>
  <c r="AX21" i="66"/>
  <c r="CG20" i="66"/>
  <c r="CF20" i="66"/>
  <c r="CE20" i="66"/>
  <c r="CD20" i="66"/>
  <c r="CC20" i="66"/>
  <c r="CA20" i="66"/>
  <c r="BZ20" i="66"/>
  <c r="BY20" i="66"/>
  <c r="BX20" i="66"/>
  <c r="BW20" i="66"/>
  <c r="BV20" i="66"/>
  <c r="BT20" i="66"/>
  <c r="BS20" i="66"/>
  <c r="BR20" i="66"/>
  <c r="BP20" i="66"/>
  <c r="BN20" i="66"/>
  <c r="BM20" i="66"/>
  <c r="BL20" i="66"/>
  <c r="BK20" i="66"/>
  <c r="BI20" i="66"/>
  <c r="BH20" i="66"/>
  <c r="BG20" i="66"/>
  <c r="BF20" i="66"/>
  <c r="BE20" i="66"/>
  <c r="BD20" i="66"/>
  <c r="BB20" i="66"/>
  <c r="BA20" i="66"/>
  <c r="AZ20" i="66"/>
  <c r="AX20" i="66"/>
  <c r="CG19" i="66"/>
  <c r="CF19" i="66"/>
  <c r="CE19" i="66"/>
  <c r="CD19" i="66"/>
  <c r="CC19" i="66"/>
  <c r="CA19" i="66"/>
  <c r="BZ19" i="66"/>
  <c r="BY19" i="66"/>
  <c r="BX19" i="66"/>
  <c r="BW19" i="66"/>
  <c r="BV19" i="66"/>
  <c r="BT19" i="66"/>
  <c r="BS19" i="66"/>
  <c r="BR19" i="66"/>
  <c r="BP19" i="66"/>
  <c r="BN19" i="66"/>
  <c r="BM19" i="66"/>
  <c r="BL19" i="66"/>
  <c r="BK19" i="66"/>
  <c r="BI19" i="66"/>
  <c r="BH19" i="66"/>
  <c r="BG19" i="66"/>
  <c r="BF19" i="66"/>
  <c r="BE19" i="66"/>
  <c r="BD19" i="66"/>
  <c r="BB19" i="66"/>
  <c r="BA19" i="66"/>
  <c r="AZ19" i="66"/>
  <c r="AX19" i="66"/>
  <c r="CG18" i="66"/>
  <c r="CF18" i="66"/>
  <c r="CE18" i="66"/>
  <c r="CD18" i="66"/>
  <c r="CC18" i="66"/>
  <c r="CA18" i="66"/>
  <c r="BZ18" i="66"/>
  <c r="BY18" i="66"/>
  <c r="BX18" i="66"/>
  <c r="BW18" i="66"/>
  <c r="BV18" i="66"/>
  <c r="BT18" i="66"/>
  <c r="BS18" i="66"/>
  <c r="BR18" i="66"/>
  <c r="BP18" i="66"/>
  <c r="BN18" i="66"/>
  <c r="BM18" i="66"/>
  <c r="BL18" i="66"/>
  <c r="BK18" i="66"/>
  <c r="BI18" i="66"/>
  <c r="BH18" i="66"/>
  <c r="BG18" i="66"/>
  <c r="BF18" i="66"/>
  <c r="BE18" i="66"/>
  <c r="BD18" i="66"/>
  <c r="BB18" i="66"/>
  <c r="BA18" i="66"/>
  <c r="AZ18" i="66"/>
  <c r="AX18" i="66"/>
  <c r="CG17" i="66"/>
  <c r="CF17" i="66"/>
  <c r="CE17" i="66"/>
  <c r="CD17" i="66"/>
  <c r="CC17" i="66"/>
  <c r="CA17" i="66"/>
  <c r="BZ17" i="66"/>
  <c r="BY17" i="66"/>
  <c r="BX17" i="66"/>
  <c r="BW17" i="66"/>
  <c r="BV17" i="66"/>
  <c r="BT17" i="66"/>
  <c r="BS17" i="66"/>
  <c r="BR17" i="66"/>
  <c r="BP17" i="66"/>
  <c r="BN17" i="66"/>
  <c r="BM17" i="66"/>
  <c r="BL17" i="66"/>
  <c r="BK17" i="66"/>
  <c r="BI17" i="66"/>
  <c r="BH17" i="66"/>
  <c r="BG17" i="66"/>
  <c r="BF17" i="66"/>
  <c r="BE17" i="66"/>
  <c r="BD17" i="66"/>
  <c r="BB17" i="66"/>
  <c r="BA17" i="66"/>
  <c r="AZ17" i="66"/>
  <c r="AX17" i="66"/>
  <c r="CG16" i="66"/>
  <c r="CF16" i="66"/>
  <c r="CE16" i="66"/>
  <c r="CD16" i="66"/>
  <c r="CC16" i="66"/>
  <c r="CA16" i="66"/>
  <c r="BZ16" i="66"/>
  <c r="BY16" i="66"/>
  <c r="BX16" i="66"/>
  <c r="BW16" i="66"/>
  <c r="BV16" i="66"/>
  <c r="BT16" i="66"/>
  <c r="BS16" i="66"/>
  <c r="BR16" i="66"/>
  <c r="BP16" i="66"/>
  <c r="BN16" i="66"/>
  <c r="BM16" i="66"/>
  <c r="BL16" i="66"/>
  <c r="BK16" i="66"/>
  <c r="BI16" i="66"/>
  <c r="BH16" i="66"/>
  <c r="BG16" i="66"/>
  <c r="BF16" i="66"/>
  <c r="BE16" i="66"/>
  <c r="BD16" i="66"/>
  <c r="BB16" i="66"/>
  <c r="BA16" i="66"/>
  <c r="AZ16" i="66"/>
  <c r="AX16" i="66"/>
  <c r="CG15" i="66"/>
  <c r="CF15" i="66"/>
  <c r="CE15" i="66"/>
  <c r="CD15" i="66"/>
  <c r="CC15" i="66"/>
  <c r="CA15" i="66"/>
  <c r="BZ15" i="66"/>
  <c r="BY15" i="66"/>
  <c r="BX15" i="66"/>
  <c r="BW15" i="66"/>
  <c r="BV15" i="66"/>
  <c r="BT15" i="66"/>
  <c r="BS15" i="66"/>
  <c r="BR15" i="66"/>
  <c r="BP15" i="66"/>
  <c r="BN15" i="66"/>
  <c r="BM15" i="66"/>
  <c r="BL15" i="66"/>
  <c r="BK15" i="66"/>
  <c r="BI15" i="66"/>
  <c r="BH15" i="66"/>
  <c r="BG15" i="66"/>
  <c r="BF15" i="66"/>
  <c r="BE15" i="66"/>
  <c r="BD15" i="66"/>
  <c r="BB15" i="66"/>
  <c r="BA15" i="66"/>
  <c r="AZ15" i="66"/>
  <c r="AX15" i="66"/>
  <c r="CG14" i="66"/>
  <c r="CF14" i="66"/>
  <c r="CE14" i="66"/>
  <c r="CD14" i="66"/>
  <c r="CC14" i="66"/>
  <c r="CA14" i="66"/>
  <c r="BZ14" i="66"/>
  <c r="BY14" i="66"/>
  <c r="BX14" i="66"/>
  <c r="BW14" i="66"/>
  <c r="BV14" i="66"/>
  <c r="BT14" i="66"/>
  <c r="BS14" i="66"/>
  <c r="BR14" i="66"/>
  <c r="BP14" i="66"/>
  <c r="BN14" i="66"/>
  <c r="BM14" i="66"/>
  <c r="BL14" i="66"/>
  <c r="BK14" i="66"/>
  <c r="BI14" i="66"/>
  <c r="BH14" i="66"/>
  <c r="BG14" i="66"/>
  <c r="BF14" i="66"/>
  <c r="BE14" i="66"/>
  <c r="BD14" i="66"/>
  <c r="BB14" i="66"/>
  <c r="BA14" i="66"/>
  <c r="AZ14" i="66"/>
  <c r="AX14" i="66"/>
  <c r="CG13" i="66"/>
  <c r="CF13" i="66"/>
  <c r="CE13" i="66"/>
  <c r="CD13" i="66"/>
  <c r="CC13" i="66"/>
  <c r="CA13" i="66"/>
  <c r="BZ13" i="66"/>
  <c r="BY13" i="66"/>
  <c r="BX13" i="66"/>
  <c r="BW13" i="66"/>
  <c r="BV13" i="66"/>
  <c r="BT13" i="66"/>
  <c r="BS13" i="66"/>
  <c r="BR13" i="66"/>
  <c r="BP13" i="66"/>
  <c r="BN13" i="66"/>
  <c r="BM13" i="66"/>
  <c r="BL13" i="66"/>
  <c r="BK13" i="66"/>
  <c r="BI13" i="66"/>
  <c r="BH13" i="66"/>
  <c r="BG13" i="66"/>
  <c r="BF13" i="66"/>
  <c r="BE13" i="66"/>
  <c r="BD13" i="66"/>
  <c r="BB13" i="66"/>
  <c r="BA13" i="66"/>
  <c r="AZ13" i="66"/>
  <c r="AX13" i="66"/>
  <c r="CG12" i="66"/>
  <c r="CF12" i="66"/>
  <c r="CE12" i="66"/>
  <c r="CD12" i="66"/>
  <c r="CC12" i="66"/>
  <c r="CA12" i="66"/>
  <c r="BZ12" i="66"/>
  <c r="BY12" i="66"/>
  <c r="BX12" i="66"/>
  <c r="BW12" i="66"/>
  <c r="BV12" i="66"/>
  <c r="BT12" i="66"/>
  <c r="BS12" i="66"/>
  <c r="BR12" i="66"/>
  <c r="BP12" i="66"/>
  <c r="BN12" i="66"/>
  <c r="BM12" i="66"/>
  <c r="BL12" i="66"/>
  <c r="BK12" i="66"/>
  <c r="BI12" i="66"/>
  <c r="BH12" i="66"/>
  <c r="BG12" i="66"/>
  <c r="BF12" i="66"/>
  <c r="BE12" i="66"/>
  <c r="BD12" i="66"/>
  <c r="BB12" i="66"/>
  <c r="BA12" i="66"/>
  <c r="AZ12" i="66"/>
  <c r="AX12" i="66"/>
  <c r="CG11" i="66"/>
  <c r="CF11" i="66"/>
  <c r="CE11" i="66"/>
  <c r="CD11" i="66"/>
  <c r="CC11" i="66"/>
  <c r="CA11" i="66"/>
  <c r="BZ11" i="66"/>
  <c r="BY11" i="66"/>
  <c r="BX11" i="66"/>
  <c r="BW11" i="66"/>
  <c r="BV11" i="66"/>
  <c r="BT11" i="66"/>
  <c r="BS11" i="66"/>
  <c r="BR11" i="66"/>
  <c r="BP11" i="66"/>
  <c r="BN11" i="66"/>
  <c r="BM11" i="66"/>
  <c r="BL11" i="66"/>
  <c r="BK11" i="66"/>
  <c r="BI11" i="66"/>
  <c r="BH11" i="66"/>
  <c r="BG11" i="66"/>
  <c r="BF11" i="66"/>
  <c r="BE11" i="66"/>
  <c r="BD11" i="66"/>
  <c r="BB11" i="66"/>
  <c r="BA11" i="66"/>
  <c r="AZ11" i="66"/>
  <c r="AX11" i="66"/>
  <c r="CG10" i="66"/>
  <c r="CF10" i="66"/>
  <c r="CE10" i="66"/>
  <c r="CD10" i="66"/>
  <c r="CC10" i="66"/>
  <c r="CA10" i="66"/>
  <c r="BZ10" i="66"/>
  <c r="BY10" i="66"/>
  <c r="BX10" i="66"/>
  <c r="BW10" i="66"/>
  <c r="BV10" i="66"/>
  <c r="BT10" i="66"/>
  <c r="BS10" i="66"/>
  <c r="BR10" i="66"/>
  <c r="BP10" i="66"/>
  <c r="BN10" i="66"/>
  <c r="BM10" i="66"/>
  <c r="BL10" i="66"/>
  <c r="BK10" i="66"/>
  <c r="BI10" i="66"/>
  <c r="BH10" i="66"/>
  <c r="BG10" i="66"/>
  <c r="BF10" i="66"/>
  <c r="BE10" i="66"/>
  <c r="BD10" i="66"/>
  <c r="BB10" i="66"/>
  <c r="BA10" i="66"/>
  <c r="AZ10" i="66"/>
  <c r="AX10" i="66"/>
  <c r="CG9" i="66"/>
  <c r="CF9" i="66"/>
  <c r="CE9" i="66"/>
  <c r="CD9" i="66"/>
  <c r="CC9" i="66"/>
  <c r="CA9" i="66"/>
  <c r="BZ9" i="66"/>
  <c r="BY9" i="66"/>
  <c r="BX9" i="66"/>
  <c r="BW9" i="66"/>
  <c r="BV9" i="66"/>
  <c r="BT9" i="66"/>
  <c r="BS9" i="66"/>
  <c r="BR9" i="66"/>
  <c r="BP9" i="66"/>
  <c r="BN9" i="66"/>
  <c r="BM9" i="66"/>
  <c r="BL9" i="66"/>
  <c r="BK9" i="66"/>
  <c r="BI9" i="66"/>
  <c r="BH9" i="66"/>
  <c r="BG9" i="66"/>
  <c r="BF9" i="66"/>
  <c r="BE9" i="66"/>
  <c r="BD9" i="66"/>
  <c r="BB9" i="66"/>
  <c r="BA9" i="66"/>
  <c r="AZ9" i="66"/>
  <c r="CG8" i="66"/>
  <c r="CF8" i="66"/>
  <c r="CE8" i="66"/>
  <c r="CD8" i="66"/>
  <c r="CC8" i="66"/>
  <c r="CA8" i="66"/>
  <c r="BZ8" i="66"/>
  <c r="BY8" i="66"/>
  <c r="BX8" i="66"/>
  <c r="BW8" i="66"/>
  <c r="BV8" i="66"/>
  <c r="BT8" i="66"/>
  <c r="BS8" i="66"/>
  <c r="BR8" i="66"/>
  <c r="BP8" i="66"/>
  <c r="BN8" i="66"/>
  <c r="BM8" i="66"/>
  <c r="BL8" i="66"/>
  <c r="BK8" i="66"/>
  <c r="BI8" i="66"/>
  <c r="BH8" i="66"/>
  <c r="BG8" i="66"/>
  <c r="BF8" i="66"/>
  <c r="BE8" i="66"/>
  <c r="BD8" i="66"/>
  <c r="BB8" i="66"/>
  <c r="BA8" i="66"/>
  <c r="AZ8" i="66"/>
  <c r="AX8" i="66"/>
  <c r="CG7" i="66"/>
  <c r="CF7" i="66"/>
  <c r="CE7" i="66"/>
  <c r="CD7" i="66"/>
  <c r="CC7" i="66"/>
  <c r="CA7" i="66"/>
  <c r="BZ7" i="66"/>
  <c r="BY7" i="66"/>
  <c r="BX7" i="66"/>
  <c r="BW7" i="66"/>
  <c r="BV7" i="66"/>
  <c r="BT7" i="66"/>
  <c r="BS7" i="66"/>
  <c r="BR7" i="66"/>
  <c r="BP7" i="66"/>
  <c r="BN7" i="66"/>
  <c r="BM7" i="66"/>
  <c r="BL7" i="66"/>
  <c r="BK7" i="66"/>
  <c r="BI7" i="66"/>
  <c r="BH7" i="66"/>
  <c r="BG7" i="66"/>
  <c r="BF7" i="66"/>
  <c r="BE7" i="66"/>
  <c r="BD7" i="66"/>
  <c r="BB7" i="66"/>
  <c r="BA7" i="66"/>
  <c r="AZ7" i="66"/>
  <c r="AX7" i="66"/>
  <c r="CG6" i="66"/>
  <c r="CF6" i="66"/>
  <c r="CE6" i="66"/>
  <c r="CD6" i="66"/>
  <c r="CC6" i="66"/>
  <c r="CA6" i="66"/>
  <c r="BZ6" i="66"/>
  <c r="BY6" i="66"/>
  <c r="BX6" i="66"/>
  <c r="BW6" i="66"/>
  <c r="BV6" i="66"/>
  <c r="BT6" i="66"/>
  <c r="BS6" i="66"/>
  <c r="BR6" i="66"/>
  <c r="BP6" i="66"/>
  <c r="BN6" i="66"/>
  <c r="BM6" i="66"/>
  <c r="BL6" i="66"/>
  <c r="BK6" i="66"/>
  <c r="BI6" i="66"/>
  <c r="BH6" i="66"/>
  <c r="BG6" i="66"/>
  <c r="BF6" i="66"/>
  <c r="BE6" i="66"/>
  <c r="BD6" i="66"/>
  <c r="BB6" i="66"/>
  <c r="BA6" i="66"/>
  <c r="AZ6" i="66"/>
  <c r="AX6" i="66"/>
  <c r="CG5" i="66"/>
  <c r="CF5" i="66"/>
  <c r="CE5" i="66"/>
  <c r="CD5" i="66"/>
  <c r="CC5" i="66"/>
  <c r="CA5" i="66"/>
  <c r="BZ5" i="66"/>
  <c r="BY5" i="66"/>
  <c r="BX5" i="66"/>
  <c r="BW5" i="66"/>
  <c r="BV5" i="66"/>
  <c r="BT5" i="66"/>
  <c r="BS5" i="66"/>
  <c r="BR5" i="66"/>
  <c r="BP5" i="66"/>
  <c r="BN5" i="66"/>
  <c r="BM5" i="66"/>
  <c r="BL5" i="66"/>
  <c r="BK5" i="66"/>
  <c r="BI5" i="66"/>
  <c r="BH5" i="66"/>
  <c r="BG5" i="66"/>
  <c r="BF5" i="66"/>
  <c r="BE5" i="66"/>
  <c r="BD5" i="66"/>
  <c r="BB5" i="66"/>
  <c r="BA5" i="66"/>
  <c r="AZ5" i="66"/>
  <c r="AX5" i="66"/>
  <c r="A4" i="66"/>
  <c r="B4" i="66" s="1"/>
  <c r="AW36" i="67"/>
  <c r="AV36" i="67"/>
  <c r="AU36" i="67"/>
  <c r="AT36" i="67"/>
  <c r="AS36" i="67"/>
  <c r="AR36" i="67"/>
  <c r="AQ36" i="67"/>
  <c r="AP36" i="67"/>
  <c r="AO36" i="67"/>
  <c r="AN36" i="67"/>
  <c r="AM36" i="67"/>
  <c r="AL36" i="67"/>
  <c r="AK36" i="67"/>
  <c r="AJ36" i="67"/>
  <c r="AI36" i="67"/>
  <c r="AH36" i="67"/>
  <c r="AG36" i="67"/>
  <c r="AF36" i="67"/>
  <c r="AE36" i="67"/>
  <c r="AD36" i="67"/>
  <c r="AC36" i="67"/>
  <c r="AB36" i="67"/>
  <c r="AA36" i="67"/>
  <c r="Z36" i="67"/>
  <c r="Y36" i="67"/>
  <c r="X36" i="67"/>
  <c r="W36" i="67"/>
  <c r="V36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G36" i="67"/>
  <c r="F36" i="67"/>
  <c r="E36" i="67"/>
  <c r="D36" i="67"/>
  <c r="C36" i="67"/>
  <c r="AW35" i="67"/>
  <c r="AV35" i="67"/>
  <c r="AU35" i="67"/>
  <c r="AT35" i="67"/>
  <c r="AS35" i="67"/>
  <c r="AR35" i="67"/>
  <c r="AQ35" i="67"/>
  <c r="AP35" i="67"/>
  <c r="AO35" i="67"/>
  <c r="AN35" i="67"/>
  <c r="AM35" i="67"/>
  <c r="AL35" i="67"/>
  <c r="AK35" i="67"/>
  <c r="AJ35" i="67"/>
  <c r="AI35" i="67"/>
  <c r="AH35" i="67"/>
  <c r="AG35" i="67"/>
  <c r="AF35" i="67"/>
  <c r="AE35" i="67"/>
  <c r="AD35" i="67"/>
  <c r="AC35" i="67"/>
  <c r="AB35" i="67"/>
  <c r="AA35" i="67"/>
  <c r="Z35" i="67"/>
  <c r="Y35" i="67"/>
  <c r="X35" i="67"/>
  <c r="W35" i="67"/>
  <c r="V35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H35" i="67"/>
  <c r="G35" i="67"/>
  <c r="F35" i="67"/>
  <c r="E35" i="67"/>
  <c r="D35" i="67"/>
  <c r="C35" i="67"/>
  <c r="CG34" i="67"/>
  <c r="CF34" i="67"/>
  <c r="CE34" i="67"/>
  <c r="CD34" i="67"/>
  <c r="CC34" i="67"/>
  <c r="CA34" i="67"/>
  <c r="BZ34" i="67"/>
  <c r="BY34" i="67"/>
  <c r="BX34" i="67"/>
  <c r="BW34" i="67"/>
  <c r="BV34" i="67"/>
  <c r="BT34" i="67"/>
  <c r="BS34" i="67"/>
  <c r="BR34" i="67"/>
  <c r="BP34" i="67"/>
  <c r="BN34" i="67"/>
  <c r="BM34" i="67"/>
  <c r="BL34" i="67"/>
  <c r="BK34" i="67"/>
  <c r="BI34" i="67"/>
  <c r="BH34" i="67"/>
  <c r="BG34" i="67"/>
  <c r="BF34" i="67"/>
  <c r="BE34" i="67"/>
  <c r="BD34" i="67"/>
  <c r="BB34" i="67"/>
  <c r="BA34" i="67"/>
  <c r="AZ34" i="67"/>
  <c r="AX34" i="67"/>
  <c r="CG33" i="67"/>
  <c r="CF33" i="67"/>
  <c r="CE33" i="67"/>
  <c r="CD33" i="67"/>
  <c r="CC33" i="67"/>
  <c r="CA33" i="67"/>
  <c r="BZ33" i="67"/>
  <c r="BY33" i="67"/>
  <c r="BX33" i="67"/>
  <c r="BW33" i="67"/>
  <c r="BV33" i="67"/>
  <c r="BT33" i="67"/>
  <c r="BS33" i="67"/>
  <c r="BR33" i="67"/>
  <c r="BP33" i="67"/>
  <c r="BN33" i="67"/>
  <c r="BM33" i="67"/>
  <c r="BL33" i="67"/>
  <c r="BK33" i="67"/>
  <c r="BI33" i="67"/>
  <c r="BH33" i="67"/>
  <c r="BG33" i="67"/>
  <c r="BF33" i="67"/>
  <c r="BE33" i="67"/>
  <c r="BD33" i="67"/>
  <c r="BB33" i="67"/>
  <c r="BA33" i="67"/>
  <c r="AZ33" i="67"/>
  <c r="AX33" i="67"/>
  <c r="CG32" i="67"/>
  <c r="CF32" i="67"/>
  <c r="CE32" i="67"/>
  <c r="CD32" i="67"/>
  <c r="CC32" i="67"/>
  <c r="CA32" i="67"/>
  <c r="BZ32" i="67"/>
  <c r="BY32" i="67"/>
  <c r="BX32" i="67"/>
  <c r="BW32" i="67"/>
  <c r="BV32" i="67"/>
  <c r="BT32" i="67"/>
  <c r="BS32" i="67"/>
  <c r="BR32" i="67"/>
  <c r="BP32" i="67"/>
  <c r="BN32" i="67"/>
  <c r="BM32" i="67"/>
  <c r="BL32" i="67"/>
  <c r="BK32" i="67"/>
  <c r="BI32" i="67"/>
  <c r="BH32" i="67"/>
  <c r="BG32" i="67"/>
  <c r="BF32" i="67"/>
  <c r="BE32" i="67"/>
  <c r="BD32" i="67"/>
  <c r="BB32" i="67"/>
  <c r="BA32" i="67"/>
  <c r="AZ32" i="67"/>
  <c r="AX32" i="67"/>
  <c r="CG31" i="67"/>
  <c r="CF31" i="67"/>
  <c r="CE31" i="67"/>
  <c r="CD31" i="67"/>
  <c r="CC31" i="67"/>
  <c r="CA31" i="67"/>
  <c r="BZ31" i="67"/>
  <c r="BY31" i="67"/>
  <c r="BX31" i="67"/>
  <c r="BW31" i="67"/>
  <c r="BV31" i="67"/>
  <c r="BT31" i="67"/>
  <c r="BS31" i="67"/>
  <c r="BR31" i="67"/>
  <c r="BP31" i="67"/>
  <c r="BN31" i="67"/>
  <c r="BM31" i="67"/>
  <c r="BL31" i="67"/>
  <c r="BK31" i="67"/>
  <c r="BI31" i="67"/>
  <c r="BH31" i="67"/>
  <c r="BG31" i="67"/>
  <c r="BF31" i="67"/>
  <c r="BE31" i="67"/>
  <c r="BD31" i="67"/>
  <c r="BB31" i="67"/>
  <c r="BA31" i="67"/>
  <c r="AZ31" i="67"/>
  <c r="AX31" i="67"/>
  <c r="CG30" i="67"/>
  <c r="CF30" i="67"/>
  <c r="CE30" i="67"/>
  <c r="CD30" i="67"/>
  <c r="CC30" i="67"/>
  <c r="CA30" i="67"/>
  <c r="BZ30" i="67"/>
  <c r="BY30" i="67"/>
  <c r="BX30" i="67"/>
  <c r="BW30" i="67"/>
  <c r="BV30" i="67"/>
  <c r="BT30" i="67"/>
  <c r="BS30" i="67"/>
  <c r="BR30" i="67"/>
  <c r="BP30" i="67"/>
  <c r="BN30" i="67"/>
  <c r="BM30" i="67"/>
  <c r="BL30" i="67"/>
  <c r="BK30" i="67"/>
  <c r="BI30" i="67"/>
  <c r="BH30" i="67"/>
  <c r="BG30" i="67"/>
  <c r="BF30" i="67"/>
  <c r="BE30" i="67"/>
  <c r="BD30" i="67"/>
  <c r="BB30" i="67"/>
  <c r="BA30" i="67"/>
  <c r="AZ30" i="67"/>
  <c r="AX30" i="67"/>
  <c r="CG29" i="67"/>
  <c r="CF29" i="67"/>
  <c r="CE29" i="67"/>
  <c r="CD29" i="67"/>
  <c r="CC29" i="67"/>
  <c r="CA29" i="67"/>
  <c r="BZ29" i="67"/>
  <c r="BY29" i="67"/>
  <c r="BX29" i="67"/>
  <c r="BW29" i="67"/>
  <c r="BV29" i="67"/>
  <c r="BT29" i="67"/>
  <c r="BS29" i="67"/>
  <c r="BR29" i="67"/>
  <c r="BP29" i="67"/>
  <c r="BN29" i="67"/>
  <c r="BM29" i="67"/>
  <c r="BL29" i="67"/>
  <c r="BK29" i="67"/>
  <c r="BI29" i="67"/>
  <c r="BH29" i="67"/>
  <c r="BG29" i="67"/>
  <c r="BF29" i="67"/>
  <c r="BE29" i="67"/>
  <c r="BD29" i="67"/>
  <c r="BB29" i="67"/>
  <c r="BA29" i="67"/>
  <c r="AZ29" i="67"/>
  <c r="AX29" i="67"/>
  <c r="CG28" i="67"/>
  <c r="CF28" i="67"/>
  <c r="CE28" i="67"/>
  <c r="CD28" i="67"/>
  <c r="CC28" i="67"/>
  <c r="CA28" i="67"/>
  <c r="BZ28" i="67"/>
  <c r="BY28" i="67"/>
  <c r="BX28" i="67"/>
  <c r="BW28" i="67"/>
  <c r="BV28" i="67"/>
  <c r="BT28" i="67"/>
  <c r="BS28" i="67"/>
  <c r="BR28" i="67"/>
  <c r="BP28" i="67"/>
  <c r="BN28" i="67"/>
  <c r="BM28" i="67"/>
  <c r="BL28" i="67"/>
  <c r="BK28" i="67"/>
  <c r="BI28" i="67"/>
  <c r="BH28" i="67"/>
  <c r="BG28" i="67"/>
  <c r="BF28" i="67"/>
  <c r="BE28" i="67"/>
  <c r="BD28" i="67"/>
  <c r="BB28" i="67"/>
  <c r="BA28" i="67"/>
  <c r="AZ28" i="67"/>
  <c r="AX28" i="67"/>
  <c r="CG27" i="67"/>
  <c r="CF27" i="67"/>
  <c r="CE27" i="67"/>
  <c r="CD27" i="67"/>
  <c r="CC27" i="67"/>
  <c r="CA27" i="67"/>
  <c r="BZ27" i="67"/>
  <c r="BY27" i="67"/>
  <c r="BX27" i="67"/>
  <c r="BW27" i="67"/>
  <c r="BV27" i="67"/>
  <c r="BT27" i="67"/>
  <c r="BS27" i="67"/>
  <c r="BR27" i="67"/>
  <c r="BP27" i="67"/>
  <c r="BN27" i="67"/>
  <c r="BM27" i="67"/>
  <c r="BL27" i="67"/>
  <c r="BK27" i="67"/>
  <c r="BI27" i="67"/>
  <c r="BH27" i="67"/>
  <c r="BG27" i="67"/>
  <c r="BF27" i="67"/>
  <c r="BE27" i="67"/>
  <c r="BD27" i="67"/>
  <c r="BB27" i="67"/>
  <c r="BA27" i="67"/>
  <c r="AZ27" i="67"/>
  <c r="AX27" i="67"/>
  <c r="CG26" i="67"/>
  <c r="CF26" i="67"/>
  <c r="CE26" i="67"/>
  <c r="CD26" i="67"/>
  <c r="CC26" i="67"/>
  <c r="CA26" i="67"/>
  <c r="BZ26" i="67"/>
  <c r="BY26" i="67"/>
  <c r="BX26" i="67"/>
  <c r="BW26" i="67"/>
  <c r="BV26" i="67"/>
  <c r="BT26" i="67"/>
  <c r="BS26" i="67"/>
  <c r="BR26" i="67"/>
  <c r="BP26" i="67"/>
  <c r="BN26" i="67"/>
  <c r="BM26" i="67"/>
  <c r="BL26" i="67"/>
  <c r="BK26" i="67"/>
  <c r="BI26" i="67"/>
  <c r="BH26" i="67"/>
  <c r="BG26" i="67"/>
  <c r="BF26" i="67"/>
  <c r="BE26" i="67"/>
  <c r="BD26" i="67"/>
  <c r="BB26" i="67"/>
  <c r="BA26" i="67"/>
  <c r="AZ26" i="67"/>
  <c r="AX26" i="67"/>
  <c r="CG25" i="67"/>
  <c r="CF25" i="67"/>
  <c r="CE25" i="67"/>
  <c r="CD25" i="67"/>
  <c r="CC25" i="67"/>
  <c r="CA25" i="67"/>
  <c r="BZ25" i="67"/>
  <c r="BY25" i="67"/>
  <c r="BX25" i="67"/>
  <c r="BW25" i="67"/>
  <c r="BV25" i="67"/>
  <c r="BT25" i="67"/>
  <c r="BS25" i="67"/>
  <c r="BR25" i="67"/>
  <c r="BP25" i="67"/>
  <c r="BN25" i="67"/>
  <c r="BM25" i="67"/>
  <c r="BL25" i="67"/>
  <c r="BK25" i="67"/>
  <c r="BI25" i="67"/>
  <c r="BH25" i="67"/>
  <c r="BG25" i="67"/>
  <c r="BF25" i="67"/>
  <c r="BE25" i="67"/>
  <c r="BD25" i="67"/>
  <c r="BB25" i="67"/>
  <c r="BA25" i="67"/>
  <c r="AZ25" i="67"/>
  <c r="AX25" i="67"/>
  <c r="CG24" i="67"/>
  <c r="CF24" i="67"/>
  <c r="CE24" i="67"/>
  <c r="CD24" i="67"/>
  <c r="CC24" i="67"/>
  <c r="CA24" i="67"/>
  <c r="BZ24" i="67"/>
  <c r="BY24" i="67"/>
  <c r="BX24" i="67"/>
  <c r="BW24" i="67"/>
  <c r="BV24" i="67"/>
  <c r="BT24" i="67"/>
  <c r="BS24" i="67"/>
  <c r="BR24" i="67"/>
  <c r="BP24" i="67"/>
  <c r="BN24" i="67"/>
  <c r="BM24" i="67"/>
  <c r="BL24" i="67"/>
  <c r="BK24" i="67"/>
  <c r="BI24" i="67"/>
  <c r="BH24" i="67"/>
  <c r="BG24" i="67"/>
  <c r="BF24" i="67"/>
  <c r="BE24" i="67"/>
  <c r="BD24" i="67"/>
  <c r="BB24" i="67"/>
  <c r="BA24" i="67"/>
  <c r="AZ24" i="67"/>
  <c r="AX24" i="67"/>
  <c r="CG23" i="67"/>
  <c r="CF23" i="67"/>
  <c r="CE23" i="67"/>
  <c r="CD23" i="67"/>
  <c r="CC23" i="67"/>
  <c r="CA23" i="67"/>
  <c r="BZ23" i="67"/>
  <c r="BY23" i="67"/>
  <c r="BX23" i="67"/>
  <c r="BW23" i="67"/>
  <c r="BV23" i="67"/>
  <c r="BT23" i="67"/>
  <c r="BS23" i="67"/>
  <c r="BR23" i="67"/>
  <c r="BP23" i="67"/>
  <c r="BN23" i="67"/>
  <c r="BM23" i="67"/>
  <c r="BL23" i="67"/>
  <c r="BK23" i="67"/>
  <c r="BI23" i="67"/>
  <c r="BH23" i="67"/>
  <c r="BG23" i="67"/>
  <c r="BF23" i="67"/>
  <c r="BE23" i="67"/>
  <c r="BD23" i="67"/>
  <c r="BB23" i="67"/>
  <c r="BA23" i="67"/>
  <c r="AZ23" i="67"/>
  <c r="AX23" i="67"/>
  <c r="CG22" i="67"/>
  <c r="CF22" i="67"/>
  <c r="CE22" i="67"/>
  <c r="CD22" i="67"/>
  <c r="CC22" i="67"/>
  <c r="CA22" i="67"/>
  <c r="BZ22" i="67"/>
  <c r="BY22" i="67"/>
  <c r="BX22" i="67"/>
  <c r="BW22" i="67"/>
  <c r="BV22" i="67"/>
  <c r="BT22" i="67"/>
  <c r="BS22" i="67"/>
  <c r="BR22" i="67"/>
  <c r="BP22" i="67"/>
  <c r="BN22" i="67"/>
  <c r="BM22" i="67"/>
  <c r="BL22" i="67"/>
  <c r="BK22" i="67"/>
  <c r="BI22" i="67"/>
  <c r="BH22" i="67"/>
  <c r="BG22" i="67"/>
  <c r="BF22" i="67"/>
  <c r="BE22" i="67"/>
  <c r="BD22" i="67"/>
  <c r="BB22" i="67"/>
  <c r="BA22" i="67"/>
  <c r="AZ22" i="67"/>
  <c r="AX22" i="67"/>
  <c r="CG21" i="67"/>
  <c r="CF21" i="67"/>
  <c r="CE21" i="67"/>
  <c r="CD21" i="67"/>
  <c r="CC21" i="67"/>
  <c r="CA21" i="67"/>
  <c r="BZ21" i="67"/>
  <c r="BY21" i="67"/>
  <c r="BX21" i="67"/>
  <c r="BW21" i="67"/>
  <c r="BV21" i="67"/>
  <c r="BT21" i="67"/>
  <c r="BS21" i="67"/>
  <c r="BR21" i="67"/>
  <c r="BP21" i="67"/>
  <c r="BN21" i="67"/>
  <c r="BM21" i="67"/>
  <c r="BL21" i="67"/>
  <c r="BK21" i="67"/>
  <c r="BI21" i="67"/>
  <c r="BH21" i="67"/>
  <c r="BG21" i="67"/>
  <c r="BF21" i="67"/>
  <c r="BE21" i="67"/>
  <c r="BD21" i="67"/>
  <c r="BB21" i="67"/>
  <c r="BA21" i="67"/>
  <c r="AZ21" i="67"/>
  <c r="AX21" i="67"/>
  <c r="CG20" i="67"/>
  <c r="CF20" i="67"/>
  <c r="CE20" i="67"/>
  <c r="CD20" i="67"/>
  <c r="CC20" i="67"/>
  <c r="CA20" i="67"/>
  <c r="BZ20" i="67"/>
  <c r="BY20" i="67"/>
  <c r="BX20" i="67"/>
  <c r="BW20" i="67"/>
  <c r="BV20" i="67"/>
  <c r="BT20" i="67"/>
  <c r="BS20" i="67"/>
  <c r="BR20" i="67"/>
  <c r="BP20" i="67"/>
  <c r="BN20" i="67"/>
  <c r="BM20" i="67"/>
  <c r="BL20" i="67"/>
  <c r="BK20" i="67"/>
  <c r="BI20" i="67"/>
  <c r="BH20" i="67"/>
  <c r="BG20" i="67"/>
  <c r="BF20" i="67"/>
  <c r="BE20" i="67"/>
  <c r="BD20" i="67"/>
  <c r="BB20" i="67"/>
  <c r="BA20" i="67"/>
  <c r="AZ20" i="67"/>
  <c r="AX20" i="67"/>
  <c r="CG19" i="67"/>
  <c r="CF19" i="67"/>
  <c r="CE19" i="67"/>
  <c r="CD19" i="67"/>
  <c r="CC19" i="67"/>
  <c r="CA19" i="67"/>
  <c r="BZ19" i="67"/>
  <c r="BY19" i="67"/>
  <c r="BX19" i="67"/>
  <c r="BW19" i="67"/>
  <c r="BV19" i="67"/>
  <c r="BT19" i="67"/>
  <c r="BS19" i="67"/>
  <c r="BR19" i="67"/>
  <c r="BP19" i="67"/>
  <c r="BN19" i="67"/>
  <c r="BM19" i="67"/>
  <c r="BL19" i="67"/>
  <c r="BK19" i="67"/>
  <c r="BI19" i="67"/>
  <c r="BH19" i="67"/>
  <c r="BG19" i="67"/>
  <c r="BF19" i="67"/>
  <c r="BE19" i="67"/>
  <c r="BD19" i="67"/>
  <c r="BB19" i="67"/>
  <c r="BA19" i="67"/>
  <c r="AZ19" i="67"/>
  <c r="AX19" i="67"/>
  <c r="CG18" i="67"/>
  <c r="CF18" i="67"/>
  <c r="CE18" i="67"/>
  <c r="CD18" i="67"/>
  <c r="CC18" i="67"/>
  <c r="CA18" i="67"/>
  <c r="BZ18" i="67"/>
  <c r="BY18" i="67"/>
  <c r="BX18" i="67"/>
  <c r="BW18" i="67"/>
  <c r="BV18" i="67"/>
  <c r="BT18" i="67"/>
  <c r="BS18" i="67"/>
  <c r="BR18" i="67"/>
  <c r="BP18" i="67"/>
  <c r="BN18" i="67"/>
  <c r="BM18" i="67"/>
  <c r="BL18" i="67"/>
  <c r="BK18" i="67"/>
  <c r="BI18" i="67"/>
  <c r="BH18" i="67"/>
  <c r="BG18" i="67"/>
  <c r="BF18" i="67"/>
  <c r="BE18" i="67"/>
  <c r="BD18" i="67"/>
  <c r="BB18" i="67"/>
  <c r="BA18" i="67"/>
  <c r="AZ18" i="67"/>
  <c r="AX18" i="67"/>
  <c r="CG17" i="67"/>
  <c r="CF17" i="67"/>
  <c r="CE17" i="67"/>
  <c r="CD17" i="67"/>
  <c r="CC17" i="67"/>
  <c r="CA17" i="67"/>
  <c r="BZ17" i="67"/>
  <c r="BY17" i="67"/>
  <c r="BX17" i="67"/>
  <c r="BW17" i="67"/>
  <c r="BV17" i="67"/>
  <c r="BT17" i="67"/>
  <c r="BS17" i="67"/>
  <c r="BR17" i="67"/>
  <c r="BP17" i="67"/>
  <c r="BN17" i="67"/>
  <c r="BM17" i="67"/>
  <c r="BL17" i="67"/>
  <c r="BK17" i="67"/>
  <c r="BI17" i="67"/>
  <c r="BH17" i="67"/>
  <c r="BG17" i="67"/>
  <c r="BF17" i="67"/>
  <c r="BE17" i="67"/>
  <c r="BD17" i="67"/>
  <c r="BB17" i="67"/>
  <c r="BA17" i="67"/>
  <c r="AZ17" i="67"/>
  <c r="AX17" i="67"/>
  <c r="CG16" i="67"/>
  <c r="CF16" i="67"/>
  <c r="CE16" i="67"/>
  <c r="CD16" i="67"/>
  <c r="CC16" i="67"/>
  <c r="CA16" i="67"/>
  <c r="BZ16" i="67"/>
  <c r="BY16" i="67"/>
  <c r="BX16" i="67"/>
  <c r="BW16" i="67"/>
  <c r="BV16" i="67"/>
  <c r="BT16" i="67"/>
  <c r="BS16" i="67"/>
  <c r="BR16" i="67"/>
  <c r="BP16" i="67"/>
  <c r="BN16" i="67"/>
  <c r="BM16" i="67"/>
  <c r="BL16" i="67"/>
  <c r="BK16" i="67"/>
  <c r="BI16" i="67"/>
  <c r="BH16" i="67"/>
  <c r="BG16" i="67"/>
  <c r="BF16" i="67"/>
  <c r="BE16" i="67"/>
  <c r="BD16" i="67"/>
  <c r="BB16" i="67"/>
  <c r="BA16" i="67"/>
  <c r="AZ16" i="67"/>
  <c r="AX16" i="67"/>
  <c r="CG15" i="67"/>
  <c r="CF15" i="67"/>
  <c r="CE15" i="67"/>
  <c r="CD15" i="67"/>
  <c r="CC15" i="67"/>
  <c r="CA15" i="67"/>
  <c r="BZ15" i="67"/>
  <c r="BY15" i="67"/>
  <c r="BX15" i="67"/>
  <c r="BW15" i="67"/>
  <c r="BV15" i="67"/>
  <c r="BT15" i="67"/>
  <c r="BS15" i="67"/>
  <c r="BR15" i="67"/>
  <c r="BP15" i="67"/>
  <c r="BN15" i="67"/>
  <c r="BM15" i="67"/>
  <c r="BL15" i="67"/>
  <c r="BK15" i="67"/>
  <c r="BI15" i="67"/>
  <c r="BH15" i="67"/>
  <c r="BG15" i="67"/>
  <c r="BF15" i="67"/>
  <c r="BE15" i="67"/>
  <c r="BD15" i="67"/>
  <c r="BB15" i="67"/>
  <c r="BA15" i="67"/>
  <c r="AZ15" i="67"/>
  <c r="AX15" i="67"/>
  <c r="CG14" i="67"/>
  <c r="CF14" i="67"/>
  <c r="CE14" i="67"/>
  <c r="CD14" i="67"/>
  <c r="CC14" i="67"/>
  <c r="CA14" i="67"/>
  <c r="BZ14" i="67"/>
  <c r="BY14" i="67"/>
  <c r="BX14" i="67"/>
  <c r="BW14" i="67"/>
  <c r="BV14" i="67"/>
  <c r="BT14" i="67"/>
  <c r="BS14" i="67"/>
  <c r="BR14" i="67"/>
  <c r="BP14" i="67"/>
  <c r="BN14" i="67"/>
  <c r="BM14" i="67"/>
  <c r="BL14" i="67"/>
  <c r="BK14" i="67"/>
  <c r="BI14" i="67"/>
  <c r="BH14" i="67"/>
  <c r="BG14" i="67"/>
  <c r="BF14" i="67"/>
  <c r="BE14" i="67"/>
  <c r="BD14" i="67"/>
  <c r="BB14" i="67"/>
  <c r="BA14" i="67"/>
  <c r="AZ14" i="67"/>
  <c r="AX14" i="67"/>
  <c r="CG13" i="67"/>
  <c r="CF13" i="67"/>
  <c r="CE13" i="67"/>
  <c r="CD13" i="67"/>
  <c r="CC13" i="67"/>
  <c r="CA13" i="67"/>
  <c r="BZ13" i="67"/>
  <c r="BY13" i="67"/>
  <c r="BX13" i="67"/>
  <c r="BW13" i="67"/>
  <c r="BV13" i="67"/>
  <c r="BT13" i="67"/>
  <c r="BS13" i="67"/>
  <c r="BR13" i="67"/>
  <c r="BP13" i="67"/>
  <c r="BN13" i="67"/>
  <c r="BM13" i="67"/>
  <c r="BL13" i="67"/>
  <c r="BK13" i="67"/>
  <c r="BI13" i="67"/>
  <c r="BH13" i="67"/>
  <c r="BG13" i="67"/>
  <c r="BF13" i="67"/>
  <c r="BE13" i="67"/>
  <c r="BD13" i="67"/>
  <c r="BB13" i="67"/>
  <c r="BA13" i="67"/>
  <c r="AZ13" i="67"/>
  <c r="AX13" i="67"/>
  <c r="CG12" i="67"/>
  <c r="CF12" i="67"/>
  <c r="CE12" i="67"/>
  <c r="CD12" i="67"/>
  <c r="CC12" i="67"/>
  <c r="CA12" i="67"/>
  <c r="BZ12" i="67"/>
  <c r="BY12" i="67"/>
  <c r="BX12" i="67"/>
  <c r="BW12" i="67"/>
  <c r="BV12" i="67"/>
  <c r="BT12" i="67"/>
  <c r="BS12" i="67"/>
  <c r="BR12" i="67"/>
  <c r="BP12" i="67"/>
  <c r="BN12" i="67"/>
  <c r="BM12" i="67"/>
  <c r="BL12" i="67"/>
  <c r="BK12" i="67"/>
  <c r="BI12" i="67"/>
  <c r="BH12" i="67"/>
  <c r="BG12" i="67"/>
  <c r="BF12" i="67"/>
  <c r="BE12" i="67"/>
  <c r="BD12" i="67"/>
  <c r="BB12" i="67"/>
  <c r="BA12" i="67"/>
  <c r="AZ12" i="67"/>
  <c r="AX12" i="67"/>
  <c r="CG11" i="67"/>
  <c r="CF11" i="67"/>
  <c r="CE11" i="67"/>
  <c r="CD11" i="67"/>
  <c r="CC11" i="67"/>
  <c r="CA11" i="67"/>
  <c r="BZ11" i="67"/>
  <c r="BY11" i="67"/>
  <c r="BX11" i="67"/>
  <c r="BW11" i="67"/>
  <c r="BV11" i="67"/>
  <c r="BT11" i="67"/>
  <c r="BS11" i="67"/>
  <c r="BR11" i="67"/>
  <c r="BP11" i="67"/>
  <c r="BN11" i="67"/>
  <c r="BM11" i="67"/>
  <c r="BL11" i="67"/>
  <c r="BK11" i="67"/>
  <c r="BI11" i="67"/>
  <c r="BH11" i="67"/>
  <c r="BG11" i="67"/>
  <c r="BF11" i="67"/>
  <c r="BE11" i="67"/>
  <c r="BD11" i="67"/>
  <c r="BB11" i="67"/>
  <c r="BA11" i="67"/>
  <c r="AZ11" i="67"/>
  <c r="AX11" i="67"/>
  <c r="CG10" i="67"/>
  <c r="CF10" i="67"/>
  <c r="CE10" i="67"/>
  <c r="CD10" i="67"/>
  <c r="CC10" i="67"/>
  <c r="CA10" i="67"/>
  <c r="BZ10" i="67"/>
  <c r="BY10" i="67"/>
  <c r="BX10" i="67"/>
  <c r="BW10" i="67"/>
  <c r="BV10" i="67"/>
  <c r="BT10" i="67"/>
  <c r="BS10" i="67"/>
  <c r="BR10" i="67"/>
  <c r="BP10" i="67"/>
  <c r="BN10" i="67"/>
  <c r="BM10" i="67"/>
  <c r="BL10" i="67"/>
  <c r="BK10" i="67"/>
  <c r="BI10" i="67"/>
  <c r="BH10" i="67"/>
  <c r="BG10" i="67"/>
  <c r="BF10" i="67"/>
  <c r="BE10" i="67"/>
  <c r="BD10" i="67"/>
  <c r="BB10" i="67"/>
  <c r="BA10" i="67"/>
  <c r="AZ10" i="67"/>
  <c r="AX10" i="67"/>
  <c r="CG9" i="67"/>
  <c r="CF9" i="67"/>
  <c r="CE9" i="67"/>
  <c r="CD9" i="67"/>
  <c r="CC9" i="67"/>
  <c r="CA9" i="67"/>
  <c r="BZ9" i="67"/>
  <c r="BY9" i="67"/>
  <c r="BX9" i="67"/>
  <c r="BW9" i="67"/>
  <c r="BV9" i="67"/>
  <c r="BT9" i="67"/>
  <c r="BS9" i="67"/>
  <c r="BR9" i="67"/>
  <c r="BP9" i="67"/>
  <c r="BN9" i="67"/>
  <c r="BM9" i="67"/>
  <c r="BL9" i="67"/>
  <c r="BK9" i="67"/>
  <c r="BI9" i="67"/>
  <c r="BH9" i="67"/>
  <c r="BG9" i="67"/>
  <c r="BF9" i="67"/>
  <c r="BE9" i="67"/>
  <c r="BD9" i="67"/>
  <c r="BB9" i="67"/>
  <c r="BA9" i="67"/>
  <c r="AZ9" i="67"/>
  <c r="AX9" i="67"/>
  <c r="CG8" i="67"/>
  <c r="CF8" i="67"/>
  <c r="CE8" i="67"/>
  <c r="CD8" i="67"/>
  <c r="CC8" i="67"/>
  <c r="CA8" i="67"/>
  <c r="BZ8" i="67"/>
  <c r="BY8" i="67"/>
  <c r="BX8" i="67"/>
  <c r="BW8" i="67"/>
  <c r="BV8" i="67"/>
  <c r="BT8" i="67"/>
  <c r="BS8" i="67"/>
  <c r="BR8" i="67"/>
  <c r="BP8" i="67"/>
  <c r="BN8" i="67"/>
  <c r="BM8" i="67"/>
  <c r="BL8" i="67"/>
  <c r="BK8" i="67"/>
  <c r="BI8" i="67"/>
  <c r="BH8" i="67"/>
  <c r="BG8" i="67"/>
  <c r="BF8" i="67"/>
  <c r="BE8" i="67"/>
  <c r="BD8" i="67"/>
  <c r="BB8" i="67"/>
  <c r="BA8" i="67"/>
  <c r="AZ8" i="67"/>
  <c r="CG7" i="67"/>
  <c r="CF7" i="67"/>
  <c r="CE7" i="67"/>
  <c r="CD7" i="67"/>
  <c r="CC7" i="67"/>
  <c r="CA7" i="67"/>
  <c r="BZ7" i="67"/>
  <c r="BY7" i="67"/>
  <c r="BX7" i="67"/>
  <c r="BW7" i="67"/>
  <c r="BV7" i="67"/>
  <c r="BT7" i="67"/>
  <c r="BS7" i="67"/>
  <c r="BR7" i="67"/>
  <c r="BP7" i="67"/>
  <c r="BN7" i="67"/>
  <c r="BM7" i="67"/>
  <c r="BL7" i="67"/>
  <c r="BK7" i="67"/>
  <c r="BI7" i="67"/>
  <c r="BH7" i="67"/>
  <c r="BG7" i="67"/>
  <c r="BF7" i="67"/>
  <c r="BE7" i="67"/>
  <c r="BD7" i="67"/>
  <c r="BB7" i="67"/>
  <c r="BA7" i="67"/>
  <c r="AZ7" i="67"/>
  <c r="AX7" i="67"/>
  <c r="CG6" i="67"/>
  <c r="CF6" i="67"/>
  <c r="CE6" i="67"/>
  <c r="CD6" i="67"/>
  <c r="CC6" i="67"/>
  <c r="CA6" i="67"/>
  <c r="BZ6" i="67"/>
  <c r="BY6" i="67"/>
  <c r="BX6" i="67"/>
  <c r="BW6" i="67"/>
  <c r="BV6" i="67"/>
  <c r="BT6" i="67"/>
  <c r="BS6" i="67"/>
  <c r="BR6" i="67"/>
  <c r="BP6" i="67"/>
  <c r="BN6" i="67"/>
  <c r="BM6" i="67"/>
  <c r="BL6" i="67"/>
  <c r="BK6" i="67"/>
  <c r="BI6" i="67"/>
  <c r="BH6" i="67"/>
  <c r="BG6" i="67"/>
  <c r="BF6" i="67"/>
  <c r="BE6" i="67"/>
  <c r="BD6" i="67"/>
  <c r="BB6" i="67"/>
  <c r="BA6" i="67"/>
  <c r="AZ6" i="67"/>
  <c r="AX6" i="67"/>
  <c r="CG5" i="67"/>
  <c r="CF5" i="67"/>
  <c r="CE5" i="67"/>
  <c r="CD5" i="67"/>
  <c r="CC5" i="67"/>
  <c r="CA5" i="67"/>
  <c r="BZ5" i="67"/>
  <c r="BY5" i="67"/>
  <c r="BX5" i="67"/>
  <c r="BW5" i="67"/>
  <c r="BV5" i="67"/>
  <c r="BT5" i="67"/>
  <c r="BS5" i="67"/>
  <c r="BR5" i="67"/>
  <c r="BP5" i="67"/>
  <c r="BN5" i="67"/>
  <c r="BM5" i="67"/>
  <c r="BL5" i="67"/>
  <c r="BK5" i="67"/>
  <c r="BI5" i="67"/>
  <c r="BH5" i="67"/>
  <c r="BG5" i="67"/>
  <c r="BF5" i="67"/>
  <c r="BE5" i="67"/>
  <c r="BD5" i="67"/>
  <c r="BB5" i="67"/>
  <c r="BA5" i="67"/>
  <c r="AZ5" i="67"/>
  <c r="AX5" i="67"/>
  <c r="CG4" i="67"/>
  <c r="CF4" i="67"/>
  <c r="CE4" i="67"/>
  <c r="CD4" i="67"/>
  <c r="CC4" i="67"/>
  <c r="CA4" i="67"/>
  <c r="BZ4" i="67"/>
  <c r="BY4" i="67"/>
  <c r="BX4" i="67"/>
  <c r="BW4" i="67"/>
  <c r="BV4" i="67"/>
  <c r="BT4" i="67"/>
  <c r="BS4" i="67"/>
  <c r="BR4" i="67"/>
  <c r="BP4" i="67"/>
  <c r="BN4" i="67"/>
  <c r="BM4" i="67"/>
  <c r="BL4" i="67"/>
  <c r="BK4" i="67"/>
  <c r="BI4" i="67"/>
  <c r="BH4" i="67"/>
  <c r="BG4" i="67"/>
  <c r="BF4" i="67"/>
  <c r="BE4" i="67"/>
  <c r="BD4" i="67"/>
  <c r="BB4" i="67"/>
  <c r="BA4" i="67"/>
  <c r="AZ4" i="67"/>
  <c r="AX4" i="67"/>
  <c r="A4" i="67"/>
  <c r="AW36" i="65"/>
  <c r="AV36" i="65"/>
  <c r="AU36" i="65"/>
  <c r="AT36" i="65"/>
  <c r="AS36" i="65"/>
  <c r="AR36" i="65"/>
  <c r="AQ36" i="65"/>
  <c r="AP36" i="65"/>
  <c r="AO36" i="65"/>
  <c r="AN36" i="65"/>
  <c r="CA36" i="65" s="1"/>
  <c r="AM36" i="65"/>
  <c r="AL36" i="65"/>
  <c r="AK36" i="65"/>
  <c r="AJ36" i="65"/>
  <c r="BR36" i="65" s="1"/>
  <c r="AI36" i="65"/>
  <c r="AH36" i="65"/>
  <c r="AG36" i="65"/>
  <c r="AF36" i="65"/>
  <c r="AE36" i="65"/>
  <c r="AD36" i="65"/>
  <c r="AC36" i="65"/>
  <c r="AB36" i="65"/>
  <c r="AA36" i="65"/>
  <c r="Z36" i="65"/>
  <c r="Y36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CE36" i="65" s="1"/>
  <c r="I36" i="65"/>
  <c r="BF36" i="65" s="1"/>
  <c r="H36" i="65"/>
  <c r="G36" i="65"/>
  <c r="BE36" i="65" s="1"/>
  <c r="F36" i="65"/>
  <c r="E36" i="65"/>
  <c r="BL36" i="65" s="1"/>
  <c r="D36" i="65"/>
  <c r="C36" i="65"/>
  <c r="AW35" i="65"/>
  <c r="AV35" i="65"/>
  <c r="AU35" i="65"/>
  <c r="AT35" i="65"/>
  <c r="AS35" i="65"/>
  <c r="AR35" i="65"/>
  <c r="AQ35" i="65"/>
  <c r="AP35" i="65"/>
  <c r="AO35" i="65"/>
  <c r="AN35" i="65"/>
  <c r="CA35" i="65" s="1"/>
  <c r="AM35" i="65"/>
  <c r="AL35" i="65"/>
  <c r="AK35" i="65"/>
  <c r="AJ35" i="65"/>
  <c r="BR35" i="65" s="1"/>
  <c r="AI35" i="65"/>
  <c r="AH35" i="65"/>
  <c r="AG35" i="65"/>
  <c r="AF35" i="65"/>
  <c r="AE35" i="65"/>
  <c r="AD35" i="65"/>
  <c r="AC35" i="65"/>
  <c r="AB35" i="65"/>
  <c r="AA35" i="65"/>
  <c r="Z35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BF35" i="65" s="1"/>
  <c r="H35" i="65"/>
  <c r="G35" i="65"/>
  <c r="BE35" i="65" s="1"/>
  <c r="F35" i="65"/>
  <c r="E35" i="65"/>
  <c r="BL35" i="65" s="1"/>
  <c r="D35" i="65"/>
  <c r="C35" i="65"/>
  <c r="CG34" i="65"/>
  <c r="CF34" i="65"/>
  <c r="CE34" i="65"/>
  <c r="CD34" i="65"/>
  <c r="CC34" i="65"/>
  <c r="CA34" i="65"/>
  <c r="BZ34" i="65"/>
  <c r="BY34" i="65"/>
  <c r="BX34" i="65"/>
  <c r="BW34" i="65"/>
  <c r="BV34" i="65"/>
  <c r="BT34" i="65"/>
  <c r="BS34" i="65"/>
  <c r="BR34" i="65"/>
  <c r="BP34" i="65"/>
  <c r="BN34" i="65"/>
  <c r="BM34" i="65"/>
  <c r="BL34" i="65"/>
  <c r="BK34" i="65"/>
  <c r="BI34" i="65"/>
  <c r="BH34" i="65"/>
  <c r="BG34" i="65"/>
  <c r="BF34" i="65"/>
  <c r="BE34" i="65"/>
  <c r="BD34" i="65"/>
  <c r="BB34" i="65"/>
  <c r="BA34" i="65"/>
  <c r="AZ34" i="65"/>
  <c r="AX34" i="65"/>
  <c r="CG33" i="65"/>
  <c r="CF33" i="65"/>
  <c r="CE33" i="65"/>
  <c r="CD33" i="65"/>
  <c r="CC33" i="65"/>
  <c r="CA33" i="65"/>
  <c r="BZ33" i="65"/>
  <c r="BY33" i="65"/>
  <c r="BX33" i="65"/>
  <c r="BW33" i="65"/>
  <c r="BV33" i="65"/>
  <c r="BT33" i="65"/>
  <c r="BS33" i="65"/>
  <c r="BR33" i="65"/>
  <c r="BP33" i="65"/>
  <c r="BN33" i="65"/>
  <c r="BM33" i="65"/>
  <c r="BL33" i="65"/>
  <c r="BK33" i="65"/>
  <c r="BI33" i="65"/>
  <c r="BH33" i="65"/>
  <c r="BG33" i="65"/>
  <c r="BF33" i="65"/>
  <c r="BE33" i="65"/>
  <c r="BD33" i="65"/>
  <c r="BB33" i="65"/>
  <c r="BA33" i="65"/>
  <c r="AZ33" i="65"/>
  <c r="AX33" i="65"/>
  <c r="CG32" i="65"/>
  <c r="CF32" i="65"/>
  <c r="CE32" i="65"/>
  <c r="CD32" i="65"/>
  <c r="CC32" i="65"/>
  <c r="CA32" i="65"/>
  <c r="BZ32" i="65"/>
  <c r="BY32" i="65"/>
  <c r="BX32" i="65"/>
  <c r="BW32" i="65"/>
  <c r="BV32" i="65"/>
  <c r="BT32" i="65"/>
  <c r="BS32" i="65"/>
  <c r="BR32" i="65"/>
  <c r="BP32" i="65"/>
  <c r="BN32" i="65"/>
  <c r="BM32" i="65"/>
  <c r="BL32" i="65"/>
  <c r="BK32" i="65"/>
  <c r="BI32" i="65"/>
  <c r="BH32" i="65"/>
  <c r="BG32" i="65"/>
  <c r="BF32" i="65"/>
  <c r="BE32" i="65"/>
  <c r="BD32" i="65"/>
  <c r="BB32" i="65"/>
  <c r="BA32" i="65"/>
  <c r="AZ32" i="65"/>
  <c r="AX32" i="65"/>
  <c r="CG31" i="65"/>
  <c r="CF31" i="65"/>
  <c r="CE31" i="65"/>
  <c r="CD31" i="65"/>
  <c r="CC31" i="65"/>
  <c r="CA31" i="65"/>
  <c r="BZ31" i="65"/>
  <c r="BY31" i="65"/>
  <c r="BX31" i="65"/>
  <c r="BW31" i="65"/>
  <c r="BV31" i="65"/>
  <c r="BT31" i="65"/>
  <c r="BS31" i="65"/>
  <c r="BR31" i="65"/>
  <c r="BP31" i="65"/>
  <c r="BN31" i="65"/>
  <c r="BM31" i="65"/>
  <c r="BL31" i="65"/>
  <c r="BK31" i="65"/>
  <c r="BI31" i="65"/>
  <c r="BH31" i="65"/>
  <c r="BG31" i="65"/>
  <c r="BF31" i="65"/>
  <c r="BE31" i="65"/>
  <c r="BD31" i="65"/>
  <c r="BB31" i="65"/>
  <c r="BA31" i="65"/>
  <c r="AZ31" i="65"/>
  <c r="AX31" i="65"/>
  <c r="CG30" i="65"/>
  <c r="CF30" i="65"/>
  <c r="CE30" i="65"/>
  <c r="CD30" i="65"/>
  <c r="CC30" i="65"/>
  <c r="CA30" i="65"/>
  <c r="BZ30" i="65"/>
  <c r="BY30" i="65"/>
  <c r="BX30" i="65"/>
  <c r="BW30" i="65"/>
  <c r="BV30" i="65"/>
  <c r="BT30" i="65"/>
  <c r="BS30" i="65"/>
  <c r="BR30" i="65"/>
  <c r="BP30" i="65"/>
  <c r="BN30" i="65"/>
  <c r="BM30" i="65"/>
  <c r="BL30" i="65"/>
  <c r="BK30" i="65"/>
  <c r="BI30" i="65"/>
  <c r="BH30" i="65"/>
  <c r="BG30" i="65"/>
  <c r="BF30" i="65"/>
  <c r="BE30" i="65"/>
  <c r="BD30" i="65"/>
  <c r="BB30" i="65"/>
  <c r="BA30" i="65"/>
  <c r="AZ30" i="65"/>
  <c r="AX30" i="65"/>
  <c r="CG29" i="65"/>
  <c r="CF29" i="65"/>
  <c r="CE29" i="65"/>
  <c r="CD29" i="65"/>
  <c r="CC29" i="65"/>
  <c r="CA29" i="65"/>
  <c r="BZ29" i="65"/>
  <c r="BY29" i="65"/>
  <c r="BX29" i="65"/>
  <c r="BW29" i="65"/>
  <c r="BV29" i="65"/>
  <c r="BT29" i="65"/>
  <c r="BS29" i="65"/>
  <c r="BR29" i="65"/>
  <c r="BP29" i="65"/>
  <c r="BN29" i="65"/>
  <c r="BM29" i="65"/>
  <c r="BL29" i="65"/>
  <c r="BK29" i="65"/>
  <c r="BI29" i="65"/>
  <c r="BH29" i="65"/>
  <c r="BG29" i="65"/>
  <c r="BF29" i="65"/>
  <c r="BE29" i="65"/>
  <c r="BD29" i="65"/>
  <c r="BB29" i="65"/>
  <c r="BA29" i="65"/>
  <c r="AZ29" i="65"/>
  <c r="AX29" i="65"/>
  <c r="CG28" i="65"/>
  <c r="CF28" i="65"/>
  <c r="CE28" i="65"/>
  <c r="CD28" i="65"/>
  <c r="CC28" i="65"/>
  <c r="CA28" i="65"/>
  <c r="BZ28" i="65"/>
  <c r="BY28" i="65"/>
  <c r="BX28" i="65"/>
  <c r="BW28" i="65"/>
  <c r="BV28" i="65"/>
  <c r="BT28" i="65"/>
  <c r="BS28" i="65"/>
  <c r="BR28" i="65"/>
  <c r="BP28" i="65"/>
  <c r="BN28" i="65"/>
  <c r="BM28" i="65"/>
  <c r="BL28" i="65"/>
  <c r="BK28" i="65"/>
  <c r="BI28" i="65"/>
  <c r="BH28" i="65"/>
  <c r="BG28" i="65"/>
  <c r="BF28" i="65"/>
  <c r="BE28" i="65"/>
  <c r="BD28" i="65"/>
  <c r="BB28" i="65"/>
  <c r="BA28" i="65"/>
  <c r="AZ28" i="65"/>
  <c r="AX28" i="65"/>
  <c r="CG27" i="65"/>
  <c r="CF27" i="65"/>
  <c r="CE27" i="65"/>
  <c r="CD27" i="65"/>
  <c r="CC27" i="65"/>
  <c r="CA27" i="65"/>
  <c r="BZ27" i="65"/>
  <c r="BY27" i="65"/>
  <c r="BX27" i="65"/>
  <c r="BW27" i="65"/>
  <c r="BV27" i="65"/>
  <c r="BT27" i="65"/>
  <c r="BS27" i="65"/>
  <c r="BR27" i="65"/>
  <c r="BP27" i="65"/>
  <c r="BN27" i="65"/>
  <c r="BM27" i="65"/>
  <c r="BL27" i="65"/>
  <c r="BK27" i="65"/>
  <c r="BI27" i="65"/>
  <c r="BH27" i="65"/>
  <c r="BG27" i="65"/>
  <c r="BF27" i="65"/>
  <c r="BE27" i="65"/>
  <c r="BD27" i="65"/>
  <c r="BB27" i="65"/>
  <c r="BA27" i="65"/>
  <c r="AZ27" i="65"/>
  <c r="AX27" i="65"/>
  <c r="CG26" i="65"/>
  <c r="CF26" i="65"/>
  <c r="CE26" i="65"/>
  <c r="CD26" i="65"/>
  <c r="CC26" i="65"/>
  <c r="CA26" i="65"/>
  <c r="BZ26" i="65"/>
  <c r="BY26" i="65"/>
  <c r="BX26" i="65"/>
  <c r="BW26" i="65"/>
  <c r="BV26" i="65"/>
  <c r="BT26" i="65"/>
  <c r="BS26" i="65"/>
  <c r="BR26" i="65"/>
  <c r="BP26" i="65"/>
  <c r="BN26" i="65"/>
  <c r="BM26" i="65"/>
  <c r="BL26" i="65"/>
  <c r="BK26" i="65"/>
  <c r="BI26" i="65"/>
  <c r="BH26" i="65"/>
  <c r="BG26" i="65"/>
  <c r="BF26" i="65"/>
  <c r="BE26" i="65"/>
  <c r="BD26" i="65"/>
  <c r="BB26" i="65"/>
  <c r="BA26" i="65"/>
  <c r="AZ26" i="65"/>
  <c r="AX26" i="65"/>
  <c r="CG25" i="65"/>
  <c r="CF25" i="65"/>
  <c r="CE25" i="65"/>
  <c r="CD25" i="65"/>
  <c r="CC25" i="65"/>
  <c r="CA25" i="65"/>
  <c r="BZ25" i="65"/>
  <c r="BY25" i="65"/>
  <c r="BX25" i="65"/>
  <c r="BW25" i="65"/>
  <c r="BV25" i="65"/>
  <c r="BT25" i="65"/>
  <c r="BS25" i="65"/>
  <c r="BR25" i="65"/>
  <c r="BP25" i="65"/>
  <c r="BN25" i="65"/>
  <c r="BM25" i="65"/>
  <c r="BL25" i="65"/>
  <c r="BK25" i="65"/>
  <c r="BI25" i="65"/>
  <c r="BH25" i="65"/>
  <c r="BG25" i="65"/>
  <c r="BF25" i="65"/>
  <c r="BE25" i="65"/>
  <c r="BD25" i="65"/>
  <c r="BB25" i="65"/>
  <c r="BA25" i="65"/>
  <c r="AZ25" i="65"/>
  <c r="AX25" i="65"/>
  <c r="CG24" i="65"/>
  <c r="CF24" i="65"/>
  <c r="CE24" i="65"/>
  <c r="CD24" i="65"/>
  <c r="CC24" i="65"/>
  <c r="CA24" i="65"/>
  <c r="BZ24" i="65"/>
  <c r="BY24" i="65"/>
  <c r="BX24" i="65"/>
  <c r="BW24" i="65"/>
  <c r="BV24" i="65"/>
  <c r="BT24" i="65"/>
  <c r="BS24" i="65"/>
  <c r="BR24" i="65"/>
  <c r="BP24" i="65"/>
  <c r="BN24" i="65"/>
  <c r="BM24" i="65"/>
  <c r="BL24" i="65"/>
  <c r="BK24" i="65"/>
  <c r="BI24" i="65"/>
  <c r="BH24" i="65"/>
  <c r="BG24" i="65"/>
  <c r="BF24" i="65"/>
  <c r="BE24" i="65"/>
  <c r="BD24" i="65"/>
  <c r="BB24" i="65"/>
  <c r="BA24" i="65"/>
  <c r="AZ24" i="65"/>
  <c r="AX24" i="65"/>
  <c r="CG23" i="65"/>
  <c r="CF23" i="65"/>
  <c r="CE23" i="65"/>
  <c r="CD23" i="65"/>
  <c r="CC23" i="65"/>
  <c r="CA23" i="65"/>
  <c r="BZ23" i="65"/>
  <c r="BY23" i="65"/>
  <c r="BX23" i="65"/>
  <c r="BW23" i="65"/>
  <c r="BV23" i="65"/>
  <c r="BT23" i="65"/>
  <c r="BS23" i="65"/>
  <c r="BR23" i="65"/>
  <c r="BP23" i="65"/>
  <c r="BN23" i="65"/>
  <c r="BM23" i="65"/>
  <c r="BL23" i="65"/>
  <c r="BK23" i="65"/>
  <c r="BI23" i="65"/>
  <c r="BH23" i="65"/>
  <c r="BG23" i="65"/>
  <c r="BF23" i="65"/>
  <c r="BE23" i="65"/>
  <c r="BD23" i="65"/>
  <c r="BB23" i="65"/>
  <c r="BA23" i="65"/>
  <c r="AZ23" i="65"/>
  <c r="AX23" i="65"/>
  <c r="CG22" i="65"/>
  <c r="CF22" i="65"/>
  <c r="CE22" i="65"/>
  <c r="CD22" i="65"/>
  <c r="CC22" i="65"/>
  <c r="CA22" i="65"/>
  <c r="BZ22" i="65"/>
  <c r="BY22" i="65"/>
  <c r="BX22" i="65"/>
  <c r="BW22" i="65"/>
  <c r="BV22" i="65"/>
  <c r="BT22" i="65"/>
  <c r="BS22" i="65"/>
  <c r="BR22" i="65"/>
  <c r="BP22" i="65"/>
  <c r="BN22" i="65"/>
  <c r="BM22" i="65"/>
  <c r="BL22" i="65"/>
  <c r="BK22" i="65"/>
  <c r="BI22" i="65"/>
  <c r="BH22" i="65"/>
  <c r="BG22" i="65"/>
  <c r="BF22" i="65"/>
  <c r="BE22" i="65"/>
  <c r="BD22" i="65"/>
  <c r="BB22" i="65"/>
  <c r="BA22" i="65"/>
  <c r="AZ22" i="65"/>
  <c r="AX22" i="65"/>
  <c r="CG21" i="65"/>
  <c r="CF21" i="65"/>
  <c r="CE21" i="65"/>
  <c r="CD21" i="65"/>
  <c r="CC21" i="65"/>
  <c r="CA21" i="65"/>
  <c r="BZ21" i="65"/>
  <c r="BY21" i="65"/>
  <c r="BX21" i="65"/>
  <c r="BW21" i="65"/>
  <c r="BV21" i="65"/>
  <c r="BT21" i="65"/>
  <c r="BS21" i="65"/>
  <c r="BR21" i="65"/>
  <c r="BP21" i="65"/>
  <c r="BN21" i="65"/>
  <c r="BM21" i="65"/>
  <c r="BL21" i="65"/>
  <c r="BK21" i="65"/>
  <c r="BI21" i="65"/>
  <c r="BH21" i="65"/>
  <c r="BG21" i="65"/>
  <c r="BF21" i="65"/>
  <c r="BE21" i="65"/>
  <c r="BD21" i="65"/>
  <c r="BB21" i="65"/>
  <c r="BA21" i="65"/>
  <c r="AZ21" i="65"/>
  <c r="AX21" i="65"/>
  <c r="CG20" i="65"/>
  <c r="CF20" i="65"/>
  <c r="CE20" i="65"/>
  <c r="CD20" i="65"/>
  <c r="CC20" i="65"/>
  <c r="CA20" i="65"/>
  <c r="BZ20" i="65"/>
  <c r="BY20" i="65"/>
  <c r="BX20" i="65"/>
  <c r="BW20" i="65"/>
  <c r="BV20" i="65"/>
  <c r="BT20" i="65"/>
  <c r="BS20" i="65"/>
  <c r="BR20" i="65"/>
  <c r="BP20" i="65"/>
  <c r="BN20" i="65"/>
  <c r="BM20" i="65"/>
  <c r="BL20" i="65"/>
  <c r="BK20" i="65"/>
  <c r="BI20" i="65"/>
  <c r="BH20" i="65"/>
  <c r="BG20" i="65"/>
  <c r="BF20" i="65"/>
  <c r="BE20" i="65"/>
  <c r="BD20" i="65"/>
  <c r="BB20" i="65"/>
  <c r="BA20" i="65"/>
  <c r="AZ20" i="65"/>
  <c r="AX20" i="65"/>
  <c r="CG19" i="65"/>
  <c r="CF19" i="65"/>
  <c r="CE19" i="65"/>
  <c r="CD19" i="65"/>
  <c r="CC19" i="65"/>
  <c r="CA19" i="65"/>
  <c r="BZ19" i="65"/>
  <c r="BY19" i="65"/>
  <c r="BX19" i="65"/>
  <c r="BW19" i="65"/>
  <c r="BV19" i="65"/>
  <c r="BT19" i="65"/>
  <c r="BS19" i="65"/>
  <c r="BR19" i="65"/>
  <c r="BP19" i="65"/>
  <c r="BN19" i="65"/>
  <c r="BM19" i="65"/>
  <c r="BL19" i="65"/>
  <c r="BK19" i="65"/>
  <c r="BI19" i="65"/>
  <c r="BH19" i="65"/>
  <c r="BG19" i="65"/>
  <c r="BF19" i="65"/>
  <c r="BE19" i="65"/>
  <c r="BD19" i="65"/>
  <c r="BB19" i="65"/>
  <c r="BA19" i="65"/>
  <c r="AZ19" i="65"/>
  <c r="AX19" i="65"/>
  <c r="CG18" i="65"/>
  <c r="CF18" i="65"/>
  <c r="CE18" i="65"/>
  <c r="CD18" i="65"/>
  <c r="CC18" i="65"/>
  <c r="CA18" i="65"/>
  <c r="BZ18" i="65"/>
  <c r="BY18" i="65"/>
  <c r="BX18" i="65"/>
  <c r="BW18" i="65"/>
  <c r="BV18" i="65"/>
  <c r="BT18" i="65"/>
  <c r="BS18" i="65"/>
  <c r="BR18" i="65"/>
  <c r="BP18" i="65"/>
  <c r="BN18" i="65"/>
  <c r="BM18" i="65"/>
  <c r="BL18" i="65"/>
  <c r="BK18" i="65"/>
  <c r="BI18" i="65"/>
  <c r="BH18" i="65"/>
  <c r="BG18" i="65"/>
  <c r="BF18" i="65"/>
  <c r="BE18" i="65"/>
  <c r="BD18" i="65"/>
  <c r="BB18" i="65"/>
  <c r="BA18" i="65"/>
  <c r="AZ18" i="65"/>
  <c r="AX18" i="65"/>
  <c r="CG17" i="65"/>
  <c r="CF17" i="65"/>
  <c r="CE17" i="65"/>
  <c r="CD17" i="65"/>
  <c r="CC17" i="65"/>
  <c r="CA17" i="65"/>
  <c r="BZ17" i="65"/>
  <c r="BY17" i="65"/>
  <c r="BX17" i="65"/>
  <c r="BW17" i="65"/>
  <c r="BV17" i="65"/>
  <c r="BT17" i="65"/>
  <c r="BS17" i="65"/>
  <c r="BR17" i="65"/>
  <c r="BP17" i="65"/>
  <c r="BN17" i="65"/>
  <c r="BM17" i="65"/>
  <c r="BL17" i="65"/>
  <c r="BK17" i="65"/>
  <c r="BI17" i="65"/>
  <c r="BH17" i="65"/>
  <c r="BG17" i="65"/>
  <c r="BF17" i="65"/>
  <c r="BE17" i="65"/>
  <c r="BD17" i="65"/>
  <c r="BB17" i="65"/>
  <c r="BA17" i="65"/>
  <c r="AZ17" i="65"/>
  <c r="AX17" i="65"/>
  <c r="CG16" i="65"/>
  <c r="CF16" i="65"/>
  <c r="CE16" i="65"/>
  <c r="CD16" i="65"/>
  <c r="CC16" i="65"/>
  <c r="CA16" i="65"/>
  <c r="BZ16" i="65"/>
  <c r="BY16" i="65"/>
  <c r="BX16" i="65"/>
  <c r="BW16" i="65"/>
  <c r="BV16" i="65"/>
  <c r="BT16" i="65"/>
  <c r="BS16" i="65"/>
  <c r="BR16" i="65"/>
  <c r="BP16" i="65"/>
  <c r="BN16" i="65"/>
  <c r="BM16" i="65"/>
  <c r="BL16" i="65"/>
  <c r="BK16" i="65"/>
  <c r="BI16" i="65"/>
  <c r="BH16" i="65"/>
  <c r="BG16" i="65"/>
  <c r="BF16" i="65"/>
  <c r="BE16" i="65"/>
  <c r="BD16" i="65"/>
  <c r="BB16" i="65"/>
  <c r="BA16" i="65"/>
  <c r="AZ16" i="65"/>
  <c r="AX16" i="65"/>
  <c r="CG15" i="65"/>
  <c r="CF15" i="65"/>
  <c r="CE15" i="65"/>
  <c r="CD15" i="65"/>
  <c r="CC15" i="65"/>
  <c r="CA15" i="65"/>
  <c r="BZ15" i="65"/>
  <c r="BY15" i="65"/>
  <c r="BX15" i="65"/>
  <c r="BW15" i="65"/>
  <c r="BV15" i="65"/>
  <c r="BT15" i="65"/>
  <c r="BS15" i="65"/>
  <c r="BR15" i="65"/>
  <c r="BP15" i="65"/>
  <c r="BN15" i="65"/>
  <c r="BM15" i="65"/>
  <c r="BL15" i="65"/>
  <c r="BK15" i="65"/>
  <c r="BI15" i="65"/>
  <c r="BH15" i="65"/>
  <c r="BG15" i="65"/>
  <c r="BF15" i="65"/>
  <c r="BE15" i="65"/>
  <c r="BD15" i="65"/>
  <c r="BB15" i="65"/>
  <c r="BA15" i="65"/>
  <c r="AZ15" i="65"/>
  <c r="AX15" i="65"/>
  <c r="CG14" i="65"/>
  <c r="CF14" i="65"/>
  <c r="CE14" i="65"/>
  <c r="CD14" i="65"/>
  <c r="CC14" i="65"/>
  <c r="CA14" i="65"/>
  <c r="BZ14" i="65"/>
  <c r="BY14" i="65"/>
  <c r="BX14" i="65"/>
  <c r="BW14" i="65"/>
  <c r="BV14" i="65"/>
  <c r="BT14" i="65"/>
  <c r="BS14" i="65"/>
  <c r="BR14" i="65"/>
  <c r="BP14" i="65"/>
  <c r="BN14" i="65"/>
  <c r="BM14" i="65"/>
  <c r="BL14" i="65"/>
  <c r="BK14" i="65"/>
  <c r="BI14" i="65"/>
  <c r="BH14" i="65"/>
  <c r="BG14" i="65"/>
  <c r="BF14" i="65"/>
  <c r="BE14" i="65"/>
  <c r="BD14" i="65"/>
  <c r="BB14" i="65"/>
  <c r="BA14" i="65"/>
  <c r="AZ14" i="65"/>
  <c r="AX14" i="65"/>
  <c r="CG13" i="65"/>
  <c r="CF13" i="65"/>
  <c r="CE13" i="65"/>
  <c r="CD13" i="65"/>
  <c r="CC13" i="65"/>
  <c r="CA13" i="65"/>
  <c r="BZ13" i="65"/>
  <c r="BY13" i="65"/>
  <c r="BX13" i="65"/>
  <c r="BW13" i="65"/>
  <c r="BV13" i="65"/>
  <c r="BT13" i="65"/>
  <c r="BS13" i="65"/>
  <c r="BR13" i="65"/>
  <c r="BP13" i="65"/>
  <c r="BN13" i="65"/>
  <c r="BM13" i="65"/>
  <c r="BL13" i="65"/>
  <c r="BK13" i="65"/>
  <c r="BI13" i="65"/>
  <c r="BH13" i="65"/>
  <c r="BG13" i="65"/>
  <c r="BF13" i="65"/>
  <c r="BE13" i="65"/>
  <c r="BD13" i="65"/>
  <c r="BB13" i="65"/>
  <c r="BA13" i="65"/>
  <c r="AZ13" i="65"/>
  <c r="AX13" i="65"/>
  <c r="CG12" i="65"/>
  <c r="CF12" i="65"/>
  <c r="CE12" i="65"/>
  <c r="CD12" i="65"/>
  <c r="CC12" i="65"/>
  <c r="CA12" i="65"/>
  <c r="BZ12" i="65"/>
  <c r="BY12" i="65"/>
  <c r="BX12" i="65"/>
  <c r="BW12" i="65"/>
  <c r="BV12" i="65"/>
  <c r="BT12" i="65"/>
  <c r="BS12" i="65"/>
  <c r="BR12" i="65"/>
  <c r="BP12" i="65"/>
  <c r="BN12" i="65"/>
  <c r="BM12" i="65"/>
  <c r="BL12" i="65"/>
  <c r="BK12" i="65"/>
  <c r="BI12" i="65"/>
  <c r="BH12" i="65"/>
  <c r="BG12" i="65"/>
  <c r="BF12" i="65"/>
  <c r="BE12" i="65"/>
  <c r="BD12" i="65"/>
  <c r="BB12" i="65"/>
  <c r="BA12" i="65"/>
  <c r="AZ12" i="65"/>
  <c r="AX12" i="65"/>
  <c r="CG11" i="65"/>
  <c r="CF11" i="65"/>
  <c r="CE11" i="65"/>
  <c r="CD11" i="65"/>
  <c r="CC11" i="65"/>
  <c r="CA11" i="65"/>
  <c r="BZ11" i="65"/>
  <c r="BY11" i="65"/>
  <c r="BX11" i="65"/>
  <c r="BW11" i="65"/>
  <c r="BV11" i="65"/>
  <c r="BT11" i="65"/>
  <c r="BS11" i="65"/>
  <c r="BR11" i="65"/>
  <c r="BP11" i="65"/>
  <c r="BN11" i="65"/>
  <c r="BM11" i="65"/>
  <c r="BL11" i="65"/>
  <c r="BK11" i="65"/>
  <c r="BI11" i="65"/>
  <c r="BH11" i="65"/>
  <c r="BG11" i="65"/>
  <c r="BF11" i="65"/>
  <c r="BE11" i="65"/>
  <c r="BD11" i="65"/>
  <c r="BB11" i="65"/>
  <c r="BA11" i="65"/>
  <c r="AZ11" i="65"/>
  <c r="AX11" i="65"/>
  <c r="CG10" i="65"/>
  <c r="CF10" i="65"/>
  <c r="CE10" i="65"/>
  <c r="CD10" i="65"/>
  <c r="CC10" i="65"/>
  <c r="CA10" i="65"/>
  <c r="BZ10" i="65"/>
  <c r="BY10" i="65"/>
  <c r="BX10" i="65"/>
  <c r="BW10" i="65"/>
  <c r="BV10" i="65"/>
  <c r="BT10" i="65"/>
  <c r="BS10" i="65"/>
  <c r="BR10" i="65"/>
  <c r="BP10" i="65"/>
  <c r="BN10" i="65"/>
  <c r="BM10" i="65"/>
  <c r="BL10" i="65"/>
  <c r="BK10" i="65"/>
  <c r="BI10" i="65"/>
  <c r="BH10" i="65"/>
  <c r="BG10" i="65"/>
  <c r="BF10" i="65"/>
  <c r="BE10" i="65"/>
  <c r="BD10" i="65"/>
  <c r="BB10" i="65"/>
  <c r="BA10" i="65"/>
  <c r="AZ10" i="65"/>
  <c r="AX10" i="65"/>
  <c r="CG9" i="65"/>
  <c r="CF9" i="65"/>
  <c r="CE9" i="65"/>
  <c r="CD9" i="65"/>
  <c r="CC9" i="65"/>
  <c r="CA9" i="65"/>
  <c r="BZ9" i="65"/>
  <c r="BY9" i="65"/>
  <c r="BX9" i="65"/>
  <c r="BW9" i="65"/>
  <c r="BV9" i="65"/>
  <c r="BT9" i="65"/>
  <c r="BS9" i="65"/>
  <c r="BR9" i="65"/>
  <c r="BP9" i="65"/>
  <c r="BN9" i="65"/>
  <c r="BM9" i="65"/>
  <c r="BL9" i="65"/>
  <c r="BK9" i="65"/>
  <c r="BI9" i="65"/>
  <c r="BH9" i="65"/>
  <c r="BG9" i="65"/>
  <c r="BF9" i="65"/>
  <c r="BE9" i="65"/>
  <c r="BD9" i="65"/>
  <c r="BB9" i="65"/>
  <c r="BA9" i="65"/>
  <c r="AZ9" i="65"/>
  <c r="CG8" i="65"/>
  <c r="CF8" i="65"/>
  <c r="CE8" i="65"/>
  <c r="CD8" i="65"/>
  <c r="CC8" i="65"/>
  <c r="CA8" i="65"/>
  <c r="BZ8" i="65"/>
  <c r="BY8" i="65"/>
  <c r="BX8" i="65"/>
  <c r="BW8" i="65"/>
  <c r="BV8" i="65"/>
  <c r="BT8" i="65"/>
  <c r="BS8" i="65"/>
  <c r="BR8" i="65"/>
  <c r="BP8" i="65"/>
  <c r="BN8" i="65"/>
  <c r="BM8" i="65"/>
  <c r="BL8" i="65"/>
  <c r="BK8" i="65"/>
  <c r="BI8" i="65"/>
  <c r="BH8" i="65"/>
  <c r="BG8" i="65"/>
  <c r="BF8" i="65"/>
  <c r="BE8" i="65"/>
  <c r="BD8" i="65"/>
  <c r="BB8" i="65"/>
  <c r="BA8" i="65"/>
  <c r="AZ8" i="65"/>
  <c r="AX8" i="65"/>
  <c r="CG7" i="65"/>
  <c r="CF7" i="65"/>
  <c r="CE7" i="65"/>
  <c r="CD7" i="65"/>
  <c r="CC7" i="65"/>
  <c r="CA7" i="65"/>
  <c r="BZ7" i="65"/>
  <c r="BY7" i="65"/>
  <c r="BX7" i="65"/>
  <c r="BW7" i="65"/>
  <c r="BV7" i="65"/>
  <c r="BT7" i="65"/>
  <c r="BS7" i="65"/>
  <c r="BR7" i="65"/>
  <c r="BP7" i="65"/>
  <c r="BN7" i="65"/>
  <c r="BM7" i="65"/>
  <c r="BL7" i="65"/>
  <c r="BK7" i="65"/>
  <c r="BI7" i="65"/>
  <c r="BH7" i="65"/>
  <c r="BG7" i="65"/>
  <c r="BF7" i="65"/>
  <c r="BE7" i="65"/>
  <c r="BD7" i="65"/>
  <c r="BB7" i="65"/>
  <c r="BA7" i="65"/>
  <c r="AZ7" i="65"/>
  <c r="AX7" i="65"/>
  <c r="CG6" i="65"/>
  <c r="CF6" i="65"/>
  <c r="CE6" i="65"/>
  <c r="CD6" i="65"/>
  <c r="CC6" i="65"/>
  <c r="CA6" i="65"/>
  <c r="BZ6" i="65"/>
  <c r="BY6" i="65"/>
  <c r="BX6" i="65"/>
  <c r="BW6" i="65"/>
  <c r="BV6" i="65"/>
  <c r="BT6" i="65"/>
  <c r="BS6" i="65"/>
  <c r="BR6" i="65"/>
  <c r="BP6" i="65"/>
  <c r="BN6" i="65"/>
  <c r="BM6" i="65"/>
  <c r="BL6" i="65"/>
  <c r="BK6" i="65"/>
  <c r="BI6" i="65"/>
  <c r="BH6" i="65"/>
  <c r="BG6" i="65"/>
  <c r="BF6" i="65"/>
  <c r="BE6" i="65"/>
  <c r="BD6" i="65"/>
  <c r="BB6" i="65"/>
  <c r="BA6" i="65"/>
  <c r="AZ6" i="65"/>
  <c r="AX6" i="65"/>
  <c r="CG5" i="65"/>
  <c r="CF5" i="65"/>
  <c r="CE5" i="65"/>
  <c r="CD5" i="65"/>
  <c r="CC5" i="65"/>
  <c r="CA5" i="65"/>
  <c r="BZ5" i="65"/>
  <c r="BY5" i="65"/>
  <c r="BX5" i="65"/>
  <c r="BW5" i="65"/>
  <c r="BV5" i="65"/>
  <c r="BT5" i="65"/>
  <c r="BS5" i="65"/>
  <c r="BR5" i="65"/>
  <c r="BP5" i="65"/>
  <c r="BN5" i="65"/>
  <c r="BM5" i="65"/>
  <c r="BL5" i="65"/>
  <c r="BK5" i="65"/>
  <c r="BI5" i="65"/>
  <c r="BH5" i="65"/>
  <c r="BG5" i="65"/>
  <c r="BF5" i="65"/>
  <c r="BE5" i="65"/>
  <c r="BD5" i="65"/>
  <c r="BB5" i="65"/>
  <c r="BA5" i="65"/>
  <c r="AZ5" i="65"/>
  <c r="AX5" i="65"/>
  <c r="CG4" i="65"/>
  <c r="CF4" i="65"/>
  <c r="CE4" i="65"/>
  <c r="CD4" i="65"/>
  <c r="CC4" i="65"/>
  <c r="CA4" i="65"/>
  <c r="BZ4" i="65"/>
  <c r="BY4" i="65"/>
  <c r="BX4" i="65"/>
  <c r="BW4" i="65"/>
  <c r="BV4" i="65"/>
  <c r="BT4" i="65"/>
  <c r="BS4" i="65"/>
  <c r="BR4" i="65"/>
  <c r="BP4" i="65"/>
  <c r="BN4" i="65"/>
  <c r="BM4" i="65"/>
  <c r="BL4" i="65"/>
  <c r="BK4" i="65"/>
  <c r="BI4" i="65"/>
  <c r="BH4" i="65"/>
  <c r="BG4" i="65"/>
  <c r="BF4" i="65"/>
  <c r="BE4" i="65"/>
  <c r="BD4" i="65"/>
  <c r="BB4" i="65"/>
  <c r="BA4" i="65"/>
  <c r="AZ4" i="65"/>
  <c r="AX4" i="65"/>
  <c r="A4" i="65"/>
  <c r="AW36" i="55"/>
  <c r="AV36" i="55"/>
  <c r="AU36" i="55"/>
  <c r="AT36" i="55"/>
  <c r="AS36" i="55"/>
  <c r="AR36" i="55"/>
  <c r="AQ36" i="55"/>
  <c r="AP36" i="55"/>
  <c r="AO36" i="55"/>
  <c r="AN36" i="55"/>
  <c r="BZ36" i="55" s="1"/>
  <c r="AM36" i="55"/>
  <c r="AL36" i="55"/>
  <c r="AK36" i="55"/>
  <c r="AJ36" i="55"/>
  <c r="BP36" i="55" s="1"/>
  <c r="AI36" i="55"/>
  <c r="AH36" i="55"/>
  <c r="AG36" i="55"/>
  <c r="AF36" i="55"/>
  <c r="AE36" i="55"/>
  <c r="AD36" i="55"/>
  <c r="AC36" i="55"/>
  <c r="AB36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BT36" i="55" s="1"/>
  <c r="I36" i="55"/>
  <c r="BF36" i="55" s="1"/>
  <c r="H36" i="55"/>
  <c r="G36" i="55"/>
  <c r="BE36" i="55" s="1"/>
  <c r="F36" i="55"/>
  <c r="E36" i="55"/>
  <c r="BK36" i="55" s="1"/>
  <c r="D36" i="55"/>
  <c r="C36" i="55"/>
  <c r="AW35" i="55"/>
  <c r="AV35" i="55"/>
  <c r="AU35" i="55"/>
  <c r="AT35" i="55"/>
  <c r="AS35" i="55"/>
  <c r="AR35" i="55"/>
  <c r="AQ35" i="55"/>
  <c r="AP35" i="55"/>
  <c r="AO35" i="55"/>
  <c r="BI35" i="55" s="1"/>
  <c r="AN35" i="55"/>
  <c r="BZ35" i="55" s="1"/>
  <c r="AM35" i="55"/>
  <c r="AL35" i="55"/>
  <c r="AK35" i="55"/>
  <c r="AJ35" i="55"/>
  <c r="BP35" i="55" s="1"/>
  <c r="AI35" i="55"/>
  <c r="AH35" i="55"/>
  <c r="AG35" i="55"/>
  <c r="AF35" i="55"/>
  <c r="AE35" i="55"/>
  <c r="AD35" i="55"/>
  <c r="AC35" i="55"/>
  <c r="AB35" i="55"/>
  <c r="AA35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BT35" i="55" s="1"/>
  <c r="I35" i="55"/>
  <c r="BF35" i="55" s="1"/>
  <c r="H35" i="55"/>
  <c r="G35" i="55"/>
  <c r="BE35" i="55" s="1"/>
  <c r="F35" i="55"/>
  <c r="E35" i="55"/>
  <c r="BK35" i="55" s="1"/>
  <c r="D35" i="55"/>
  <c r="C35" i="55"/>
  <c r="CG34" i="55"/>
  <c r="CF34" i="55"/>
  <c r="CE34" i="55"/>
  <c r="CD34" i="55"/>
  <c r="CC34" i="55"/>
  <c r="CA34" i="55"/>
  <c r="BZ34" i="55"/>
  <c r="BY34" i="55"/>
  <c r="BX34" i="55"/>
  <c r="BW34" i="55"/>
  <c r="BV34" i="55"/>
  <c r="BT34" i="55"/>
  <c r="BS34" i="55"/>
  <c r="BR34" i="55"/>
  <c r="BP34" i="55"/>
  <c r="BN34" i="55"/>
  <c r="BM34" i="55"/>
  <c r="BL34" i="55"/>
  <c r="BK34" i="55"/>
  <c r="BI34" i="55"/>
  <c r="BH34" i="55"/>
  <c r="BG34" i="55"/>
  <c r="BF34" i="55"/>
  <c r="BE34" i="55"/>
  <c r="BD34" i="55"/>
  <c r="BB34" i="55"/>
  <c r="BA34" i="55"/>
  <c r="AZ34" i="55"/>
  <c r="AX34" i="55"/>
  <c r="CG33" i="55"/>
  <c r="CF33" i="55"/>
  <c r="CE33" i="55"/>
  <c r="CD33" i="55"/>
  <c r="CC33" i="55"/>
  <c r="CA33" i="55"/>
  <c r="BZ33" i="55"/>
  <c r="BY33" i="55"/>
  <c r="BX33" i="55"/>
  <c r="BW33" i="55"/>
  <c r="BV33" i="55"/>
  <c r="BT33" i="55"/>
  <c r="BS33" i="55"/>
  <c r="BR33" i="55"/>
  <c r="BP33" i="55"/>
  <c r="BN33" i="55"/>
  <c r="BM33" i="55"/>
  <c r="BL33" i="55"/>
  <c r="BK33" i="55"/>
  <c r="BI33" i="55"/>
  <c r="BH33" i="55"/>
  <c r="BG33" i="55"/>
  <c r="BF33" i="55"/>
  <c r="BE33" i="55"/>
  <c r="BD33" i="55"/>
  <c r="BB33" i="55"/>
  <c r="BA33" i="55"/>
  <c r="AZ33" i="55"/>
  <c r="AX33" i="55"/>
  <c r="CG32" i="55"/>
  <c r="CF32" i="55"/>
  <c r="CE32" i="55"/>
  <c r="CD32" i="55"/>
  <c r="CC32" i="55"/>
  <c r="CA32" i="55"/>
  <c r="BZ32" i="55"/>
  <c r="BY32" i="55"/>
  <c r="BX32" i="55"/>
  <c r="BW32" i="55"/>
  <c r="BV32" i="55"/>
  <c r="BT32" i="55"/>
  <c r="BS32" i="55"/>
  <c r="BR32" i="55"/>
  <c r="BP32" i="55"/>
  <c r="BN32" i="55"/>
  <c r="BM32" i="55"/>
  <c r="BL32" i="55"/>
  <c r="BK32" i="55"/>
  <c r="BI32" i="55"/>
  <c r="BH32" i="55"/>
  <c r="BG32" i="55"/>
  <c r="BF32" i="55"/>
  <c r="BE32" i="55"/>
  <c r="BD32" i="55"/>
  <c r="BB32" i="55"/>
  <c r="BA32" i="55"/>
  <c r="AZ32" i="55"/>
  <c r="AX32" i="55"/>
  <c r="CG31" i="55"/>
  <c r="CF31" i="55"/>
  <c r="CE31" i="55"/>
  <c r="CD31" i="55"/>
  <c r="CC31" i="55"/>
  <c r="CA31" i="55"/>
  <c r="BZ31" i="55"/>
  <c r="BY31" i="55"/>
  <c r="BX31" i="55"/>
  <c r="BW31" i="55"/>
  <c r="BV31" i="55"/>
  <c r="BT31" i="55"/>
  <c r="BS31" i="55"/>
  <c r="BR31" i="55"/>
  <c r="BP31" i="55"/>
  <c r="BN31" i="55"/>
  <c r="BM31" i="55"/>
  <c r="BL31" i="55"/>
  <c r="BK31" i="55"/>
  <c r="BI31" i="55"/>
  <c r="BH31" i="55"/>
  <c r="BG31" i="55"/>
  <c r="BF31" i="55"/>
  <c r="BE31" i="55"/>
  <c r="BD31" i="55"/>
  <c r="BB31" i="55"/>
  <c r="BA31" i="55"/>
  <c r="AZ31" i="55"/>
  <c r="AX31" i="55"/>
  <c r="CG30" i="55"/>
  <c r="CF30" i="55"/>
  <c r="CE30" i="55"/>
  <c r="CD30" i="55"/>
  <c r="CC30" i="55"/>
  <c r="CA30" i="55"/>
  <c r="BZ30" i="55"/>
  <c r="BY30" i="55"/>
  <c r="BX30" i="55"/>
  <c r="BW30" i="55"/>
  <c r="BV30" i="55"/>
  <c r="BT30" i="55"/>
  <c r="BS30" i="55"/>
  <c r="BR30" i="55"/>
  <c r="BP30" i="55"/>
  <c r="BN30" i="55"/>
  <c r="BM30" i="55"/>
  <c r="BL30" i="55"/>
  <c r="BK30" i="55"/>
  <c r="BI30" i="55"/>
  <c r="BH30" i="55"/>
  <c r="BG30" i="55"/>
  <c r="BF30" i="55"/>
  <c r="BE30" i="55"/>
  <c r="BD30" i="55"/>
  <c r="BB30" i="55"/>
  <c r="BA30" i="55"/>
  <c r="AZ30" i="55"/>
  <c r="AX30" i="55"/>
  <c r="CG29" i="55"/>
  <c r="CF29" i="55"/>
  <c r="CE29" i="55"/>
  <c r="CD29" i="55"/>
  <c r="CC29" i="55"/>
  <c r="CA29" i="55"/>
  <c r="BZ29" i="55"/>
  <c r="BY29" i="55"/>
  <c r="BX29" i="55"/>
  <c r="BW29" i="55"/>
  <c r="BV29" i="55"/>
  <c r="BT29" i="55"/>
  <c r="BS29" i="55"/>
  <c r="BR29" i="55"/>
  <c r="BP29" i="55"/>
  <c r="BN29" i="55"/>
  <c r="BM29" i="55"/>
  <c r="BL29" i="55"/>
  <c r="BK29" i="55"/>
  <c r="BI29" i="55"/>
  <c r="BH29" i="55"/>
  <c r="BG29" i="55"/>
  <c r="BF29" i="55"/>
  <c r="BE29" i="55"/>
  <c r="BD29" i="55"/>
  <c r="BB29" i="55"/>
  <c r="BA29" i="55"/>
  <c r="AZ29" i="55"/>
  <c r="CG28" i="55"/>
  <c r="CF28" i="55"/>
  <c r="CE28" i="55"/>
  <c r="CD28" i="55"/>
  <c r="CC28" i="55"/>
  <c r="CA28" i="55"/>
  <c r="BZ28" i="55"/>
  <c r="BY28" i="55"/>
  <c r="BX28" i="55"/>
  <c r="BW28" i="55"/>
  <c r="BV28" i="55"/>
  <c r="BT28" i="55"/>
  <c r="BS28" i="55"/>
  <c r="BR28" i="55"/>
  <c r="BP28" i="55"/>
  <c r="BN28" i="55"/>
  <c r="BM28" i="55"/>
  <c r="BL28" i="55"/>
  <c r="BK28" i="55"/>
  <c r="BI28" i="55"/>
  <c r="BH28" i="55"/>
  <c r="BG28" i="55"/>
  <c r="BF28" i="55"/>
  <c r="BE28" i="55"/>
  <c r="BD28" i="55"/>
  <c r="BB28" i="55"/>
  <c r="BA28" i="55"/>
  <c r="AZ28" i="55"/>
  <c r="AX28" i="55"/>
  <c r="CG27" i="55"/>
  <c r="CF27" i="55"/>
  <c r="CE27" i="55"/>
  <c r="CD27" i="55"/>
  <c r="CC27" i="55"/>
  <c r="CA27" i="55"/>
  <c r="BZ27" i="55"/>
  <c r="BY27" i="55"/>
  <c r="BX27" i="55"/>
  <c r="BW27" i="55"/>
  <c r="BV27" i="55"/>
  <c r="BT27" i="55"/>
  <c r="BS27" i="55"/>
  <c r="BR27" i="55"/>
  <c r="BP27" i="55"/>
  <c r="BN27" i="55"/>
  <c r="BM27" i="55"/>
  <c r="BL27" i="55"/>
  <c r="BK27" i="55"/>
  <c r="BI27" i="55"/>
  <c r="BH27" i="55"/>
  <c r="BG27" i="55"/>
  <c r="BF27" i="55"/>
  <c r="BE27" i="55"/>
  <c r="BD27" i="55"/>
  <c r="BB27" i="55"/>
  <c r="BA27" i="55"/>
  <c r="AZ27" i="55"/>
  <c r="AX27" i="55"/>
  <c r="CG26" i="55"/>
  <c r="CF26" i="55"/>
  <c r="CE26" i="55"/>
  <c r="CD26" i="55"/>
  <c r="CC26" i="55"/>
  <c r="CA26" i="55"/>
  <c r="BZ26" i="55"/>
  <c r="BY26" i="55"/>
  <c r="BX26" i="55"/>
  <c r="BW26" i="55"/>
  <c r="BV26" i="55"/>
  <c r="BT26" i="55"/>
  <c r="BS26" i="55"/>
  <c r="BR26" i="55"/>
  <c r="BP26" i="55"/>
  <c r="BN26" i="55"/>
  <c r="BM26" i="55"/>
  <c r="BL26" i="55"/>
  <c r="BK26" i="55"/>
  <c r="BI26" i="55"/>
  <c r="BH26" i="55"/>
  <c r="BG26" i="55"/>
  <c r="BF26" i="55"/>
  <c r="BE26" i="55"/>
  <c r="BD26" i="55"/>
  <c r="BB26" i="55"/>
  <c r="BA26" i="55"/>
  <c r="AZ26" i="55"/>
  <c r="AX26" i="55"/>
  <c r="CG25" i="55"/>
  <c r="CF25" i="55"/>
  <c r="CE25" i="55"/>
  <c r="CD25" i="55"/>
  <c r="CC25" i="55"/>
  <c r="CA25" i="55"/>
  <c r="BZ25" i="55"/>
  <c r="BY25" i="55"/>
  <c r="BX25" i="55"/>
  <c r="BW25" i="55"/>
  <c r="BV25" i="55"/>
  <c r="BT25" i="55"/>
  <c r="BS25" i="55"/>
  <c r="BR25" i="55"/>
  <c r="BP25" i="55"/>
  <c r="BN25" i="55"/>
  <c r="BM25" i="55"/>
  <c r="BL25" i="55"/>
  <c r="BK25" i="55"/>
  <c r="BI25" i="55"/>
  <c r="BH25" i="55"/>
  <c r="BG25" i="55"/>
  <c r="BF25" i="55"/>
  <c r="BE25" i="55"/>
  <c r="BD25" i="55"/>
  <c r="BB25" i="55"/>
  <c r="BA25" i="55"/>
  <c r="AZ25" i="55"/>
  <c r="AX25" i="55"/>
  <c r="CG24" i="55"/>
  <c r="CF24" i="55"/>
  <c r="CE24" i="55"/>
  <c r="CD24" i="55"/>
  <c r="CC24" i="55"/>
  <c r="CA24" i="55"/>
  <c r="BZ24" i="55"/>
  <c r="BY24" i="55"/>
  <c r="BX24" i="55"/>
  <c r="BW24" i="55"/>
  <c r="BV24" i="55"/>
  <c r="BT24" i="55"/>
  <c r="BS24" i="55"/>
  <c r="BR24" i="55"/>
  <c r="BP24" i="55"/>
  <c r="BN24" i="55"/>
  <c r="BM24" i="55"/>
  <c r="BL24" i="55"/>
  <c r="BK24" i="55"/>
  <c r="BI24" i="55"/>
  <c r="BH24" i="55"/>
  <c r="BG24" i="55"/>
  <c r="BF24" i="55"/>
  <c r="BE24" i="55"/>
  <c r="BD24" i="55"/>
  <c r="BB24" i="55"/>
  <c r="BA24" i="55"/>
  <c r="AZ24" i="55"/>
  <c r="AX24" i="55"/>
  <c r="CG23" i="55"/>
  <c r="CF23" i="55"/>
  <c r="CE23" i="55"/>
  <c r="CD23" i="55"/>
  <c r="CC23" i="55"/>
  <c r="CA23" i="55"/>
  <c r="BZ23" i="55"/>
  <c r="BY23" i="55"/>
  <c r="BX23" i="55"/>
  <c r="BW23" i="55"/>
  <c r="BV23" i="55"/>
  <c r="BT23" i="55"/>
  <c r="BS23" i="55"/>
  <c r="BR23" i="55"/>
  <c r="BP23" i="55"/>
  <c r="BN23" i="55"/>
  <c r="BM23" i="55"/>
  <c r="BL23" i="55"/>
  <c r="BK23" i="55"/>
  <c r="BI23" i="55"/>
  <c r="BH23" i="55"/>
  <c r="BG23" i="55"/>
  <c r="BF23" i="55"/>
  <c r="BE23" i="55"/>
  <c r="BD23" i="55"/>
  <c r="BB23" i="55"/>
  <c r="BA23" i="55"/>
  <c r="AZ23" i="55"/>
  <c r="AX23" i="55"/>
  <c r="CG22" i="55"/>
  <c r="CF22" i="55"/>
  <c r="CE22" i="55"/>
  <c r="CD22" i="55"/>
  <c r="CC22" i="55"/>
  <c r="CA22" i="55"/>
  <c r="BZ22" i="55"/>
  <c r="BY22" i="55"/>
  <c r="BX22" i="55"/>
  <c r="BW22" i="55"/>
  <c r="BV22" i="55"/>
  <c r="BT22" i="55"/>
  <c r="BS22" i="55"/>
  <c r="BR22" i="55"/>
  <c r="BP22" i="55"/>
  <c r="BN22" i="55"/>
  <c r="BM22" i="55"/>
  <c r="BL22" i="55"/>
  <c r="BK22" i="55"/>
  <c r="BI22" i="55"/>
  <c r="BH22" i="55"/>
  <c r="BG22" i="55"/>
  <c r="BF22" i="55"/>
  <c r="BE22" i="55"/>
  <c r="BD22" i="55"/>
  <c r="BB22" i="55"/>
  <c r="BA22" i="55"/>
  <c r="AZ22" i="55"/>
  <c r="AX22" i="55"/>
  <c r="CG21" i="55"/>
  <c r="CF21" i="55"/>
  <c r="CE21" i="55"/>
  <c r="CD21" i="55"/>
  <c r="CC21" i="55"/>
  <c r="CA21" i="55"/>
  <c r="BZ21" i="55"/>
  <c r="BY21" i="55"/>
  <c r="BX21" i="55"/>
  <c r="BW21" i="55"/>
  <c r="BV21" i="55"/>
  <c r="BT21" i="55"/>
  <c r="BS21" i="55"/>
  <c r="BR21" i="55"/>
  <c r="BP21" i="55"/>
  <c r="BN21" i="55"/>
  <c r="BM21" i="55"/>
  <c r="BL21" i="55"/>
  <c r="BK21" i="55"/>
  <c r="BI21" i="55"/>
  <c r="BH21" i="55"/>
  <c r="BG21" i="55"/>
  <c r="BF21" i="55"/>
  <c r="BE21" i="55"/>
  <c r="BD21" i="55"/>
  <c r="BB21" i="55"/>
  <c r="BA21" i="55"/>
  <c r="AZ21" i="55"/>
  <c r="AX21" i="55"/>
  <c r="CG20" i="55"/>
  <c r="CF20" i="55"/>
  <c r="CE20" i="55"/>
  <c r="CD20" i="55"/>
  <c r="CC20" i="55"/>
  <c r="CA20" i="55"/>
  <c r="BZ20" i="55"/>
  <c r="BY20" i="55"/>
  <c r="BX20" i="55"/>
  <c r="BW20" i="55"/>
  <c r="BV20" i="55"/>
  <c r="BT20" i="55"/>
  <c r="BS20" i="55"/>
  <c r="BR20" i="55"/>
  <c r="BP20" i="55"/>
  <c r="BN20" i="55"/>
  <c r="BM20" i="55"/>
  <c r="BL20" i="55"/>
  <c r="BK20" i="55"/>
  <c r="BI20" i="55"/>
  <c r="BH20" i="55"/>
  <c r="BG20" i="55"/>
  <c r="BF20" i="55"/>
  <c r="BE20" i="55"/>
  <c r="BD20" i="55"/>
  <c r="BB20" i="55"/>
  <c r="BA20" i="55"/>
  <c r="AZ20" i="55"/>
  <c r="AX20" i="55"/>
  <c r="CG19" i="55"/>
  <c r="CF19" i="55"/>
  <c r="CE19" i="55"/>
  <c r="CD19" i="55"/>
  <c r="CC19" i="55"/>
  <c r="CA19" i="55"/>
  <c r="BZ19" i="55"/>
  <c r="BY19" i="55"/>
  <c r="BX19" i="55"/>
  <c r="BW19" i="55"/>
  <c r="BV19" i="55"/>
  <c r="BT19" i="55"/>
  <c r="BS19" i="55"/>
  <c r="BR19" i="55"/>
  <c r="BP19" i="55"/>
  <c r="BN19" i="55"/>
  <c r="BM19" i="55"/>
  <c r="BL19" i="55"/>
  <c r="BK19" i="55"/>
  <c r="BI19" i="55"/>
  <c r="BH19" i="55"/>
  <c r="BG19" i="55"/>
  <c r="BF19" i="55"/>
  <c r="BE19" i="55"/>
  <c r="BD19" i="55"/>
  <c r="BB19" i="55"/>
  <c r="BA19" i="55"/>
  <c r="AZ19" i="55"/>
  <c r="AX19" i="55"/>
  <c r="CG18" i="55"/>
  <c r="CF18" i="55"/>
  <c r="CE18" i="55"/>
  <c r="CD18" i="55"/>
  <c r="CC18" i="55"/>
  <c r="CA18" i="55"/>
  <c r="BZ18" i="55"/>
  <c r="BY18" i="55"/>
  <c r="BX18" i="55"/>
  <c r="BW18" i="55"/>
  <c r="BV18" i="55"/>
  <c r="BT18" i="55"/>
  <c r="BS18" i="55"/>
  <c r="BR18" i="55"/>
  <c r="BP18" i="55"/>
  <c r="BN18" i="55"/>
  <c r="BM18" i="55"/>
  <c r="BL18" i="55"/>
  <c r="BK18" i="55"/>
  <c r="BI18" i="55"/>
  <c r="BH18" i="55"/>
  <c r="BG18" i="55"/>
  <c r="BF18" i="55"/>
  <c r="BE18" i="55"/>
  <c r="BD18" i="55"/>
  <c r="BB18" i="55"/>
  <c r="BA18" i="55"/>
  <c r="AZ18" i="55"/>
  <c r="AX18" i="55"/>
  <c r="CG17" i="55"/>
  <c r="CF17" i="55"/>
  <c r="CE17" i="55"/>
  <c r="CD17" i="55"/>
  <c r="CC17" i="55"/>
  <c r="CA17" i="55"/>
  <c r="BZ17" i="55"/>
  <c r="BY17" i="55"/>
  <c r="BX17" i="55"/>
  <c r="BW17" i="55"/>
  <c r="BV17" i="55"/>
  <c r="BT17" i="55"/>
  <c r="BS17" i="55"/>
  <c r="BR17" i="55"/>
  <c r="BP17" i="55"/>
  <c r="BN17" i="55"/>
  <c r="BM17" i="55"/>
  <c r="BL17" i="55"/>
  <c r="BK17" i="55"/>
  <c r="BI17" i="55"/>
  <c r="BH17" i="55"/>
  <c r="BG17" i="55"/>
  <c r="BF17" i="55"/>
  <c r="BE17" i="55"/>
  <c r="BD17" i="55"/>
  <c r="BB17" i="55"/>
  <c r="BA17" i="55"/>
  <c r="AZ17" i="55"/>
  <c r="AX17" i="55"/>
  <c r="CG16" i="55"/>
  <c r="CF16" i="55"/>
  <c r="CE16" i="55"/>
  <c r="CD16" i="55"/>
  <c r="CC16" i="55"/>
  <c r="CA16" i="55"/>
  <c r="BZ16" i="55"/>
  <c r="BY16" i="55"/>
  <c r="BX16" i="55"/>
  <c r="BW16" i="55"/>
  <c r="BV16" i="55"/>
  <c r="BT16" i="55"/>
  <c r="BS16" i="55"/>
  <c r="BR16" i="55"/>
  <c r="BP16" i="55"/>
  <c r="BN16" i="55"/>
  <c r="BM16" i="55"/>
  <c r="BL16" i="55"/>
  <c r="BK16" i="55"/>
  <c r="BI16" i="55"/>
  <c r="BH16" i="55"/>
  <c r="BG16" i="55"/>
  <c r="BF16" i="55"/>
  <c r="BE16" i="55"/>
  <c r="BD16" i="55"/>
  <c r="BB16" i="55"/>
  <c r="BA16" i="55"/>
  <c r="AZ16" i="55"/>
  <c r="AX16" i="55"/>
  <c r="CG15" i="55"/>
  <c r="CF15" i="55"/>
  <c r="CE15" i="55"/>
  <c r="CD15" i="55"/>
  <c r="CC15" i="55"/>
  <c r="CA15" i="55"/>
  <c r="BZ15" i="55"/>
  <c r="BY15" i="55"/>
  <c r="BX15" i="55"/>
  <c r="BW15" i="55"/>
  <c r="BV15" i="55"/>
  <c r="BT15" i="55"/>
  <c r="BS15" i="55"/>
  <c r="BR15" i="55"/>
  <c r="BP15" i="55"/>
  <c r="BN15" i="55"/>
  <c r="BM15" i="55"/>
  <c r="BL15" i="55"/>
  <c r="BK15" i="55"/>
  <c r="BI15" i="55"/>
  <c r="BH15" i="55"/>
  <c r="BG15" i="55"/>
  <c r="BF15" i="55"/>
  <c r="BE15" i="55"/>
  <c r="BD15" i="55"/>
  <c r="BB15" i="55"/>
  <c r="BA15" i="55"/>
  <c r="AZ15" i="55"/>
  <c r="AX15" i="55"/>
  <c r="CG14" i="55"/>
  <c r="CF14" i="55"/>
  <c r="CE14" i="55"/>
  <c r="CD14" i="55"/>
  <c r="CC14" i="55"/>
  <c r="CA14" i="55"/>
  <c r="BZ14" i="55"/>
  <c r="BY14" i="55"/>
  <c r="BX14" i="55"/>
  <c r="BW14" i="55"/>
  <c r="BV14" i="55"/>
  <c r="BT14" i="55"/>
  <c r="BS14" i="55"/>
  <c r="BR14" i="55"/>
  <c r="BP14" i="55"/>
  <c r="BN14" i="55"/>
  <c r="BM14" i="55"/>
  <c r="BL14" i="55"/>
  <c r="BK14" i="55"/>
  <c r="BI14" i="55"/>
  <c r="BH14" i="55"/>
  <c r="BG14" i="55"/>
  <c r="BF14" i="55"/>
  <c r="BE14" i="55"/>
  <c r="BD14" i="55"/>
  <c r="BB14" i="55"/>
  <c r="BA14" i="55"/>
  <c r="AZ14" i="55"/>
  <c r="AX14" i="55"/>
  <c r="CG13" i="55"/>
  <c r="CF13" i="55"/>
  <c r="CE13" i="55"/>
  <c r="CD13" i="55"/>
  <c r="CC13" i="55"/>
  <c r="CA13" i="55"/>
  <c r="BZ13" i="55"/>
  <c r="BY13" i="55"/>
  <c r="BX13" i="55"/>
  <c r="BW13" i="55"/>
  <c r="BV13" i="55"/>
  <c r="BT13" i="55"/>
  <c r="BS13" i="55"/>
  <c r="BR13" i="55"/>
  <c r="BP13" i="55"/>
  <c r="BN13" i="55"/>
  <c r="BM13" i="55"/>
  <c r="BL13" i="55"/>
  <c r="BK13" i="55"/>
  <c r="BI13" i="55"/>
  <c r="BH13" i="55"/>
  <c r="BG13" i="55"/>
  <c r="BF13" i="55"/>
  <c r="BE13" i="55"/>
  <c r="BD13" i="55"/>
  <c r="BB13" i="55"/>
  <c r="BA13" i="55"/>
  <c r="AZ13" i="55"/>
  <c r="AX13" i="55"/>
  <c r="CG12" i="55"/>
  <c r="CF12" i="55"/>
  <c r="CE12" i="55"/>
  <c r="CD12" i="55"/>
  <c r="CC12" i="55"/>
  <c r="CA12" i="55"/>
  <c r="BZ12" i="55"/>
  <c r="BY12" i="55"/>
  <c r="BX12" i="55"/>
  <c r="BW12" i="55"/>
  <c r="BV12" i="55"/>
  <c r="BT12" i="55"/>
  <c r="BS12" i="55"/>
  <c r="BR12" i="55"/>
  <c r="BP12" i="55"/>
  <c r="BN12" i="55"/>
  <c r="BM12" i="55"/>
  <c r="BL12" i="55"/>
  <c r="BK12" i="55"/>
  <c r="BI12" i="55"/>
  <c r="BH12" i="55"/>
  <c r="BG12" i="55"/>
  <c r="BF12" i="55"/>
  <c r="BE12" i="55"/>
  <c r="BD12" i="55"/>
  <c r="BB12" i="55"/>
  <c r="BA12" i="55"/>
  <c r="AZ12" i="55"/>
  <c r="AX12" i="55"/>
  <c r="CG11" i="55"/>
  <c r="CF11" i="55"/>
  <c r="CE11" i="55"/>
  <c r="CD11" i="55"/>
  <c r="CC11" i="55"/>
  <c r="CA11" i="55"/>
  <c r="BZ11" i="55"/>
  <c r="BY11" i="55"/>
  <c r="BX11" i="55"/>
  <c r="BW11" i="55"/>
  <c r="BV11" i="55"/>
  <c r="BT11" i="55"/>
  <c r="BS11" i="55"/>
  <c r="BR11" i="55"/>
  <c r="BP11" i="55"/>
  <c r="BN11" i="55"/>
  <c r="BM11" i="55"/>
  <c r="BL11" i="55"/>
  <c r="BK11" i="55"/>
  <c r="BI11" i="55"/>
  <c r="BH11" i="55"/>
  <c r="BG11" i="55"/>
  <c r="BF11" i="55"/>
  <c r="BE11" i="55"/>
  <c r="BD11" i="55"/>
  <c r="BB11" i="55"/>
  <c r="BA11" i="55"/>
  <c r="AZ11" i="55"/>
  <c r="AX11" i="55"/>
  <c r="CG10" i="55"/>
  <c r="CF10" i="55"/>
  <c r="CE10" i="55"/>
  <c r="CD10" i="55"/>
  <c r="CC10" i="55"/>
  <c r="CA10" i="55"/>
  <c r="BZ10" i="55"/>
  <c r="BY10" i="55"/>
  <c r="BX10" i="55"/>
  <c r="BW10" i="55"/>
  <c r="BV10" i="55"/>
  <c r="BT10" i="55"/>
  <c r="BS10" i="55"/>
  <c r="BR10" i="55"/>
  <c r="BP10" i="55"/>
  <c r="BN10" i="55"/>
  <c r="BM10" i="55"/>
  <c r="BL10" i="55"/>
  <c r="BK10" i="55"/>
  <c r="BI10" i="55"/>
  <c r="BH10" i="55"/>
  <c r="BG10" i="55"/>
  <c r="BF10" i="55"/>
  <c r="BE10" i="55"/>
  <c r="BD10" i="55"/>
  <c r="BB10" i="55"/>
  <c r="BA10" i="55"/>
  <c r="AZ10" i="55"/>
  <c r="AX10" i="55"/>
  <c r="CG9" i="55"/>
  <c r="CF9" i="55"/>
  <c r="CE9" i="55"/>
  <c r="CD9" i="55"/>
  <c r="CC9" i="55"/>
  <c r="CA9" i="55"/>
  <c r="BZ9" i="55"/>
  <c r="BY9" i="55"/>
  <c r="BX9" i="55"/>
  <c r="BW9" i="55"/>
  <c r="BV9" i="55"/>
  <c r="BT9" i="55"/>
  <c r="BS9" i="55"/>
  <c r="BR9" i="55"/>
  <c r="BP9" i="55"/>
  <c r="BN9" i="55"/>
  <c r="BM9" i="55"/>
  <c r="BL9" i="55"/>
  <c r="BK9" i="55"/>
  <c r="BI9" i="55"/>
  <c r="BH9" i="55"/>
  <c r="BG9" i="55"/>
  <c r="BF9" i="55"/>
  <c r="BE9" i="55"/>
  <c r="BD9" i="55"/>
  <c r="BB9" i="55"/>
  <c r="BA9" i="55"/>
  <c r="AZ9" i="55"/>
  <c r="AX9" i="55"/>
  <c r="CG8" i="55"/>
  <c r="CF8" i="55"/>
  <c r="CE8" i="55"/>
  <c r="CD8" i="55"/>
  <c r="CC8" i="55"/>
  <c r="CA8" i="55"/>
  <c r="BZ8" i="55"/>
  <c r="BY8" i="55"/>
  <c r="BX8" i="55"/>
  <c r="BW8" i="55"/>
  <c r="BV8" i="55"/>
  <c r="BT8" i="55"/>
  <c r="BS8" i="55"/>
  <c r="BR8" i="55"/>
  <c r="BP8" i="55"/>
  <c r="BN8" i="55"/>
  <c r="BM8" i="55"/>
  <c r="BL8" i="55"/>
  <c r="BK8" i="55"/>
  <c r="BI8" i="55"/>
  <c r="BH8" i="55"/>
  <c r="BG8" i="55"/>
  <c r="BF8" i="55"/>
  <c r="BE8" i="55"/>
  <c r="BD8" i="55"/>
  <c r="BB8" i="55"/>
  <c r="BA8" i="55"/>
  <c r="AZ8" i="55"/>
  <c r="AX8" i="55"/>
  <c r="CG7" i="55"/>
  <c r="CF7" i="55"/>
  <c r="CE7" i="55"/>
  <c r="CD7" i="55"/>
  <c r="CC7" i="55"/>
  <c r="CA7" i="55"/>
  <c r="BZ7" i="55"/>
  <c r="BY7" i="55"/>
  <c r="BX7" i="55"/>
  <c r="BW7" i="55"/>
  <c r="BV7" i="55"/>
  <c r="BT7" i="55"/>
  <c r="BS7" i="55"/>
  <c r="BR7" i="55"/>
  <c r="BP7" i="55"/>
  <c r="BN7" i="55"/>
  <c r="BM7" i="55"/>
  <c r="BL7" i="55"/>
  <c r="BK7" i="55"/>
  <c r="BI7" i="55"/>
  <c r="BH7" i="55"/>
  <c r="BG7" i="55"/>
  <c r="BF7" i="55"/>
  <c r="BE7" i="55"/>
  <c r="BD7" i="55"/>
  <c r="BB7" i="55"/>
  <c r="BA7" i="55"/>
  <c r="AZ7" i="55"/>
  <c r="AX7" i="55"/>
  <c r="CG6" i="55"/>
  <c r="CF6" i="55"/>
  <c r="CE6" i="55"/>
  <c r="CD6" i="55"/>
  <c r="CC6" i="55"/>
  <c r="CA6" i="55"/>
  <c r="BZ6" i="55"/>
  <c r="BY6" i="55"/>
  <c r="BX6" i="55"/>
  <c r="BW6" i="55"/>
  <c r="BV6" i="55"/>
  <c r="BT6" i="55"/>
  <c r="BS6" i="55"/>
  <c r="BR6" i="55"/>
  <c r="BP6" i="55"/>
  <c r="BN6" i="55"/>
  <c r="BM6" i="55"/>
  <c r="BL6" i="55"/>
  <c r="BK6" i="55"/>
  <c r="BI6" i="55"/>
  <c r="BH6" i="55"/>
  <c r="BG6" i="55"/>
  <c r="BF6" i="55"/>
  <c r="BE6" i="55"/>
  <c r="BD6" i="55"/>
  <c r="BB6" i="55"/>
  <c r="BA6" i="55"/>
  <c r="AZ6" i="55"/>
  <c r="AX6" i="55"/>
  <c r="CG5" i="55"/>
  <c r="CF5" i="55"/>
  <c r="CE5" i="55"/>
  <c r="CD5" i="55"/>
  <c r="CC5" i="55"/>
  <c r="CA5" i="55"/>
  <c r="BZ5" i="55"/>
  <c r="BY5" i="55"/>
  <c r="BX5" i="55"/>
  <c r="BW5" i="55"/>
  <c r="BV5" i="55"/>
  <c r="BT5" i="55"/>
  <c r="BS5" i="55"/>
  <c r="BR5" i="55"/>
  <c r="BP5" i="55"/>
  <c r="BN5" i="55"/>
  <c r="BM5" i="55"/>
  <c r="BL5" i="55"/>
  <c r="BK5" i="55"/>
  <c r="BI5" i="55"/>
  <c r="BH5" i="55"/>
  <c r="BG5" i="55"/>
  <c r="BF5" i="55"/>
  <c r="BE5" i="55"/>
  <c r="BD5" i="55"/>
  <c r="BB5" i="55"/>
  <c r="BA5" i="55"/>
  <c r="AZ5" i="55"/>
  <c r="AX5" i="55"/>
  <c r="CG4" i="55"/>
  <c r="CF4" i="55"/>
  <c r="CE4" i="55"/>
  <c r="CD4" i="55"/>
  <c r="CC4" i="55"/>
  <c r="CA4" i="55"/>
  <c r="BZ4" i="55"/>
  <c r="BY4" i="55"/>
  <c r="BX4" i="55"/>
  <c r="BW4" i="55"/>
  <c r="BV4" i="55"/>
  <c r="BT4" i="55"/>
  <c r="BS4" i="55"/>
  <c r="BR4" i="55"/>
  <c r="BP4" i="55"/>
  <c r="BN4" i="55"/>
  <c r="BM4" i="55"/>
  <c r="BL4" i="55"/>
  <c r="BK4" i="55"/>
  <c r="BI4" i="55"/>
  <c r="BH4" i="55"/>
  <c r="BG4" i="55"/>
  <c r="BF4" i="55"/>
  <c r="BE4" i="55"/>
  <c r="BD4" i="55"/>
  <c r="BB4" i="55"/>
  <c r="BA4" i="55"/>
  <c r="AZ4" i="55"/>
  <c r="AX4" i="55"/>
  <c r="A4" i="55"/>
  <c r="AW36" i="54"/>
  <c r="AV36" i="54"/>
  <c r="AU36" i="54"/>
  <c r="AT36" i="54"/>
  <c r="AS36" i="54"/>
  <c r="AR36" i="54"/>
  <c r="AQ36" i="54"/>
  <c r="AP36" i="54"/>
  <c r="AO36" i="54"/>
  <c r="AN36" i="54"/>
  <c r="BY36" i="54" s="1"/>
  <c r="AM36" i="54"/>
  <c r="AL36" i="54"/>
  <c r="AK36" i="54"/>
  <c r="AJ36" i="54"/>
  <c r="BS36" i="54" s="1"/>
  <c r="AI36" i="54"/>
  <c r="AH36" i="54"/>
  <c r="AG36" i="54"/>
  <c r="AF36" i="54"/>
  <c r="AE36" i="54"/>
  <c r="AD36" i="54"/>
  <c r="AC36" i="54"/>
  <c r="AB36" i="54"/>
  <c r="AA36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BT36" i="54" s="1"/>
  <c r="I36" i="54"/>
  <c r="BF36" i="54" s="1"/>
  <c r="H36" i="54"/>
  <c r="G36" i="54"/>
  <c r="BE36" i="54" s="1"/>
  <c r="F36" i="54"/>
  <c r="E36" i="54"/>
  <c r="BN36" i="54" s="1"/>
  <c r="D36" i="54"/>
  <c r="C36" i="54"/>
  <c r="AW35" i="54"/>
  <c r="AV35" i="54"/>
  <c r="AU35" i="54"/>
  <c r="AT35" i="54"/>
  <c r="AS35" i="54"/>
  <c r="AR35" i="54"/>
  <c r="AQ35" i="54"/>
  <c r="AP35" i="54"/>
  <c r="AO35" i="54"/>
  <c r="AN35" i="54"/>
  <c r="BY35" i="54" s="1"/>
  <c r="AM35" i="54"/>
  <c r="AL35" i="54"/>
  <c r="AK35" i="54"/>
  <c r="AJ35" i="54"/>
  <c r="BS35" i="54" s="1"/>
  <c r="AI35" i="54"/>
  <c r="AH35" i="54"/>
  <c r="AG35" i="54"/>
  <c r="AF35" i="54"/>
  <c r="AE35" i="54"/>
  <c r="AD35" i="54"/>
  <c r="AC35" i="54"/>
  <c r="AB35" i="54"/>
  <c r="AA35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BT35" i="54" s="1"/>
  <c r="I35" i="54"/>
  <c r="BF35" i="54" s="1"/>
  <c r="H35" i="54"/>
  <c r="G35" i="54"/>
  <c r="BE35" i="54" s="1"/>
  <c r="F35" i="54"/>
  <c r="E35" i="54"/>
  <c r="BN35" i="54" s="1"/>
  <c r="D35" i="54"/>
  <c r="C35" i="54"/>
  <c r="CG34" i="54"/>
  <c r="CF34" i="54"/>
  <c r="CE34" i="54"/>
  <c r="CD34" i="54"/>
  <c r="CC34" i="54"/>
  <c r="CA34" i="54"/>
  <c r="BZ34" i="54"/>
  <c r="BY34" i="54"/>
  <c r="BX34" i="54"/>
  <c r="BW34" i="54"/>
  <c r="BV34" i="54"/>
  <c r="BT34" i="54"/>
  <c r="BS34" i="54"/>
  <c r="BR34" i="54"/>
  <c r="BP34" i="54"/>
  <c r="BN34" i="54"/>
  <c r="BM34" i="54"/>
  <c r="BL34" i="54"/>
  <c r="BK34" i="54"/>
  <c r="BI34" i="54"/>
  <c r="BH34" i="54"/>
  <c r="BG34" i="54"/>
  <c r="BF34" i="54"/>
  <c r="BE34" i="54"/>
  <c r="BD34" i="54"/>
  <c r="BB34" i="54"/>
  <c r="BA34" i="54"/>
  <c r="AZ34" i="54"/>
  <c r="AX34" i="54"/>
  <c r="CG33" i="54"/>
  <c r="CF33" i="54"/>
  <c r="CE33" i="54"/>
  <c r="CD33" i="54"/>
  <c r="CC33" i="54"/>
  <c r="CA33" i="54"/>
  <c r="BZ33" i="54"/>
  <c r="BY33" i="54"/>
  <c r="BX33" i="54"/>
  <c r="BW33" i="54"/>
  <c r="BV33" i="54"/>
  <c r="BT33" i="54"/>
  <c r="BS33" i="54"/>
  <c r="BR33" i="54"/>
  <c r="BP33" i="54"/>
  <c r="BN33" i="54"/>
  <c r="BM33" i="54"/>
  <c r="BL33" i="54"/>
  <c r="BK33" i="54"/>
  <c r="BI33" i="54"/>
  <c r="BH33" i="54"/>
  <c r="BG33" i="54"/>
  <c r="BF33" i="54"/>
  <c r="BE33" i="54"/>
  <c r="BD33" i="54"/>
  <c r="BB33" i="54"/>
  <c r="BA33" i="54"/>
  <c r="AZ33" i="54"/>
  <c r="AX33" i="54"/>
  <c r="CG32" i="54"/>
  <c r="CF32" i="54"/>
  <c r="CE32" i="54"/>
  <c r="CD32" i="54"/>
  <c r="CC32" i="54"/>
  <c r="CA32" i="54"/>
  <c r="BZ32" i="54"/>
  <c r="BY32" i="54"/>
  <c r="BX32" i="54"/>
  <c r="BW32" i="54"/>
  <c r="BV32" i="54"/>
  <c r="BT32" i="54"/>
  <c r="BS32" i="54"/>
  <c r="BR32" i="54"/>
  <c r="BP32" i="54"/>
  <c r="BN32" i="54"/>
  <c r="BM32" i="54"/>
  <c r="BL32" i="54"/>
  <c r="BK32" i="54"/>
  <c r="BI32" i="54"/>
  <c r="BH32" i="54"/>
  <c r="BG32" i="54"/>
  <c r="BF32" i="54"/>
  <c r="BE32" i="54"/>
  <c r="BD32" i="54"/>
  <c r="BB32" i="54"/>
  <c r="BA32" i="54"/>
  <c r="AZ32" i="54"/>
  <c r="AX32" i="54"/>
  <c r="CG31" i="54"/>
  <c r="CF31" i="54"/>
  <c r="CE31" i="54"/>
  <c r="CD31" i="54"/>
  <c r="CC31" i="54"/>
  <c r="CA31" i="54"/>
  <c r="BZ31" i="54"/>
  <c r="BY31" i="54"/>
  <c r="BX31" i="54"/>
  <c r="BW31" i="54"/>
  <c r="BV31" i="54"/>
  <c r="BT31" i="54"/>
  <c r="BS31" i="54"/>
  <c r="BR31" i="54"/>
  <c r="BP31" i="54"/>
  <c r="BN31" i="54"/>
  <c r="BM31" i="54"/>
  <c r="BL31" i="54"/>
  <c r="BK31" i="54"/>
  <c r="BI31" i="54"/>
  <c r="BH31" i="54"/>
  <c r="BG31" i="54"/>
  <c r="BF31" i="54"/>
  <c r="BE31" i="54"/>
  <c r="BD31" i="54"/>
  <c r="BB31" i="54"/>
  <c r="BA31" i="54"/>
  <c r="AZ31" i="54"/>
  <c r="AX31" i="54"/>
  <c r="CG30" i="54"/>
  <c r="CF30" i="54"/>
  <c r="CE30" i="54"/>
  <c r="CD30" i="54"/>
  <c r="CC30" i="54"/>
  <c r="CA30" i="54"/>
  <c r="BZ30" i="54"/>
  <c r="BY30" i="54"/>
  <c r="BX30" i="54"/>
  <c r="BW30" i="54"/>
  <c r="BV30" i="54"/>
  <c r="BT30" i="54"/>
  <c r="BS30" i="54"/>
  <c r="BR30" i="54"/>
  <c r="BP30" i="54"/>
  <c r="BN30" i="54"/>
  <c r="BM30" i="54"/>
  <c r="BL30" i="54"/>
  <c r="BK30" i="54"/>
  <c r="BI30" i="54"/>
  <c r="BH30" i="54"/>
  <c r="BG30" i="54"/>
  <c r="BF30" i="54"/>
  <c r="BE30" i="54"/>
  <c r="BD30" i="54"/>
  <c r="BB30" i="54"/>
  <c r="BA30" i="54"/>
  <c r="AZ30" i="54"/>
  <c r="AX30" i="54"/>
  <c r="CG29" i="54"/>
  <c r="CF29" i="54"/>
  <c r="CE29" i="54"/>
  <c r="CD29" i="54"/>
  <c r="CC29" i="54"/>
  <c r="CA29" i="54"/>
  <c r="BZ29" i="54"/>
  <c r="BY29" i="54"/>
  <c r="BX29" i="54"/>
  <c r="BW29" i="54"/>
  <c r="BV29" i="54"/>
  <c r="BT29" i="54"/>
  <c r="BS29" i="54"/>
  <c r="BR29" i="54"/>
  <c r="BP29" i="54"/>
  <c r="BN29" i="54"/>
  <c r="BM29" i="54"/>
  <c r="BL29" i="54"/>
  <c r="BK29" i="54"/>
  <c r="BI29" i="54"/>
  <c r="BH29" i="54"/>
  <c r="BG29" i="54"/>
  <c r="BF29" i="54"/>
  <c r="BE29" i="54"/>
  <c r="BD29" i="54"/>
  <c r="BB29" i="54"/>
  <c r="BA29" i="54"/>
  <c r="AZ29" i="54"/>
  <c r="AX29" i="54"/>
  <c r="CG28" i="54"/>
  <c r="CF28" i="54"/>
  <c r="CE28" i="54"/>
  <c r="CD28" i="54"/>
  <c r="CC28" i="54"/>
  <c r="CA28" i="54"/>
  <c r="BZ28" i="54"/>
  <c r="BY28" i="54"/>
  <c r="BX28" i="54"/>
  <c r="BW28" i="54"/>
  <c r="BV28" i="54"/>
  <c r="BT28" i="54"/>
  <c r="BS28" i="54"/>
  <c r="BR28" i="54"/>
  <c r="BP28" i="54"/>
  <c r="BN28" i="54"/>
  <c r="BM28" i="54"/>
  <c r="BL28" i="54"/>
  <c r="BK28" i="54"/>
  <c r="BI28" i="54"/>
  <c r="BH28" i="54"/>
  <c r="BG28" i="54"/>
  <c r="BF28" i="54"/>
  <c r="BE28" i="54"/>
  <c r="BD28" i="54"/>
  <c r="BB28" i="54"/>
  <c r="BA28" i="54"/>
  <c r="AZ28" i="54"/>
  <c r="AX28" i="54"/>
  <c r="CG27" i="54"/>
  <c r="CF27" i="54"/>
  <c r="CE27" i="54"/>
  <c r="CD27" i="54"/>
  <c r="CC27" i="54"/>
  <c r="CA27" i="54"/>
  <c r="BZ27" i="54"/>
  <c r="BY27" i="54"/>
  <c r="BX27" i="54"/>
  <c r="BW27" i="54"/>
  <c r="BV27" i="54"/>
  <c r="BT27" i="54"/>
  <c r="BS27" i="54"/>
  <c r="BR27" i="54"/>
  <c r="BP27" i="54"/>
  <c r="BN27" i="54"/>
  <c r="BM27" i="54"/>
  <c r="BL27" i="54"/>
  <c r="BK27" i="54"/>
  <c r="BI27" i="54"/>
  <c r="BH27" i="54"/>
  <c r="BG27" i="54"/>
  <c r="BF27" i="54"/>
  <c r="BE27" i="54"/>
  <c r="BD27" i="54"/>
  <c r="BB27" i="54"/>
  <c r="BA27" i="54"/>
  <c r="AZ27" i="54"/>
  <c r="AX27" i="54"/>
  <c r="CG26" i="54"/>
  <c r="CF26" i="54"/>
  <c r="CE26" i="54"/>
  <c r="CD26" i="54"/>
  <c r="CC26" i="54"/>
  <c r="CA26" i="54"/>
  <c r="BZ26" i="54"/>
  <c r="BY26" i="54"/>
  <c r="BX26" i="54"/>
  <c r="BW26" i="54"/>
  <c r="BV26" i="54"/>
  <c r="BT26" i="54"/>
  <c r="BS26" i="54"/>
  <c r="BR26" i="54"/>
  <c r="BP26" i="54"/>
  <c r="BN26" i="54"/>
  <c r="BM26" i="54"/>
  <c r="BL26" i="54"/>
  <c r="BK26" i="54"/>
  <c r="BI26" i="54"/>
  <c r="BH26" i="54"/>
  <c r="BG26" i="54"/>
  <c r="BF26" i="54"/>
  <c r="BE26" i="54"/>
  <c r="BD26" i="54"/>
  <c r="BB26" i="54"/>
  <c r="BA26" i="54"/>
  <c r="AZ26" i="54"/>
  <c r="AX26" i="54"/>
  <c r="CG25" i="54"/>
  <c r="CF25" i="54"/>
  <c r="CE25" i="54"/>
  <c r="CD25" i="54"/>
  <c r="CC25" i="54"/>
  <c r="CA25" i="54"/>
  <c r="BZ25" i="54"/>
  <c r="BY25" i="54"/>
  <c r="BX25" i="54"/>
  <c r="BW25" i="54"/>
  <c r="BV25" i="54"/>
  <c r="BT25" i="54"/>
  <c r="BS25" i="54"/>
  <c r="BR25" i="54"/>
  <c r="BP25" i="54"/>
  <c r="BN25" i="54"/>
  <c r="BM25" i="54"/>
  <c r="BL25" i="54"/>
  <c r="BK25" i="54"/>
  <c r="BI25" i="54"/>
  <c r="BH25" i="54"/>
  <c r="BG25" i="54"/>
  <c r="BF25" i="54"/>
  <c r="BE25" i="54"/>
  <c r="BD25" i="54"/>
  <c r="BB25" i="54"/>
  <c r="BA25" i="54"/>
  <c r="AZ25" i="54"/>
  <c r="AX25" i="54"/>
  <c r="CG24" i="54"/>
  <c r="CF24" i="54"/>
  <c r="CE24" i="54"/>
  <c r="CD24" i="54"/>
  <c r="CC24" i="54"/>
  <c r="CA24" i="54"/>
  <c r="BZ24" i="54"/>
  <c r="BY24" i="54"/>
  <c r="BX24" i="54"/>
  <c r="BW24" i="54"/>
  <c r="BV24" i="54"/>
  <c r="BT24" i="54"/>
  <c r="BS24" i="54"/>
  <c r="BR24" i="54"/>
  <c r="BP24" i="54"/>
  <c r="BN24" i="54"/>
  <c r="BM24" i="54"/>
  <c r="BL24" i="54"/>
  <c r="BK24" i="54"/>
  <c r="BI24" i="54"/>
  <c r="BH24" i="54"/>
  <c r="BG24" i="54"/>
  <c r="BF24" i="54"/>
  <c r="BE24" i="54"/>
  <c r="BD24" i="54"/>
  <c r="BB24" i="54"/>
  <c r="BA24" i="54"/>
  <c r="AZ24" i="54"/>
  <c r="AX24" i="54"/>
  <c r="CG23" i="54"/>
  <c r="CF23" i="54"/>
  <c r="CE23" i="54"/>
  <c r="CD23" i="54"/>
  <c r="CC23" i="54"/>
  <c r="CA23" i="54"/>
  <c r="BZ23" i="54"/>
  <c r="BY23" i="54"/>
  <c r="BX23" i="54"/>
  <c r="BW23" i="54"/>
  <c r="BV23" i="54"/>
  <c r="BT23" i="54"/>
  <c r="BS23" i="54"/>
  <c r="BR23" i="54"/>
  <c r="BP23" i="54"/>
  <c r="BN23" i="54"/>
  <c r="BM23" i="54"/>
  <c r="BL23" i="54"/>
  <c r="BK23" i="54"/>
  <c r="BI23" i="54"/>
  <c r="BH23" i="54"/>
  <c r="BG23" i="54"/>
  <c r="BF23" i="54"/>
  <c r="BE23" i="54"/>
  <c r="BD23" i="54"/>
  <c r="BB23" i="54"/>
  <c r="BA23" i="54"/>
  <c r="AZ23" i="54"/>
  <c r="AX23" i="54"/>
  <c r="CG22" i="54"/>
  <c r="CF22" i="54"/>
  <c r="CE22" i="54"/>
  <c r="CD22" i="54"/>
  <c r="CC22" i="54"/>
  <c r="CA22" i="54"/>
  <c r="BZ22" i="54"/>
  <c r="BY22" i="54"/>
  <c r="BX22" i="54"/>
  <c r="BW22" i="54"/>
  <c r="BV22" i="54"/>
  <c r="BT22" i="54"/>
  <c r="BS22" i="54"/>
  <c r="BR22" i="54"/>
  <c r="BP22" i="54"/>
  <c r="BN22" i="54"/>
  <c r="BM22" i="54"/>
  <c r="BL22" i="54"/>
  <c r="BK22" i="54"/>
  <c r="BI22" i="54"/>
  <c r="BH22" i="54"/>
  <c r="BG22" i="54"/>
  <c r="BF22" i="54"/>
  <c r="BE22" i="54"/>
  <c r="BD22" i="54"/>
  <c r="BB22" i="54"/>
  <c r="BA22" i="54"/>
  <c r="AZ22" i="54"/>
  <c r="AX22" i="54"/>
  <c r="CG21" i="54"/>
  <c r="CF21" i="54"/>
  <c r="CE21" i="54"/>
  <c r="CD21" i="54"/>
  <c r="CC21" i="54"/>
  <c r="CA21" i="54"/>
  <c r="BZ21" i="54"/>
  <c r="BY21" i="54"/>
  <c r="BX21" i="54"/>
  <c r="BW21" i="54"/>
  <c r="BV21" i="54"/>
  <c r="BT21" i="54"/>
  <c r="BS21" i="54"/>
  <c r="BR21" i="54"/>
  <c r="BP21" i="54"/>
  <c r="BN21" i="54"/>
  <c r="BM21" i="54"/>
  <c r="BL21" i="54"/>
  <c r="BK21" i="54"/>
  <c r="BI21" i="54"/>
  <c r="BH21" i="54"/>
  <c r="BG21" i="54"/>
  <c r="BF21" i="54"/>
  <c r="BE21" i="54"/>
  <c r="BD21" i="54"/>
  <c r="BB21" i="54"/>
  <c r="BA21" i="54"/>
  <c r="AZ21" i="54"/>
  <c r="AX21" i="54"/>
  <c r="CG20" i="54"/>
  <c r="CF20" i="54"/>
  <c r="CE20" i="54"/>
  <c r="CD20" i="54"/>
  <c r="CC20" i="54"/>
  <c r="CA20" i="54"/>
  <c r="BZ20" i="54"/>
  <c r="BY20" i="54"/>
  <c r="BX20" i="54"/>
  <c r="BW20" i="54"/>
  <c r="BV20" i="54"/>
  <c r="BT20" i="54"/>
  <c r="BS20" i="54"/>
  <c r="BR20" i="54"/>
  <c r="BP20" i="54"/>
  <c r="BN20" i="54"/>
  <c r="BM20" i="54"/>
  <c r="BL20" i="54"/>
  <c r="BK20" i="54"/>
  <c r="BI20" i="54"/>
  <c r="BH20" i="54"/>
  <c r="BG20" i="54"/>
  <c r="BF20" i="54"/>
  <c r="BE20" i="54"/>
  <c r="BD20" i="54"/>
  <c r="BB20" i="54"/>
  <c r="BA20" i="54"/>
  <c r="AZ20" i="54"/>
  <c r="AX20" i="54"/>
  <c r="CG19" i="54"/>
  <c r="CF19" i="54"/>
  <c r="CE19" i="54"/>
  <c r="CD19" i="54"/>
  <c r="CC19" i="54"/>
  <c r="CA19" i="54"/>
  <c r="BZ19" i="54"/>
  <c r="BY19" i="54"/>
  <c r="BX19" i="54"/>
  <c r="BW19" i="54"/>
  <c r="BV19" i="54"/>
  <c r="BT19" i="54"/>
  <c r="BS19" i="54"/>
  <c r="BR19" i="54"/>
  <c r="BP19" i="54"/>
  <c r="BN19" i="54"/>
  <c r="BM19" i="54"/>
  <c r="BL19" i="54"/>
  <c r="BK19" i="54"/>
  <c r="BI19" i="54"/>
  <c r="BH19" i="54"/>
  <c r="BG19" i="54"/>
  <c r="BF19" i="54"/>
  <c r="BE19" i="54"/>
  <c r="BD19" i="54"/>
  <c r="BB19" i="54"/>
  <c r="BA19" i="54"/>
  <c r="AZ19" i="54"/>
  <c r="AX19" i="54"/>
  <c r="CG18" i="54"/>
  <c r="CF18" i="54"/>
  <c r="CE18" i="54"/>
  <c r="CD18" i="54"/>
  <c r="CC18" i="54"/>
  <c r="CA18" i="54"/>
  <c r="BZ18" i="54"/>
  <c r="BY18" i="54"/>
  <c r="BX18" i="54"/>
  <c r="BW18" i="54"/>
  <c r="BV18" i="54"/>
  <c r="BT18" i="54"/>
  <c r="BS18" i="54"/>
  <c r="BR18" i="54"/>
  <c r="BP18" i="54"/>
  <c r="BN18" i="54"/>
  <c r="BM18" i="54"/>
  <c r="BL18" i="54"/>
  <c r="BK18" i="54"/>
  <c r="BI18" i="54"/>
  <c r="BH18" i="54"/>
  <c r="BG18" i="54"/>
  <c r="BF18" i="54"/>
  <c r="BE18" i="54"/>
  <c r="BD18" i="54"/>
  <c r="BB18" i="54"/>
  <c r="BA18" i="54"/>
  <c r="AZ18" i="54"/>
  <c r="AX18" i="54"/>
  <c r="CG17" i="54"/>
  <c r="CF17" i="54"/>
  <c r="CE17" i="54"/>
  <c r="CD17" i="54"/>
  <c r="CC17" i="54"/>
  <c r="CA17" i="54"/>
  <c r="BZ17" i="54"/>
  <c r="BY17" i="54"/>
  <c r="BX17" i="54"/>
  <c r="BW17" i="54"/>
  <c r="BV17" i="54"/>
  <c r="BT17" i="54"/>
  <c r="BS17" i="54"/>
  <c r="BR17" i="54"/>
  <c r="BP17" i="54"/>
  <c r="BN17" i="54"/>
  <c r="BM17" i="54"/>
  <c r="BL17" i="54"/>
  <c r="BK17" i="54"/>
  <c r="BI17" i="54"/>
  <c r="BH17" i="54"/>
  <c r="BG17" i="54"/>
  <c r="BF17" i="54"/>
  <c r="BE17" i="54"/>
  <c r="BD17" i="54"/>
  <c r="BB17" i="54"/>
  <c r="BA17" i="54"/>
  <c r="AZ17" i="54"/>
  <c r="AX17" i="54"/>
  <c r="CG16" i="54"/>
  <c r="CF16" i="54"/>
  <c r="CE16" i="54"/>
  <c r="CD16" i="54"/>
  <c r="CC16" i="54"/>
  <c r="CA16" i="54"/>
  <c r="BZ16" i="54"/>
  <c r="BY16" i="54"/>
  <c r="BX16" i="54"/>
  <c r="BW16" i="54"/>
  <c r="BV16" i="54"/>
  <c r="BT16" i="54"/>
  <c r="BS16" i="54"/>
  <c r="BR16" i="54"/>
  <c r="BP16" i="54"/>
  <c r="BN16" i="54"/>
  <c r="BM16" i="54"/>
  <c r="BL16" i="54"/>
  <c r="BK16" i="54"/>
  <c r="BI16" i="54"/>
  <c r="BH16" i="54"/>
  <c r="BG16" i="54"/>
  <c r="BF16" i="54"/>
  <c r="BE16" i="54"/>
  <c r="BD16" i="54"/>
  <c r="BB16" i="54"/>
  <c r="BA16" i="54"/>
  <c r="AZ16" i="54"/>
  <c r="AX16" i="54"/>
  <c r="CG15" i="54"/>
  <c r="CF15" i="54"/>
  <c r="CE15" i="54"/>
  <c r="CD15" i="54"/>
  <c r="CC15" i="54"/>
  <c r="CA15" i="54"/>
  <c r="BZ15" i="54"/>
  <c r="BY15" i="54"/>
  <c r="BX15" i="54"/>
  <c r="BW15" i="54"/>
  <c r="BV15" i="54"/>
  <c r="BT15" i="54"/>
  <c r="BS15" i="54"/>
  <c r="BR15" i="54"/>
  <c r="BP15" i="54"/>
  <c r="BN15" i="54"/>
  <c r="BM15" i="54"/>
  <c r="BL15" i="54"/>
  <c r="BK15" i="54"/>
  <c r="BI15" i="54"/>
  <c r="BH15" i="54"/>
  <c r="BG15" i="54"/>
  <c r="BF15" i="54"/>
  <c r="BE15" i="54"/>
  <c r="BD15" i="54"/>
  <c r="BB15" i="54"/>
  <c r="BA15" i="54"/>
  <c r="AZ15" i="54"/>
  <c r="AX15" i="54"/>
  <c r="CG14" i="54"/>
  <c r="CF14" i="54"/>
  <c r="CE14" i="54"/>
  <c r="CD14" i="54"/>
  <c r="CC14" i="54"/>
  <c r="CA14" i="54"/>
  <c r="BZ14" i="54"/>
  <c r="BY14" i="54"/>
  <c r="BX14" i="54"/>
  <c r="BW14" i="54"/>
  <c r="BV14" i="54"/>
  <c r="BT14" i="54"/>
  <c r="BS14" i="54"/>
  <c r="BR14" i="54"/>
  <c r="BP14" i="54"/>
  <c r="BN14" i="54"/>
  <c r="BM14" i="54"/>
  <c r="BL14" i="54"/>
  <c r="BK14" i="54"/>
  <c r="BI14" i="54"/>
  <c r="BH14" i="54"/>
  <c r="BG14" i="54"/>
  <c r="BF14" i="54"/>
  <c r="BE14" i="54"/>
  <c r="BD14" i="54"/>
  <c r="BB14" i="54"/>
  <c r="BA14" i="54"/>
  <c r="AZ14" i="54"/>
  <c r="AX14" i="54"/>
  <c r="CG13" i="54"/>
  <c r="CF13" i="54"/>
  <c r="CE13" i="54"/>
  <c r="CD13" i="54"/>
  <c r="CC13" i="54"/>
  <c r="CA13" i="54"/>
  <c r="BZ13" i="54"/>
  <c r="BY13" i="54"/>
  <c r="BX13" i="54"/>
  <c r="BW13" i="54"/>
  <c r="BV13" i="54"/>
  <c r="BT13" i="54"/>
  <c r="BS13" i="54"/>
  <c r="BR13" i="54"/>
  <c r="BP13" i="54"/>
  <c r="BN13" i="54"/>
  <c r="BM13" i="54"/>
  <c r="BL13" i="54"/>
  <c r="BK13" i="54"/>
  <c r="BI13" i="54"/>
  <c r="BH13" i="54"/>
  <c r="BG13" i="54"/>
  <c r="BF13" i="54"/>
  <c r="BE13" i="54"/>
  <c r="BD13" i="54"/>
  <c r="BB13" i="54"/>
  <c r="BA13" i="54"/>
  <c r="AZ13" i="54"/>
  <c r="AX13" i="54"/>
  <c r="CG12" i="54"/>
  <c r="CF12" i="54"/>
  <c r="CE12" i="54"/>
  <c r="CD12" i="54"/>
  <c r="CC12" i="54"/>
  <c r="CA12" i="54"/>
  <c r="BZ12" i="54"/>
  <c r="BY12" i="54"/>
  <c r="BX12" i="54"/>
  <c r="BW12" i="54"/>
  <c r="BV12" i="54"/>
  <c r="BT12" i="54"/>
  <c r="BS12" i="54"/>
  <c r="BR12" i="54"/>
  <c r="BP12" i="54"/>
  <c r="BN12" i="54"/>
  <c r="BM12" i="54"/>
  <c r="BL12" i="54"/>
  <c r="BK12" i="54"/>
  <c r="BI12" i="54"/>
  <c r="BH12" i="54"/>
  <c r="BG12" i="54"/>
  <c r="BF12" i="54"/>
  <c r="BE12" i="54"/>
  <c r="BD12" i="54"/>
  <c r="BB12" i="54"/>
  <c r="BA12" i="54"/>
  <c r="AZ12" i="54"/>
  <c r="AX12" i="54"/>
  <c r="CG11" i="54"/>
  <c r="CF11" i="54"/>
  <c r="CE11" i="54"/>
  <c r="CD11" i="54"/>
  <c r="CC11" i="54"/>
  <c r="CA11" i="54"/>
  <c r="BZ11" i="54"/>
  <c r="BY11" i="54"/>
  <c r="BX11" i="54"/>
  <c r="BW11" i="54"/>
  <c r="BV11" i="54"/>
  <c r="BT11" i="54"/>
  <c r="BS11" i="54"/>
  <c r="BR11" i="54"/>
  <c r="BP11" i="54"/>
  <c r="BN11" i="54"/>
  <c r="BM11" i="54"/>
  <c r="BL11" i="54"/>
  <c r="BK11" i="54"/>
  <c r="BI11" i="54"/>
  <c r="BH11" i="54"/>
  <c r="BG11" i="54"/>
  <c r="BF11" i="54"/>
  <c r="BE11" i="54"/>
  <c r="BD11" i="54"/>
  <c r="BB11" i="54"/>
  <c r="BA11" i="54"/>
  <c r="AZ11" i="54"/>
  <c r="AX11" i="54"/>
  <c r="CG10" i="54"/>
  <c r="CF10" i="54"/>
  <c r="CE10" i="54"/>
  <c r="CD10" i="54"/>
  <c r="CC10" i="54"/>
  <c r="CA10" i="54"/>
  <c r="BZ10" i="54"/>
  <c r="BY10" i="54"/>
  <c r="BX10" i="54"/>
  <c r="BW10" i="54"/>
  <c r="BV10" i="54"/>
  <c r="BT10" i="54"/>
  <c r="BS10" i="54"/>
  <c r="BR10" i="54"/>
  <c r="BP10" i="54"/>
  <c r="BN10" i="54"/>
  <c r="BM10" i="54"/>
  <c r="BL10" i="54"/>
  <c r="BK10" i="54"/>
  <c r="BI10" i="54"/>
  <c r="BH10" i="54"/>
  <c r="BG10" i="54"/>
  <c r="BF10" i="54"/>
  <c r="BE10" i="54"/>
  <c r="BD10" i="54"/>
  <c r="BB10" i="54"/>
  <c r="BA10" i="54"/>
  <c r="AZ10" i="54"/>
  <c r="AX10" i="54"/>
  <c r="CG9" i="54"/>
  <c r="CF9" i="54"/>
  <c r="CE9" i="54"/>
  <c r="CD9" i="54"/>
  <c r="CC9" i="54"/>
  <c r="CA9" i="54"/>
  <c r="BZ9" i="54"/>
  <c r="BY9" i="54"/>
  <c r="BX9" i="54"/>
  <c r="BW9" i="54"/>
  <c r="BV9" i="54"/>
  <c r="BT9" i="54"/>
  <c r="BS9" i="54"/>
  <c r="BR9" i="54"/>
  <c r="BP9" i="54"/>
  <c r="BN9" i="54"/>
  <c r="BM9" i="54"/>
  <c r="BL9" i="54"/>
  <c r="BK9" i="54"/>
  <c r="BI9" i="54"/>
  <c r="BH9" i="54"/>
  <c r="BG9" i="54"/>
  <c r="BF9" i="54"/>
  <c r="BE9" i="54"/>
  <c r="BD9" i="54"/>
  <c r="BB9" i="54"/>
  <c r="BA9" i="54"/>
  <c r="AZ9" i="54"/>
  <c r="AX9" i="54"/>
  <c r="CG8" i="54"/>
  <c r="CF8" i="54"/>
  <c r="CE8" i="54"/>
  <c r="CD8" i="54"/>
  <c r="CC8" i="54"/>
  <c r="CA8" i="54"/>
  <c r="BZ8" i="54"/>
  <c r="BY8" i="54"/>
  <c r="BX8" i="54"/>
  <c r="BW8" i="54"/>
  <c r="BV8" i="54"/>
  <c r="BT8" i="54"/>
  <c r="BS8" i="54"/>
  <c r="BR8" i="54"/>
  <c r="BP8" i="54"/>
  <c r="BN8" i="54"/>
  <c r="BM8" i="54"/>
  <c r="BL8" i="54"/>
  <c r="BK8" i="54"/>
  <c r="BI8" i="54"/>
  <c r="BH8" i="54"/>
  <c r="BG8" i="54"/>
  <c r="BF8" i="54"/>
  <c r="BE8" i="54"/>
  <c r="BD8" i="54"/>
  <c r="BB8" i="54"/>
  <c r="BA8" i="54"/>
  <c r="AZ8" i="54"/>
  <c r="AX8" i="54"/>
  <c r="CG7" i="54"/>
  <c r="CF7" i="54"/>
  <c r="CE7" i="54"/>
  <c r="CD7" i="54"/>
  <c r="CC7" i="54"/>
  <c r="CA7" i="54"/>
  <c r="BZ7" i="54"/>
  <c r="BY7" i="54"/>
  <c r="BX7" i="54"/>
  <c r="BW7" i="54"/>
  <c r="BV7" i="54"/>
  <c r="BT7" i="54"/>
  <c r="BS7" i="54"/>
  <c r="BR7" i="54"/>
  <c r="BP7" i="54"/>
  <c r="BN7" i="54"/>
  <c r="BM7" i="54"/>
  <c r="BL7" i="54"/>
  <c r="BK7" i="54"/>
  <c r="BI7" i="54"/>
  <c r="BH7" i="54"/>
  <c r="BG7" i="54"/>
  <c r="BF7" i="54"/>
  <c r="BE7" i="54"/>
  <c r="BD7" i="54"/>
  <c r="BB7" i="54"/>
  <c r="BA7" i="54"/>
  <c r="AZ7" i="54"/>
  <c r="AX7" i="54"/>
  <c r="CG6" i="54"/>
  <c r="CF6" i="54"/>
  <c r="CE6" i="54"/>
  <c r="CD6" i="54"/>
  <c r="CC6" i="54"/>
  <c r="CA6" i="54"/>
  <c r="BZ6" i="54"/>
  <c r="BY6" i="54"/>
  <c r="BX6" i="54"/>
  <c r="BW6" i="54"/>
  <c r="BV6" i="54"/>
  <c r="BT6" i="54"/>
  <c r="BS6" i="54"/>
  <c r="BR6" i="54"/>
  <c r="BP6" i="54"/>
  <c r="BN6" i="54"/>
  <c r="BM6" i="54"/>
  <c r="BL6" i="54"/>
  <c r="BK6" i="54"/>
  <c r="BI6" i="54"/>
  <c r="BH6" i="54"/>
  <c r="BG6" i="54"/>
  <c r="BF6" i="54"/>
  <c r="BE6" i="54"/>
  <c r="BD6" i="54"/>
  <c r="BB6" i="54"/>
  <c r="BA6" i="54"/>
  <c r="AZ6" i="54"/>
  <c r="AX6" i="54"/>
  <c r="CG5" i="54"/>
  <c r="CF5" i="54"/>
  <c r="CE5" i="54"/>
  <c r="CD5" i="54"/>
  <c r="CC5" i="54"/>
  <c r="CA5" i="54"/>
  <c r="BZ5" i="54"/>
  <c r="BY5" i="54"/>
  <c r="BX5" i="54"/>
  <c r="BW5" i="54"/>
  <c r="BV5" i="54"/>
  <c r="BT5" i="54"/>
  <c r="BS5" i="54"/>
  <c r="BR5" i="54"/>
  <c r="BP5" i="54"/>
  <c r="BN5" i="54"/>
  <c r="BM5" i="54"/>
  <c r="BL5" i="54"/>
  <c r="BK5" i="54"/>
  <c r="BI5" i="54"/>
  <c r="BH5" i="54"/>
  <c r="BG5" i="54"/>
  <c r="BF5" i="54"/>
  <c r="BE5" i="54"/>
  <c r="BD5" i="54"/>
  <c r="BB5" i="54"/>
  <c r="BA5" i="54"/>
  <c r="AZ5" i="54"/>
  <c r="AX5" i="54"/>
  <c r="CG4" i="54"/>
  <c r="CF4" i="54"/>
  <c r="CE4" i="54"/>
  <c r="CD4" i="54"/>
  <c r="CC4" i="54"/>
  <c r="CA4" i="54"/>
  <c r="BZ4" i="54"/>
  <c r="BY4" i="54"/>
  <c r="BX4" i="54"/>
  <c r="BW4" i="54"/>
  <c r="BV4" i="54"/>
  <c r="BT4" i="54"/>
  <c r="BS4" i="54"/>
  <c r="BR4" i="54"/>
  <c r="BP4" i="54"/>
  <c r="BN4" i="54"/>
  <c r="BM4" i="54"/>
  <c r="BL4" i="54"/>
  <c r="BK4" i="54"/>
  <c r="BI4" i="54"/>
  <c r="BH4" i="54"/>
  <c r="BG4" i="54"/>
  <c r="BF4" i="54"/>
  <c r="BE4" i="54"/>
  <c r="BD4" i="54"/>
  <c r="BB4" i="54"/>
  <c r="BA4" i="54"/>
  <c r="AZ4" i="54"/>
  <c r="AX4" i="54"/>
  <c r="A4" i="54"/>
  <c r="A5" i="54" s="1"/>
  <c r="B5" i="54" s="1"/>
  <c r="AW36" i="52"/>
  <c r="AV36" i="52"/>
  <c r="AU36" i="52"/>
  <c r="AT36" i="52"/>
  <c r="AS36" i="52"/>
  <c r="AR36" i="52"/>
  <c r="AQ36" i="52"/>
  <c r="AP36" i="52"/>
  <c r="AO36" i="52"/>
  <c r="AN36" i="52"/>
  <c r="AM36" i="52"/>
  <c r="AL36" i="52"/>
  <c r="AK36" i="52"/>
  <c r="AJ36" i="52"/>
  <c r="AI36" i="52"/>
  <c r="AH36" i="52"/>
  <c r="AG36" i="52"/>
  <c r="AF36" i="52"/>
  <c r="AE36" i="52"/>
  <c r="AD36" i="52"/>
  <c r="AC36" i="52"/>
  <c r="AB36" i="52"/>
  <c r="AA36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BT36" i="52" s="1"/>
  <c r="I36" i="52"/>
  <c r="BF36" i="52" s="1"/>
  <c r="H36" i="52"/>
  <c r="G36" i="52"/>
  <c r="F36" i="52"/>
  <c r="E36" i="52"/>
  <c r="BK36" i="52" s="1"/>
  <c r="D36" i="52"/>
  <c r="C36" i="52"/>
  <c r="AW35" i="52"/>
  <c r="AV35" i="52"/>
  <c r="AU35" i="52"/>
  <c r="AT35" i="52"/>
  <c r="AS35" i="52"/>
  <c r="AR35" i="52"/>
  <c r="AQ35" i="52"/>
  <c r="AP35" i="52"/>
  <c r="AO35" i="52"/>
  <c r="AN35" i="52"/>
  <c r="AM35" i="52"/>
  <c r="AL35" i="52"/>
  <c r="AK35" i="52"/>
  <c r="AJ35" i="52"/>
  <c r="AI35" i="52"/>
  <c r="AH35" i="52"/>
  <c r="AG35" i="52"/>
  <c r="AF35" i="52"/>
  <c r="AE35" i="52"/>
  <c r="AD35" i="52"/>
  <c r="AC35" i="52"/>
  <c r="AB35" i="52"/>
  <c r="AA35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BT35" i="52" s="1"/>
  <c r="I35" i="52"/>
  <c r="H35" i="52"/>
  <c r="G35" i="52"/>
  <c r="F35" i="52"/>
  <c r="E35" i="52"/>
  <c r="D35" i="52"/>
  <c r="C35" i="52"/>
  <c r="CG34" i="52"/>
  <c r="CF34" i="52"/>
  <c r="CE34" i="52"/>
  <c r="CD34" i="52"/>
  <c r="CC34" i="52"/>
  <c r="CA34" i="52"/>
  <c r="BZ34" i="52"/>
  <c r="BY34" i="52"/>
  <c r="BX34" i="52"/>
  <c r="BW34" i="52"/>
  <c r="BV34" i="52"/>
  <c r="BT34" i="52"/>
  <c r="BS34" i="52"/>
  <c r="BR34" i="52"/>
  <c r="BP34" i="52"/>
  <c r="BN34" i="52"/>
  <c r="BM34" i="52"/>
  <c r="BL34" i="52"/>
  <c r="BK34" i="52"/>
  <c r="BI34" i="52"/>
  <c r="BH34" i="52"/>
  <c r="BG34" i="52"/>
  <c r="BF34" i="52"/>
  <c r="BE34" i="52"/>
  <c r="BD34" i="52"/>
  <c r="BB34" i="52"/>
  <c r="BA34" i="52"/>
  <c r="AZ34" i="52"/>
  <c r="AX34" i="52"/>
  <c r="CG33" i="52"/>
  <c r="CF33" i="52"/>
  <c r="CE33" i="52"/>
  <c r="CD33" i="52"/>
  <c r="CC33" i="52"/>
  <c r="CA33" i="52"/>
  <c r="BZ33" i="52"/>
  <c r="BY33" i="52"/>
  <c r="BX33" i="52"/>
  <c r="BW33" i="52"/>
  <c r="BV33" i="52"/>
  <c r="BT33" i="52"/>
  <c r="BS33" i="52"/>
  <c r="BR33" i="52"/>
  <c r="BP33" i="52"/>
  <c r="BN33" i="52"/>
  <c r="BM33" i="52"/>
  <c r="BL33" i="52"/>
  <c r="BK33" i="52"/>
  <c r="BI33" i="52"/>
  <c r="BH33" i="52"/>
  <c r="BG33" i="52"/>
  <c r="BF33" i="52"/>
  <c r="BE33" i="52"/>
  <c r="BD33" i="52"/>
  <c r="BB33" i="52"/>
  <c r="BA33" i="52"/>
  <c r="AZ33" i="52"/>
  <c r="AX33" i="52"/>
  <c r="CG32" i="52"/>
  <c r="CF32" i="52"/>
  <c r="CE32" i="52"/>
  <c r="CD32" i="52"/>
  <c r="CC32" i="52"/>
  <c r="CA32" i="52"/>
  <c r="BZ32" i="52"/>
  <c r="BY32" i="52"/>
  <c r="BX32" i="52"/>
  <c r="BW32" i="52"/>
  <c r="BV32" i="52"/>
  <c r="BT32" i="52"/>
  <c r="BS32" i="52"/>
  <c r="BR32" i="52"/>
  <c r="BP32" i="52"/>
  <c r="BN32" i="52"/>
  <c r="BM32" i="52"/>
  <c r="BL32" i="52"/>
  <c r="BK32" i="52"/>
  <c r="BI32" i="52"/>
  <c r="BH32" i="52"/>
  <c r="BG32" i="52"/>
  <c r="BF32" i="52"/>
  <c r="BE32" i="52"/>
  <c r="BD32" i="52"/>
  <c r="BB32" i="52"/>
  <c r="BA32" i="52"/>
  <c r="AZ32" i="52"/>
  <c r="AX32" i="52"/>
  <c r="CG31" i="52"/>
  <c r="CF31" i="52"/>
  <c r="CE31" i="52"/>
  <c r="CD31" i="52"/>
  <c r="CC31" i="52"/>
  <c r="CA31" i="52"/>
  <c r="BZ31" i="52"/>
  <c r="BY31" i="52"/>
  <c r="BX31" i="52"/>
  <c r="BW31" i="52"/>
  <c r="BV31" i="52"/>
  <c r="BT31" i="52"/>
  <c r="BS31" i="52"/>
  <c r="BR31" i="52"/>
  <c r="BP31" i="52"/>
  <c r="BN31" i="52"/>
  <c r="BM31" i="52"/>
  <c r="BL31" i="52"/>
  <c r="BK31" i="52"/>
  <c r="BI31" i="52"/>
  <c r="BH31" i="52"/>
  <c r="BG31" i="52"/>
  <c r="BF31" i="52"/>
  <c r="BE31" i="52"/>
  <c r="BD31" i="52"/>
  <c r="BB31" i="52"/>
  <c r="BA31" i="52"/>
  <c r="AZ31" i="52"/>
  <c r="AX31" i="52"/>
  <c r="CG30" i="52"/>
  <c r="CF30" i="52"/>
  <c r="CE30" i="52"/>
  <c r="CD30" i="52"/>
  <c r="CC30" i="52"/>
  <c r="CA30" i="52"/>
  <c r="BZ30" i="52"/>
  <c r="BY30" i="52"/>
  <c r="BX30" i="52"/>
  <c r="BW30" i="52"/>
  <c r="BV30" i="52"/>
  <c r="BT30" i="52"/>
  <c r="BS30" i="52"/>
  <c r="BR30" i="52"/>
  <c r="BP30" i="52"/>
  <c r="BN30" i="52"/>
  <c r="BM30" i="52"/>
  <c r="BL30" i="52"/>
  <c r="BK30" i="52"/>
  <c r="BI30" i="52"/>
  <c r="BH30" i="52"/>
  <c r="BG30" i="52"/>
  <c r="BF30" i="52"/>
  <c r="BE30" i="52"/>
  <c r="BD30" i="52"/>
  <c r="BB30" i="52"/>
  <c r="BA30" i="52"/>
  <c r="AZ30" i="52"/>
  <c r="AX30" i="52"/>
  <c r="CG29" i="52"/>
  <c r="CF29" i="52"/>
  <c r="CE29" i="52"/>
  <c r="CD29" i="52"/>
  <c r="CC29" i="52"/>
  <c r="CA29" i="52"/>
  <c r="BZ29" i="52"/>
  <c r="BY29" i="52"/>
  <c r="BX29" i="52"/>
  <c r="BW29" i="52"/>
  <c r="BV29" i="52"/>
  <c r="BT29" i="52"/>
  <c r="BS29" i="52"/>
  <c r="BR29" i="52"/>
  <c r="BP29" i="52"/>
  <c r="BN29" i="52"/>
  <c r="BM29" i="52"/>
  <c r="BL29" i="52"/>
  <c r="BK29" i="52"/>
  <c r="BI29" i="52"/>
  <c r="BH29" i="52"/>
  <c r="BG29" i="52"/>
  <c r="BF29" i="52"/>
  <c r="BE29" i="52"/>
  <c r="BD29" i="52"/>
  <c r="BB29" i="52"/>
  <c r="BA29" i="52"/>
  <c r="AZ29" i="52"/>
  <c r="CG28" i="52"/>
  <c r="CF28" i="52"/>
  <c r="CE28" i="52"/>
  <c r="CD28" i="52"/>
  <c r="CC28" i="52"/>
  <c r="CA28" i="52"/>
  <c r="BZ28" i="52"/>
  <c r="BY28" i="52"/>
  <c r="BX28" i="52"/>
  <c r="BW28" i="52"/>
  <c r="BV28" i="52"/>
  <c r="BT28" i="52"/>
  <c r="BS28" i="52"/>
  <c r="BR28" i="52"/>
  <c r="BP28" i="52"/>
  <c r="BN28" i="52"/>
  <c r="BM28" i="52"/>
  <c r="BL28" i="52"/>
  <c r="BK28" i="52"/>
  <c r="BI28" i="52"/>
  <c r="BH28" i="52"/>
  <c r="BG28" i="52"/>
  <c r="BF28" i="52"/>
  <c r="BE28" i="52"/>
  <c r="BD28" i="52"/>
  <c r="BB28" i="52"/>
  <c r="BA28" i="52"/>
  <c r="AZ28" i="52"/>
  <c r="AX28" i="52"/>
  <c r="CG27" i="52"/>
  <c r="CF27" i="52"/>
  <c r="CE27" i="52"/>
  <c r="CD27" i="52"/>
  <c r="CC27" i="52"/>
  <c r="CA27" i="52"/>
  <c r="BZ27" i="52"/>
  <c r="BY27" i="52"/>
  <c r="BX27" i="52"/>
  <c r="BW27" i="52"/>
  <c r="BV27" i="52"/>
  <c r="BT27" i="52"/>
  <c r="BS27" i="52"/>
  <c r="BR27" i="52"/>
  <c r="BP27" i="52"/>
  <c r="BN27" i="52"/>
  <c r="BM27" i="52"/>
  <c r="BL27" i="52"/>
  <c r="BK27" i="52"/>
  <c r="BI27" i="52"/>
  <c r="BH27" i="52"/>
  <c r="BG27" i="52"/>
  <c r="BF27" i="52"/>
  <c r="BE27" i="52"/>
  <c r="BD27" i="52"/>
  <c r="BB27" i="52"/>
  <c r="BA27" i="52"/>
  <c r="AZ27" i="52"/>
  <c r="AX27" i="52"/>
  <c r="CG26" i="52"/>
  <c r="CF26" i="52"/>
  <c r="CE26" i="52"/>
  <c r="CD26" i="52"/>
  <c r="CC26" i="52"/>
  <c r="CA26" i="52"/>
  <c r="BZ26" i="52"/>
  <c r="BY26" i="52"/>
  <c r="BX26" i="52"/>
  <c r="BW26" i="52"/>
  <c r="BV26" i="52"/>
  <c r="BT26" i="52"/>
  <c r="BS26" i="52"/>
  <c r="BR26" i="52"/>
  <c r="BP26" i="52"/>
  <c r="BN26" i="52"/>
  <c r="BM26" i="52"/>
  <c r="BL26" i="52"/>
  <c r="BK26" i="52"/>
  <c r="BI26" i="52"/>
  <c r="BH26" i="52"/>
  <c r="BG26" i="52"/>
  <c r="BF26" i="52"/>
  <c r="BE26" i="52"/>
  <c r="BD26" i="52"/>
  <c r="BB26" i="52"/>
  <c r="BA26" i="52"/>
  <c r="AZ26" i="52"/>
  <c r="AX26" i="52"/>
  <c r="CG25" i="52"/>
  <c r="CF25" i="52"/>
  <c r="CE25" i="52"/>
  <c r="CD25" i="52"/>
  <c r="CC25" i="52"/>
  <c r="CA25" i="52"/>
  <c r="BZ25" i="52"/>
  <c r="BY25" i="52"/>
  <c r="BX25" i="52"/>
  <c r="BW25" i="52"/>
  <c r="BV25" i="52"/>
  <c r="BT25" i="52"/>
  <c r="BS25" i="52"/>
  <c r="BR25" i="52"/>
  <c r="BP25" i="52"/>
  <c r="BN25" i="52"/>
  <c r="BM25" i="52"/>
  <c r="BL25" i="52"/>
  <c r="BK25" i="52"/>
  <c r="BI25" i="52"/>
  <c r="BH25" i="52"/>
  <c r="BG25" i="52"/>
  <c r="BF25" i="52"/>
  <c r="BE25" i="52"/>
  <c r="BD25" i="52"/>
  <c r="BB25" i="52"/>
  <c r="BA25" i="52"/>
  <c r="AZ25" i="52"/>
  <c r="AX25" i="52"/>
  <c r="CG24" i="52"/>
  <c r="CF24" i="52"/>
  <c r="CE24" i="52"/>
  <c r="CD24" i="52"/>
  <c r="CC24" i="52"/>
  <c r="CA24" i="52"/>
  <c r="BZ24" i="52"/>
  <c r="BY24" i="52"/>
  <c r="BX24" i="52"/>
  <c r="BW24" i="52"/>
  <c r="BV24" i="52"/>
  <c r="BT24" i="52"/>
  <c r="BS24" i="52"/>
  <c r="BR24" i="52"/>
  <c r="BP24" i="52"/>
  <c r="BN24" i="52"/>
  <c r="BM24" i="52"/>
  <c r="BL24" i="52"/>
  <c r="BK24" i="52"/>
  <c r="BI24" i="52"/>
  <c r="BH24" i="52"/>
  <c r="BG24" i="52"/>
  <c r="BF24" i="52"/>
  <c r="BE24" i="52"/>
  <c r="BD24" i="52"/>
  <c r="BB24" i="52"/>
  <c r="BA24" i="52"/>
  <c r="AZ24" i="52"/>
  <c r="AX24" i="52"/>
  <c r="CG23" i="52"/>
  <c r="CF23" i="52"/>
  <c r="CE23" i="52"/>
  <c r="CD23" i="52"/>
  <c r="CC23" i="52"/>
  <c r="CA23" i="52"/>
  <c r="BZ23" i="52"/>
  <c r="BY23" i="52"/>
  <c r="BX23" i="52"/>
  <c r="BW23" i="52"/>
  <c r="BV23" i="52"/>
  <c r="BT23" i="52"/>
  <c r="BS23" i="52"/>
  <c r="BR23" i="52"/>
  <c r="BP23" i="52"/>
  <c r="BN23" i="52"/>
  <c r="BM23" i="52"/>
  <c r="BL23" i="52"/>
  <c r="BK23" i="52"/>
  <c r="BI23" i="52"/>
  <c r="BH23" i="52"/>
  <c r="BG23" i="52"/>
  <c r="BF23" i="52"/>
  <c r="BE23" i="52"/>
  <c r="BD23" i="52"/>
  <c r="BB23" i="52"/>
  <c r="BA23" i="52"/>
  <c r="AZ23" i="52"/>
  <c r="AX23" i="52"/>
  <c r="CG22" i="52"/>
  <c r="CF22" i="52"/>
  <c r="CE22" i="52"/>
  <c r="CD22" i="52"/>
  <c r="CC22" i="52"/>
  <c r="CA22" i="52"/>
  <c r="BZ22" i="52"/>
  <c r="BY22" i="52"/>
  <c r="BX22" i="52"/>
  <c r="BW22" i="52"/>
  <c r="BV22" i="52"/>
  <c r="BT22" i="52"/>
  <c r="BS22" i="52"/>
  <c r="BR22" i="52"/>
  <c r="BP22" i="52"/>
  <c r="BN22" i="52"/>
  <c r="BM22" i="52"/>
  <c r="BL22" i="52"/>
  <c r="BK22" i="52"/>
  <c r="BI22" i="52"/>
  <c r="BH22" i="52"/>
  <c r="BG22" i="52"/>
  <c r="BF22" i="52"/>
  <c r="BE22" i="52"/>
  <c r="BD22" i="52"/>
  <c r="BB22" i="52"/>
  <c r="BA22" i="52"/>
  <c r="AZ22" i="52"/>
  <c r="AX22" i="52"/>
  <c r="CG21" i="52"/>
  <c r="CF21" i="52"/>
  <c r="CE21" i="52"/>
  <c r="CD21" i="52"/>
  <c r="CC21" i="52"/>
  <c r="CA21" i="52"/>
  <c r="BZ21" i="52"/>
  <c r="BY21" i="52"/>
  <c r="BX21" i="52"/>
  <c r="BW21" i="52"/>
  <c r="BV21" i="52"/>
  <c r="BT21" i="52"/>
  <c r="BS21" i="52"/>
  <c r="BR21" i="52"/>
  <c r="BP21" i="52"/>
  <c r="BN21" i="52"/>
  <c r="BM21" i="52"/>
  <c r="BL21" i="52"/>
  <c r="BK21" i="52"/>
  <c r="BI21" i="52"/>
  <c r="BH21" i="52"/>
  <c r="BG21" i="52"/>
  <c r="BF21" i="52"/>
  <c r="BE21" i="52"/>
  <c r="BD21" i="52"/>
  <c r="BB21" i="52"/>
  <c r="BA21" i="52"/>
  <c r="AZ21" i="52"/>
  <c r="AX21" i="52"/>
  <c r="CG20" i="52"/>
  <c r="CF20" i="52"/>
  <c r="CE20" i="52"/>
  <c r="CD20" i="52"/>
  <c r="CC20" i="52"/>
  <c r="CA20" i="52"/>
  <c r="BZ20" i="52"/>
  <c r="BY20" i="52"/>
  <c r="BX20" i="52"/>
  <c r="BW20" i="52"/>
  <c r="BV20" i="52"/>
  <c r="BT20" i="52"/>
  <c r="BS20" i="52"/>
  <c r="BR20" i="52"/>
  <c r="BP20" i="52"/>
  <c r="BN20" i="52"/>
  <c r="BM20" i="52"/>
  <c r="BL20" i="52"/>
  <c r="BK20" i="52"/>
  <c r="BI20" i="52"/>
  <c r="BH20" i="52"/>
  <c r="BG20" i="52"/>
  <c r="BF20" i="52"/>
  <c r="BE20" i="52"/>
  <c r="BD20" i="52"/>
  <c r="BB20" i="52"/>
  <c r="BA20" i="52"/>
  <c r="AZ20" i="52"/>
  <c r="AX20" i="52"/>
  <c r="CG19" i="52"/>
  <c r="CF19" i="52"/>
  <c r="CE19" i="52"/>
  <c r="CD19" i="52"/>
  <c r="CC19" i="52"/>
  <c r="CA19" i="52"/>
  <c r="BZ19" i="52"/>
  <c r="BY19" i="52"/>
  <c r="BX19" i="52"/>
  <c r="BW19" i="52"/>
  <c r="BV19" i="52"/>
  <c r="BT19" i="52"/>
  <c r="BS19" i="52"/>
  <c r="BR19" i="52"/>
  <c r="BP19" i="52"/>
  <c r="BN19" i="52"/>
  <c r="BM19" i="52"/>
  <c r="BL19" i="52"/>
  <c r="BK19" i="52"/>
  <c r="BI19" i="52"/>
  <c r="BH19" i="52"/>
  <c r="BG19" i="52"/>
  <c r="BF19" i="52"/>
  <c r="BE19" i="52"/>
  <c r="BD19" i="52"/>
  <c r="BB19" i="52"/>
  <c r="BA19" i="52"/>
  <c r="AZ19" i="52"/>
  <c r="AX19" i="52"/>
  <c r="CG18" i="52"/>
  <c r="CF18" i="52"/>
  <c r="CE18" i="52"/>
  <c r="CD18" i="52"/>
  <c r="CC18" i="52"/>
  <c r="CA18" i="52"/>
  <c r="BZ18" i="52"/>
  <c r="BY18" i="52"/>
  <c r="BX18" i="52"/>
  <c r="BW18" i="52"/>
  <c r="BV18" i="52"/>
  <c r="BT18" i="52"/>
  <c r="BS18" i="52"/>
  <c r="BR18" i="52"/>
  <c r="BP18" i="52"/>
  <c r="BN18" i="52"/>
  <c r="BM18" i="52"/>
  <c r="BL18" i="52"/>
  <c r="BK18" i="52"/>
  <c r="BI18" i="52"/>
  <c r="BH18" i="52"/>
  <c r="BG18" i="52"/>
  <c r="BF18" i="52"/>
  <c r="BE18" i="52"/>
  <c r="BD18" i="52"/>
  <c r="BB18" i="52"/>
  <c r="BA18" i="52"/>
  <c r="AZ18" i="52"/>
  <c r="AX18" i="52"/>
  <c r="CG17" i="52"/>
  <c r="CF17" i="52"/>
  <c r="CE17" i="52"/>
  <c r="CD17" i="52"/>
  <c r="CC17" i="52"/>
  <c r="CA17" i="52"/>
  <c r="BZ17" i="52"/>
  <c r="BY17" i="52"/>
  <c r="BX17" i="52"/>
  <c r="BW17" i="52"/>
  <c r="BV17" i="52"/>
  <c r="BT17" i="52"/>
  <c r="BS17" i="52"/>
  <c r="BR17" i="52"/>
  <c r="BP17" i="52"/>
  <c r="BN17" i="52"/>
  <c r="BM17" i="52"/>
  <c r="BL17" i="52"/>
  <c r="BK17" i="52"/>
  <c r="BI17" i="52"/>
  <c r="BH17" i="52"/>
  <c r="BG17" i="52"/>
  <c r="BF17" i="52"/>
  <c r="BE17" i="52"/>
  <c r="BD17" i="52"/>
  <c r="BB17" i="52"/>
  <c r="BA17" i="52"/>
  <c r="AZ17" i="52"/>
  <c r="AX17" i="52"/>
  <c r="CG15" i="52"/>
  <c r="CF15" i="52"/>
  <c r="CE15" i="52"/>
  <c r="CD15" i="52"/>
  <c r="CC15" i="52"/>
  <c r="CA15" i="52"/>
  <c r="BZ15" i="52"/>
  <c r="BY15" i="52"/>
  <c r="BX15" i="52"/>
  <c r="BW15" i="52"/>
  <c r="BV15" i="52"/>
  <c r="BT15" i="52"/>
  <c r="BS15" i="52"/>
  <c r="BR15" i="52"/>
  <c r="BP15" i="52"/>
  <c r="BN15" i="52"/>
  <c r="BM15" i="52"/>
  <c r="BL15" i="52"/>
  <c r="BK15" i="52"/>
  <c r="BI15" i="52"/>
  <c r="BH15" i="52"/>
  <c r="BG15" i="52"/>
  <c r="BF15" i="52"/>
  <c r="BE15" i="52"/>
  <c r="BD15" i="52"/>
  <c r="BB15" i="52"/>
  <c r="BA15" i="52"/>
  <c r="AZ15" i="52"/>
  <c r="AX15" i="52"/>
  <c r="CG14" i="52"/>
  <c r="CF14" i="52"/>
  <c r="CE14" i="52"/>
  <c r="CD14" i="52"/>
  <c r="CC14" i="52"/>
  <c r="CA14" i="52"/>
  <c r="BZ14" i="52"/>
  <c r="BY14" i="52"/>
  <c r="BX14" i="52"/>
  <c r="BW14" i="52"/>
  <c r="BV14" i="52"/>
  <c r="BT14" i="52"/>
  <c r="BS14" i="52"/>
  <c r="BR14" i="52"/>
  <c r="BP14" i="52"/>
  <c r="BN14" i="52"/>
  <c r="BM14" i="52"/>
  <c r="BL14" i="52"/>
  <c r="BK14" i="52"/>
  <c r="BI14" i="52"/>
  <c r="BH14" i="52"/>
  <c r="BG14" i="52"/>
  <c r="BF14" i="52"/>
  <c r="BE14" i="52"/>
  <c r="BD14" i="52"/>
  <c r="BB14" i="52"/>
  <c r="BA14" i="52"/>
  <c r="AZ14" i="52"/>
  <c r="AX14" i="52"/>
  <c r="CG13" i="52"/>
  <c r="CF13" i="52"/>
  <c r="CE13" i="52"/>
  <c r="CD13" i="52"/>
  <c r="CC13" i="52"/>
  <c r="CA13" i="52"/>
  <c r="BZ13" i="52"/>
  <c r="BY13" i="52"/>
  <c r="BX13" i="52"/>
  <c r="BW13" i="52"/>
  <c r="BV13" i="52"/>
  <c r="BT13" i="52"/>
  <c r="BS13" i="52"/>
  <c r="BR13" i="52"/>
  <c r="BP13" i="52"/>
  <c r="BN13" i="52"/>
  <c r="BM13" i="52"/>
  <c r="BL13" i="52"/>
  <c r="BK13" i="52"/>
  <c r="BI13" i="52"/>
  <c r="BH13" i="52"/>
  <c r="BG13" i="52"/>
  <c r="BF13" i="52"/>
  <c r="BE13" i="52"/>
  <c r="BD13" i="52"/>
  <c r="BB13" i="52"/>
  <c r="BA13" i="52"/>
  <c r="AZ13" i="52"/>
  <c r="AX13" i="52"/>
  <c r="CG12" i="52"/>
  <c r="CF12" i="52"/>
  <c r="CE12" i="52"/>
  <c r="CD12" i="52"/>
  <c r="CC12" i="52"/>
  <c r="CA12" i="52"/>
  <c r="BZ12" i="52"/>
  <c r="BY12" i="52"/>
  <c r="BX12" i="52"/>
  <c r="BW12" i="52"/>
  <c r="BV12" i="52"/>
  <c r="BT12" i="52"/>
  <c r="BS12" i="52"/>
  <c r="BR12" i="52"/>
  <c r="BP12" i="52"/>
  <c r="BN12" i="52"/>
  <c r="BM12" i="52"/>
  <c r="BL12" i="52"/>
  <c r="BK12" i="52"/>
  <c r="BI12" i="52"/>
  <c r="BH12" i="52"/>
  <c r="BG12" i="52"/>
  <c r="BF12" i="52"/>
  <c r="BE12" i="52"/>
  <c r="BD12" i="52"/>
  <c r="BB12" i="52"/>
  <c r="BA12" i="52"/>
  <c r="AZ12" i="52"/>
  <c r="AX12" i="52"/>
  <c r="CG11" i="52"/>
  <c r="CF11" i="52"/>
  <c r="CE11" i="52"/>
  <c r="CD11" i="52"/>
  <c r="CC11" i="52"/>
  <c r="CA11" i="52"/>
  <c r="BZ11" i="52"/>
  <c r="BY11" i="52"/>
  <c r="BX11" i="52"/>
  <c r="BW11" i="52"/>
  <c r="BV11" i="52"/>
  <c r="BT11" i="52"/>
  <c r="BS11" i="52"/>
  <c r="BR11" i="52"/>
  <c r="BP11" i="52"/>
  <c r="BN11" i="52"/>
  <c r="BM11" i="52"/>
  <c r="BL11" i="52"/>
  <c r="BK11" i="52"/>
  <c r="BI11" i="52"/>
  <c r="BH11" i="52"/>
  <c r="BG11" i="52"/>
  <c r="BF11" i="52"/>
  <c r="BE11" i="52"/>
  <c r="BD11" i="52"/>
  <c r="BB11" i="52"/>
  <c r="BA11" i="52"/>
  <c r="AZ11" i="52"/>
  <c r="AX11" i="52"/>
  <c r="CG10" i="52"/>
  <c r="CF10" i="52"/>
  <c r="CE10" i="52"/>
  <c r="CD10" i="52"/>
  <c r="CC10" i="52"/>
  <c r="CA10" i="52"/>
  <c r="BZ10" i="52"/>
  <c r="BY10" i="52"/>
  <c r="BX10" i="52"/>
  <c r="BW10" i="52"/>
  <c r="BV10" i="52"/>
  <c r="BT10" i="52"/>
  <c r="BS10" i="52"/>
  <c r="BR10" i="52"/>
  <c r="BP10" i="52"/>
  <c r="BN10" i="52"/>
  <c r="BM10" i="52"/>
  <c r="BL10" i="52"/>
  <c r="BK10" i="52"/>
  <c r="BI10" i="52"/>
  <c r="BH10" i="52"/>
  <c r="BG10" i="52"/>
  <c r="BF10" i="52"/>
  <c r="BE10" i="52"/>
  <c r="BD10" i="52"/>
  <c r="BB10" i="52"/>
  <c r="BA10" i="52"/>
  <c r="AZ10" i="52"/>
  <c r="AX10" i="52"/>
  <c r="CG9" i="52"/>
  <c r="CF9" i="52"/>
  <c r="CE9" i="52"/>
  <c r="CD9" i="52"/>
  <c r="CC9" i="52"/>
  <c r="CA9" i="52"/>
  <c r="BZ9" i="52"/>
  <c r="BY9" i="52"/>
  <c r="BX9" i="52"/>
  <c r="BW9" i="52"/>
  <c r="BV9" i="52"/>
  <c r="BT9" i="52"/>
  <c r="BS9" i="52"/>
  <c r="BR9" i="52"/>
  <c r="BP9" i="52"/>
  <c r="BN9" i="52"/>
  <c r="BM9" i="52"/>
  <c r="BL9" i="52"/>
  <c r="BK9" i="52"/>
  <c r="BI9" i="52"/>
  <c r="BH9" i="52"/>
  <c r="BG9" i="52"/>
  <c r="BF9" i="52"/>
  <c r="BE9" i="52"/>
  <c r="BD9" i="52"/>
  <c r="BB9" i="52"/>
  <c r="BA9" i="52"/>
  <c r="AZ9" i="52"/>
  <c r="AX9" i="52"/>
  <c r="CG8" i="52"/>
  <c r="CF8" i="52"/>
  <c r="CE8" i="52"/>
  <c r="CD8" i="52"/>
  <c r="CC8" i="52"/>
  <c r="CA8" i="52"/>
  <c r="BZ8" i="52"/>
  <c r="BY8" i="52"/>
  <c r="BX8" i="52"/>
  <c r="BW8" i="52"/>
  <c r="BV8" i="52"/>
  <c r="BT8" i="52"/>
  <c r="BS8" i="52"/>
  <c r="BR8" i="52"/>
  <c r="BP8" i="52"/>
  <c r="BN8" i="52"/>
  <c r="BM8" i="52"/>
  <c r="BL8" i="52"/>
  <c r="BK8" i="52"/>
  <c r="BI8" i="52"/>
  <c r="BH8" i="52"/>
  <c r="BG8" i="52"/>
  <c r="BF8" i="52"/>
  <c r="BE8" i="52"/>
  <c r="BD8" i="52"/>
  <c r="BB8" i="52"/>
  <c r="BA8" i="52"/>
  <c r="AZ8" i="52"/>
  <c r="AX8" i="52"/>
  <c r="CG7" i="52"/>
  <c r="CF7" i="52"/>
  <c r="CE7" i="52"/>
  <c r="CD7" i="52"/>
  <c r="CC7" i="52"/>
  <c r="CA7" i="52"/>
  <c r="BZ7" i="52"/>
  <c r="BY7" i="52"/>
  <c r="BX7" i="52"/>
  <c r="BW7" i="52"/>
  <c r="BV7" i="52"/>
  <c r="BT7" i="52"/>
  <c r="BS7" i="52"/>
  <c r="BR7" i="52"/>
  <c r="BP7" i="52"/>
  <c r="BN7" i="52"/>
  <c r="BM7" i="52"/>
  <c r="BL7" i="52"/>
  <c r="BK7" i="52"/>
  <c r="BI7" i="52"/>
  <c r="BH7" i="52"/>
  <c r="BG7" i="52"/>
  <c r="BF7" i="52"/>
  <c r="BE7" i="52"/>
  <c r="BD7" i="52"/>
  <c r="BB7" i="52"/>
  <c r="BA7" i="52"/>
  <c r="AZ7" i="52"/>
  <c r="AX7" i="52"/>
  <c r="CG6" i="52"/>
  <c r="CF6" i="52"/>
  <c r="CE6" i="52"/>
  <c r="CD6" i="52"/>
  <c r="CC6" i="52"/>
  <c r="CA6" i="52"/>
  <c r="BZ6" i="52"/>
  <c r="BY6" i="52"/>
  <c r="BX6" i="52"/>
  <c r="BW6" i="52"/>
  <c r="BV6" i="52"/>
  <c r="BT6" i="52"/>
  <c r="BS6" i="52"/>
  <c r="BR6" i="52"/>
  <c r="BP6" i="52"/>
  <c r="BN6" i="52"/>
  <c r="BM6" i="52"/>
  <c r="BL6" i="52"/>
  <c r="BK6" i="52"/>
  <c r="BI6" i="52"/>
  <c r="BH6" i="52"/>
  <c r="BG6" i="52"/>
  <c r="BF6" i="52"/>
  <c r="BE6" i="52"/>
  <c r="BD6" i="52"/>
  <c r="BB6" i="52"/>
  <c r="BA6" i="52"/>
  <c r="AZ6" i="52"/>
  <c r="AX6" i="52"/>
  <c r="CG5" i="52"/>
  <c r="CF5" i="52"/>
  <c r="CE5" i="52"/>
  <c r="CD5" i="52"/>
  <c r="CC5" i="52"/>
  <c r="CA5" i="52"/>
  <c r="BZ5" i="52"/>
  <c r="BY5" i="52"/>
  <c r="BX5" i="52"/>
  <c r="BW5" i="52"/>
  <c r="BV5" i="52"/>
  <c r="BT5" i="52"/>
  <c r="BS5" i="52"/>
  <c r="BR5" i="52"/>
  <c r="BP5" i="52"/>
  <c r="BN5" i="52"/>
  <c r="BM5" i="52"/>
  <c r="BL5" i="52"/>
  <c r="BK5" i="52"/>
  <c r="BI5" i="52"/>
  <c r="BH5" i="52"/>
  <c r="BG5" i="52"/>
  <c r="BF5" i="52"/>
  <c r="BE5" i="52"/>
  <c r="BD5" i="52"/>
  <c r="BB5" i="52"/>
  <c r="BA5" i="52"/>
  <c r="AZ5" i="52"/>
  <c r="AX5" i="52"/>
  <c r="CG4" i="52"/>
  <c r="CF4" i="52"/>
  <c r="CE4" i="52"/>
  <c r="CD4" i="52"/>
  <c r="CC4" i="52"/>
  <c r="CA4" i="52"/>
  <c r="BZ4" i="52"/>
  <c r="BY4" i="52"/>
  <c r="BX4" i="52"/>
  <c r="BW4" i="52"/>
  <c r="BV4" i="52"/>
  <c r="BT4" i="52"/>
  <c r="BS4" i="52"/>
  <c r="BR4" i="52"/>
  <c r="BP4" i="52"/>
  <c r="BN4" i="52"/>
  <c r="BM4" i="52"/>
  <c r="BL4" i="52"/>
  <c r="BK4" i="52"/>
  <c r="BI4" i="52"/>
  <c r="BH4" i="52"/>
  <c r="BG4" i="52"/>
  <c r="BF4" i="52"/>
  <c r="BE4" i="52"/>
  <c r="BD4" i="52"/>
  <c r="BB4" i="52"/>
  <c r="BA4" i="52"/>
  <c r="AZ4" i="52"/>
  <c r="AX4" i="52"/>
  <c r="A4" i="52"/>
  <c r="A5" i="52" s="1"/>
  <c r="B5" i="52" s="1"/>
  <c r="AW36" i="69"/>
  <c r="AS36" i="69"/>
  <c r="AR36" i="69"/>
  <c r="AQ36" i="69"/>
  <c r="AP36" i="69"/>
  <c r="AO36" i="69"/>
  <c r="AN36" i="69"/>
  <c r="AM36" i="69"/>
  <c r="AL36" i="69"/>
  <c r="K36" i="69"/>
  <c r="D36" i="69"/>
  <c r="AW35" i="69"/>
  <c r="AS35" i="69"/>
  <c r="AR35" i="69"/>
  <c r="AQ35" i="69"/>
  <c r="AP35" i="69"/>
  <c r="AO35" i="69"/>
  <c r="AN35" i="69"/>
  <c r="AM35" i="69"/>
  <c r="AL35" i="69"/>
  <c r="K35" i="69"/>
  <c r="D35" i="69"/>
  <c r="CG34" i="69"/>
  <c r="CF34" i="69"/>
  <c r="CE34" i="69"/>
  <c r="CD34" i="69"/>
  <c r="CC34" i="69"/>
  <c r="CA34" i="69"/>
  <c r="BZ34" i="69"/>
  <c r="BY34" i="69"/>
  <c r="BX34" i="69"/>
  <c r="BW34" i="69"/>
  <c r="BV34" i="69"/>
  <c r="BT34" i="69"/>
  <c r="BS34" i="69"/>
  <c r="BR34" i="69"/>
  <c r="BP34" i="69"/>
  <c r="BN34" i="69"/>
  <c r="BM34" i="69"/>
  <c r="BL34" i="69"/>
  <c r="BK34" i="69"/>
  <c r="BI34" i="69"/>
  <c r="BH34" i="69"/>
  <c r="BG34" i="69"/>
  <c r="BF34" i="69"/>
  <c r="BE34" i="69"/>
  <c r="BD34" i="69"/>
  <c r="BB34" i="69"/>
  <c r="BA34" i="69"/>
  <c r="AZ34" i="69"/>
  <c r="AX34" i="69"/>
  <c r="CG33" i="69"/>
  <c r="CF33" i="69"/>
  <c r="CE33" i="69"/>
  <c r="CD33" i="69"/>
  <c r="CC33" i="69"/>
  <c r="CA33" i="69"/>
  <c r="BZ33" i="69"/>
  <c r="BY33" i="69"/>
  <c r="BX33" i="69"/>
  <c r="BW33" i="69"/>
  <c r="BV33" i="69"/>
  <c r="BT33" i="69"/>
  <c r="BS33" i="69"/>
  <c r="BR33" i="69"/>
  <c r="BP33" i="69"/>
  <c r="BN33" i="69"/>
  <c r="BM33" i="69"/>
  <c r="BL33" i="69"/>
  <c r="BK33" i="69"/>
  <c r="BI33" i="69"/>
  <c r="BH33" i="69"/>
  <c r="BG33" i="69"/>
  <c r="BF33" i="69"/>
  <c r="BE33" i="69"/>
  <c r="BD33" i="69"/>
  <c r="BB33" i="69"/>
  <c r="BA33" i="69"/>
  <c r="AZ33" i="69"/>
  <c r="AX33" i="69"/>
  <c r="CG32" i="69"/>
  <c r="CF32" i="69"/>
  <c r="CE32" i="69"/>
  <c r="CD32" i="69"/>
  <c r="CC32" i="69"/>
  <c r="CA32" i="69"/>
  <c r="BZ32" i="69"/>
  <c r="BY32" i="69"/>
  <c r="BX32" i="69"/>
  <c r="BW32" i="69"/>
  <c r="BV32" i="69"/>
  <c r="BT32" i="69"/>
  <c r="BS32" i="69"/>
  <c r="BR32" i="69"/>
  <c r="BP32" i="69"/>
  <c r="BN32" i="69"/>
  <c r="BM32" i="69"/>
  <c r="BL32" i="69"/>
  <c r="BK32" i="69"/>
  <c r="BI32" i="69"/>
  <c r="BH32" i="69"/>
  <c r="BG32" i="69"/>
  <c r="BF32" i="69"/>
  <c r="BE32" i="69"/>
  <c r="BD32" i="69"/>
  <c r="BB32" i="69"/>
  <c r="BA32" i="69"/>
  <c r="AZ32" i="69"/>
  <c r="AX32" i="69"/>
  <c r="CG31" i="69"/>
  <c r="CF31" i="69"/>
  <c r="CE31" i="69"/>
  <c r="CD31" i="69"/>
  <c r="CC31" i="69"/>
  <c r="CA31" i="69"/>
  <c r="BZ31" i="69"/>
  <c r="BY31" i="69"/>
  <c r="BX31" i="69"/>
  <c r="BW31" i="69"/>
  <c r="BV31" i="69"/>
  <c r="BT31" i="69"/>
  <c r="BS31" i="69"/>
  <c r="BR31" i="69"/>
  <c r="BP31" i="69"/>
  <c r="BN31" i="69"/>
  <c r="BM31" i="69"/>
  <c r="BL31" i="69"/>
  <c r="BK31" i="69"/>
  <c r="BI31" i="69"/>
  <c r="BH31" i="69"/>
  <c r="BG31" i="69"/>
  <c r="BF31" i="69"/>
  <c r="BE31" i="69"/>
  <c r="BD31" i="69"/>
  <c r="BB31" i="69"/>
  <c r="BA31" i="69"/>
  <c r="AZ31" i="69"/>
  <c r="AX31" i="69"/>
  <c r="CG30" i="69"/>
  <c r="CF30" i="69"/>
  <c r="CE30" i="69"/>
  <c r="CD30" i="69"/>
  <c r="CC30" i="69"/>
  <c r="CA30" i="69"/>
  <c r="BZ30" i="69"/>
  <c r="BY30" i="69"/>
  <c r="BX30" i="69"/>
  <c r="BW30" i="69"/>
  <c r="BV30" i="69"/>
  <c r="BT30" i="69"/>
  <c r="BS30" i="69"/>
  <c r="BR30" i="69"/>
  <c r="BP30" i="69"/>
  <c r="BN30" i="69"/>
  <c r="BM30" i="69"/>
  <c r="BL30" i="69"/>
  <c r="BK30" i="69"/>
  <c r="BI30" i="69"/>
  <c r="BH30" i="69"/>
  <c r="BG30" i="69"/>
  <c r="BF30" i="69"/>
  <c r="BE30" i="69"/>
  <c r="BD30" i="69"/>
  <c r="BB30" i="69"/>
  <c r="BA30" i="69"/>
  <c r="AZ30" i="69"/>
  <c r="AX30" i="69"/>
  <c r="CG29" i="69"/>
  <c r="CF29" i="69"/>
  <c r="CE29" i="69"/>
  <c r="CD29" i="69"/>
  <c r="CC29" i="69"/>
  <c r="CA29" i="69"/>
  <c r="BZ29" i="69"/>
  <c r="BY29" i="69"/>
  <c r="BX29" i="69"/>
  <c r="BW29" i="69"/>
  <c r="BV29" i="69"/>
  <c r="BT29" i="69"/>
  <c r="BS29" i="69"/>
  <c r="BR29" i="69"/>
  <c r="BP29" i="69"/>
  <c r="BN29" i="69"/>
  <c r="BM29" i="69"/>
  <c r="BL29" i="69"/>
  <c r="BK29" i="69"/>
  <c r="BI29" i="69"/>
  <c r="BH29" i="69"/>
  <c r="BG29" i="69"/>
  <c r="BF29" i="69"/>
  <c r="BE29" i="69"/>
  <c r="BD29" i="69"/>
  <c r="BB29" i="69"/>
  <c r="BA29" i="69"/>
  <c r="AZ29" i="69"/>
  <c r="AX29" i="69"/>
  <c r="CG28" i="69"/>
  <c r="CF28" i="69"/>
  <c r="CE28" i="69"/>
  <c r="CD28" i="69"/>
  <c r="CC28" i="69"/>
  <c r="CA28" i="69"/>
  <c r="BZ28" i="69"/>
  <c r="BY28" i="69"/>
  <c r="BX28" i="69"/>
  <c r="BW28" i="69"/>
  <c r="BV28" i="69"/>
  <c r="BT28" i="69"/>
  <c r="BS28" i="69"/>
  <c r="BR28" i="69"/>
  <c r="BP28" i="69"/>
  <c r="BN28" i="69"/>
  <c r="BM28" i="69"/>
  <c r="BL28" i="69"/>
  <c r="BK28" i="69"/>
  <c r="BI28" i="69"/>
  <c r="BH28" i="69"/>
  <c r="BG28" i="69"/>
  <c r="BF28" i="69"/>
  <c r="BE28" i="69"/>
  <c r="BD28" i="69"/>
  <c r="BB28" i="69"/>
  <c r="BA28" i="69"/>
  <c r="AZ28" i="69"/>
  <c r="AX28" i="69"/>
  <c r="CG27" i="69"/>
  <c r="CF27" i="69"/>
  <c r="CE27" i="69"/>
  <c r="CD27" i="69"/>
  <c r="CC27" i="69"/>
  <c r="CA27" i="69"/>
  <c r="BZ27" i="69"/>
  <c r="BY27" i="69"/>
  <c r="BX27" i="69"/>
  <c r="BW27" i="69"/>
  <c r="BV27" i="69"/>
  <c r="BT27" i="69"/>
  <c r="BS27" i="69"/>
  <c r="BR27" i="69"/>
  <c r="BP27" i="69"/>
  <c r="BN27" i="69"/>
  <c r="BM27" i="69"/>
  <c r="BL27" i="69"/>
  <c r="BK27" i="69"/>
  <c r="BI27" i="69"/>
  <c r="BH27" i="69"/>
  <c r="BG27" i="69"/>
  <c r="BF27" i="69"/>
  <c r="BE27" i="69"/>
  <c r="BD27" i="69"/>
  <c r="BB27" i="69"/>
  <c r="BA27" i="69"/>
  <c r="AZ27" i="69"/>
  <c r="AX27" i="69"/>
  <c r="CG26" i="69"/>
  <c r="CF26" i="69"/>
  <c r="CE26" i="69"/>
  <c r="CD26" i="69"/>
  <c r="CC26" i="69"/>
  <c r="CA26" i="69"/>
  <c r="BZ26" i="69"/>
  <c r="BY26" i="69"/>
  <c r="BX26" i="69"/>
  <c r="BW26" i="69"/>
  <c r="BV26" i="69"/>
  <c r="BT26" i="69"/>
  <c r="BS26" i="69"/>
  <c r="BR26" i="69"/>
  <c r="BP26" i="69"/>
  <c r="BN26" i="69"/>
  <c r="BM26" i="69"/>
  <c r="BL26" i="69"/>
  <c r="BK26" i="69"/>
  <c r="BI26" i="69"/>
  <c r="BH26" i="69"/>
  <c r="BG26" i="69"/>
  <c r="BF26" i="69"/>
  <c r="BE26" i="69"/>
  <c r="BD26" i="69"/>
  <c r="BB26" i="69"/>
  <c r="BA26" i="69"/>
  <c r="AZ26" i="69"/>
  <c r="AX26" i="69"/>
  <c r="CG25" i="69"/>
  <c r="CF25" i="69"/>
  <c r="CE25" i="69"/>
  <c r="CD25" i="69"/>
  <c r="CC25" i="69"/>
  <c r="CA25" i="69"/>
  <c r="BZ25" i="69"/>
  <c r="BY25" i="69"/>
  <c r="BX25" i="69"/>
  <c r="BW25" i="69"/>
  <c r="BV25" i="69"/>
  <c r="BT25" i="69"/>
  <c r="BS25" i="69"/>
  <c r="BR25" i="69"/>
  <c r="BP25" i="69"/>
  <c r="BN25" i="69"/>
  <c r="BM25" i="69"/>
  <c r="BL25" i="69"/>
  <c r="BK25" i="69"/>
  <c r="BI25" i="69"/>
  <c r="BH25" i="69"/>
  <c r="BG25" i="69"/>
  <c r="BF25" i="69"/>
  <c r="BE25" i="69"/>
  <c r="BD25" i="69"/>
  <c r="BB25" i="69"/>
  <c r="BA25" i="69"/>
  <c r="AZ25" i="69"/>
  <c r="AX25" i="69"/>
  <c r="CG24" i="69"/>
  <c r="CF24" i="69"/>
  <c r="CE24" i="69"/>
  <c r="CD24" i="69"/>
  <c r="CC24" i="69"/>
  <c r="CA24" i="69"/>
  <c r="BZ24" i="69"/>
  <c r="BY24" i="69"/>
  <c r="BX24" i="69"/>
  <c r="BW24" i="69"/>
  <c r="BV24" i="69"/>
  <c r="BT24" i="69"/>
  <c r="BS24" i="69"/>
  <c r="BR24" i="69"/>
  <c r="BP24" i="69"/>
  <c r="BN24" i="69"/>
  <c r="BM24" i="69"/>
  <c r="BL24" i="69"/>
  <c r="BK24" i="69"/>
  <c r="BI24" i="69"/>
  <c r="BH24" i="69"/>
  <c r="BG24" i="69"/>
  <c r="BF24" i="69"/>
  <c r="BE24" i="69"/>
  <c r="BD24" i="69"/>
  <c r="BB24" i="69"/>
  <c r="BA24" i="69"/>
  <c r="AZ24" i="69"/>
  <c r="AX24" i="69"/>
  <c r="CG23" i="69"/>
  <c r="CF23" i="69"/>
  <c r="CE23" i="69"/>
  <c r="CD23" i="69"/>
  <c r="CC23" i="69"/>
  <c r="CA23" i="69"/>
  <c r="BZ23" i="69"/>
  <c r="BY23" i="69"/>
  <c r="BX23" i="69"/>
  <c r="BW23" i="69"/>
  <c r="BV23" i="69"/>
  <c r="BT23" i="69"/>
  <c r="BS23" i="69"/>
  <c r="BR23" i="69"/>
  <c r="BP23" i="69"/>
  <c r="BN23" i="69"/>
  <c r="BM23" i="69"/>
  <c r="BL23" i="69"/>
  <c r="BK23" i="69"/>
  <c r="BI23" i="69"/>
  <c r="BH23" i="69"/>
  <c r="BG23" i="69"/>
  <c r="BF23" i="69"/>
  <c r="BE23" i="69"/>
  <c r="BD23" i="69"/>
  <c r="BB23" i="69"/>
  <c r="BA23" i="69"/>
  <c r="AZ23" i="69"/>
  <c r="AX23" i="69"/>
  <c r="CG22" i="69"/>
  <c r="CF22" i="69"/>
  <c r="CE22" i="69"/>
  <c r="CD22" i="69"/>
  <c r="CC22" i="69"/>
  <c r="CA22" i="69"/>
  <c r="BZ22" i="69"/>
  <c r="BY22" i="69"/>
  <c r="BX22" i="69"/>
  <c r="BW22" i="69"/>
  <c r="BV22" i="69"/>
  <c r="BT22" i="69"/>
  <c r="BS22" i="69"/>
  <c r="BR22" i="69"/>
  <c r="BP22" i="69"/>
  <c r="BN22" i="69"/>
  <c r="BM22" i="69"/>
  <c r="BL22" i="69"/>
  <c r="BK22" i="69"/>
  <c r="BI22" i="69"/>
  <c r="BH22" i="69"/>
  <c r="BG22" i="69"/>
  <c r="BF22" i="69"/>
  <c r="BE22" i="69"/>
  <c r="BD22" i="69"/>
  <c r="BB22" i="69"/>
  <c r="BA22" i="69"/>
  <c r="AZ22" i="69"/>
  <c r="AX22" i="69"/>
  <c r="BY21" i="69"/>
  <c r="BI21" i="69"/>
  <c r="BG21" i="69"/>
  <c r="AX21" i="69"/>
  <c r="CG20" i="69"/>
  <c r="CF20" i="69"/>
  <c r="CE20" i="69"/>
  <c r="CD20" i="69"/>
  <c r="CC20" i="69"/>
  <c r="CA20" i="69"/>
  <c r="BZ20" i="69"/>
  <c r="BY20" i="69"/>
  <c r="BX20" i="69"/>
  <c r="BW20" i="69"/>
  <c r="BV20" i="69"/>
  <c r="BT20" i="69"/>
  <c r="BS20" i="69"/>
  <c r="BR20" i="69"/>
  <c r="BP20" i="69"/>
  <c r="BN20" i="69"/>
  <c r="BM20" i="69"/>
  <c r="BL20" i="69"/>
  <c r="BK20" i="69"/>
  <c r="BI20" i="69"/>
  <c r="BH20" i="69"/>
  <c r="BG20" i="69"/>
  <c r="BF20" i="69"/>
  <c r="BE20" i="69"/>
  <c r="BD20" i="69"/>
  <c r="BB20" i="69"/>
  <c r="BA20" i="69"/>
  <c r="AZ20" i="69"/>
  <c r="AX20" i="69"/>
  <c r="CG19" i="69"/>
  <c r="CF19" i="69"/>
  <c r="CE19" i="69"/>
  <c r="CD19" i="69"/>
  <c r="CC19" i="69"/>
  <c r="CA19" i="69"/>
  <c r="BZ19" i="69"/>
  <c r="BY19" i="69"/>
  <c r="BX19" i="69"/>
  <c r="BW19" i="69"/>
  <c r="BV19" i="69"/>
  <c r="BT19" i="69"/>
  <c r="BS19" i="69"/>
  <c r="BR19" i="69"/>
  <c r="BP19" i="69"/>
  <c r="BN19" i="69"/>
  <c r="BM19" i="69"/>
  <c r="BL19" i="69"/>
  <c r="BK19" i="69"/>
  <c r="BI19" i="69"/>
  <c r="BH19" i="69"/>
  <c r="BG19" i="69"/>
  <c r="BF19" i="69"/>
  <c r="BE19" i="69"/>
  <c r="BD19" i="69"/>
  <c r="BB19" i="69"/>
  <c r="BA19" i="69"/>
  <c r="AZ19" i="69"/>
  <c r="AX19" i="69"/>
  <c r="CG18" i="69"/>
  <c r="CF18" i="69"/>
  <c r="CE18" i="69"/>
  <c r="CD18" i="69"/>
  <c r="CC18" i="69"/>
  <c r="CA18" i="69"/>
  <c r="BZ18" i="69"/>
  <c r="BY18" i="69"/>
  <c r="BX18" i="69"/>
  <c r="BW18" i="69"/>
  <c r="BV18" i="69"/>
  <c r="BT18" i="69"/>
  <c r="BS18" i="69"/>
  <c r="BR18" i="69"/>
  <c r="BP18" i="69"/>
  <c r="BN18" i="69"/>
  <c r="BM18" i="69"/>
  <c r="BL18" i="69"/>
  <c r="BK18" i="69"/>
  <c r="BI18" i="69"/>
  <c r="BH18" i="69"/>
  <c r="BG18" i="69"/>
  <c r="BF18" i="69"/>
  <c r="BE18" i="69"/>
  <c r="BD18" i="69"/>
  <c r="BB18" i="69"/>
  <c r="BA18" i="69"/>
  <c r="AZ18" i="69"/>
  <c r="AX18" i="69"/>
  <c r="CG17" i="69"/>
  <c r="CF17" i="69"/>
  <c r="CE17" i="69"/>
  <c r="CD17" i="69"/>
  <c r="CC17" i="69"/>
  <c r="CA17" i="69"/>
  <c r="BZ17" i="69"/>
  <c r="BY17" i="69"/>
  <c r="BX17" i="69"/>
  <c r="BW17" i="69"/>
  <c r="BV17" i="69"/>
  <c r="BT17" i="69"/>
  <c r="BS17" i="69"/>
  <c r="BR17" i="69"/>
  <c r="BP17" i="69"/>
  <c r="BN17" i="69"/>
  <c r="BM17" i="69"/>
  <c r="BL17" i="69"/>
  <c r="BK17" i="69"/>
  <c r="BI17" i="69"/>
  <c r="BH17" i="69"/>
  <c r="BG17" i="69"/>
  <c r="BF17" i="69"/>
  <c r="BE17" i="69"/>
  <c r="BD17" i="69"/>
  <c r="BB17" i="69"/>
  <c r="BA17" i="69"/>
  <c r="AZ17" i="69"/>
  <c r="AX17" i="69"/>
  <c r="CG16" i="69"/>
  <c r="CF16" i="69"/>
  <c r="CE16" i="69"/>
  <c r="CD16" i="69"/>
  <c r="CC16" i="69"/>
  <c r="CA16" i="69"/>
  <c r="BZ16" i="69"/>
  <c r="BY16" i="69"/>
  <c r="BX16" i="69"/>
  <c r="BW16" i="69"/>
  <c r="BV16" i="69"/>
  <c r="BT16" i="69"/>
  <c r="BS16" i="69"/>
  <c r="BR16" i="69"/>
  <c r="BP16" i="69"/>
  <c r="BN16" i="69"/>
  <c r="BM16" i="69"/>
  <c r="BL16" i="69"/>
  <c r="BK16" i="69"/>
  <c r="BI16" i="69"/>
  <c r="BH16" i="69"/>
  <c r="BG16" i="69"/>
  <c r="BF16" i="69"/>
  <c r="BE16" i="69"/>
  <c r="BD16" i="69"/>
  <c r="BB16" i="69"/>
  <c r="BA16" i="69"/>
  <c r="AZ16" i="69"/>
  <c r="AX16" i="69"/>
  <c r="CG15" i="69"/>
  <c r="CF15" i="69"/>
  <c r="CE15" i="69"/>
  <c r="CD15" i="69"/>
  <c r="CC15" i="69"/>
  <c r="CA15" i="69"/>
  <c r="BZ15" i="69"/>
  <c r="BY15" i="69"/>
  <c r="BX15" i="69"/>
  <c r="BW15" i="69"/>
  <c r="BV15" i="69"/>
  <c r="BT15" i="69"/>
  <c r="BS15" i="69"/>
  <c r="BR15" i="69"/>
  <c r="BP15" i="69"/>
  <c r="BN15" i="69"/>
  <c r="BM15" i="69"/>
  <c r="BL15" i="69"/>
  <c r="BK15" i="69"/>
  <c r="BI15" i="69"/>
  <c r="BH15" i="69"/>
  <c r="BG15" i="69"/>
  <c r="BF15" i="69"/>
  <c r="BE15" i="69"/>
  <c r="BD15" i="69"/>
  <c r="BB15" i="69"/>
  <c r="BA15" i="69"/>
  <c r="AZ15" i="69"/>
  <c r="AX15" i="69"/>
  <c r="CG14" i="69"/>
  <c r="CF14" i="69"/>
  <c r="CE14" i="69"/>
  <c r="CD14" i="69"/>
  <c r="CC14" i="69"/>
  <c r="CA14" i="69"/>
  <c r="BZ14" i="69"/>
  <c r="BY14" i="69"/>
  <c r="BX14" i="69"/>
  <c r="BW14" i="69"/>
  <c r="BV14" i="69"/>
  <c r="BT14" i="69"/>
  <c r="BS14" i="69"/>
  <c r="BR14" i="69"/>
  <c r="BP14" i="69"/>
  <c r="BN14" i="69"/>
  <c r="BM14" i="69"/>
  <c r="BL14" i="69"/>
  <c r="BK14" i="69"/>
  <c r="BI14" i="69"/>
  <c r="BH14" i="69"/>
  <c r="BG14" i="69"/>
  <c r="BF14" i="69"/>
  <c r="BE14" i="69"/>
  <c r="BD14" i="69"/>
  <c r="BB14" i="69"/>
  <c r="BA14" i="69"/>
  <c r="AZ14" i="69"/>
  <c r="AX14" i="69"/>
  <c r="CG13" i="69"/>
  <c r="CF13" i="69"/>
  <c r="CE13" i="69"/>
  <c r="CD13" i="69"/>
  <c r="CC13" i="69"/>
  <c r="CA13" i="69"/>
  <c r="BZ13" i="69"/>
  <c r="BY13" i="69"/>
  <c r="BX13" i="69"/>
  <c r="BW13" i="69"/>
  <c r="BV13" i="69"/>
  <c r="BT13" i="69"/>
  <c r="BS13" i="69"/>
  <c r="BR13" i="69"/>
  <c r="BP13" i="69"/>
  <c r="BN13" i="69"/>
  <c r="BM13" i="69"/>
  <c r="BL13" i="69"/>
  <c r="BK13" i="69"/>
  <c r="BI13" i="69"/>
  <c r="BH13" i="69"/>
  <c r="BG13" i="69"/>
  <c r="BF13" i="69"/>
  <c r="BE13" i="69"/>
  <c r="BD13" i="69"/>
  <c r="BB13" i="69"/>
  <c r="BA13" i="69"/>
  <c r="AZ13" i="69"/>
  <c r="AX13" i="69"/>
  <c r="CG12" i="69"/>
  <c r="CF12" i="69"/>
  <c r="CE12" i="69"/>
  <c r="CD12" i="69"/>
  <c r="CC12" i="69"/>
  <c r="CA12" i="69"/>
  <c r="BZ12" i="69"/>
  <c r="BY12" i="69"/>
  <c r="BX12" i="69"/>
  <c r="BW12" i="69"/>
  <c r="BV12" i="69"/>
  <c r="BT12" i="69"/>
  <c r="BS12" i="69"/>
  <c r="BR12" i="69"/>
  <c r="BP12" i="69"/>
  <c r="BN12" i="69"/>
  <c r="BM12" i="69"/>
  <c r="BL12" i="69"/>
  <c r="BK12" i="69"/>
  <c r="BI12" i="69"/>
  <c r="BH12" i="69"/>
  <c r="BG12" i="69"/>
  <c r="BF12" i="69"/>
  <c r="BE12" i="69"/>
  <c r="BD12" i="69"/>
  <c r="BB12" i="69"/>
  <c r="BA12" i="69"/>
  <c r="AZ12" i="69"/>
  <c r="AX12" i="69"/>
  <c r="CG11" i="69"/>
  <c r="CF11" i="69"/>
  <c r="CE11" i="69"/>
  <c r="CD11" i="69"/>
  <c r="CC11" i="69"/>
  <c r="CA11" i="69"/>
  <c r="BZ11" i="69"/>
  <c r="BY11" i="69"/>
  <c r="BX11" i="69"/>
  <c r="BW11" i="69"/>
  <c r="BV11" i="69"/>
  <c r="BT11" i="69"/>
  <c r="BS11" i="69"/>
  <c r="BR11" i="69"/>
  <c r="BP11" i="69"/>
  <c r="BN11" i="69"/>
  <c r="BM11" i="69"/>
  <c r="BL11" i="69"/>
  <c r="BK11" i="69"/>
  <c r="BI11" i="69"/>
  <c r="BH11" i="69"/>
  <c r="BG11" i="69"/>
  <c r="BF11" i="69"/>
  <c r="BE11" i="69"/>
  <c r="BD11" i="69"/>
  <c r="BB11" i="69"/>
  <c r="BA11" i="69"/>
  <c r="AZ11" i="69"/>
  <c r="AX11" i="69"/>
  <c r="CG10" i="69"/>
  <c r="CF10" i="69"/>
  <c r="CE10" i="69"/>
  <c r="CD10" i="69"/>
  <c r="CC10" i="69"/>
  <c r="CA10" i="69"/>
  <c r="BZ10" i="69"/>
  <c r="BY10" i="69"/>
  <c r="BX10" i="69"/>
  <c r="BW10" i="69"/>
  <c r="BV10" i="69"/>
  <c r="BT10" i="69"/>
  <c r="BS10" i="69"/>
  <c r="BR10" i="69"/>
  <c r="BP10" i="69"/>
  <c r="BN10" i="69"/>
  <c r="BM10" i="69"/>
  <c r="BL10" i="69"/>
  <c r="BK10" i="69"/>
  <c r="BI10" i="69"/>
  <c r="BH10" i="69"/>
  <c r="BG10" i="69"/>
  <c r="BF10" i="69"/>
  <c r="BE10" i="69"/>
  <c r="BD10" i="69"/>
  <c r="BB10" i="69"/>
  <c r="BA10" i="69"/>
  <c r="AZ10" i="69"/>
  <c r="AX10" i="69"/>
  <c r="CG9" i="69"/>
  <c r="CF9" i="69"/>
  <c r="CE9" i="69"/>
  <c r="CD9" i="69"/>
  <c r="CC9" i="69"/>
  <c r="CA9" i="69"/>
  <c r="BZ9" i="69"/>
  <c r="BY9" i="69"/>
  <c r="BX9" i="69"/>
  <c r="BW9" i="69"/>
  <c r="BV9" i="69"/>
  <c r="BT9" i="69"/>
  <c r="BS9" i="69"/>
  <c r="BR9" i="69"/>
  <c r="BP9" i="69"/>
  <c r="BN9" i="69"/>
  <c r="BM9" i="69"/>
  <c r="BL9" i="69"/>
  <c r="BK9" i="69"/>
  <c r="BI9" i="69"/>
  <c r="BH9" i="69"/>
  <c r="BG9" i="69"/>
  <c r="BF9" i="69"/>
  <c r="BE9" i="69"/>
  <c r="BD9" i="69"/>
  <c r="BB9" i="69"/>
  <c r="BA9" i="69"/>
  <c r="AZ9" i="69"/>
  <c r="CG8" i="69"/>
  <c r="CF8" i="69"/>
  <c r="CE8" i="69"/>
  <c r="CD8" i="69"/>
  <c r="CC8" i="69"/>
  <c r="CA8" i="69"/>
  <c r="BZ8" i="69"/>
  <c r="BY8" i="69"/>
  <c r="BX8" i="69"/>
  <c r="BW8" i="69"/>
  <c r="BV8" i="69"/>
  <c r="BT8" i="69"/>
  <c r="BS8" i="69"/>
  <c r="BR8" i="69"/>
  <c r="BP8" i="69"/>
  <c r="BN8" i="69"/>
  <c r="BM8" i="69"/>
  <c r="BL8" i="69"/>
  <c r="BK8" i="69"/>
  <c r="BI8" i="69"/>
  <c r="BH8" i="69"/>
  <c r="BG8" i="69"/>
  <c r="BF8" i="69"/>
  <c r="BE8" i="69"/>
  <c r="BD8" i="69"/>
  <c r="BB8" i="69"/>
  <c r="BA8" i="69"/>
  <c r="AZ8" i="69"/>
  <c r="AX8" i="69"/>
  <c r="CG7" i="69"/>
  <c r="CF7" i="69"/>
  <c r="CE7" i="69"/>
  <c r="CD7" i="69"/>
  <c r="CC7" i="69"/>
  <c r="CA7" i="69"/>
  <c r="BZ7" i="69"/>
  <c r="BY7" i="69"/>
  <c r="BX7" i="69"/>
  <c r="BW7" i="69"/>
  <c r="BV7" i="69"/>
  <c r="BT7" i="69"/>
  <c r="BS7" i="69"/>
  <c r="BR7" i="69"/>
  <c r="BP7" i="69"/>
  <c r="BN7" i="69"/>
  <c r="BM7" i="69"/>
  <c r="BL7" i="69"/>
  <c r="BK7" i="69"/>
  <c r="BI7" i="69"/>
  <c r="BH7" i="69"/>
  <c r="BG7" i="69"/>
  <c r="BF7" i="69"/>
  <c r="BE7" i="69"/>
  <c r="BD7" i="69"/>
  <c r="BB7" i="69"/>
  <c r="BA7" i="69"/>
  <c r="AZ7" i="69"/>
  <c r="AX7" i="69"/>
  <c r="CG6" i="69"/>
  <c r="CF6" i="69"/>
  <c r="CE6" i="69"/>
  <c r="CD6" i="69"/>
  <c r="CC6" i="69"/>
  <c r="CA6" i="69"/>
  <c r="BZ6" i="69"/>
  <c r="BY6" i="69"/>
  <c r="BX6" i="69"/>
  <c r="BW6" i="69"/>
  <c r="BV6" i="69"/>
  <c r="BT6" i="69"/>
  <c r="BS6" i="69"/>
  <c r="BR6" i="69"/>
  <c r="BP6" i="69"/>
  <c r="BN6" i="69"/>
  <c r="BM6" i="69"/>
  <c r="BL6" i="69"/>
  <c r="BK6" i="69"/>
  <c r="BI6" i="69"/>
  <c r="BH6" i="69"/>
  <c r="BG6" i="69"/>
  <c r="BF6" i="69"/>
  <c r="BE6" i="69"/>
  <c r="BD6" i="69"/>
  <c r="BB6" i="69"/>
  <c r="BA6" i="69"/>
  <c r="AZ6" i="69"/>
  <c r="AX6" i="69"/>
  <c r="CG5" i="69"/>
  <c r="CF5" i="69"/>
  <c r="CE5" i="69"/>
  <c r="CD5" i="69"/>
  <c r="CC5" i="69"/>
  <c r="CA5" i="69"/>
  <c r="BZ5" i="69"/>
  <c r="BY5" i="69"/>
  <c r="BX5" i="69"/>
  <c r="BW5" i="69"/>
  <c r="BV5" i="69"/>
  <c r="BT5" i="69"/>
  <c r="BS5" i="69"/>
  <c r="BR5" i="69"/>
  <c r="BP5" i="69"/>
  <c r="BN5" i="69"/>
  <c r="BM5" i="69"/>
  <c r="BL5" i="69"/>
  <c r="BK5" i="69"/>
  <c r="BI5" i="69"/>
  <c r="BH5" i="69"/>
  <c r="BG5" i="69"/>
  <c r="BF5" i="69"/>
  <c r="BE5" i="69"/>
  <c r="BD5" i="69"/>
  <c r="BB5" i="69"/>
  <c r="BA5" i="69"/>
  <c r="AZ5" i="69"/>
  <c r="AX5" i="69"/>
  <c r="CG4" i="69"/>
  <c r="CF4" i="69"/>
  <c r="CE4" i="69"/>
  <c r="CD4" i="69"/>
  <c r="CC4" i="69"/>
  <c r="CA4" i="69"/>
  <c r="BZ4" i="69"/>
  <c r="BY4" i="69"/>
  <c r="BX4" i="69"/>
  <c r="BW4" i="69"/>
  <c r="BV4" i="69"/>
  <c r="BT4" i="69"/>
  <c r="BS4" i="69"/>
  <c r="BR4" i="69"/>
  <c r="BP4" i="69"/>
  <c r="BN4" i="69"/>
  <c r="BM4" i="69"/>
  <c r="BL4" i="69"/>
  <c r="BK4" i="69"/>
  <c r="BI4" i="69"/>
  <c r="BH4" i="69"/>
  <c r="BG4" i="69"/>
  <c r="BF4" i="69"/>
  <c r="BE4" i="69"/>
  <c r="BD4" i="69"/>
  <c r="BB4" i="69"/>
  <c r="BA4" i="69"/>
  <c r="AZ4" i="69"/>
  <c r="AX4" i="69"/>
  <c r="A4" i="69"/>
  <c r="B4" i="69" s="1"/>
  <c r="AW37" i="68"/>
  <c r="AS37" i="68"/>
  <c r="AR37" i="68"/>
  <c r="AQ37" i="68"/>
  <c r="AP37" i="68"/>
  <c r="AO37" i="68"/>
  <c r="AN37" i="68"/>
  <c r="AM37" i="68"/>
  <c r="AL37" i="68"/>
  <c r="K37" i="68"/>
  <c r="D37" i="68"/>
  <c r="AW36" i="68"/>
  <c r="AS36" i="68"/>
  <c r="AR36" i="68"/>
  <c r="AQ36" i="68"/>
  <c r="AP36" i="68"/>
  <c r="AO36" i="68"/>
  <c r="AN36" i="68"/>
  <c r="AM36" i="68"/>
  <c r="AL36" i="68"/>
  <c r="K36" i="68"/>
  <c r="D36" i="68"/>
  <c r="CG35" i="68"/>
  <c r="CF35" i="68"/>
  <c r="CE35" i="68"/>
  <c r="CD35" i="68"/>
  <c r="CC35" i="68"/>
  <c r="CA35" i="68"/>
  <c r="BZ35" i="68"/>
  <c r="BY35" i="68"/>
  <c r="BX35" i="68"/>
  <c r="BW35" i="68"/>
  <c r="BV35" i="68"/>
  <c r="BT35" i="68"/>
  <c r="BS35" i="68"/>
  <c r="BR35" i="68"/>
  <c r="BP35" i="68"/>
  <c r="BN35" i="68"/>
  <c r="BM35" i="68"/>
  <c r="BL35" i="68"/>
  <c r="BK35" i="68"/>
  <c r="BI35" i="68"/>
  <c r="BH35" i="68"/>
  <c r="BG35" i="68"/>
  <c r="BF35" i="68"/>
  <c r="BE35" i="68"/>
  <c r="BD35" i="68"/>
  <c r="BB35" i="68"/>
  <c r="BA35" i="68"/>
  <c r="AZ35" i="68"/>
  <c r="AX35" i="68"/>
  <c r="CG34" i="68"/>
  <c r="CF34" i="68"/>
  <c r="CE34" i="68"/>
  <c r="CD34" i="68"/>
  <c r="CC34" i="68"/>
  <c r="CA34" i="68"/>
  <c r="BZ34" i="68"/>
  <c r="BY34" i="68"/>
  <c r="BX34" i="68"/>
  <c r="BW34" i="68"/>
  <c r="BV34" i="68"/>
  <c r="BT34" i="68"/>
  <c r="BS34" i="68"/>
  <c r="BR34" i="68"/>
  <c r="BP34" i="68"/>
  <c r="BN34" i="68"/>
  <c r="BM34" i="68"/>
  <c r="BL34" i="68"/>
  <c r="BK34" i="68"/>
  <c r="BI34" i="68"/>
  <c r="BH34" i="68"/>
  <c r="BG34" i="68"/>
  <c r="BF34" i="68"/>
  <c r="BE34" i="68"/>
  <c r="BD34" i="68"/>
  <c r="BB34" i="68"/>
  <c r="BA34" i="68"/>
  <c r="AZ34" i="68"/>
  <c r="AX34" i="68"/>
  <c r="CG33" i="68"/>
  <c r="CF33" i="68"/>
  <c r="CE33" i="68"/>
  <c r="CD33" i="68"/>
  <c r="CC33" i="68"/>
  <c r="CA33" i="68"/>
  <c r="BZ33" i="68"/>
  <c r="BY33" i="68"/>
  <c r="BX33" i="68"/>
  <c r="BW33" i="68"/>
  <c r="BV33" i="68"/>
  <c r="BT33" i="68"/>
  <c r="BS33" i="68"/>
  <c r="BR33" i="68"/>
  <c r="BP33" i="68"/>
  <c r="BN33" i="68"/>
  <c r="BM33" i="68"/>
  <c r="BL33" i="68"/>
  <c r="BK33" i="68"/>
  <c r="BI33" i="68"/>
  <c r="BH33" i="68"/>
  <c r="BG33" i="68"/>
  <c r="BF33" i="68"/>
  <c r="BE33" i="68"/>
  <c r="BD33" i="68"/>
  <c r="BB33" i="68"/>
  <c r="BA33" i="68"/>
  <c r="AZ33" i="68"/>
  <c r="AX33" i="68"/>
  <c r="CG32" i="68"/>
  <c r="CF32" i="68"/>
  <c r="CE32" i="68"/>
  <c r="CD32" i="68"/>
  <c r="CC32" i="68"/>
  <c r="CA32" i="68"/>
  <c r="BZ32" i="68"/>
  <c r="BY32" i="68"/>
  <c r="BX32" i="68"/>
  <c r="BW32" i="68"/>
  <c r="BV32" i="68"/>
  <c r="BT32" i="68"/>
  <c r="BS32" i="68"/>
  <c r="BR32" i="68"/>
  <c r="BP32" i="68"/>
  <c r="BN32" i="68"/>
  <c r="BM32" i="68"/>
  <c r="BL32" i="68"/>
  <c r="BK32" i="68"/>
  <c r="BI32" i="68"/>
  <c r="BH32" i="68"/>
  <c r="BG32" i="68"/>
  <c r="BF32" i="68"/>
  <c r="BE32" i="68"/>
  <c r="BD32" i="68"/>
  <c r="BB32" i="68"/>
  <c r="BA32" i="68"/>
  <c r="AZ32" i="68"/>
  <c r="AX32" i="68"/>
  <c r="CG31" i="68"/>
  <c r="CF31" i="68"/>
  <c r="CE31" i="68"/>
  <c r="CD31" i="68"/>
  <c r="CC31" i="68"/>
  <c r="CA31" i="68"/>
  <c r="BZ31" i="68"/>
  <c r="BY31" i="68"/>
  <c r="BX31" i="68"/>
  <c r="BW31" i="68"/>
  <c r="BV31" i="68"/>
  <c r="BT31" i="68"/>
  <c r="BS31" i="68"/>
  <c r="BR31" i="68"/>
  <c r="BP31" i="68"/>
  <c r="BN31" i="68"/>
  <c r="BM31" i="68"/>
  <c r="BL31" i="68"/>
  <c r="BK31" i="68"/>
  <c r="BI31" i="68"/>
  <c r="BH31" i="68"/>
  <c r="BG31" i="68"/>
  <c r="BF31" i="68"/>
  <c r="BE31" i="68"/>
  <c r="BD31" i="68"/>
  <c r="BB31" i="68"/>
  <c r="BA31" i="68"/>
  <c r="AZ31" i="68"/>
  <c r="AX31" i="68"/>
  <c r="CG30" i="68"/>
  <c r="CF30" i="68"/>
  <c r="CE30" i="68"/>
  <c r="CD30" i="68"/>
  <c r="CC30" i="68"/>
  <c r="CA30" i="68"/>
  <c r="BZ30" i="68"/>
  <c r="BY30" i="68"/>
  <c r="BX30" i="68"/>
  <c r="BW30" i="68"/>
  <c r="BV30" i="68"/>
  <c r="BT30" i="68"/>
  <c r="BS30" i="68"/>
  <c r="BR30" i="68"/>
  <c r="BP30" i="68"/>
  <c r="BN30" i="68"/>
  <c r="BM30" i="68"/>
  <c r="BL30" i="68"/>
  <c r="BK30" i="68"/>
  <c r="BI30" i="68"/>
  <c r="BH30" i="68"/>
  <c r="BG30" i="68"/>
  <c r="BF30" i="68"/>
  <c r="BE30" i="68"/>
  <c r="BD30" i="68"/>
  <c r="BB30" i="68"/>
  <c r="BA30" i="68"/>
  <c r="AZ30" i="68"/>
  <c r="AX30" i="68"/>
  <c r="BY29" i="68"/>
  <c r="BI29" i="68"/>
  <c r="BG29" i="68"/>
  <c r="CG28" i="68"/>
  <c r="CF28" i="68"/>
  <c r="CE28" i="68"/>
  <c r="CD28" i="68"/>
  <c r="CC28" i="68"/>
  <c r="CA28" i="68"/>
  <c r="BZ28" i="68"/>
  <c r="BY28" i="68"/>
  <c r="BX28" i="68"/>
  <c r="BW28" i="68"/>
  <c r="BV28" i="68"/>
  <c r="BT28" i="68"/>
  <c r="BS28" i="68"/>
  <c r="BR28" i="68"/>
  <c r="BP28" i="68"/>
  <c r="BN28" i="68"/>
  <c r="BM28" i="68"/>
  <c r="BL28" i="68"/>
  <c r="BK28" i="68"/>
  <c r="BI28" i="68"/>
  <c r="BH28" i="68"/>
  <c r="BG28" i="68"/>
  <c r="BF28" i="68"/>
  <c r="BE28" i="68"/>
  <c r="BD28" i="68"/>
  <c r="BB28" i="68"/>
  <c r="BA28" i="68"/>
  <c r="AZ28" i="68"/>
  <c r="AX28" i="68"/>
  <c r="CG27" i="68"/>
  <c r="CF27" i="68"/>
  <c r="CE27" i="68"/>
  <c r="CD27" i="68"/>
  <c r="CC27" i="68"/>
  <c r="CA27" i="68"/>
  <c r="BZ27" i="68"/>
  <c r="BY27" i="68"/>
  <c r="BX27" i="68"/>
  <c r="BW27" i="68"/>
  <c r="BV27" i="68"/>
  <c r="BT27" i="68"/>
  <c r="BS27" i="68"/>
  <c r="BR27" i="68"/>
  <c r="BP27" i="68"/>
  <c r="BN27" i="68"/>
  <c r="BM27" i="68"/>
  <c r="BL27" i="68"/>
  <c r="BK27" i="68"/>
  <c r="BI27" i="68"/>
  <c r="BH27" i="68"/>
  <c r="BG27" i="68"/>
  <c r="BF27" i="68"/>
  <c r="BE27" i="68"/>
  <c r="BD27" i="68"/>
  <c r="BB27" i="68"/>
  <c r="BA27" i="68"/>
  <c r="AZ27" i="68"/>
  <c r="AX27" i="68"/>
  <c r="CG26" i="68"/>
  <c r="CF26" i="68"/>
  <c r="CE26" i="68"/>
  <c r="CD26" i="68"/>
  <c r="CC26" i="68"/>
  <c r="CA26" i="68"/>
  <c r="BZ26" i="68"/>
  <c r="BY26" i="68"/>
  <c r="BX26" i="68"/>
  <c r="BW26" i="68"/>
  <c r="BV26" i="68"/>
  <c r="BT26" i="68"/>
  <c r="BS26" i="68"/>
  <c r="BR26" i="68"/>
  <c r="BP26" i="68"/>
  <c r="BN26" i="68"/>
  <c r="BM26" i="68"/>
  <c r="BL26" i="68"/>
  <c r="BK26" i="68"/>
  <c r="BI26" i="68"/>
  <c r="BH26" i="68"/>
  <c r="BG26" i="68"/>
  <c r="BF26" i="68"/>
  <c r="BE26" i="68"/>
  <c r="BD26" i="68"/>
  <c r="BB26" i="68"/>
  <c r="BA26" i="68"/>
  <c r="AZ26" i="68"/>
  <c r="AX26" i="68"/>
  <c r="CG25" i="68"/>
  <c r="CF25" i="68"/>
  <c r="CE25" i="68"/>
  <c r="CD25" i="68"/>
  <c r="CC25" i="68"/>
  <c r="CA25" i="68"/>
  <c r="BZ25" i="68"/>
  <c r="BY25" i="68"/>
  <c r="BX25" i="68"/>
  <c r="BW25" i="68"/>
  <c r="BV25" i="68"/>
  <c r="BT25" i="68"/>
  <c r="BS25" i="68"/>
  <c r="BR25" i="68"/>
  <c r="BP25" i="68"/>
  <c r="BN25" i="68"/>
  <c r="BM25" i="68"/>
  <c r="BL25" i="68"/>
  <c r="BK25" i="68"/>
  <c r="BI25" i="68"/>
  <c r="BH25" i="68"/>
  <c r="BG25" i="68"/>
  <c r="BF25" i="68"/>
  <c r="BE25" i="68"/>
  <c r="BD25" i="68"/>
  <c r="BB25" i="68"/>
  <c r="BA25" i="68"/>
  <c r="AZ25" i="68"/>
  <c r="AX25" i="68"/>
  <c r="CG24" i="68"/>
  <c r="CF24" i="68"/>
  <c r="CE24" i="68"/>
  <c r="CD24" i="68"/>
  <c r="CC24" i="68"/>
  <c r="CA24" i="68"/>
  <c r="BZ24" i="68"/>
  <c r="BY24" i="68"/>
  <c r="BX24" i="68"/>
  <c r="BW24" i="68"/>
  <c r="BV24" i="68"/>
  <c r="BT24" i="68"/>
  <c r="BS24" i="68"/>
  <c r="BR24" i="68"/>
  <c r="BP24" i="68"/>
  <c r="BN24" i="68"/>
  <c r="BM24" i="68"/>
  <c r="BL24" i="68"/>
  <c r="BK24" i="68"/>
  <c r="BI24" i="68"/>
  <c r="BH24" i="68"/>
  <c r="BG24" i="68"/>
  <c r="BF24" i="68"/>
  <c r="BE24" i="68"/>
  <c r="BD24" i="68"/>
  <c r="BB24" i="68"/>
  <c r="BA24" i="68"/>
  <c r="AZ24" i="68"/>
  <c r="AX24" i="68"/>
  <c r="CG23" i="68"/>
  <c r="CF23" i="68"/>
  <c r="CE23" i="68"/>
  <c r="CD23" i="68"/>
  <c r="CC23" i="68"/>
  <c r="CA23" i="68"/>
  <c r="BZ23" i="68"/>
  <c r="BY23" i="68"/>
  <c r="BX23" i="68"/>
  <c r="BW23" i="68"/>
  <c r="BV23" i="68"/>
  <c r="BT23" i="68"/>
  <c r="BS23" i="68"/>
  <c r="BR23" i="68"/>
  <c r="BP23" i="68"/>
  <c r="BN23" i="68"/>
  <c r="BM23" i="68"/>
  <c r="BL23" i="68"/>
  <c r="BK23" i="68"/>
  <c r="BI23" i="68"/>
  <c r="BH23" i="68"/>
  <c r="BG23" i="68"/>
  <c r="BF23" i="68"/>
  <c r="BE23" i="68"/>
  <c r="BD23" i="68"/>
  <c r="BB23" i="68"/>
  <c r="BA23" i="68"/>
  <c r="AZ23" i="68"/>
  <c r="AX23" i="68"/>
  <c r="CG22" i="68"/>
  <c r="CF22" i="68"/>
  <c r="CE22" i="68"/>
  <c r="CD22" i="68"/>
  <c r="CC22" i="68"/>
  <c r="CA22" i="68"/>
  <c r="BZ22" i="68"/>
  <c r="BY22" i="68"/>
  <c r="BX22" i="68"/>
  <c r="BW22" i="68"/>
  <c r="BV22" i="68"/>
  <c r="BT22" i="68"/>
  <c r="BS22" i="68"/>
  <c r="BR22" i="68"/>
  <c r="BP22" i="68"/>
  <c r="BN22" i="68"/>
  <c r="BM22" i="68"/>
  <c r="BL22" i="68"/>
  <c r="BK22" i="68"/>
  <c r="BI22" i="68"/>
  <c r="BH22" i="68"/>
  <c r="BG22" i="68"/>
  <c r="BF22" i="68"/>
  <c r="BE22" i="68"/>
  <c r="BD22" i="68"/>
  <c r="BB22" i="68"/>
  <c r="BA22" i="68"/>
  <c r="AZ22" i="68"/>
  <c r="AX22" i="68"/>
  <c r="CG21" i="68"/>
  <c r="CF21" i="68"/>
  <c r="CE21" i="68"/>
  <c r="CD21" i="68"/>
  <c r="CC21" i="68"/>
  <c r="CA21" i="68"/>
  <c r="BZ21" i="68"/>
  <c r="BY21" i="68"/>
  <c r="BX21" i="68"/>
  <c r="BW21" i="68"/>
  <c r="BV21" i="68"/>
  <c r="BT21" i="68"/>
  <c r="BS21" i="68"/>
  <c r="BR21" i="68"/>
  <c r="BP21" i="68"/>
  <c r="BN21" i="68"/>
  <c r="BM21" i="68"/>
  <c r="BL21" i="68"/>
  <c r="BK21" i="68"/>
  <c r="BI21" i="68"/>
  <c r="BH21" i="68"/>
  <c r="BG21" i="68"/>
  <c r="BF21" i="68"/>
  <c r="BE21" i="68"/>
  <c r="BD21" i="68"/>
  <c r="BB21" i="68"/>
  <c r="BA21" i="68"/>
  <c r="AZ21" i="68"/>
  <c r="AX21" i="68"/>
  <c r="CG20" i="68"/>
  <c r="CF20" i="68"/>
  <c r="CE20" i="68"/>
  <c r="CD20" i="68"/>
  <c r="CC20" i="68"/>
  <c r="CA20" i="68"/>
  <c r="BZ20" i="68"/>
  <c r="BY20" i="68"/>
  <c r="BX20" i="68"/>
  <c r="BW20" i="68"/>
  <c r="BV20" i="68"/>
  <c r="BT20" i="68"/>
  <c r="BS20" i="68"/>
  <c r="BR20" i="68"/>
  <c r="BP20" i="68"/>
  <c r="BN20" i="68"/>
  <c r="BM20" i="68"/>
  <c r="BL20" i="68"/>
  <c r="BK20" i="68"/>
  <c r="BI20" i="68"/>
  <c r="BH20" i="68"/>
  <c r="BG20" i="68"/>
  <c r="BF20" i="68"/>
  <c r="BE20" i="68"/>
  <c r="BD20" i="68"/>
  <c r="BB20" i="68"/>
  <c r="BA20" i="68"/>
  <c r="AZ20" i="68"/>
  <c r="AX20" i="68"/>
  <c r="CG19" i="68"/>
  <c r="CF19" i="68"/>
  <c r="CE19" i="68"/>
  <c r="CD19" i="68"/>
  <c r="CC19" i="68"/>
  <c r="CA19" i="68"/>
  <c r="BZ19" i="68"/>
  <c r="BY19" i="68"/>
  <c r="BX19" i="68"/>
  <c r="BW19" i="68"/>
  <c r="BV19" i="68"/>
  <c r="BT19" i="68"/>
  <c r="BS19" i="68"/>
  <c r="BR19" i="68"/>
  <c r="BP19" i="68"/>
  <c r="BN19" i="68"/>
  <c r="BM19" i="68"/>
  <c r="BL19" i="68"/>
  <c r="BK19" i="68"/>
  <c r="BI19" i="68"/>
  <c r="BH19" i="68"/>
  <c r="BG19" i="68"/>
  <c r="BF19" i="68"/>
  <c r="BE19" i="68"/>
  <c r="BD19" i="68"/>
  <c r="BB19" i="68"/>
  <c r="BA19" i="68"/>
  <c r="AZ19" i="68"/>
  <c r="AX19" i="68"/>
  <c r="CG18" i="68"/>
  <c r="CF18" i="68"/>
  <c r="CE18" i="68"/>
  <c r="CD18" i="68"/>
  <c r="CC18" i="68"/>
  <c r="CA18" i="68"/>
  <c r="BZ18" i="68"/>
  <c r="BY18" i="68"/>
  <c r="BX18" i="68"/>
  <c r="BW18" i="68"/>
  <c r="BV18" i="68"/>
  <c r="BT18" i="68"/>
  <c r="BS18" i="68"/>
  <c r="BR18" i="68"/>
  <c r="BP18" i="68"/>
  <c r="BN18" i="68"/>
  <c r="BM18" i="68"/>
  <c r="BL18" i="68"/>
  <c r="BK18" i="68"/>
  <c r="BI18" i="68"/>
  <c r="BH18" i="68"/>
  <c r="BG18" i="68"/>
  <c r="BF18" i="68"/>
  <c r="BE18" i="68"/>
  <c r="BD18" i="68"/>
  <c r="BB18" i="68"/>
  <c r="BA18" i="68"/>
  <c r="AZ18" i="68"/>
  <c r="AX18" i="68"/>
  <c r="CG17" i="68"/>
  <c r="CF17" i="68"/>
  <c r="CE17" i="68"/>
  <c r="CD17" i="68"/>
  <c r="CC17" i="68"/>
  <c r="CA17" i="68"/>
  <c r="BZ17" i="68"/>
  <c r="BY17" i="68"/>
  <c r="BX17" i="68"/>
  <c r="BW17" i="68"/>
  <c r="BV17" i="68"/>
  <c r="BT17" i="68"/>
  <c r="BS17" i="68"/>
  <c r="BR17" i="68"/>
  <c r="BP17" i="68"/>
  <c r="BN17" i="68"/>
  <c r="BM17" i="68"/>
  <c r="BL17" i="68"/>
  <c r="BK17" i="68"/>
  <c r="BI17" i="68"/>
  <c r="BH17" i="68"/>
  <c r="BG17" i="68"/>
  <c r="BF17" i="68"/>
  <c r="BE17" i="68"/>
  <c r="BD17" i="68"/>
  <c r="BB17" i="68"/>
  <c r="BA17" i="68"/>
  <c r="AZ17" i="68"/>
  <c r="AX17" i="68"/>
  <c r="CG16" i="68"/>
  <c r="CF16" i="68"/>
  <c r="CE16" i="68"/>
  <c r="CD16" i="68"/>
  <c r="CC16" i="68"/>
  <c r="CA16" i="68"/>
  <c r="BZ16" i="68"/>
  <c r="BY16" i="68"/>
  <c r="BX16" i="68"/>
  <c r="BW16" i="68"/>
  <c r="BV16" i="68"/>
  <c r="BT16" i="68"/>
  <c r="BS16" i="68"/>
  <c r="BR16" i="68"/>
  <c r="BP16" i="68"/>
  <c r="BN16" i="68"/>
  <c r="BM16" i="68"/>
  <c r="BL16" i="68"/>
  <c r="BK16" i="68"/>
  <c r="BI16" i="68"/>
  <c r="BH16" i="68"/>
  <c r="BG16" i="68"/>
  <c r="BF16" i="68"/>
  <c r="BE16" i="68"/>
  <c r="BD16" i="68"/>
  <c r="BB16" i="68"/>
  <c r="BA16" i="68"/>
  <c r="AZ16" i="68"/>
  <c r="AX16" i="68"/>
  <c r="CG15" i="68"/>
  <c r="CF15" i="68"/>
  <c r="CE15" i="68"/>
  <c r="CD15" i="68"/>
  <c r="CC15" i="68"/>
  <c r="CA15" i="68"/>
  <c r="BZ15" i="68"/>
  <c r="BY15" i="68"/>
  <c r="BX15" i="68"/>
  <c r="BW15" i="68"/>
  <c r="BV15" i="68"/>
  <c r="BT15" i="68"/>
  <c r="BS15" i="68"/>
  <c r="BR15" i="68"/>
  <c r="BP15" i="68"/>
  <c r="BN15" i="68"/>
  <c r="BM15" i="68"/>
  <c r="BL15" i="68"/>
  <c r="BK15" i="68"/>
  <c r="BI15" i="68"/>
  <c r="BH15" i="68"/>
  <c r="BG15" i="68"/>
  <c r="BF15" i="68"/>
  <c r="BE15" i="68"/>
  <c r="BD15" i="68"/>
  <c r="BB15" i="68"/>
  <c r="BA15" i="68"/>
  <c r="AZ15" i="68"/>
  <c r="AX15" i="68"/>
  <c r="CG14" i="68"/>
  <c r="CF14" i="68"/>
  <c r="CE14" i="68"/>
  <c r="CD14" i="68"/>
  <c r="CC14" i="68"/>
  <c r="CA14" i="68"/>
  <c r="BZ14" i="68"/>
  <c r="BY14" i="68"/>
  <c r="BX14" i="68"/>
  <c r="BW14" i="68"/>
  <c r="BV14" i="68"/>
  <c r="BT14" i="68"/>
  <c r="BS14" i="68"/>
  <c r="BR14" i="68"/>
  <c r="BP14" i="68"/>
  <c r="BN14" i="68"/>
  <c r="BM14" i="68"/>
  <c r="BL14" i="68"/>
  <c r="BK14" i="68"/>
  <c r="BI14" i="68"/>
  <c r="BH14" i="68"/>
  <c r="BG14" i="68"/>
  <c r="BF14" i="68"/>
  <c r="BE14" i="68"/>
  <c r="BD14" i="68"/>
  <c r="BB14" i="68"/>
  <c r="BA14" i="68"/>
  <c r="AZ14" i="68"/>
  <c r="AX14" i="68"/>
  <c r="CG13" i="68"/>
  <c r="CF13" i="68"/>
  <c r="CE13" i="68"/>
  <c r="CD13" i="68"/>
  <c r="CC13" i="68"/>
  <c r="CA13" i="68"/>
  <c r="BZ13" i="68"/>
  <c r="BY13" i="68"/>
  <c r="BX13" i="68"/>
  <c r="BW13" i="68"/>
  <c r="BV13" i="68"/>
  <c r="BT13" i="68"/>
  <c r="BS13" i="68"/>
  <c r="BR13" i="68"/>
  <c r="BP13" i="68"/>
  <c r="BN13" i="68"/>
  <c r="BM13" i="68"/>
  <c r="BL13" i="68"/>
  <c r="BK13" i="68"/>
  <c r="BI13" i="68"/>
  <c r="BH13" i="68"/>
  <c r="BG13" i="68"/>
  <c r="BF13" i="68"/>
  <c r="BE13" i="68"/>
  <c r="BD13" i="68"/>
  <c r="BB13" i="68"/>
  <c r="BA13" i="68"/>
  <c r="AZ13" i="68"/>
  <c r="AX13" i="68"/>
  <c r="CG12" i="68"/>
  <c r="CF12" i="68"/>
  <c r="CE12" i="68"/>
  <c r="CD12" i="68"/>
  <c r="CC12" i="68"/>
  <c r="CA12" i="68"/>
  <c r="BZ12" i="68"/>
  <c r="BY12" i="68"/>
  <c r="BX12" i="68"/>
  <c r="BW12" i="68"/>
  <c r="BV12" i="68"/>
  <c r="BT12" i="68"/>
  <c r="BS12" i="68"/>
  <c r="BR12" i="68"/>
  <c r="BP12" i="68"/>
  <c r="BN12" i="68"/>
  <c r="BM12" i="68"/>
  <c r="BL12" i="68"/>
  <c r="BK12" i="68"/>
  <c r="BI12" i="68"/>
  <c r="BH12" i="68"/>
  <c r="BG12" i="68"/>
  <c r="BF12" i="68"/>
  <c r="BE12" i="68"/>
  <c r="BD12" i="68"/>
  <c r="BB12" i="68"/>
  <c r="BA12" i="68"/>
  <c r="AZ12" i="68"/>
  <c r="AX12" i="68"/>
  <c r="CG11" i="68"/>
  <c r="CF11" i="68"/>
  <c r="CE11" i="68"/>
  <c r="CD11" i="68"/>
  <c r="CC11" i="68"/>
  <c r="CA11" i="68"/>
  <c r="BZ11" i="68"/>
  <c r="BY11" i="68"/>
  <c r="BX11" i="68"/>
  <c r="BW11" i="68"/>
  <c r="BV11" i="68"/>
  <c r="BT11" i="68"/>
  <c r="BS11" i="68"/>
  <c r="BR11" i="68"/>
  <c r="BP11" i="68"/>
  <c r="BN11" i="68"/>
  <c r="BM11" i="68"/>
  <c r="BL11" i="68"/>
  <c r="BK11" i="68"/>
  <c r="BI11" i="68"/>
  <c r="BH11" i="68"/>
  <c r="BG11" i="68"/>
  <c r="BF11" i="68"/>
  <c r="BE11" i="68"/>
  <c r="BD11" i="68"/>
  <c r="BB11" i="68"/>
  <c r="BA11" i="68"/>
  <c r="AZ11" i="68"/>
  <c r="AX11" i="68"/>
  <c r="CG10" i="68"/>
  <c r="CF10" i="68"/>
  <c r="CE10" i="68"/>
  <c r="CD10" i="68"/>
  <c r="CC10" i="68"/>
  <c r="CA10" i="68"/>
  <c r="BZ10" i="68"/>
  <c r="BY10" i="68"/>
  <c r="BX10" i="68"/>
  <c r="BW10" i="68"/>
  <c r="BV10" i="68"/>
  <c r="BT10" i="68"/>
  <c r="BS10" i="68"/>
  <c r="BR10" i="68"/>
  <c r="BP10" i="68"/>
  <c r="BN10" i="68"/>
  <c r="BM10" i="68"/>
  <c r="BL10" i="68"/>
  <c r="BK10" i="68"/>
  <c r="BI10" i="68"/>
  <c r="BH10" i="68"/>
  <c r="BG10" i="68"/>
  <c r="BF10" i="68"/>
  <c r="BE10" i="68"/>
  <c r="BD10" i="68"/>
  <c r="BB10" i="68"/>
  <c r="BA10" i="68"/>
  <c r="AZ10" i="68"/>
  <c r="AX10" i="68"/>
  <c r="CG9" i="68"/>
  <c r="CF9" i="68"/>
  <c r="CE9" i="68"/>
  <c r="CD9" i="68"/>
  <c r="CC9" i="68"/>
  <c r="CA9" i="68"/>
  <c r="BZ9" i="68"/>
  <c r="BY9" i="68"/>
  <c r="BX9" i="68"/>
  <c r="BW9" i="68"/>
  <c r="BV9" i="68"/>
  <c r="BT9" i="68"/>
  <c r="BS9" i="68"/>
  <c r="BR9" i="68"/>
  <c r="BP9" i="68"/>
  <c r="BN9" i="68"/>
  <c r="BM9" i="68"/>
  <c r="BL9" i="68"/>
  <c r="BK9" i="68"/>
  <c r="BI9" i="68"/>
  <c r="BH9" i="68"/>
  <c r="BG9" i="68"/>
  <c r="BF9" i="68"/>
  <c r="BE9" i="68"/>
  <c r="BD9" i="68"/>
  <c r="BB9" i="68"/>
  <c r="BA9" i="68"/>
  <c r="AZ9" i="68"/>
  <c r="AX9" i="68"/>
  <c r="CG8" i="68"/>
  <c r="CF8" i="68"/>
  <c r="CE8" i="68"/>
  <c r="CD8" i="68"/>
  <c r="CC8" i="68"/>
  <c r="CA8" i="68"/>
  <c r="BZ8" i="68"/>
  <c r="BY8" i="68"/>
  <c r="BX8" i="68"/>
  <c r="BW8" i="68"/>
  <c r="BV8" i="68"/>
  <c r="BT8" i="68"/>
  <c r="BS8" i="68"/>
  <c r="BR8" i="68"/>
  <c r="BP8" i="68"/>
  <c r="BN8" i="68"/>
  <c r="BM8" i="68"/>
  <c r="BL8" i="68"/>
  <c r="BK8" i="68"/>
  <c r="BI8" i="68"/>
  <c r="BH8" i="68"/>
  <c r="BG8" i="68"/>
  <c r="BF8" i="68"/>
  <c r="BE8" i="68"/>
  <c r="BD8" i="68"/>
  <c r="BB8" i="68"/>
  <c r="BA8" i="68"/>
  <c r="AZ8" i="68"/>
  <c r="AX8" i="68"/>
  <c r="CG7" i="68"/>
  <c r="CF7" i="68"/>
  <c r="CE7" i="68"/>
  <c r="CD7" i="68"/>
  <c r="CC7" i="68"/>
  <c r="CA7" i="68"/>
  <c r="BZ7" i="68"/>
  <c r="BY7" i="68"/>
  <c r="BX7" i="68"/>
  <c r="BW7" i="68"/>
  <c r="BV7" i="68"/>
  <c r="BT7" i="68"/>
  <c r="BS7" i="68"/>
  <c r="BR7" i="68"/>
  <c r="BP7" i="68"/>
  <c r="BN7" i="68"/>
  <c r="BM7" i="68"/>
  <c r="BL7" i="68"/>
  <c r="BK7" i="68"/>
  <c r="BI7" i="68"/>
  <c r="BH7" i="68"/>
  <c r="BG7" i="68"/>
  <c r="BF7" i="68"/>
  <c r="BE7" i="68"/>
  <c r="BD7" i="68"/>
  <c r="BB7" i="68"/>
  <c r="BA7" i="68"/>
  <c r="AZ7" i="68"/>
  <c r="AX7" i="68"/>
  <c r="CG6" i="68"/>
  <c r="CF6" i="68"/>
  <c r="CE6" i="68"/>
  <c r="CD6" i="68"/>
  <c r="CC6" i="68"/>
  <c r="CA6" i="68"/>
  <c r="BZ6" i="68"/>
  <c r="BY6" i="68"/>
  <c r="BX6" i="68"/>
  <c r="BW6" i="68"/>
  <c r="BV6" i="68"/>
  <c r="BT6" i="68"/>
  <c r="BS6" i="68"/>
  <c r="BR6" i="68"/>
  <c r="BP6" i="68"/>
  <c r="BN6" i="68"/>
  <c r="BM6" i="68"/>
  <c r="BL6" i="68"/>
  <c r="BK6" i="68"/>
  <c r="BI6" i="68"/>
  <c r="BH6" i="68"/>
  <c r="BG6" i="68"/>
  <c r="BF6" i="68"/>
  <c r="BE6" i="68"/>
  <c r="BD6" i="68"/>
  <c r="BB6" i="68"/>
  <c r="BA6" i="68"/>
  <c r="AZ6" i="68"/>
  <c r="AX6" i="68"/>
  <c r="CG5" i="68"/>
  <c r="CF5" i="68"/>
  <c r="CE5" i="68"/>
  <c r="CD5" i="68"/>
  <c r="CC5" i="68"/>
  <c r="CA5" i="68"/>
  <c r="BZ5" i="68"/>
  <c r="BY5" i="68"/>
  <c r="BX5" i="68"/>
  <c r="BW5" i="68"/>
  <c r="BV5" i="68"/>
  <c r="BT5" i="68"/>
  <c r="BS5" i="68"/>
  <c r="BR5" i="68"/>
  <c r="BP5" i="68"/>
  <c r="BN5" i="68"/>
  <c r="BM5" i="68"/>
  <c r="BL5" i="68"/>
  <c r="BK5" i="68"/>
  <c r="BI5" i="68"/>
  <c r="BH5" i="68"/>
  <c r="BG5" i="68"/>
  <c r="BF5" i="68"/>
  <c r="BE5" i="68"/>
  <c r="BD5" i="68"/>
  <c r="BB5" i="68"/>
  <c r="BA5" i="68"/>
  <c r="AZ5" i="68"/>
  <c r="AX5" i="68"/>
  <c r="CG4" i="68"/>
  <c r="CF4" i="68"/>
  <c r="CE4" i="68"/>
  <c r="CD4" i="68"/>
  <c r="CC4" i="68"/>
  <c r="CA4" i="68"/>
  <c r="BZ4" i="68"/>
  <c r="BY4" i="68"/>
  <c r="BX4" i="68"/>
  <c r="BW4" i="68"/>
  <c r="BV4" i="68"/>
  <c r="BT4" i="68"/>
  <c r="BS4" i="68"/>
  <c r="BR4" i="68"/>
  <c r="BP4" i="68"/>
  <c r="BN4" i="68"/>
  <c r="BM4" i="68"/>
  <c r="BL4" i="68"/>
  <c r="BK4" i="68"/>
  <c r="BI4" i="68"/>
  <c r="BH4" i="68"/>
  <c r="BG4" i="68"/>
  <c r="BF4" i="68"/>
  <c r="BE4" i="68"/>
  <c r="BD4" i="68"/>
  <c r="BB4" i="68"/>
  <c r="BA4" i="68"/>
  <c r="AZ4" i="68"/>
  <c r="AX4" i="68"/>
  <c r="A4" i="68"/>
  <c r="A5" i="68" s="1"/>
  <c r="B5" i="68" s="1"/>
  <c r="AW36" i="53"/>
  <c r="AS36" i="53"/>
  <c r="AR36" i="53"/>
  <c r="AQ36" i="53"/>
  <c r="AP36" i="53"/>
  <c r="AO36" i="53"/>
  <c r="AN36" i="53"/>
  <c r="AM36" i="53"/>
  <c r="AL36" i="53"/>
  <c r="K36" i="53"/>
  <c r="D36" i="53"/>
  <c r="AW35" i="53"/>
  <c r="AS35" i="53"/>
  <c r="AR35" i="53"/>
  <c r="AQ35" i="53"/>
  <c r="AP35" i="53"/>
  <c r="AO35" i="53"/>
  <c r="AN35" i="53"/>
  <c r="AM35" i="53"/>
  <c r="AL35" i="53"/>
  <c r="K35" i="53"/>
  <c r="D35" i="53"/>
  <c r="CG34" i="53"/>
  <c r="CF34" i="53"/>
  <c r="CE34" i="53"/>
  <c r="CD34" i="53"/>
  <c r="CC34" i="53"/>
  <c r="CA34" i="53"/>
  <c r="BZ34" i="53"/>
  <c r="BY34" i="53"/>
  <c r="BX34" i="53"/>
  <c r="BW34" i="53"/>
  <c r="BV34" i="53"/>
  <c r="BT34" i="53"/>
  <c r="BS34" i="53"/>
  <c r="BR34" i="53"/>
  <c r="BP34" i="53"/>
  <c r="BN34" i="53"/>
  <c r="BM34" i="53"/>
  <c r="BL34" i="53"/>
  <c r="BK34" i="53"/>
  <c r="BI34" i="53"/>
  <c r="BH34" i="53"/>
  <c r="BG34" i="53"/>
  <c r="BF34" i="53"/>
  <c r="BE34" i="53"/>
  <c r="BD34" i="53"/>
  <c r="BB34" i="53"/>
  <c r="BA34" i="53"/>
  <c r="AZ34" i="53"/>
  <c r="AX34" i="53"/>
  <c r="A34" i="53"/>
  <c r="B34" i="53" s="1"/>
  <c r="CG33" i="53"/>
  <c r="CF33" i="53"/>
  <c r="CE33" i="53"/>
  <c r="CD33" i="53"/>
  <c r="CC33" i="53"/>
  <c r="CA33" i="53"/>
  <c r="BZ33" i="53"/>
  <c r="BY33" i="53"/>
  <c r="BX33" i="53"/>
  <c r="BW33" i="53"/>
  <c r="BV33" i="53"/>
  <c r="BT33" i="53"/>
  <c r="BS33" i="53"/>
  <c r="BR33" i="53"/>
  <c r="BP33" i="53"/>
  <c r="BN33" i="53"/>
  <c r="BM33" i="53"/>
  <c r="BL33" i="53"/>
  <c r="BK33" i="53"/>
  <c r="BI33" i="53"/>
  <c r="BH33" i="53"/>
  <c r="BG33" i="53"/>
  <c r="BF33" i="53"/>
  <c r="BE33" i="53"/>
  <c r="BD33" i="53"/>
  <c r="BB33" i="53"/>
  <c r="BA33" i="53"/>
  <c r="AZ33" i="53"/>
  <c r="AX33" i="53"/>
  <c r="A33" i="53"/>
  <c r="B33" i="53" s="1"/>
  <c r="CG32" i="53"/>
  <c r="CF32" i="53"/>
  <c r="CE32" i="53"/>
  <c r="CD32" i="53"/>
  <c r="CC32" i="53"/>
  <c r="CA32" i="53"/>
  <c r="BZ32" i="53"/>
  <c r="BY32" i="53"/>
  <c r="BX32" i="53"/>
  <c r="BW32" i="53"/>
  <c r="BV32" i="53"/>
  <c r="BT32" i="53"/>
  <c r="BS32" i="53"/>
  <c r="BR32" i="53"/>
  <c r="BP32" i="53"/>
  <c r="BN32" i="53"/>
  <c r="BM32" i="53"/>
  <c r="BL32" i="53"/>
  <c r="BK32" i="53"/>
  <c r="BI32" i="53"/>
  <c r="BH32" i="53"/>
  <c r="BG32" i="53"/>
  <c r="BF32" i="53"/>
  <c r="BE32" i="53"/>
  <c r="BD32" i="53"/>
  <c r="BB32" i="53"/>
  <c r="BA32" i="53"/>
  <c r="AZ32" i="53"/>
  <c r="AX32" i="53"/>
  <c r="A32" i="53"/>
  <c r="B32" i="53" s="1"/>
  <c r="CG31" i="53"/>
  <c r="CF31" i="53"/>
  <c r="CE31" i="53"/>
  <c r="CD31" i="53"/>
  <c r="CC31" i="53"/>
  <c r="CA31" i="53"/>
  <c r="BZ31" i="53"/>
  <c r="BY31" i="53"/>
  <c r="BX31" i="53"/>
  <c r="BW31" i="53"/>
  <c r="BV31" i="53"/>
  <c r="BT31" i="53"/>
  <c r="BS31" i="53"/>
  <c r="BR31" i="53"/>
  <c r="BP31" i="53"/>
  <c r="BN31" i="53"/>
  <c r="BM31" i="53"/>
  <c r="BL31" i="53"/>
  <c r="BK31" i="53"/>
  <c r="BI31" i="53"/>
  <c r="BH31" i="53"/>
  <c r="BG31" i="53"/>
  <c r="BF31" i="53"/>
  <c r="BE31" i="53"/>
  <c r="BD31" i="53"/>
  <c r="BB31" i="53"/>
  <c r="BA31" i="53"/>
  <c r="AZ31" i="53"/>
  <c r="AX31" i="53"/>
  <c r="A31" i="53"/>
  <c r="B31" i="53" s="1"/>
  <c r="CG30" i="53"/>
  <c r="CF30" i="53"/>
  <c r="CE30" i="53"/>
  <c r="CD30" i="53"/>
  <c r="CC30" i="53"/>
  <c r="CA30" i="53"/>
  <c r="BZ30" i="53"/>
  <c r="BY30" i="53"/>
  <c r="BX30" i="53"/>
  <c r="BW30" i="53"/>
  <c r="BV30" i="53"/>
  <c r="BT30" i="53"/>
  <c r="BS30" i="53"/>
  <c r="BR30" i="53"/>
  <c r="BP30" i="53"/>
  <c r="BN30" i="53"/>
  <c r="BM30" i="53"/>
  <c r="BL30" i="53"/>
  <c r="BK30" i="53"/>
  <c r="BI30" i="53"/>
  <c r="BH30" i="53"/>
  <c r="BG30" i="53"/>
  <c r="BF30" i="53"/>
  <c r="BE30" i="53"/>
  <c r="BD30" i="53"/>
  <c r="BB30" i="53"/>
  <c r="BA30" i="53"/>
  <c r="AZ30" i="53"/>
  <c r="AX30" i="53"/>
  <c r="A30" i="53"/>
  <c r="B30" i="53" s="1"/>
  <c r="CG29" i="53"/>
  <c r="CF29" i="53"/>
  <c r="CE29" i="53"/>
  <c r="CD29" i="53"/>
  <c r="CC29" i="53"/>
  <c r="CA29" i="53"/>
  <c r="BZ29" i="53"/>
  <c r="BY29" i="53"/>
  <c r="BX29" i="53"/>
  <c r="BW29" i="53"/>
  <c r="BV29" i="53"/>
  <c r="BT29" i="53"/>
  <c r="BS29" i="53"/>
  <c r="BR29" i="53"/>
  <c r="BP29" i="53"/>
  <c r="BN29" i="53"/>
  <c r="BM29" i="53"/>
  <c r="BL29" i="53"/>
  <c r="BK29" i="53"/>
  <c r="BI29" i="53"/>
  <c r="BH29" i="53"/>
  <c r="BG29" i="53"/>
  <c r="BF29" i="53"/>
  <c r="BE29" i="53"/>
  <c r="BD29" i="53"/>
  <c r="BB29" i="53"/>
  <c r="BA29" i="53"/>
  <c r="AZ29" i="53"/>
  <c r="AX29" i="53"/>
  <c r="A29" i="53"/>
  <c r="B29" i="53" s="1"/>
  <c r="CG28" i="53"/>
  <c r="CF28" i="53"/>
  <c r="CE28" i="53"/>
  <c r="CD28" i="53"/>
  <c r="CC28" i="53"/>
  <c r="CA28" i="53"/>
  <c r="BZ28" i="53"/>
  <c r="BY28" i="53"/>
  <c r="BX28" i="53"/>
  <c r="BW28" i="53"/>
  <c r="BV28" i="53"/>
  <c r="BT28" i="53"/>
  <c r="BS28" i="53"/>
  <c r="BR28" i="53"/>
  <c r="BP28" i="53"/>
  <c r="BN28" i="53"/>
  <c r="BM28" i="53"/>
  <c r="BL28" i="53"/>
  <c r="BK28" i="53"/>
  <c r="BI28" i="53"/>
  <c r="BH28" i="53"/>
  <c r="BG28" i="53"/>
  <c r="BF28" i="53"/>
  <c r="BE28" i="53"/>
  <c r="BD28" i="53"/>
  <c r="BB28" i="53"/>
  <c r="BA28" i="53"/>
  <c r="AZ28" i="53"/>
  <c r="AX28" i="53"/>
  <c r="A28" i="53"/>
  <c r="B28" i="53" s="1"/>
  <c r="CG27" i="53"/>
  <c r="CF27" i="53"/>
  <c r="CE27" i="53"/>
  <c r="CD27" i="53"/>
  <c r="CC27" i="53"/>
  <c r="CA27" i="53"/>
  <c r="BZ27" i="53"/>
  <c r="BY27" i="53"/>
  <c r="BX27" i="53"/>
  <c r="BW27" i="53"/>
  <c r="BV27" i="53"/>
  <c r="BT27" i="53"/>
  <c r="BS27" i="53"/>
  <c r="BR27" i="53"/>
  <c r="BP27" i="53"/>
  <c r="BN27" i="53"/>
  <c r="BM27" i="53"/>
  <c r="BL27" i="53"/>
  <c r="BK27" i="53"/>
  <c r="BI27" i="53"/>
  <c r="BH27" i="53"/>
  <c r="BG27" i="53"/>
  <c r="BF27" i="53"/>
  <c r="BE27" i="53"/>
  <c r="BD27" i="53"/>
  <c r="BB27" i="53"/>
  <c r="BA27" i="53"/>
  <c r="AZ27" i="53"/>
  <c r="AX27" i="53"/>
  <c r="A27" i="53"/>
  <c r="B27" i="53" s="1"/>
  <c r="CG26" i="53"/>
  <c r="CF26" i="53"/>
  <c r="CE26" i="53"/>
  <c r="CD26" i="53"/>
  <c r="CC26" i="53"/>
  <c r="CA26" i="53"/>
  <c r="BZ26" i="53"/>
  <c r="BY26" i="53"/>
  <c r="BX26" i="53"/>
  <c r="BW26" i="53"/>
  <c r="BV26" i="53"/>
  <c r="BT26" i="53"/>
  <c r="BS26" i="53"/>
  <c r="BR26" i="53"/>
  <c r="BP26" i="53"/>
  <c r="BN26" i="53"/>
  <c r="BM26" i="53"/>
  <c r="BL26" i="53"/>
  <c r="BK26" i="53"/>
  <c r="BI26" i="53"/>
  <c r="BH26" i="53"/>
  <c r="BG26" i="53"/>
  <c r="BF26" i="53"/>
  <c r="BE26" i="53"/>
  <c r="BD26" i="53"/>
  <c r="BB26" i="53"/>
  <c r="BA26" i="53"/>
  <c r="AZ26" i="53"/>
  <c r="AX26" i="53"/>
  <c r="A26" i="53"/>
  <c r="B26" i="53" s="1"/>
  <c r="CG25" i="53"/>
  <c r="CF25" i="53"/>
  <c r="CE25" i="53"/>
  <c r="CD25" i="53"/>
  <c r="CC25" i="53"/>
  <c r="CA25" i="53"/>
  <c r="BZ25" i="53"/>
  <c r="BY25" i="53"/>
  <c r="BX25" i="53"/>
  <c r="BW25" i="53"/>
  <c r="BV25" i="53"/>
  <c r="BT25" i="53"/>
  <c r="BS25" i="53"/>
  <c r="BR25" i="53"/>
  <c r="BP25" i="53"/>
  <c r="BN25" i="53"/>
  <c r="BM25" i="53"/>
  <c r="BL25" i="53"/>
  <c r="BK25" i="53"/>
  <c r="BI25" i="53"/>
  <c r="BH25" i="53"/>
  <c r="BG25" i="53"/>
  <c r="BF25" i="53"/>
  <c r="BE25" i="53"/>
  <c r="BD25" i="53"/>
  <c r="BB25" i="53"/>
  <c r="BA25" i="53"/>
  <c r="AZ25" i="53"/>
  <c r="AX25" i="53"/>
  <c r="A25" i="53"/>
  <c r="B25" i="53" s="1"/>
  <c r="CG24" i="53"/>
  <c r="CF24" i="53"/>
  <c r="CE24" i="53"/>
  <c r="CD24" i="53"/>
  <c r="CC24" i="53"/>
  <c r="CA24" i="53"/>
  <c r="BZ24" i="53"/>
  <c r="BY24" i="53"/>
  <c r="BX24" i="53"/>
  <c r="BW24" i="53"/>
  <c r="BV24" i="53"/>
  <c r="BT24" i="53"/>
  <c r="BS24" i="53"/>
  <c r="BR24" i="53"/>
  <c r="BP24" i="53"/>
  <c r="BN24" i="53"/>
  <c r="BM24" i="53"/>
  <c r="BL24" i="53"/>
  <c r="BK24" i="53"/>
  <c r="BI24" i="53"/>
  <c r="BH24" i="53"/>
  <c r="BG24" i="53"/>
  <c r="BF24" i="53"/>
  <c r="BE24" i="53"/>
  <c r="BD24" i="53"/>
  <c r="BB24" i="53"/>
  <c r="BA24" i="53"/>
  <c r="AZ24" i="53"/>
  <c r="AX24" i="53"/>
  <c r="A24" i="53"/>
  <c r="B24" i="53" s="1"/>
  <c r="CG23" i="53"/>
  <c r="CF23" i="53"/>
  <c r="CE23" i="53"/>
  <c r="CD23" i="53"/>
  <c r="CC23" i="53"/>
  <c r="CA23" i="53"/>
  <c r="BZ23" i="53"/>
  <c r="BY23" i="53"/>
  <c r="BX23" i="53"/>
  <c r="BW23" i="53"/>
  <c r="BV23" i="53"/>
  <c r="BT23" i="53"/>
  <c r="BS23" i="53"/>
  <c r="BR23" i="53"/>
  <c r="BP23" i="53"/>
  <c r="BN23" i="53"/>
  <c r="BM23" i="53"/>
  <c r="BL23" i="53"/>
  <c r="BK23" i="53"/>
  <c r="BI23" i="53"/>
  <c r="BH23" i="53"/>
  <c r="BG23" i="53"/>
  <c r="BF23" i="53"/>
  <c r="BE23" i="53"/>
  <c r="BD23" i="53"/>
  <c r="BB23" i="53"/>
  <c r="BA23" i="53"/>
  <c r="AZ23" i="53"/>
  <c r="AX23" i="53"/>
  <c r="A23" i="53"/>
  <c r="B23" i="53" s="1"/>
  <c r="CG22" i="53"/>
  <c r="CF22" i="53"/>
  <c r="CE22" i="53"/>
  <c r="CD22" i="53"/>
  <c r="CC22" i="53"/>
  <c r="CA22" i="53"/>
  <c r="BZ22" i="53"/>
  <c r="BY22" i="53"/>
  <c r="BX22" i="53"/>
  <c r="BW22" i="53"/>
  <c r="BV22" i="53"/>
  <c r="BT22" i="53"/>
  <c r="BS22" i="53"/>
  <c r="BR22" i="53"/>
  <c r="BP22" i="53"/>
  <c r="BN22" i="53"/>
  <c r="BM22" i="53"/>
  <c r="BL22" i="53"/>
  <c r="BK22" i="53"/>
  <c r="BI22" i="53"/>
  <c r="BH22" i="53"/>
  <c r="BG22" i="53"/>
  <c r="BF22" i="53"/>
  <c r="BE22" i="53"/>
  <c r="BD22" i="53"/>
  <c r="BB22" i="53"/>
  <c r="BA22" i="53"/>
  <c r="AZ22" i="53"/>
  <c r="AX22" i="53"/>
  <c r="A22" i="53"/>
  <c r="B22" i="53" s="1"/>
  <c r="CG21" i="53"/>
  <c r="CF21" i="53"/>
  <c r="CE21" i="53"/>
  <c r="CD21" i="53"/>
  <c r="CC21" i="53"/>
  <c r="CA21" i="53"/>
  <c r="BZ21" i="53"/>
  <c r="BY21" i="53"/>
  <c r="BX21" i="53"/>
  <c r="BW21" i="53"/>
  <c r="BV21" i="53"/>
  <c r="BT21" i="53"/>
  <c r="BS21" i="53"/>
  <c r="BR21" i="53"/>
  <c r="BP21" i="53"/>
  <c r="BN21" i="53"/>
  <c r="BM21" i="53"/>
  <c r="BL21" i="53"/>
  <c r="BK21" i="53"/>
  <c r="BI21" i="53"/>
  <c r="BH21" i="53"/>
  <c r="BG21" i="53"/>
  <c r="BF21" i="53"/>
  <c r="BE21" i="53"/>
  <c r="BD21" i="53"/>
  <c r="BB21" i="53"/>
  <c r="BA21" i="53"/>
  <c r="AZ21" i="53"/>
  <c r="AX21" i="53"/>
  <c r="A21" i="53"/>
  <c r="B21" i="53" s="1"/>
  <c r="CG20" i="53"/>
  <c r="CF20" i="53"/>
  <c r="CE20" i="53"/>
  <c r="CD20" i="53"/>
  <c r="CC20" i="53"/>
  <c r="CA20" i="53"/>
  <c r="BZ20" i="53"/>
  <c r="BY20" i="53"/>
  <c r="BX20" i="53"/>
  <c r="BW20" i="53"/>
  <c r="BV20" i="53"/>
  <c r="BT20" i="53"/>
  <c r="BS20" i="53"/>
  <c r="BR20" i="53"/>
  <c r="BP20" i="53"/>
  <c r="BN20" i="53"/>
  <c r="BM20" i="53"/>
  <c r="BL20" i="53"/>
  <c r="BK20" i="53"/>
  <c r="BI20" i="53"/>
  <c r="BH20" i="53"/>
  <c r="BG20" i="53"/>
  <c r="BF20" i="53"/>
  <c r="BE20" i="53"/>
  <c r="BD20" i="53"/>
  <c r="BB20" i="53"/>
  <c r="BA20" i="53"/>
  <c r="AZ20" i="53"/>
  <c r="AX20" i="53"/>
  <c r="A20" i="53"/>
  <c r="B20" i="53" s="1"/>
  <c r="CG19" i="53"/>
  <c r="CF19" i="53"/>
  <c r="CE19" i="53"/>
  <c r="CD19" i="53"/>
  <c r="CC19" i="53"/>
  <c r="CA19" i="53"/>
  <c r="BZ19" i="53"/>
  <c r="BY19" i="53"/>
  <c r="BX19" i="53"/>
  <c r="BW19" i="53"/>
  <c r="BV19" i="53"/>
  <c r="BT19" i="53"/>
  <c r="BS19" i="53"/>
  <c r="BR19" i="53"/>
  <c r="BP19" i="53"/>
  <c r="BN19" i="53"/>
  <c r="BM19" i="53"/>
  <c r="BL19" i="53"/>
  <c r="BK19" i="53"/>
  <c r="BI19" i="53"/>
  <c r="BH19" i="53"/>
  <c r="BG19" i="53"/>
  <c r="BF19" i="53"/>
  <c r="BE19" i="53"/>
  <c r="BD19" i="53"/>
  <c r="BB19" i="53"/>
  <c r="BA19" i="53"/>
  <c r="AZ19" i="53"/>
  <c r="AX19" i="53"/>
  <c r="A19" i="53"/>
  <c r="B19" i="53" s="1"/>
  <c r="CG18" i="53"/>
  <c r="CF18" i="53"/>
  <c r="CE18" i="53"/>
  <c r="CD18" i="53"/>
  <c r="CC18" i="53"/>
  <c r="CA18" i="53"/>
  <c r="BZ18" i="53"/>
  <c r="BY18" i="53"/>
  <c r="BX18" i="53"/>
  <c r="BW18" i="53"/>
  <c r="BV18" i="53"/>
  <c r="BT18" i="53"/>
  <c r="BS18" i="53"/>
  <c r="BR18" i="53"/>
  <c r="BP18" i="53"/>
  <c r="BN18" i="53"/>
  <c r="BM18" i="53"/>
  <c r="BL18" i="53"/>
  <c r="BK18" i="53"/>
  <c r="BI18" i="53"/>
  <c r="BH18" i="53"/>
  <c r="BG18" i="53"/>
  <c r="BF18" i="53"/>
  <c r="BE18" i="53"/>
  <c r="BD18" i="53"/>
  <c r="BB18" i="53"/>
  <c r="BA18" i="53"/>
  <c r="AZ18" i="53"/>
  <c r="AX18" i="53"/>
  <c r="A18" i="53"/>
  <c r="B18" i="53" s="1"/>
  <c r="CG17" i="53"/>
  <c r="CF17" i="53"/>
  <c r="CE17" i="53"/>
  <c r="CD17" i="53"/>
  <c r="CC17" i="53"/>
  <c r="CA17" i="53"/>
  <c r="BZ17" i="53"/>
  <c r="BY17" i="53"/>
  <c r="BX17" i="53"/>
  <c r="BW17" i="53"/>
  <c r="BV17" i="53"/>
  <c r="BT17" i="53"/>
  <c r="BS17" i="53"/>
  <c r="BR17" i="53"/>
  <c r="BP17" i="53"/>
  <c r="BN17" i="53"/>
  <c r="BM17" i="53"/>
  <c r="BL17" i="53"/>
  <c r="BK17" i="53"/>
  <c r="BI17" i="53"/>
  <c r="BH17" i="53"/>
  <c r="BG17" i="53"/>
  <c r="BF17" i="53"/>
  <c r="BE17" i="53"/>
  <c r="BD17" i="53"/>
  <c r="BB17" i="53"/>
  <c r="BA17" i="53"/>
  <c r="AZ17" i="53"/>
  <c r="AX17" i="53"/>
  <c r="A17" i="53"/>
  <c r="B17" i="53" s="1"/>
  <c r="CG16" i="53"/>
  <c r="CF16" i="53"/>
  <c r="CE16" i="53"/>
  <c r="CD16" i="53"/>
  <c r="CC16" i="53"/>
  <c r="CA16" i="53"/>
  <c r="BZ16" i="53"/>
  <c r="BY16" i="53"/>
  <c r="BX16" i="53"/>
  <c r="BW16" i="53"/>
  <c r="BV16" i="53"/>
  <c r="BT16" i="53"/>
  <c r="BS16" i="53"/>
  <c r="BR16" i="53"/>
  <c r="BP16" i="53"/>
  <c r="BN16" i="53"/>
  <c r="BM16" i="53"/>
  <c r="BL16" i="53"/>
  <c r="BK16" i="53"/>
  <c r="BI16" i="53"/>
  <c r="BH16" i="53"/>
  <c r="BG16" i="53"/>
  <c r="BF16" i="53"/>
  <c r="BE16" i="53"/>
  <c r="BD16" i="53"/>
  <c r="BB16" i="53"/>
  <c r="BA16" i="53"/>
  <c r="AZ16" i="53"/>
  <c r="AX16" i="53"/>
  <c r="CG15" i="53"/>
  <c r="CF15" i="53"/>
  <c r="CE15" i="53"/>
  <c r="CD15" i="53"/>
  <c r="CC15" i="53"/>
  <c r="CA15" i="53"/>
  <c r="BZ15" i="53"/>
  <c r="BY15" i="53"/>
  <c r="BX15" i="53"/>
  <c r="BW15" i="53"/>
  <c r="BV15" i="53"/>
  <c r="BT15" i="53"/>
  <c r="BS15" i="53"/>
  <c r="BR15" i="53"/>
  <c r="BP15" i="53"/>
  <c r="BN15" i="53"/>
  <c r="BM15" i="53"/>
  <c r="BL15" i="53"/>
  <c r="BK15" i="53"/>
  <c r="BI15" i="53"/>
  <c r="BH15" i="53"/>
  <c r="BG15" i="53"/>
  <c r="BF15" i="53"/>
  <c r="BE15" i="53"/>
  <c r="BD15" i="53"/>
  <c r="BB15" i="53"/>
  <c r="BA15" i="53"/>
  <c r="AZ15" i="53"/>
  <c r="AX15" i="53"/>
  <c r="A15" i="53"/>
  <c r="B15" i="53" s="1"/>
  <c r="CG14" i="53"/>
  <c r="CF14" i="53"/>
  <c r="CE14" i="53"/>
  <c r="CD14" i="53"/>
  <c r="CC14" i="53"/>
  <c r="CA14" i="53"/>
  <c r="BZ14" i="53"/>
  <c r="BY14" i="53"/>
  <c r="BX14" i="53"/>
  <c r="BW14" i="53"/>
  <c r="BV14" i="53"/>
  <c r="BT14" i="53"/>
  <c r="BS14" i="53"/>
  <c r="BR14" i="53"/>
  <c r="BP14" i="53"/>
  <c r="BN14" i="53"/>
  <c r="BM14" i="53"/>
  <c r="BL14" i="53"/>
  <c r="BK14" i="53"/>
  <c r="BI14" i="53"/>
  <c r="BH14" i="53"/>
  <c r="BG14" i="53"/>
  <c r="BF14" i="53"/>
  <c r="BE14" i="53"/>
  <c r="BD14" i="53"/>
  <c r="BB14" i="53"/>
  <c r="BA14" i="53"/>
  <c r="AZ14" i="53"/>
  <c r="AX14" i="53"/>
  <c r="A14" i="53"/>
  <c r="B14" i="53" s="1"/>
  <c r="BY13" i="53"/>
  <c r="BI13" i="53"/>
  <c r="BG13" i="53"/>
  <c r="AX13" i="53"/>
  <c r="A13" i="53"/>
  <c r="B13" i="53" s="1"/>
  <c r="CG12" i="53"/>
  <c r="CF12" i="53"/>
  <c r="CE12" i="53"/>
  <c r="CD12" i="53"/>
  <c r="CC12" i="53"/>
  <c r="CA12" i="53"/>
  <c r="BZ12" i="53"/>
  <c r="BY12" i="53"/>
  <c r="BX12" i="53"/>
  <c r="BW12" i="53"/>
  <c r="BV12" i="53"/>
  <c r="BT12" i="53"/>
  <c r="BS12" i="53"/>
  <c r="BR12" i="53"/>
  <c r="BP12" i="53"/>
  <c r="BN12" i="53"/>
  <c r="BM12" i="53"/>
  <c r="BL12" i="53"/>
  <c r="BK12" i="53"/>
  <c r="BI12" i="53"/>
  <c r="BH12" i="53"/>
  <c r="BG12" i="53"/>
  <c r="BF12" i="53"/>
  <c r="BE12" i="53"/>
  <c r="BD12" i="53"/>
  <c r="BB12" i="53"/>
  <c r="BA12" i="53"/>
  <c r="AZ12" i="53"/>
  <c r="AX12" i="53"/>
  <c r="A12" i="53"/>
  <c r="B12" i="53" s="1"/>
  <c r="CG11" i="53"/>
  <c r="CF11" i="53"/>
  <c r="CE11" i="53"/>
  <c r="CD11" i="53"/>
  <c r="CC11" i="53"/>
  <c r="CA11" i="53"/>
  <c r="BZ11" i="53"/>
  <c r="BY11" i="53"/>
  <c r="BX11" i="53"/>
  <c r="BW11" i="53"/>
  <c r="BV11" i="53"/>
  <c r="BT11" i="53"/>
  <c r="BS11" i="53"/>
  <c r="BR11" i="53"/>
  <c r="BP11" i="53"/>
  <c r="BN11" i="53"/>
  <c r="BM11" i="53"/>
  <c r="BL11" i="53"/>
  <c r="BK11" i="53"/>
  <c r="BI11" i="53"/>
  <c r="BH11" i="53"/>
  <c r="BG11" i="53"/>
  <c r="BF11" i="53"/>
  <c r="BE11" i="53"/>
  <c r="BD11" i="53"/>
  <c r="BB11" i="53"/>
  <c r="BA11" i="53"/>
  <c r="AZ11" i="53"/>
  <c r="AX11" i="53"/>
  <c r="A11" i="53"/>
  <c r="B11" i="53" s="1"/>
  <c r="CG10" i="53"/>
  <c r="CF10" i="53"/>
  <c r="CE10" i="53"/>
  <c r="CD10" i="53"/>
  <c r="CC10" i="53"/>
  <c r="CA10" i="53"/>
  <c r="BZ10" i="53"/>
  <c r="BY10" i="53"/>
  <c r="BX10" i="53"/>
  <c r="BW10" i="53"/>
  <c r="BV10" i="53"/>
  <c r="BT10" i="53"/>
  <c r="BS10" i="53"/>
  <c r="BR10" i="53"/>
  <c r="BP10" i="53"/>
  <c r="BN10" i="53"/>
  <c r="BM10" i="53"/>
  <c r="BL10" i="53"/>
  <c r="BK10" i="53"/>
  <c r="BI10" i="53"/>
  <c r="BH10" i="53"/>
  <c r="BG10" i="53"/>
  <c r="BF10" i="53"/>
  <c r="BE10" i="53"/>
  <c r="BD10" i="53"/>
  <c r="BB10" i="53"/>
  <c r="BA10" i="53"/>
  <c r="AZ10" i="53"/>
  <c r="AX10" i="53"/>
  <c r="A10" i="53"/>
  <c r="B10" i="53" s="1"/>
  <c r="CG9" i="53"/>
  <c r="CF9" i="53"/>
  <c r="CE9" i="53"/>
  <c r="CD9" i="53"/>
  <c r="CC9" i="53"/>
  <c r="CA9" i="53"/>
  <c r="BZ9" i="53"/>
  <c r="BY9" i="53"/>
  <c r="BX9" i="53"/>
  <c r="BW9" i="53"/>
  <c r="BV9" i="53"/>
  <c r="BT9" i="53"/>
  <c r="BS9" i="53"/>
  <c r="BR9" i="53"/>
  <c r="BP9" i="53"/>
  <c r="BN9" i="53"/>
  <c r="BM9" i="53"/>
  <c r="BL9" i="53"/>
  <c r="BK9" i="53"/>
  <c r="BI9" i="53"/>
  <c r="BH9" i="53"/>
  <c r="BG9" i="53"/>
  <c r="BF9" i="53"/>
  <c r="BE9" i="53"/>
  <c r="BD9" i="53"/>
  <c r="BB9" i="53"/>
  <c r="BA9" i="53"/>
  <c r="AZ9" i="53"/>
  <c r="AX9" i="53"/>
  <c r="A9" i="53"/>
  <c r="B9" i="53" s="1"/>
  <c r="CG8" i="53"/>
  <c r="CF8" i="53"/>
  <c r="CE8" i="53"/>
  <c r="CD8" i="53"/>
  <c r="CC8" i="53"/>
  <c r="CA8" i="53"/>
  <c r="BZ8" i="53"/>
  <c r="BY8" i="53"/>
  <c r="BX8" i="53"/>
  <c r="BW8" i="53"/>
  <c r="BV8" i="53"/>
  <c r="BT8" i="53"/>
  <c r="BS8" i="53"/>
  <c r="BR8" i="53"/>
  <c r="BP8" i="53"/>
  <c r="BN8" i="53"/>
  <c r="BM8" i="53"/>
  <c r="BL8" i="53"/>
  <c r="BK8" i="53"/>
  <c r="BI8" i="53"/>
  <c r="BH8" i="53"/>
  <c r="BG8" i="53"/>
  <c r="BF8" i="53"/>
  <c r="BE8" i="53"/>
  <c r="BD8" i="53"/>
  <c r="BB8" i="53"/>
  <c r="BA8" i="53"/>
  <c r="AZ8" i="53"/>
  <c r="AX8" i="53"/>
  <c r="A8" i="53"/>
  <c r="B8" i="53" s="1"/>
  <c r="CG7" i="53"/>
  <c r="CF7" i="53"/>
  <c r="CE7" i="53"/>
  <c r="CD7" i="53"/>
  <c r="CC7" i="53"/>
  <c r="CA7" i="53"/>
  <c r="BZ7" i="53"/>
  <c r="BY7" i="53"/>
  <c r="BX7" i="53"/>
  <c r="BW7" i="53"/>
  <c r="BV7" i="53"/>
  <c r="BT7" i="53"/>
  <c r="BS7" i="53"/>
  <c r="BR7" i="53"/>
  <c r="BP7" i="53"/>
  <c r="BN7" i="53"/>
  <c r="BM7" i="53"/>
  <c r="BL7" i="53"/>
  <c r="BK7" i="53"/>
  <c r="BI7" i="53"/>
  <c r="BH7" i="53"/>
  <c r="BG7" i="53"/>
  <c r="BF7" i="53"/>
  <c r="BE7" i="53"/>
  <c r="BD7" i="53"/>
  <c r="BB7" i="53"/>
  <c r="BA7" i="53"/>
  <c r="AZ7" i="53"/>
  <c r="AX7" i="53"/>
  <c r="A7" i="53"/>
  <c r="B7" i="53" s="1"/>
  <c r="CG6" i="53"/>
  <c r="CF6" i="53"/>
  <c r="CE6" i="53"/>
  <c r="CD6" i="53"/>
  <c r="CC6" i="53"/>
  <c r="CA6" i="53"/>
  <c r="BZ6" i="53"/>
  <c r="BY6" i="53"/>
  <c r="BX6" i="53"/>
  <c r="BW6" i="53"/>
  <c r="BV6" i="53"/>
  <c r="BT6" i="53"/>
  <c r="BS6" i="53"/>
  <c r="BR6" i="53"/>
  <c r="BP6" i="53"/>
  <c r="BN6" i="53"/>
  <c r="BM6" i="53"/>
  <c r="BL6" i="53"/>
  <c r="BK6" i="53"/>
  <c r="BI6" i="53"/>
  <c r="BH6" i="53"/>
  <c r="BG6" i="53"/>
  <c r="BF6" i="53"/>
  <c r="BE6" i="53"/>
  <c r="BD6" i="53"/>
  <c r="BB6" i="53"/>
  <c r="BA6" i="53"/>
  <c r="AZ6" i="53"/>
  <c r="AX6" i="53"/>
  <c r="A6" i="53"/>
  <c r="B6" i="53" s="1"/>
  <c r="CG5" i="53"/>
  <c r="CF5" i="53"/>
  <c r="CE5" i="53"/>
  <c r="CD5" i="53"/>
  <c r="CC5" i="53"/>
  <c r="CA5" i="53"/>
  <c r="BZ5" i="53"/>
  <c r="BY5" i="53"/>
  <c r="BX5" i="53"/>
  <c r="BW5" i="53"/>
  <c r="BV5" i="53"/>
  <c r="BT5" i="53"/>
  <c r="BS5" i="53"/>
  <c r="BR5" i="53"/>
  <c r="BP5" i="53"/>
  <c r="BN5" i="53"/>
  <c r="BM5" i="53"/>
  <c r="BL5" i="53"/>
  <c r="BK5" i="53"/>
  <c r="BI5" i="53"/>
  <c r="BH5" i="53"/>
  <c r="BG5" i="53"/>
  <c r="BF5" i="53"/>
  <c r="BE5" i="53"/>
  <c r="BD5" i="53"/>
  <c r="BB5" i="53"/>
  <c r="BA5" i="53"/>
  <c r="AZ5" i="53"/>
  <c r="AX5" i="53"/>
  <c r="A5" i="53"/>
  <c r="B5" i="53" s="1"/>
  <c r="CG4" i="53"/>
  <c r="CF4" i="53"/>
  <c r="CE4" i="53"/>
  <c r="CD4" i="53"/>
  <c r="CC4" i="53"/>
  <c r="CA4" i="53"/>
  <c r="BZ4" i="53"/>
  <c r="BY4" i="53"/>
  <c r="BX4" i="53"/>
  <c r="BW4" i="53"/>
  <c r="BV4" i="53"/>
  <c r="BT4" i="53"/>
  <c r="BS4" i="53"/>
  <c r="BR4" i="53"/>
  <c r="BP4" i="53"/>
  <c r="BN4" i="53"/>
  <c r="BM4" i="53"/>
  <c r="BL4" i="53"/>
  <c r="BK4" i="53"/>
  <c r="BI4" i="53"/>
  <c r="BH4" i="53"/>
  <c r="BG4" i="53"/>
  <c r="BF4" i="53"/>
  <c r="BE4" i="53"/>
  <c r="BD4" i="53"/>
  <c r="BB4" i="53"/>
  <c r="BA4" i="53"/>
  <c r="AZ4" i="53"/>
  <c r="AX4" i="53"/>
  <c r="A4" i="53"/>
  <c r="B4" i="53" s="1"/>
  <c r="AW36" i="56"/>
  <c r="AS36" i="56"/>
  <c r="AR36" i="56"/>
  <c r="AQ36" i="56"/>
  <c r="AP36" i="56"/>
  <c r="AO36" i="56"/>
  <c r="AN36" i="56"/>
  <c r="AM36" i="56"/>
  <c r="AL36" i="56"/>
  <c r="K36" i="56"/>
  <c r="D36" i="56"/>
  <c r="AW35" i="56"/>
  <c r="AS35" i="56"/>
  <c r="AR35" i="56"/>
  <c r="AQ35" i="56"/>
  <c r="AP35" i="56"/>
  <c r="AO35" i="56"/>
  <c r="AN35" i="56"/>
  <c r="AM35" i="56"/>
  <c r="AL35" i="56"/>
  <c r="K35" i="56"/>
  <c r="D35" i="56"/>
  <c r="CG34" i="56"/>
  <c r="CF34" i="56"/>
  <c r="CE34" i="56"/>
  <c r="CD34" i="56"/>
  <c r="CC34" i="56"/>
  <c r="CA34" i="56"/>
  <c r="BZ34" i="56"/>
  <c r="BY34" i="56"/>
  <c r="BX34" i="56"/>
  <c r="BW34" i="56"/>
  <c r="BV34" i="56"/>
  <c r="BT34" i="56"/>
  <c r="BS34" i="56"/>
  <c r="BR34" i="56"/>
  <c r="BP34" i="56"/>
  <c r="BN34" i="56"/>
  <c r="BM34" i="56"/>
  <c r="BL34" i="56"/>
  <c r="BK34" i="56"/>
  <c r="BI34" i="56"/>
  <c r="BH34" i="56"/>
  <c r="BG34" i="56"/>
  <c r="BF34" i="56"/>
  <c r="BE34" i="56"/>
  <c r="BD34" i="56"/>
  <c r="BB34" i="56"/>
  <c r="BA34" i="56"/>
  <c r="AZ34" i="56"/>
  <c r="AX34" i="56"/>
  <c r="A34" i="56"/>
  <c r="B34" i="56" s="1"/>
  <c r="CG33" i="56"/>
  <c r="CF33" i="56"/>
  <c r="CE33" i="56"/>
  <c r="CD33" i="56"/>
  <c r="CC33" i="56"/>
  <c r="CA33" i="56"/>
  <c r="BZ33" i="56"/>
  <c r="BY33" i="56"/>
  <c r="BX33" i="56"/>
  <c r="BW33" i="56"/>
  <c r="BV33" i="56"/>
  <c r="BT33" i="56"/>
  <c r="BS33" i="56"/>
  <c r="BR33" i="56"/>
  <c r="BP33" i="56"/>
  <c r="BN33" i="56"/>
  <c r="BM33" i="56"/>
  <c r="BL33" i="56"/>
  <c r="BK33" i="56"/>
  <c r="BI33" i="56"/>
  <c r="BH33" i="56"/>
  <c r="BG33" i="56"/>
  <c r="BF33" i="56"/>
  <c r="BE33" i="56"/>
  <c r="BD33" i="56"/>
  <c r="BB33" i="56"/>
  <c r="BA33" i="56"/>
  <c r="AZ33" i="56"/>
  <c r="AX33" i="56"/>
  <c r="A33" i="56"/>
  <c r="B33" i="56" s="1"/>
  <c r="CG32" i="56"/>
  <c r="CF32" i="56"/>
  <c r="CE32" i="56"/>
  <c r="CD32" i="56"/>
  <c r="CC32" i="56"/>
  <c r="CA32" i="56"/>
  <c r="BZ32" i="56"/>
  <c r="BY32" i="56"/>
  <c r="BX32" i="56"/>
  <c r="BW32" i="56"/>
  <c r="BV32" i="56"/>
  <c r="BT32" i="56"/>
  <c r="BS32" i="56"/>
  <c r="BR32" i="56"/>
  <c r="BP32" i="56"/>
  <c r="BN32" i="56"/>
  <c r="BM32" i="56"/>
  <c r="BL32" i="56"/>
  <c r="BK32" i="56"/>
  <c r="BI32" i="56"/>
  <c r="BH32" i="56"/>
  <c r="BG32" i="56"/>
  <c r="BF32" i="56"/>
  <c r="BE32" i="56"/>
  <c r="BD32" i="56"/>
  <c r="BB32" i="56"/>
  <c r="BA32" i="56"/>
  <c r="AZ32" i="56"/>
  <c r="AX32" i="56"/>
  <c r="A32" i="56"/>
  <c r="B32" i="56" s="1"/>
  <c r="CG31" i="56"/>
  <c r="CF31" i="56"/>
  <c r="CE31" i="56"/>
  <c r="CD31" i="56"/>
  <c r="CC31" i="56"/>
  <c r="CA31" i="56"/>
  <c r="BZ31" i="56"/>
  <c r="BY31" i="56"/>
  <c r="BX31" i="56"/>
  <c r="BW31" i="56"/>
  <c r="BV31" i="56"/>
  <c r="BT31" i="56"/>
  <c r="BS31" i="56"/>
  <c r="BR31" i="56"/>
  <c r="BP31" i="56"/>
  <c r="BN31" i="56"/>
  <c r="BM31" i="56"/>
  <c r="BL31" i="56"/>
  <c r="BK31" i="56"/>
  <c r="BI31" i="56"/>
  <c r="BH31" i="56"/>
  <c r="BG31" i="56"/>
  <c r="BF31" i="56"/>
  <c r="BE31" i="56"/>
  <c r="BD31" i="56"/>
  <c r="BB31" i="56"/>
  <c r="BA31" i="56"/>
  <c r="AZ31" i="56"/>
  <c r="AX31" i="56"/>
  <c r="A31" i="56"/>
  <c r="B31" i="56" s="1"/>
  <c r="CG30" i="56"/>
  <c r="CF30" i="56"/>
  <c r="CE30" i="56"/>
  <c r="CD30" i="56"/>
  <c r="CC30" i="56"/>
  <c r="CA30" i="56"/>
  <c r="BZ30" i="56"/>
  <c r="BY30" i="56"/>
  <c r="BX30" i="56"/>
  <c r="BW30" i="56"/>
  <c r="BV30" i="56"/>
  <c r="BT30" i="56"/>
  <c r="BS30" i="56"/>
  <c r="BR30" i="56"/>
  <c r="BP30" i="56"/>
  <c r="BN30" i="56"/>
  <c r="BM30" i="56"/>
  <c r="BL30" i="56"/>
  <c r="BK30" i="56"/>
  <c r="BI30" i="56"/>
  <c r="BH30" i="56"/>
  <c r="BG30" i="56"/>
  <c r="BF30" i="56"/>
  <c r="BE30" i="56"/>
  <c r="BD30" i="56"/>
  <c r="BB30" i="56"/>
  <c r="BA30" i="56"/>
  <c r="AZ30" i="56"/>
  <c r="AX30" i="56"/>
  <c r="A30" i="56"/>
  <c r="B30" i="56" s="1"/>
  <c r="CG29" i="56"/>
  <c r="CF29" i="56"/>
  <c r="CE29" i="56"/>
  <c r="CD29" i="56"/>
  <c r="CC29" i="56"/>
  <c r="CA29" i="56"/>
  <c r="BZ29" i="56"/>
  <c r="BY29" i="56"/>
  <c r="BX29" i="56"/>
  <c r="BW29" i="56"/>
  <c r="BV29" i="56"/>
  <c r="BT29" i="56"/>
  <c r="BS29" i="56"/>
  <c r="BR29" i="56"/>
  <c r="BP29" i="56"/>
  <c r="BN29" i="56"/>
  <c r="BM29" i="56"/>
  <c r="BL29" i="56"/>
  <c r="BK29" i="56"/>
  <c r="BI29" i="56"/>
  <c r="BH29" i="56"/>
  <c r="BG29" i="56"/>
  <c r="BF29" i="56"/>
  <c r="BE29" i="56"/>
  <c r="BD29" i="56"/>
  <c r="BB29" i="56"/>
  <c r="BA29" i="56"/>
  <c r="AZ29" i="56"/>
  <c r="AX29" i="56"/>
  <c r="A29" i="56"/>
  <c r="B29" i="56" s="1"/>
  <c r="CG28" i="56"/>
  <c r="CF28" i="56"/>
  <c r="CE28" i="56"/>
  <c r="CD28" i="56"/>
  <c r="CC28" i="56"/>
  <c r="CA28" i="56"/>
  <c r="BZ28" i="56"/>
  <c r="BY28" i="56"/>
  <c r="BX28" i="56"/>
  <c r="BW28" i="56"/>
  <c r="BV28" i="56"/>
  <c r="BT28" i="56"/>
  <c r="BS28" i="56"/>
  <c r="BR28" i="56"/>
  <c r="BP28" i="56"/>
  <c r="BN28" i="56"/>
  <c r="BM28" i="56"/>
  <c r="BL28" i="56"/>
  <c r="BK28" i="56"/>
  <c r="BI28" i="56"/>
  <c r="BH28" i="56"/>
  <c r="BG28" i="56"/>
  <c r="BF28" i="56"/>
  <c r="BE28" i="56"/>
  <c r="BD28" i="56"/>
  <c r="BB28" i="56"/>
  <c r="BA28" i="56"/>
  <c r="AZ28" i="56"/>
  <c r="AX28" i="56"/>
  <c r="A28" i="56"/>
  <c r="B28" i="56" s="1"/>
  <c r="CG27" i="56"/>
  <c r="CF27" i="56"/>
  <c r="CE27" i="56"/>
  <c r="CD27" i="56"/>
  <c r="CC27" i="56"/>
  <c r="CA27" i="56"/>
  <c r="BZ27" i="56"/>
  <c r="BY27" i="56"/>
  <c r="BX27" i="56"/>
  <c r="BW27" i="56"/>
  <c r="BV27" i="56"/>
  <c r="BT27" i="56"/>
  <c r="BS27" i="56"/>
  <c r="BR27" i="56"/>
  <c r="BP27" i="56"/>
  <c r="BN27" i="56"/>
  <c r="BM27" i="56"/>
  <c r="BL27" i="56"/>
  <c r="BK27" i="56"/>
  <c r="BI27" i="56"/>
  <c r="BH27" i="56"/>
  <c r="BG27" i="56"/>
  <c r="BF27" i="56"/>
  <c r="BE27" i="56"/>
  <c r="BD27" i="56"/>
  <c r="BB27" i="56"/>
  <c r="BA27" i="56"/>
  <c r="AZ27" i="56"/>
  <c r="AX27" i="56"/>
  <c r="A27" i="56"/>
  <c r="B27" i="56" s="1"/>
  <c r="CG26" i="56"/>
  <c r="CF26" i="56"/>
  <c r="CE26" i="56"/>
  <c r="CD26" i="56"/>
  <c r="CC26" i="56"/>
  <c r="CA26" i="56"/>
  <c r="BZ26" i="56"/>
  <c r="BY26" i="56"/>
  <c r="BX26" i="56"/>
  <c r="BW26" i="56"/>
  <c r="BV26" i="56"/>
  <c r="BT26" i="56"/>
  <c r="BS26" i="56"/>
  <c r="BR26" i="56"/>
  <c r="BP26" i="56"/>
  <c r="BN26" i="56"/>
  <c r="BM26" i="56"/>
  <c r="BL26" i="56"/>
  <c r="BK26" i="56"/>
  <c r="BI26" i="56"/>
  <c r="BH26" i="56"/>
  <c r="BG26" i="56"/>
  <c r="BF26" i="56"/>
  <c r="BE26" i="56"/>
  <c r="BD26" i="56"/>
  <c r="BB26" i="56"/>
  <c r="BA26" i="56"/>
  <c r="AZ26" i="56"/>
  <c r="AX26" i="56"/>
  <c r="A26" i="56"/>
  <c r="B26" i="56" s="1"/>
  <c r="CG25" i="56"/>
  <c r="CF25" i="56"/>
  <c r="CE25" i="56"/>
  <c r="CD25" i="56"/>
  <c r="CC25" i="56"/>
  <c r="CA25" i="56"/>
  <c r="BZ25" i="56"/>
  <c r="BY25" i="56"/>
  <c r="BX25" i="56"/>
  <c r="BW25" i="56"/>
  <c r="BV25" i="56"/>
  <c r="BT25" i="56"/>
  <c r="BS25" i="56"/>
  <c r="BR25" i="56"/>
  <c r="BP25" i="56"/>
  <c r="BN25" i="56"/>
  <c r="BM25" i="56"/>
  <c r="BL25" i="56"/>
  <c r="BK25" i="56"/>
  <c r="BI25" i="56"/>
  <c r="BH25" i="56"/>
  <c r="BG25" i="56"/>
  <c r="BF25" i="56"/>
  <c r="BE25" i="56"/>
  <c r="BD25" i="56"/>
  <c r="BB25" i="56"/>
  <c r="BA25" i="56"/>
  <c r="AZ25" i="56"/>
  <c r="AX25" i="56"/>
  <c r="A25" i="56"/>
  <c r="B25" i="56" s="1"/>
  <c r="CG24" i="56"/>
  <c r="CF24" i="56"/>
  <c r="CE24" i="56"/>
  <c r="CD24" i="56"/>
  <c r="CC24" i="56"/>
  <c r="CA24" i="56"/>
  <c r="BZ24" i="56"/>
  <c r="BY24" i="56"/>
  <c r="BX24" i="56"/>
  <c r="BW24" i="56"/>
  <c r="BV24" i="56"/>
  <c r="BT24" i="56"/>
  <c r="BS24" i="56"/>
  <c r="BR24" i="56"/>
  <c r="BP24" i="56"/>
  <c r="BN24" i="56"/>
  <c r="BM24" i="56"/>
  <c r="BL24" i="56"/>
  <c r="BK24" i="56"/>
  <c r="BI24" i="56"/>
  <c r="BH24" i="56"/>
  <c r="BG24" i="56"/>
  <c r="BF24" i="56"/>
  <c r="BE24" i="56"/>
  <c r="BD24" i="56"/>
  <c r="BB24" i="56"/>
  <c r="BA24" i="56"/>
  <c r="AZ24" i="56"/>
  <c r="AX24" i="56"/>
  <c r="A24" i="56"/>
  <c r="B24" i="56" s="1"/>
  <c r="CG23" i="56"/>
  <c r="CF23" i="56"/>
  <c r="CE23" i="56"/>
  <c r="CD23" i="56"/>
  <c r="CC23" i="56"/>
  <c r="CA23" i="56"/>
  <c r="BZ23" i="56"/>
  <c r="BY23" i="56"/>
  <c r="BX23" i="56"/>
  <c r="BW23" i="56"/>
  <c r="BV23" i="56"/>
  <c r="BT23" i="56"/>
  <c r="BS23" i="56"/>
  <c r="BR23" i="56"/>
  <c r="BP23" i="56"/>
  <c r="BN23" i="56"/>
  <c r="BM23" i="56"/>
  <c r="BL23" i="56"/>
  <c r="BK23" i="56"/>
  <c r="BI23" i="56"/>
  <c r="BH23" i="56"/>
  <c r="BG23" i="56"/>
  <c r="BF23" i="56"/>
  <c r="BE23" i="56"/>
  <c r="BD23" i="56"/>
  <c r="BB23" i="56"/>
  <c r="BA23" i="56"/>
  <c r="AZ23" i="56"/>
  <c r="AX23" i="56"/>
  <c r="A23" i="56"/>
  <c r="B23" i="56" s="1"/>
  <c r="CG22" i="56"/>
  <c r="CF22" i="56"/>
  <c r="CE22" i="56"/>
  <c r="CD22" i="56"/>
  <c r="CC22" i="56"/>
  <c r="CA22" i="56"/>
  <c r="BZ22" i="56"/>
  <c r="BY22" i="56"/>
  <c r="BX22" i="56"/>
  <c r="BW22" i="56"/>
  <c r="BV22" i="56"/>
  <c r="BT22" i="56"/>
  <c r="BS22" i="56"/>
  <c r="BR22" i="56"/>
  <c r="BP22" i="56"/>
  <c r="BN22" i="56"/>
  <c r="BM22" i="56"/>
  <c r="BL22" i="56"/>
  <c r="BK22" i="56"/>
  <c r="BI22" i="56"/>
  <c r="BH22" i="56"/>
  <c r="BG22" i="56"/>
  <c r="BF22" i="56"/>
  <c r="BE22" i="56"/>
  <c r="BD22" i="56"/>
  <c r="BB22" i="56"/>
  <c r="BA22" i="56"/>
  <c r="AZ22" i="56"/>
  <c r="AX22" i="56"/>
  <c r="A22" i="56"/>
  <c r="B22" i="56" s="1"/>
  <c r="BY21" i="56"/>
  <c r="BI21" i="56"/>
  <c r="BG21" i="56"/>
  <c r="AX21" i="56"/>
  <c r="A21" i="56"/>
  <c r="B21" i="56" s="1"/>
  <c r="CG20" i="56"/>
  <c r="CF20" i="56"/>
  <c r="CE20" i="56"/>
  <c r="CD20" i="56"/>
  <c r="CC20" i="56"/>
  <c r="CA20" i="56"/>
  <c r="BZ20" i="56"/>
  <c r="BY20" i="56"/>
  <c r="BX20" i="56"/>
  <c r="BW20" i="56"/>
  <c r="BV20" i="56"/>
  <c r="BT20" i="56"/>
  <c r="BS20" i="56"/>
  <c r="BR20" i="56"/>
  <c r="BP20" i="56"/>
  <c r="BN20" i="56"/>
  <c r="BM20" i="56"/>
  <c r="BL20" i="56"/>
  <c r="BK20" i="56"/>
  <c r="BI20" i="56"/>
  <c r="BH20" i="56"/>
  <c r="BG20" i="56"/>
  <c r="BF20" i="56"/>
  <c r="BE20" i="56"/>
  <c r="BD20" i="56"/>
  <c r="BB20" i="56"/>
  <c r="BA20" i="56"/>
  <c r="AZ20" i="56"/>
  <c r="AX20" i="56"/>
  <c r="A20" i="56"/>
  <c r="B20" i="56" s="1"/>
  <c r="CG19" i="56"/>
  <c r="CF19" i="56"/>
  <c r="CE19" i="56"/>
  <c r="CD19" i="56"/>
  <c r="CC19" i="56"/>
  <c r="CA19" i="56"/>
  <c r="BZ19" i="56"/>
  <c r="BY19" i="56"/>
  <c r="BX19" i="56"/>
  <c r="BW19" i="56"/>
  <c r="BV19" i="56"/>
  <c r="BT19" i="56"/>
  <c r="BS19" i="56"/>
  <c r="BR19" i="56"/>
  <c r="BP19" i="56"/>
  <c r="BN19" i="56"/>
  <c r="BM19" i="56"/>
  <c r="BL19" i="56"/>
  <c r="BK19" i="56"/>
  <c r="BI19" i="56"/>
  <c r="BH19" i="56"/>
  <c r="BG19" i="56"/>
  <c r="BF19" i="56"/>
  <c r="BE19" i="56"/>
  <c r="BD19" i="56"/>
  <c r="BB19" i="56"/>
  <c r="BA19" i="56"/>
  <c r="AZ19" i="56"/>
  <c r="AX19" i="56"/>
  <c r="A19" i="56"/>
  <c r="B19" i="56" s="1"/>
  <c r="CG18" i="56"/>
  <c r="CF18" i="56"/>
  <c r="CE18" i="56"/>
  <c r="CD18" i="56"/>
  <c r="CC18" i="56"/>
  <c r="CA18" i="56"/>
  <c r="BZ18" i="56"/>
  <c r="BY18" i="56"/>
  <c r="BX18" i="56"/>
  <c r="BW18" i="56"/>
  <c r="BV18" i="56"/>
  <c r="BT18" i="56"/>
  <c r="BS18" i="56"/>
  <c r="BR18" i="56"/>
  <c r="BP18" i="56"/>
  <c r="BN18" i="56"/>
  <c r="BM18" i="56"/>
  <c r="BL18" i="56"/>
  <c r="BK18" i="56"/>
  <c r="BI18" i="56"/>
  <c r="BH18" i="56"/>
  <c r="BG18" i="56"/>
  <c r="BF18" i="56"/>
  <c r="BE18" i="56"/>
  <c r="BD18" i="56"/>
  <c r="BB18" i="56"/>
  <c r="BA18" i="56"/>
  <c r="AZ18" i="56"/>
  <c r="AX18" i="56"/>
  <c r="A18" i="56"/>
  <c r="B18" i="56" s="1"/>
  <c r="CG17" i="56"/>
  <c r="CF17" i="56"/>
  <c r="CE17" i="56"/>
  <c r="CD17" i="56"/>
  <c r="CC17" i="56"/>
  <c r="CA17" i="56"/>
  <c r="BZ17" i="56"/>
  <c r="BY17" i="56"/>
  <c r="BX17" i="56"/>
  <c r="BW17" i="56"/>
  <c r="BV17" i="56"/>
  <c r="BT17" i="56"/>
  <c r="BS17" i="56"/>
  <c r="BR17" i="56"/>
  <c r="BP17" i="56"/>
  <c r="BN17" i="56"/>
  <c r="BM17" i="56"/>
  <c r="BL17" i="56"/>
  <c r="BK17" i="56"/>
  <c r="BI17" i="56"/>
  <c r="BH17" i="56"/>
  <c r="BG17" i="56"/>
  <c r="BF17" i="56"/>
  <c r="BE17" i="56"/>
  <c r="BD17" i="56"/>
  <c r="BB17" i="56"/>
  <c r="BA17" i="56"/>
  <c r="AZ17" i="56"/>
  <c r="AX17" i="56"/>
  <c r="A17" i="56"/>
  <c r="B17" i="56" s="1"/>
  <c r="CG16" i="56"/>
  <c r="CF16" i="56"/>
  <c r="CE16" i="56"/>
  <c r="CD16" i="56"/>
  <c r="CC16" i="56"/>
  <c r="CA16" i="56"/>
  <c r="BZ16" i="56"/>
  <c r="BY16" i="56"/>
  <c r="BX16" i="56"/>
  <c r="BW16" i="56"/>
  <c r="BV16" i="56"/>
  <c r="BT16" i="56"/>
  <c r="BS16" i="56"/>
  <c r="BR16" i="56"/>
  <c r="BP16" i="56"/>
  <c r="BN16" i="56"/>
  <c r="BM16" i="56"/>
  <c r="BL16" i="56"/>
  <c r="BK16" i="56"/>
  <c r="BI16" i="56"/>
  <c r="BH16" i="56"/>
  <c r="BG16" i="56"/>
  <c r="BF16" i="56"/>
  <c r="BE16" i="56"/>
  <c r="BD16" i="56"/>
  <c r="BB16" i="56"/>
  <c r="BA16" i="56"/>
  <c r="AZ16" i="56"/>
  <c r="AX16" i="56"/>
  <c r="A16" i="56"/>
  <c r="B16" i="56" s="1"/>
  <c r="CG15" i="56"/>
  <c r="CF15" i="56"/>
  <c r="CE15" i="56"/>
  <c r="CD15" i="56"/>
  <c r="CC15" i="56"/>
  <c r="CA15" i="56"/>
  <c r="BZ15" i="56"/>
  <c r="BY15" i="56"/>
  <c r="BX15" i="56"/>
  <c r="BW15" i="56"/>
  <c r="BV15" i="56"/>
  <c r="BT15" i="56"/>
  <c r="BS15" i="56"/>
  <c r="BR15" i="56"/>
  <c r="BP15" i="56"/>
  <c r="BN15" i="56"/>
  <c r="BM15" i="56"/>
  <c r="BL15" i="56"/>
  <c r="BK15" i="56"/>
  <c r="BI15" i="56"/>
  <c r="BH15" i="56"/>
  <c r="BG15" i="56"/>
  <c r="BF15" i="56"/>
  <c r="BE15" i="56"/>
  <c r="BD15" i="56"/>
  <c r="BB15" i="56"/>
  <c r="BA15" i="56"/>
  <c r="AZ15" i="56"/>
  <c r="AX15" i="56"/>
  <c r="A15" i="56"/>
  <c r="B15" i="56" s="1"/>
  <c r="CG14" i="56"/>
  <c r="CF14" i="56"/>
  <c r="CE14" i="56"/>
  <c r="CD14" i="56"/>
  <c r="CC14" i="56"/>
  <c r="CA14" i="56"/>
  <c r="BZ14" i="56"/>
  <c r="BY14" i="56"/>
  <c r="BX14" i="56"/>
  <c r="BW14" i="56"/>
  <c r="BV14" i="56"/>
  <c r="BT14" i="56"/>
  <c r="BS14" i="56"/>
  <c r="BR14" i="56"/>
  <c r="BP14" i="56"/>
  <c r="BN14" i="56"/>
  <c r="BM14" i="56"/>
  <c r="BL14" i="56"/>
  <c r="BK14" i="56"/>
  <c r="BI14" i="56"/>
  <c r="BH14" i="56"/>
  <c r="BG14" i="56"/>
  <c r="BF14" i="56"/>
  <c r="BE14" i="56"/>
  <c r="BD14" i="56"/>
  <c r="BB14" i="56"/>
  <c r="BA14" i="56"/>
  <c r="AZ14" i="56"/>
  <c r="AX14" i="56"/>
  <c r="A14" i="56"/>
  <c r="B14" i="56" s="1"/>
  <c r="CG13" i="56"/>
  <c r="CF13" i="56"/>
  <c r="CE13" i="56"/>
  <c r="CD13" i="56"/>
  <c r="CC13" i="56"/>
  <c r="CA13" i="56"/>
  <c r="BZ13" i="56"/>
  <c r="BY13" i="56"/>
  <c r="BX13" i="56"/>
  <c r="BW13" i="56"/>
  <c r="BV13" i="56"/>
  <c r="BT13" i="56"/>
  <c r="BS13" i="56"/>
  <c r="BR13" i="56"/>
  <c r="BP13" i="56"/>
  <c r="BN13" i="56"/>
  <c r="BM13" i="56"/>
  <c r="BL13" i="56"/>
  <c r="BK13" i="56"/>
  <c r="BI13" i="56"/>
  <c r="BH13" i="56"/>
  <c r="BG13" i="56"/>
  <c r="BF13" i="56"/>
  <c r="BE13" i="56"/>
  <c r="BD13" i="56"/>
  <c r="BB13" i="56"/>
  <c r="BA13" i="56"/>
  <c r="AZ13" i="56"/>
  <c r="AX13" i="56"/>
  <c r="A13" i="56"/>
  <c r="B13" i="56" s="1"/>
  <c r="CG12" i="56"/>
  <c r="CF12" i="56"/>
  <c r="CE12" i="56"/>
  <c r="CD12" i="56"/>
  <c r="CC12" i="56"/>
  <c r="CA12" i="56"/>
  <c r="BZ12" i="56"/>
  <c r="BY12" i="56"/>
  <c r="BX12" i="56"/>
  <c r="BW12" i="56"/>
  <c r="BV12" i="56"/>
  <c r="BT12" i="56"/>
  <c r="BS12" i="56"/>
  <c r="BR12" i="56"/>
  <c r="BP12" i="56"/>
  <c r="BN12" i="56"/>
  <c r="BM12" i="56"/>
  <c r="BL12" i="56"/>
  <c r="BK12" i="56"/>
  <c r="BI12" i="56"/>
  <c r="BH12" i="56"/>
  <c r="BG12" i="56"/>
  <c r="BF12" i="56"/>
  <c r="BE12" i="56"/>
  <c r="BD12" i="56"/>
  <c r="BB12" i="56"/>
  <c r="BA12" i="56"/>
  <c r="AZ12" i="56"/>
  <c r="AX12" i="56"/>
  <c r="A12" i="56"/>
  <c r="B12" i="56" s="1"/>
  <c r="CG11" i="56"/>
  <c r="CF11" i="56"/>
  <c r="CE11" i="56"/>
  <c r="CD11" i="56"/>
  <c r="CC11" i="56"/>
  <c r="CA11" i="56"/>
  <c r="BZ11" i="56"/>
  <c r="BY11" i="56"/>
  <c r="BX11" i="56"/>
  <c r="BW11" i="56"/>
  <c r="BV11" i="56"/>
  <c r="BT11" i="56"/>
  <c r="BS11" i="56"/>
  <c r="BR11" i="56"/>
  <c r="BP11" i="56"/>
  <c r="BN11" i="56"/>
  <c r="BM11" i="56"/>
  <c r="BL11" i="56"/>
  <c r="BK11" i="56"/>
  <c r="BI11" i="56"/>
  <c r="BH11" i="56"/>
  <c r="BG11" i="56"/>
  <c r="BF11" i="56"/>
  <c r="BE11" i="56"/>
  <c r="BD11" i="56"/>
  <c r="BB11" i="56"/>
  <c r="BA11" i="56"/>
  <c r="AZ11" i="56"/>
  <c r="AX11" i="56"/>
  <c r="A11" i="56"/>
  <c r="B11" i="56" s="1"/>
  <c r="CG10" i="56"/>
  <c r="CF10" i="56"/>
  <c r="CE10" i="56"/>
  <c r="CD10" i="56"/>
  <c r="CC10" i="56"/>
  <c r="CA10" i="56"/>
  <c r="BZ10" i="56"/>
  <c r="BY10" i="56"/>
  <c r="BX10" i="56"/>
  <c r="BW10" i="56"/>
  <c r="BV10" i="56"/>
  <c r="BT10" i="56"/>
  <c r="BS10" i="56"/>
  <c r="BR10" i="56"/>
  <c r="BP10" i="56"/>
  <c r="BN10" i="56"/>
  <c r="BM10" i="56"/>
  <c r="BL10" i="56"/>
  <c r="BK10" i="56"/>
  <c r="BI10" i="56"/>
  <c r="BH10" i="56"/>
  <c r="BG10" i="56"/>
  <c r="BF10" i="56"/>
  <c r="BE10" i="56"/>
  <c r="BD10" i="56"/>
  <c r="BB10" i="56"/>
  <c r="BA10" i="56"/>
  <c r="AZ10" i="56"/>
  <c r="AX10" i="56"/>
  <c r="A10" i="56"/>
  <c r="B10" i="56" s="1"/>
  <c r="CG9" i="56"/>
  <c r="CF9" i="56"/>
  <c r="CE9" i="56"/>
  <c r="CD9" i="56"/>
  <c r="CC9" i="56"/>
  <c r="CA9" i="56"/>
  <c r="BZ9" i="56"/>
  <c r="BY9" i="56"/>
  <c r="BX9" i="56"/>
  <c r="BW9" i="56"/>
  <c r="BV9" i="56"/>
  <c r="BT9" i="56"/>
  <c r="BS9" i="56"/>
  <c r="BR9" i="56"/>
  <c r="BP9" i="56"/>
  <c r="BN9" i="56"/>
  <c r="BM9" i="56"/>
  <c r="BL9" i="56"/>
  <c r="BK9" i="56"/>
  <c r="BI9" i="56"/>
  <c r="BH9" i="56"/>
  <c r="BG9" i="56"/>
  <c r="BF9" i="56"/>
  <c r="BE9" i="56"/>
  <c r="BD9" i="56"/>
  <c r="BB9" i="56"/>
  <c r="BA9" i="56"/>
  <c r="AZ9" i="56"/>
  <c r="AX9" i="56"/>
  <c r="A9" i="56"/>
  <c r="B9" i="56" s="1"/>
  <c r="CG8" i="56"/>
  <c r="CF8" i="56"/>
  <c r="CE8" i="56"/>
  <c r="CD8" i="56"/>
  <c r="CC8" i="56"/>
  <c r="CA8" i="56"/>
  <c r="BZ8" i="56"/>
  <c r="BY8" i="56"/>
  <c r="BX8" i="56"/>
  <c r="BW8" i="56"/>
  <c r="BV8" i="56"/>
  <c r="BT8" i="56"/>
  <c r="BS8" i="56"/>
  <c r="BR8" i="56"/>
  <c r="BP8" i="56"/>
  <c r="BN8" i="56"/>
  <c r="BM8" i="56"/>
  <c r="BL8" i="56"/>
  <c r="BK8" i="56"/>
  <c r="BI8" i="56"/>
  <c r="BH8" i="56"/>
  <c r="BG8" i="56"/>
  <c r="BF8" i="56"/>
  <c r="BE8" i="56"/>
  <c r="BD8" i="56"/>
  <c r="BB8" i="56"/>
  <c r="BA8" i="56"/>
  <c r="AZ8" i="56"/>
  <c r="AX8" i="56"/>
  <c r="A8" i="56"/>
  <c r="B8" i="56" s="1"/>
  <c r="CG7" i="56"/>
  <c r="CF7" i="56"/>
  <c r="CE7" i="56"/>
  <c r="CD7" i="56"/>
  <c r="CC7" i="56"/>
  <c r="CA7" i="56"/>
  <c r="BZ7" i="56"/>
  <c r="BY7" i="56"/>
  <c r="BX7" i="56"/>
  <c r="BW7" i="56"/>
  <c r="BV7" i="56"/>
  <c r="BT7" i="56"/>
  <c r="BS7" i="56"/>
  <c r="BR7" i="56"/>
  <c r="BP7" i="56"/>
  <c r="BN7" i="56"/>
  <c r="BM7" i="56"/>
  <c r="BL7" i="56"/>
  <c r="BK7" i="56"/>
  <c r="BI7" i="56"/>
  <c r="BH7" i="56"/>
  <c r="BG7" i="56"/>
  <c r="BF7" i="56"/>
  <c r="BE7" i="56"/>
  <c r="BD7" i="56"/>
  <c r="BB7" i="56"/>
  <c r="BA7" i="56"/>
  <c r="AZ7" i="56"/>
  <c r="AX7" i="56"/>
  <c r="A7" i="56"/>
  <c r="B7" i="56" s="1"/>
  <c r="CG6" i="56"/>
  <c r="CF6" i="56"/>
  <c r="CE6" i="56"/>
  <c r="CD6" i="56"/>
  <c r="CC6" i="56"/>
  <c r="CA6" i="56"/>
  <c r="BZ6" i="56"/>
  <c r="BY6" i="56"/>
  <c r="BX6" i="56"/>
  <c r="BW6" i="56"/>
  <c r="BV6" i="56"/>
  <c r="BT6" i="56"/>
  <c r="BS6" i="56"/>
  <c r="BR6" i="56"/>
  <c r="BP6" i="56"/>
  <c r="BN6" i="56"/>
  <c r="BM6" i="56"/>
  <c r="BL6" i="56"/>
  <c r="BK6" i="56"/>
  <c r="BI6" i="56"/>
  <c r="BH6" i="56"/>
  <c r="BG6" i="56"/>
  <c r="BF6" i="56"/>
  <c r="BE6" i="56"/>
  <c r="BD6" i="56"/>
  <c r="BB6" i="56"/>
  <c r="BA6" i="56"/>
  <c r="AZ6" i="56"/>
  <c r="AX6" i="56"/>
  <c r="A6" i="56"/>
  <c r="B6" i="56" s="1"/>
  <c r="CG5" i="56"/>
  <c r="CF5" i="56"/>
  <c r="CE5" i="56"/>
  <c r="CD5" i="56"/>
  <c r="CC5" i="56"/>
  <c r="CA5" i="56"/>
  <c r="BZ5" i="56"/>
  <c r="BY5" i="56"/>
  <c r="BX5" i="56"/>
  <c r="BW5" i="56"/>
  <c r="BV5" i="56"/>
  <c r="BT5" i="56"/>
  <c r="BS5" i="56"/>
  <c r="BR5" i="56"/>
  <c r="BP5" i="56"/>
  <c r="BN5" i="56"/>
  <c r="BM5" i="56"/>
  <c r="BL5" i="56"/>
  <c r="BK5" i="56"/>
  <c r="BI5" i="56"/>
  <c r="BH5" i="56"/>
  <c r="BG5" i="56"/>
  <c r="BF5" i="56"/>
  <c r="BE5" i="56"/>
  <c r="BD5" i="56"/>
  <c r="BB5" i="56"/>
  <c r="BA5" i="56"/>
  <c r="AZ5" i="56"/>
  <c r="AX5" i="56"/>
  <c r="A5" i="56"/>
  <c r="B5" i="56" s="1"/>
  <c r="CG4" i="56"/>
  <c r="CF4" i="56"/>
  <c r="CE4" i="56"/>
  <c r="CD4" i="56"/>
  <c r="CC4" i="56"/>
  <c r="CA4" i="56"/>
  <c r="BZ4" i="56"/>
  <c r="BY4" i="56"/>
  <c r="BX4" i="56"/>
  <c r="BW4" i="56"/>
  <c r="BV4" i="56"/>
  <c r="BT4" i="56"/>
  <c r="BS4" i="56"/>
  <c r="BR4" i="56"/>
  <c r="BP4" i="56"/>
  <c r="BN4" i="56"/>
  <c r="BM4" i="56"/>
  <c r="BL4" i="56"/>
  <c r="BK4" i="56"/>
  <c r="BI4" i="56"/>
  <c r="BH4" i="56"/>
  <c r="BG4" i="56"/>
  <c r="BF4" i="56"/>
  <c r="BE4" i="56"/>
  <c r="BD4" i="56"/>
  <c r="BB4" i="56"/>
  <c r="BA4" i="56"/>
  <c r="AZ4" i="56"/>
  <c r="AX4" i="56"/>
  <c r="A4" i="56"/>
  <c r="B4" i="56" s="1"/>
  <c r="AW36" i="50"/>
  <c r="AV36" i="50"/>
  <c r="AU36" i="50"/>
  <c r="AT36" i="50"/>
  <c r="AS36" i="50"/>
  <c r="AR36" i="50"/>
  <c r="AQ36" i="50"/>
  <c r="AP36" i="50"/>
  <c r="AO36" i="50"/>
  <c r="AN36" i="50"/>
  <c r="AM36" i="50"/>
  <c r="AL36" i="50"/>
  <c r="AK36" i="50"/>
  <c r="AJ36" i="50"/>
  <c r="AI36" i="50"/>
  <c r="AH36" i="50"/>
  <c r="AG36" i="50"/>
  <c r="AF36" i="50"/>
  <c r="AE36" i="50"/>
  <c r="AD36" i="50"/>
  <c r="AC36" i="50"/>
  <c r="AB36" i="50"/>
  <c r="AA36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G36" i="50"/>
  <c r="F36" i="50"/>
  <c r="E36" i="50"/>
  <c r="D36" i="50"/>
  <c r="C36" i="50"/>
  <c r="AW35" i="50"/>
  <c r="AV35" i="50"/>
  <c r="AU35" i="50"/>
  <c r="AT35" i="50"/>
  <c r="AS35" i="50"/>
  <c r="AR35" i="50"/>
  <c r="AQ35" i="50"/>
  <c r="AP35" i="50"/>
  <c r="AO35" i="50"/>
  <c r="AN35" i="50"/>
  <c r="AM35" i="50"/>
  <c r="AL35" i="50"/>
  <c r="AK35" i="50"/>
  <c r="AJ35" i="50"/>
  <c r="AI35" i="50"/>
  <c r="AH35" i="50"/>
  <c r="AG35" i="50"/>
  <c r="AF35" i="50"/>
  <c r="AE35" i="50"/>
  <c r="AD35" i="50"/>
  <c r="AC35" i="50"/>
  <c r="AB35" i="50"/>
  <c r="AA35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CG34" i="50"/>
  <c r="CF34" i="50"/>
  <c r="CE34" i="50"/>
  <c r="CD34" i="50"/>
  <c r="CC34" i="50"/>
  <c r="CA34" i="50"/>
  <c r="BZ34" i="50"/>
  <c r="BY34" i="50"/>
  <c r="BX34" i="50"/>
  <c r="BW34" i="50"/>
  <c r="BV34" i="50"/>
  <c r="BT34" i="50"/>
  <c r="BS34" i="50"/>
  <c r="BR34" i="50"/>
  <c r="BP34" i="50"/>
  <c r="BN34" i="50"/>
  <c r="BM34" i="50"/>
  <c r="BL34" i="50"/>
  <c r="BK34" i="50"/>
  <c r="BI34" i="50"/>
  <c r="BH34" i="50"/>
  <c r="BG34" i="50"/>
  <c r="BF34" i="50"/>
  <c r="BE34" i="50"/>
  <c r="BD34" i="50"/>
  <c r="BB34" i="50"/>
  <c r="BA34" i="50"/>
  <c r="AZ34" i="50"/>
  <c r="AX34" i="50"/>
  <c r="A34" i="50"/>
  <c r="B34" i="50" s="1"/>
  <c r="CG33" i="50"/>
  <c r="CF33" i="50"/>
  <c r="CE33" i="50"/>
  <c r="CD33" i="50"/>
  <c r="CC33" i="50"/>
  <c r="CA33" i="50"/>
  <c r="BZ33" i="50"/>
  <c r="BY33" i="50"/>
  <c r="BX33" i="50"/>
  <c r="BW33" i="50"/>
  <c r="BV33" i="50"/>
  <c r="BT33" i="50"/>
  <c r="BS33" i="50"/>
  <c r="BR33" i="50"/>
  <c r="BP33" i="50"/>
  <c r="BN33" i="50"/>
  <c r="BM33" i="50"/>
  <c r="BL33" i="50"/>
  <c r="BK33" i="50"/>
  <c r="BI33" i="50"/>
  <c r="BH33" i="50"/>
  <c r="BG33" i="50"/>
  <c r="BF33" i="50"/>
  <c r="BE33" i="50"/>
  <c r="BD33" i="50"/>
  <c r="BB33" i="50"/>
  <c r="BA33" i="50"/>
  <c r="AZ33" i="50"/>
  <c r="AX33" i="50"/>
  <c r="A33" i="50"/>
  <c r="B33" i="50" s="1"/>
  <c r="CG32" i="50"/>
  <c r="CF32" i="50"/>
  <c r="CE32" i="50"/>
  <c r="CD32" i="50"/>
  <c r="CC32" i="50"/>
  <c r="CA32" i="50"/>
  <c r="BZ32" i="50"/>
  <c r="BY32" i="50"/>
  <c r="BX32" i="50"/>
  <c r="BW32" i="50"/>
  <c r="BV32" i="50"/>
  <c r="BT32" i="50"/>
  <c r="BS32" i="50"/>
  <c r="BR32" i="50"/>
  <c r="BP32" i="50"/>
  <c r="BN32" i="50"/>
  <c r="BM32" i="50"/>
  <c r="BL32" i="50"/>
  <c r="BK32" i="50"/>
  <c r="BI32" i="50"/>
  <c r="BH32" i="50"/>
  <c r="BG32" i="50"/>
  <c r="BF32" i="50"/>
  <c r="BE32" i="50"/>
  <c r="BD32" i="50"/>
  <c r="BB32" i="50"/>
  <c r="BA32" i="50"/>
  <c r="AZ32" i="50"/>
  <c r="AX32" i="50"/>
  <c r="A32" i="50"/>
  <c r="B32" i="50" s="1"/>
  <c r="CG31" i="50"/>
  <c r="CF31" i="50"/>
  <c r="CE31" i="50"/>
  <c r="CD31" i="50"/>
  <c r="CC31" i="50"/>
  <c r="CA31" i="50"/>
  <c r="BZ31" i="50"/>
  <c r="BY31" i="50"/>
  <c r="BX31" i="50"/>
  <c r="BW31" i="50"/>
  <c r="BV31" i="50"/>
  <c r="BT31" i="50"/>
  <c r="BS31" i="50"/>
  <c r="BR31" i="50"/>
  <c r="BP31" i="50"/>
  <c r="BN31" i="50"/>
  <c r="BM31" i="50"/>
  <c r="BL31" i="50"/>
  <c r="BK31" i="50"/>
  <c r="BI31" i="50"/>
  <c r="BH31" i="50"/>
  <c r="BG31" i="50"/>
  <c r="BF31" i="50"/>
  <c r="BE31" i="50"/>
  <c r="BD31" i="50"/>
  <c r="BB31" i="50"/>
  <c r="BA31" i="50"/>
  <c r="AZ31" i="50"/>
  <c r="AX31" i="50"/>
  <c r="A31" i="50"/>
  <c r="B31" i="50" s="1"/>
  <c r="CG30" i="50"/>
  <c r="CF30" i="50"/>
  <c r="CE30" i="50"/>
  <c r="CD30" i="50"/>
  <c r="CC30" i="50"/>
  <c r="CA30" i="50"/>
  <c r="BZ30" i="50"/>
  <c r="BY30" i="50"/>
  <c r="BX30" i="50"/>
  <c r="BW30" i="50"/>
  <c r="BV30" i="50"/>
  <c r="BT30" i="50"/>
  <c r="BS30" i="50"/>
  <c r="BR30" i="50"/>
  <c r="BP30" i="50"/>
  <c r="BN30" i="50"/>
  <c r="BM30" i="50"/>
  <c r="BL30" i="50"/>
  <c r="BK30" i="50"/>
  <c r="BI30" i="50"/>
  <c r="BH30" i="50"/>
  <c r="BG30" i="50"/>
  <c r="BF30" i="50"/>
  <c r="BE30" i="50"/>
  <c r="BD30" i="50"/>
  <c r="BB30" i="50"/>
  <c r="BA30" i="50"/>
  <c r="AZ30" i="50"/>
  <c r="AX30" i="50"/>
  <c r="A30" i="50"/>
  <c r="B30" i="50" s="1"/>
  <c r="CG29" i="50"/>
  <c r="CF29" i="50"/>
  <c r="CE29" i="50"/>
  <c r="CD29" i="50"/>
  <c r="CC29" i="50"/>
  <c r="CA29" i="50"/>
  <c r="BZ29" i="50"/>
  <c r="BY29" i="50"/>
  <c r="BX29" i="50"/>
  <c r="BW29" i="50"/>
  <c r="BV29" i="50"/>
  <c r="BT29" i="50"/>
  <c r="BS29" i="50"/>
  <c r="BR29" i="50"/>
  <c r="BP29" i="50"/>
  <c r="BN29" i="50"/>
  <c r="BM29" i="50"/>
  <c r="BL29" i="50"/>
  <c r="BK29" i="50"/>
  <c r="BI29" i="50"/>
  <c r="BH29" i="50"/>
  <c r="BG29" i="50"/>
  <c r="BF29" i="50"/>
  <c r="BE29" i="50"/>
  <c r="BD29" i="50"/>
  <c r="BB29" i="50"/>
  <c r="BA29" i="50"/>
  <c r="AZ29" i="50"/>
  <c r="AX29" i="50"/>
  <c r="A29" i="50"/>
  <c r="B29" i="50" s="1"/>
  <c r="CG28" i="50"/>
  <c r="CF28" i="50"/>
  <c r="CE28" i="50"/>
  <c r="CD28" i="50"/>
  <c r="CC28" i="50"/>
  <c r="CA28" i="50"/>
  <c r="BZ28" i="50"/>
  <c r="BY28" i="50"/>
  <c r="BX28" i="50"/>
  <c r="BW28" i="50"/>
  <c r="BV28" i="50"/>
  <c r="BT28" i="50"/>
  <c r="BS28" i="50"/>
  <c r="BR28" i="50"/>
  <c r="BP28" i="50"/>
  <c r="BN28" i="50"/>
  <c r="BM28" i="50"/>
  <c r="BL28" i="50"/>
  <c r="BK28" i="50"/>
  <c r="BI28" i="50"/>
  <c r="BH28" i="50"/>
  <c r="BG28" i="50"/>
  <c r="BF28" i="50"/>
  <c r="BE28" i="50"/>
  <c r="BD28" i="50"/>
  <c r="BB28" i="50"/>
  <c r="BA28" i="50"/>
  <c r="AZ28" i="50"/>
  <c r="AX28" i="50"/>
  <c r="A28" i="50"/>
  <c r="B28" i="50" s="1"/>
  <c r="CG27" i="50"/>
  <c r="CF27" i="50"/>
  <c r="CE27" i="50"/>
  <c r="CD27" i="50"/>
  <c r="CC27" i="50"/>
  <c r="CA27" i="50"/>
  <c r="BZ27" i="50"/>
  <c r="BY27" i="50"/>
  <c r="BX27" i="50"/>
  <c r="BW27" i="50"/>
  <c r="BV27" i="50"/>
  <c r="BT27" i="50"/>
  <c r="BS27" i="50"/>
  <c r="BR27" i="50"/>
  <c r="BP27" i="50"/>
  <c r="BN27" i="50"/>
  <c r="BM27" i="50"/>
  <c r="BL27" i="50"/>
  <c r="BK27" i="50"/>
  <c r="BI27" i="50"/>
  <c r="BH27" i="50"/>
  <c r="BG27" i="50"/>
  <c r="BF27" i="50"/>
  <c r="BE27" i="50"/>
  <c r="BD27" i="50"/>
  <c r="BB27" i="50"/>
  <c r="BA27" i="50"/>
  <c r="AZ27" i="50"/>
  <c r="AX27" i="50"/>
  <c r="A27" i="50"/>
  <c r="B27" i="50" s="1"/>
  <c r="CG26" i="50"/>
  <c r="CF26" i="50"/>
  <c r="CE26" i="50"/>
  <c r="CD26" i="50"/>
  <c r="CC26" i="50"/>
  <c r="CA26" i="50"/>
  <c r="BZ26" i="50"/>
  <c r="BY26" i="50"/>
  <c r="BX26" i="50"/>
  <c r="BW26" i="50"/>
  <c r="BV26" i="50"/>
  <c r="BT26" i="50"/>
  <c r="BS26" i="50"/>
  <c r="BR26" i="50"/>
  <c r="BP26" i="50"/>
  <c r="BN26" i="50"/>
  <c r="BM26" i="50"/>
  <c r="BL26" i="50"/>
  <c r="BK26" i="50"/>
  <c r="BI26" i="50"/>
  <c r="BH26" i="50"/>
  <c r="BG26" i="50"/>
  <c r="BF26" i="50"/>
  <c r="BE26" i="50"/>
  <c r="BD26" i="50"/>
  <c r="BB26" i="50"/>
  <c r="BA26" i="50"/>
  <c r="AZ26" i="50"/>
  <c r="AX26" i="50"/>
  <c r="A26" i="50"/>
  <c r="B26" i="50" s="1"/>
  <c r="CG25" i="50"/>
  <c r="CF25" i="50"/>
  <c r="CE25" i="50"/>
  <c r="CD25" i="50"/>
  <c r="CC25" i="50"/>
  <c r="CA25" i="50"/>
  <c r="BZ25" i="50"/>
  <c r="BY25" i="50"/>
  <c r="BX25" i="50"/>
  <c r="BW25" i="50"/>
  <c r="BV25" i="50"/>
  <c r="BT25" i="50"/>
  <c r="BS25" i="50"/>
  <c r="BR25" i="50"/>
  <c r="BP25" i="50"/>
  <c r="BN25" i="50"/>
  <c r="BM25" i="50"/>
  <c r="BL25" i="50"/>
  <c r="BK25" i="50"/>
  <c r="BI25" i="50"/>
  <c r="BH25" i="50"/>
  <c r="BG25" i="50"/>
  <c r="BF25" i="50"/>
  <c r="BE25" i="50"/>
  <c r="BD25" i="50"/>
  <c r="BB25" i="50"/>
  <c r="BA25" i="50"/>
  <c r="AZ25" i="50"/>
  <c r="AX25" i="50"/>
  <c r="A25" i="50"/>
  <c r="B25" i="50" s="1"/>
  <c r="CG24" i="50"/>
  <c r="CF24" i="50"/>
  <c r="CE24" i="50"/>
  <c r="CD24" i="50"/>
  <c r="CC24" i="50"/>
  <c r="CA24" i="50"/>
  <c r="BZ24" i="50"/>
  <c r="BY24" i="50"/>
  <c r="BX24" i="50"/>
  <c r="BW24" i="50"/>
  <c r="BV24" i="50"/>
  <c r="BT24" i="50"/>
  <c r="BS24" i="50"/>
  <c r="BR24" i="50"/>
  <c r="BP24" i="50"/>
  <c r="BN24" i="50"/>
  <c r="BM24" i="50"/>
  <c r="BL24" i="50"/>
  <c r="BK24" i="50"/>
  <c r="BI24" i="50"/>
  <c r="BH24" i="50"/>
  <c r="BG24" i="50"/>
  <c r="BF24" i="50"/>
  <c r="BE24" i="50"/>
  <c r="BD24" i="50"/>
  <c r="BB24" i="50"/>
  <c r="BA24" i="50"/>
  <c r="AZ24" i="50"/>
  <c r="AX24" i="50"/>
  <c r="A24" i="50"/>
  <c r="B24" i="50" s="1"/>
  <c r="CG23" i="50"/>
  <c r="CF23" i="50"/>
  <c r="CE23" i="50"/>
  <c r="CD23" i="50"/>
  <c r="CC23" i="50"/>
  <c r="CA23" i="50"/>
  <c r="BZ23" i="50"/>
  <c r="BY23" i="50"/>
  <c r="BX23" i="50"/>
  <c r="BW23" i="50"/>
  <c r="BV23" i="50"/>
  <c r="BT23" i="50"/>
  <c r="BS23" i="50"/>
  <c r="BR23" i="50"/>
  <c r="BP23" i="50"/>
  <c r="BN23" i="50"/>
  <c r="BM23" i="50"/>
  <c r="BL23" i="50"/>
  <c r="BK23" i="50"/>
  <c r="BI23" i="50"/>
  <c r="BH23" i="50"/>
  <c r="BG23" i="50"/>
  <c r="BF23" i="50"/>
  <c r="BE23" i="50"/>
  <c r="BD23" i="50"/>
  <c r="BB23" i="50"/>
  <c r="BA23" i="50"/>
  <c r="AZ23" i="50"/>
  <c r="AX23" i="50"/>
  <c r="A23" i="50"/>
  <c r="B23" i="50" s="1"/>
  <c r="CG22" i="50"/>
  <c r="CF22" i="50"/>
  <c r="CE22" i="50"/>
  <c r="CD22" i="50"/>
  <c r="CC22" i="50"/>
  <c r="CA22" i="50"/>
  <c r="BZ22" i="50"/>
  <c r="BY22" i="50"/>
  <c r="BX22" i="50"/>
  <c r="BW22" i="50"/>
  <c r="BV22" i="50"/>
  <c r="BT22" i="50"/>
  <c r="BS22" i="50"/>
  <c r="BR22" i="50"/>
  <c r="BP22" i="50"/>
  <c r="BN22" i="50"/>
  <c r="BM22" i="50"/>
  <c r="BL22" i="50"/>
  <c r="BK22" i="50"/>
  <c r="BI22" i="50"/>
  <c r="BH22" i="50"/>
  <c r="BG22" i="50"/>
  <c r="BF22" i="50"/>
  <c r="BE22" i="50"/>
  <c r="BD22" i="50"/>
  <c r="BB22" i="50"/>
  <c r="BA22" i="50"/>
  <c r="AZ22" i="50"/>
  <c r="AX22" i="50"/>
  <c r="A22" i="50"/>
  <c r="B22" i="50" s="1"/>
  <c r="CG21" i="50"/>
  <c r="CF21" i="50"/>
  <c r="CE21" i="50"/>
  <c r="CD21" i="50"/>
  <c r="CC21" i="50"/>
  <c r="CA21" i="50"/>
  <c r="BZ21" i="50"/>
  <c r="BY21" i="50"/>
  <c r="BX21" i="50"/>
  <c r="BW21" i="50"/>
  <c r="BV21" i="50"/>
  <c r="BT21" i="50"/>
  <c r="BS21" i="50"/>
  <c r="BR21" i="50"/>
  <c r="BP21" i="50"/>
  <c r="BN21" i="50"/>
  <c r="BM21" i="50"/>
  <c r="BL21" i="50"/>
  <c r="BK21" i="50"/>
  <c r="BI21" i="50"/>
  <c r="BH21" i="50"/>
  <c r="BG21" i="50"/>
  <c r="BF21" i="50"/>
  <c r="BE21" i="50"/>
  <c r="BD21" i="50"/>
  <c r="BB21" i="50"/>
  <c r="BA21" i="50"/>
  <c r="AZ21" i="50"/>
  <c r="AX21" i="50"/>
  <c r="A21" i="50"/>
  <c r="B21" i="50" s="1"/>
  <c r="CG20" i="50"/>
  <c r="CF20" i="50"/>
  <c r="CE20" i="50"/>
  <c r="CD20" i="50"/>
  <c r="CC20" i="50"/>
  <c r="CA20" i="50"/>
  <c r="BZ20" i="50"/>
  <c r="BY20" i="50"/>
  <c r="BX20" i="50"/>
  <c r="BW20" i="50"/>
  <c r="BV20" i="50"/>
  <c r="BT20" i="50"/>
  <c r="BS20" i="50"/>
  <c r="BR20" i="50"/>
  <c r="BP20" i="50"/>
  <c r="BN20" i="50"/>
  <c r="BM20" i="50"/>
  <c r="BL20" i="50"/>
  <c r="BK20" i="50"/>
  <c r="BI20" i="50"/>
  <c r="BH20" i="50"/>
  <c r="BG20" i="50"/>
  <c r="BF20" i="50"/>
  <c r="BE20" i="50"/>
  <c r="BD20" i="50"/>
  <c r="BB20" i="50"/>
  <c r="BA20" i="50"/>
  <c r="AZ20" i="50"/>
  <c r="AX20" i="50"/>
  <c r="A20" i="50"/>
  <c r="B20" i="50" s="1"/>
  <c r="CG19" i="50"/>
  <c r="CF19" i="50"/>
  <c r="CE19" i="50"/>
  <c r="CD19" i="50"/>
  <c r="CC19" i="50"/>
  <c r="CA19" i="50"/>
  <c r="BZ19" i="50"/>
  <c r="BY19" i="50"/>
  <c r="BX19" i="50"/>
  <c r="BW19" i="50"/>
  <c r="BV19" i="50"/>
  <c r="BT19" i="50"/>
  <c r="BS19" i="50"/>
  <c r="BR19" i="50"/>
  <c r="BP19" i="50"/>
  <c r="BN19" i="50"/>
  <c r="BM19" i="50"/>
  <c r="BL19" i="50"/>
  <c r="BK19" i="50"/>
  <c r="BI19" i="50"/>
  <c r="BH19" i="50"/>
  <c r="BG19" i="50"/>
  <c r="BF19" i="50"/>
  <c r="BE19" i="50"/>
  <c r="BD19" i="50"/>
  <c r="BB19" i="50"/>
  <c r="BA19" i="50"/>
  <c r="AZ19" i="50"/>
  <c r="AX19" i="50"/>
  <c r="A19" i="50"/>
  <c r="B19" i="50" s="1"/>
  <c r="CG18" i="50"/>
  <c r="CF18" i="50"/>
  <c r="CE18" i="50"/>
  <c r="CD18" i="50"/>
  <c r="CC18" i="50"/>
  <c r="CA18" i="50"/>
  <c r="BZ18" i="50"/>
  <c r="BY18" i="50"/>
  <c r="BX18" i="50"/>
  <c r="BW18" i="50"/>
  <c r="BV18" i="50"/>
  <c r="BT18" i="50"/>
  <c r="BS18" i="50"/>
  <c r="BR18" i="50"/>
  <c r="BP18" i="50"/>
  <c r="BN18" i="50"/>
  <c r="BM18" i="50"/>
  <c r="BL18" i="50"/>
  <c r="BK18" i="50"/>
  <c r="BI18" i="50"/>
  <c r="BH18" i="50"/>
  <c r="BG18" i="50"/>
  <c r="BF18" i="50"/>
  <c r="BE18" i="50"/>
  <c r="BD18" i="50"/>
  <c r="BB18" i="50"/>
  <c r="BA18" i="50"/>
  <c r="AZ18" i="50"/>
  <c r="AX18" i="50"/>
  <c r="A18" i="50"/>
  <c r="B18" i="50" s="1"/>
  <c r="CG17" i="50"/>
  <c r="CF17" i="50"/>
  <c r="CE17" i="50"/>
  <c r="CD17" i="50"/>
  <c r="CC17" i="50"/>
  <c r="CA17" i="50"/>
  <c r="BZ17" i="50"/>
  <c r="BY17" i="50"/>
  <c r="BX17" i="50"/>
  <c r="BW17" i="50"/>
  <c r="BV17" i="50"/>
  <c r="BT17" i="50"/>
  <c r="BS17" i="50"/>
  <c r="BR17" i="50"/>
  <c r="BP17" i="50"/>
  <c r="BN17" i="50"/>
  <c r="BM17" i="50"/>
  <c r="BL17" i="50"/>
  <c r="BK17" i="50"/>
  <c r="BI17" i="50"/>
  <c r="BH17" i="50"/>
  <c r="BG17" i="50"/>
  <c r="BF17" i="50"/>
  <c r="BE17" i="50"/>
  <c r="BD17" i="50"/>
  <c r="BB17" i="50"/>
  <c r="BA17" i="50"/>
  <c r="AZ17" i="50"/>
  <c r="AX17" i="50"/>
  <c r="A17" i="50"/>
  <c r="B17" i="50" s="1"/>
  <c r="CG16" i="50"/>
  <c r="CF16" i="50"/>
  <c r="CE16" i="50"/>
  <c r="CD16" i="50"/>
  <c r="CC16" i="50"/>
  <c r="CA16" i="50"/>
  <c r="BZ16" i="50"/>
  <c r="BY16" i="50"/>
  <c r="BX16" i="50"/>
  <c r="BW16" i="50"/>
  <c r="BV16" i="50"/>
  <c r="BT16" i="50"/>
  <c r="BS16" i="50"/>
  <c r="BR16" i="50"/>
  <c r="BP16" i="50"/>
  <c r="BN16" i="50"/>
  <c r="BM16" i="50"/>
  <c r="BL16" i="50"/>
  <c r="BK16" i="50"/>
  <c r="BI16" i="50"/>
  <c r="BH16" i="50"/>
  <c r="BG16" i="50"/>
  <c r="BF16" i="50"/>
  <c r="BE16" i="50"/>
  <c r="BD16" i="50"/>
  <c r="BB16" i="50"/>
  <c r="BA16" i="50"/>
  <c r="AZ16" i="50"/>
  <c r="AX16" i="50"/>
  <c r="A16" i="50"/>
  <c r="B16" i="50" s="1"/>
  <c r="CG15" i="50"/>
  <c r="CF15" i="50"/>
  <c r="CE15" i="50"/>
  <c r="CD15" i="50"/>
  <c r="CC15" i="50"/>
  <c r="CA15" i="50"/>
  <c r="BZ15" i="50"/>
  <c r="BY15" i="50"/>
  <c r="BX15" i="50"/>
  <c r="BW15" i="50"/>
  <c r="BV15" i="50"/>
  <c r="BT15" i="50"/>
  <c r="BS15" i="50"/>
  <c r="BR15" i="50"/>
  <c r="BP15" i="50"/>
  <c r="BN15" i="50"/>
  <c r="BM15" i="50"/>
  <c r="BL15" i="50"/>
  <c r="BK15" i="50"/>
  <c r="BI15" i="50"/>
  <c r="BH15" i="50"/>
  <c r="BG15" i="50"/>
  <c r="BF15" i="50"/>
  <c r="BE15" i="50"/>
  <c r="BD15" i="50"/>
  <c r="BB15" i="50"/>
  <c r="BA15" i="50"/>
  <c r="AZ15" i="50"/>
  <c r="AX15" i="50"/>
  <c r="A15" i="50"/>
  <c r="B15" i="50" s="1"/>
  <c r="CG14" i="50"/>
  <c r="CF14" i="50"/>
  <c r="CE14" i="50"/>
  <c r="CD14" i="50"/>
  <c r="CC14" i="50"/>
  <c r="CA14" i="50"/>
  <c r="BZ14" i="50"/>
  <c r="BY14" i="50"/>
  <c r="BX14" i="50"/>
  <c r="BW14" i="50"/>
  <c r="BV14" i="50"/>
  <c r="BT14" i="50"/>
  <c r="BS14" i="50"/>
  <c r="BR14" i="50"/>
  <c r="BP14" i="50"/>
  <c r="BN14" i="50"/>
  <c r="BM14" i="50"/>
  <c r="BL14" i="50"/>
  <c r="BK14" i="50"/>
  <c r="BI14" i="50"/>
  <c r="BH14" i="50"/>
  <c r="BG14" i="50"/>
  <c r="BF14" i="50"/>
  <c r="BE14" i="50"/>
  <c r="BD14" i="50"/>
  <c r="BB14" i="50"/>
  <c r="BA14" i="50"/>
  <c r="AZ14" i="50"/>
  <c r="AX14" i="50"/>
  <c r="A14" i="50"/>
  <c r="B14" i="50" s="1"/>
  <c r="CG13" i="50"/>
  <c r="CF13" i="50"/>
  <c r="CE13" i="50"/>
  <c r="CD13" i="50"/>
  <c r="CC13" i="50"/>
  <c r="CA13" i="50"/>
  <c r="BZ13" i="50"/>
  <c r="BY13" i="50"/>
  <c r="BX13" i="50"/>
  <c r="BW13" i="50"/>
  <c r="BV13" i="50"/>
  <c r="BT13" i="50"/>
  <c r="BS13" i="50"/>
  <c r="BR13" i="50"/>
  <c r="BP13" i="50"/>
  <c r="BN13" i="50"/>
  <c r="BM13" i="50"/>
  <c r="BL13" i="50"/>
  <c r="BK13" i="50"/>
  <c r="BI13" i="50"/>
  <c r="BH13" i="50"/>
  <c r="BG13" i="50"/>
  <c r="BF13" i="50"/>
  <c r="BE13" i="50"/>
  <c r="BD13" i="50"/>
  <c r="BB13" i="50"/>
  <c r="BA13" i="50"/>
  <c r="AZ13" i="50"/>
  <c r="AX13" i="50"/>
  <c r="A13" i="50"/>
  <c r="B13" i="50" s="1"/>
  <c r="CG12" i="50"/>
  <c r="CF12" i="50"/>
  <c r="CE12" i="50"/>
  <c r="CD12" i="50"/>
  <c r="CC12" i="50"/>
  <c r="CA12" i="50"/>
  <c r="BZ12" i="50"/>
  <c r="BY12" i="50"/>
  <c r="BX12" i="50"/>
  <c r="BW12" i="50"/>
  <c r="BV12" i="50"/>
  <c r="BT12" i="50"/>
  <c r="BS12" i="50"/>
  <c r="BR12" i="50"/>
  <c r="BP12" i="50"/>
  <c r="BN12" i="50"/>
  <c r="BM12" i="50"/>
  <c r="BL12" i="50"/>
  <c r="BK12" i="50"/>
  <c r="BI12" i="50"/>
  <c r="BH12" i="50"/>
  <c r="BG12" i="50"/>
  <c r="BF12" i="50"/>
  <c r="BE12" i="50"/>
  <c r="BD12" i="50"/>
  <c r="BB12" i="50"/>
  <c r="BA12" i="50"/>
  <c r="AZ12" i="50"/>
  <c r="AX12" i="50"/>
  <c r="A12" i="50"/>
  <c r="B12" i="50" s="1"/>
  <c r="CG11" i="50"/>
  <c r="CF11" i="50"/>
  <c r="CE11" i="50"/>
  <c r="CD11" i="50"/>
  <c r="CC11" i="50"/>
  <c r="CA11" i="50"/>
  <c r="BZ11" i="50"/>
  <c r="BY11" i="50"/>
  <c r="BX11" i="50"/>
  <c r="BW11" i="50"/>
  <c r="BV11" i="50"/>
  <c r="BT11" i="50"/>
  <c r="BS11" i="50"/>
  <c r="BR11" i="50"/>
  <c r="BP11" i="50"/>
  <c r="BN11" i="50"/>
  <c r="BM11" i="50"/>
  <c r="BL11" i="50"/>
  <c r="BK11" i="50"/>
  <c r="BI11" i="50"/>
  <c r="BH11" i="50"/>
  <c r="BG11" i="50"/>
  <c r="BF11" i="50"/>
  <c r="BE11" i="50"/>
  <c r="BD11" i="50"/>
  <c r="BB11" i="50"/>
  <c r="BA11" i="50"/>
  <c r="AZ11" i="50"/>
  <c r="AX11" i="50"/>
  <c r="A11" i="50"/>
  <c r="B11" i="50" s="1"/>
  <c r="CG10" i="50"/>
  <c r="CF10" i="50"/>
  <c r="CE10" i="50"/>
  <c r="CD10" i="50"/>
  <c r="CC10" i="50"/>
  <c r="CA10" i="50"/>
  <c r="BZ10" i="50"/>
  <c r="BY10" i="50"/>
  <c r="BX10" i="50"/>
  <c r="BW10" i="50"/>
  <c r="BV10" i="50"/>
  <c r="BT10" i="50"/>
  <c r="BS10" i="50"/>
  <c r="BR10" i="50"/>
  <c r="BP10" i="50"/>
  <c r="BN10" i="50"/>
  <c r="BM10" i="50"/>
  <c r="BL10" i="50"/>
  <c r="BK10" i="50"/>
  <c r="BI10" i="50"/>
  <c r="BH10" i="50"/>
  <c r="BG10" i="50"/>
  <c r="BF10" i="50"/>
  <c r="BE10" i="50"/>
  <c r="BD10" i="50"/>
  <c r="BB10" i="50"/>
  <c r="BA10" i="50"/>
  <c r="AZ10" i="50"/>
  <c r="AX10" i="50"/>
  <c r="A10" i="50"/>
  <c r="B10" i="50" s="1"/>
  <c r="CG9" i="50"/>
  <c r="CF9" i="50"/>
  <c r="CE9" i="50"/>
  <c r="CD9" i="50"/>
  <c r="CC9" i="50"/>
  <c r="CA9" i="50"/>
  <c r="BZ9" i="50"/>
  <c r="BY9" i="50"/>
  <c r="BX9" i="50"/>
  <c r="BW9" i="50"/>
  <c r="BV9" i="50"/>
  <c r="BT9" i="50"/>
  <c r="BS9" i="50"/>
  <c r="BR9" i="50"/>
  <c r="BP9" i="50"/>
  <c r="BN9" i="50"/>
  <c r="BM9" i="50"/>
  <c r="BL9" i="50"/>
  <c r="BK9" i="50"/>
  <c r="BI9" i="50"/>
  <c r="BH9" i="50"/>
  <c r="BG9" i="50"/>
  <c r="BF9" i="50"/>
  <c r="BE9" i="50"/>
  <c r="BD9" i="50"/>
  <c r="BB9" i="50"/>
  <c r="BA9" i="50"/>
  <c r="AZ9" i="50"/>
  <c r="AX9" i="50"/>
  <c r="A9" i="50"/>
  <c r="B9" i="50" s="1"/>
  <c r="CG8" i="50"/>
  <c r="CF8" i="50"/>
  <c r="CE8" i="50"/>
  <c r="CD8" i="50"/>
  <c r="CC8" i="50"/>
  <c r="CA8" i="50"/>
  <c r="BZ8" i="50"/>
  <c r="BY8" i="50"/>
  <c r="BX8" i="50"/>
  <c r="BW8" i="50"/>
  <c r="BV8" i="50"/>
  <c r="BT8" i="50"/>
  <c r="BS8" i="50"/>
  <c r="BR8" i="50"/>
  <c r="BP8" i="50"/>
  <c r="BN8" i="50"/>
  <c r="BM8" i="50"/>
  <c r="BL8" i="50"/>
  <c r="BK8" i="50"/>
  <c r="BI8" i="50"/>
  <c r="BH8" i="50"/>
  <c r="BG8" i="50"/>
  <c r="BF8" i="50"/>
  <c r="BE8" i="50"/>
  <c r="BD8" i="50"/>
  <c r="BB8" i="50"/>
  <c r="BA8" i="50"/>
  <c r="AZ8" i="50"/>
  <c r="AX8" i="50"/>
  <c r="A8" i="50"/>
  <c r="B8" i="50" s="1"/>
  <c r="CG7" i="50"/>
  <c r="CF7" i="50"/>
  <c r="CE7" i="50"/>
  <c r="CD7" i="50"/>
  <c r="CC7" i="50"/>
  <c r="CA7" i="50"/>
  <c r="BZ7" i="50"/>
  <c r="BY7" i="50"/>
  <c r="BX7" i="50"/>
  <c r="BW7" i="50"/>
  <c r="BV7" i="50"/>
  <c r="BT7" i="50"/>
  <c r="BS7" i="50"/>
  <c r="BR7" i="50"/>
  <c r="BP7" i="50"/>
  <c r="BN7" i="50"/>
  <c r="BM7" i="50"/>
  <c r="BL7" i="50"/>
  <c r="BK7" i="50"/>
  <c r="BI7" i="50"/>
  <c r="BH7" i="50"/>
  <c r="BG7" i="50"/>
  <c r="BF7" i="50"/>
  <c r="BE7" i="50"/>
  <c r="BD7" i="50"/>
  <c r="BB7" i="50"/>
  <c r="BA7" i="50"/>
  <c r="AZ7" i="50"/>
  <c r="AX7" i="50"/>
  <c r="A7" i="50"/>
  <c r="B7" i="50" s="1"/>
  <c r="CG6" i="50"/>
  <c r="CF6" i="50"/>
  <c r="CE6" i="50"/>
  <c r="CD6" i="50"/>
  <c r="CC6" i="50"/>
  <c r="CA6" i="50"/>
  <c r="BZ6" i="50"/>
  <c r="BY6" i="50"/>
  <c r="BX6" i="50"/>
  <c r="BW6" i="50"/>
  <c r="BV6" i="50"/>
  <c r="BT6" i="50"/>
  <c r="BS6" i="50"/>
  <c r="BR6" i="50"/>
  <c r="BP6" i="50"/>
  <c r="BN6" i="50"/>
  <c r="BM6" i="50"/>
  <c r="BL6" i="50"/>
  <c r="BK6" i="50"/>
  <c r="BI6" i="50"/>
  <c r="BH6" i="50"/>
  <c r="BG6" i="50"/>
  <c r="BF6" i="50"/>
  <c r="BE6" i="50"/>
  <c r="BD6" i="50"/>
  <c r="BB6" i="50"/>
  <c r="BA6" i="50"/>
  <c r="AZ6" i="50"/>
  <c r="AX6" i="50"/>
  <c r="A6" i="50"/>
  <c r="B6" i="50" s="1"/>
  <c r="CG5" i="50"/>
  <c r="CF5" i="50"/>
  <c r="CE5" i="50"/>
  <c r="CD5" i="50"/>
  <c r="CC5" i="50"/>
  <c r="CA5" i="50"/>
  <c r="BZ5" i="50"/>
  <c r="BY5" i="50"/>
  <c r="BX5" i="50"/>
  <c r="BW5" i="50"/>
  <c r="BV5" i="50"/>
  <c r="BT5" i="50"/>
  <c r="BS5" i="50"/>
  <c r="BR5" i="50"/>
  <c r="BP5" i="50"/>
  <c r="BN5" i="50"/>
  <c r="BM5" i="50"/>
  <c r="BL5" i="50"/>
  <c r="BK5" i="50"/>
  <c r="BI5" i="50"/>
  <c r="BH5" i="50"/>
  <c r="BG5" i="50"/>
  <c r="BF5" i="50"/>
  <c r="BE5" i="50"/>
  <c r="BD5" i="50"/>
  <c r="BB5" i="50"/>
  <c r="BA5" i="50"/>
  <c r="AZ5" i="50"/>
  <c r="AX5" i="50"/>
  <c r="A5" i="50"/>
  <c r="B5" i="50" s="1"/>
  <c r="CG4" i="50"/>
  <c r="CF4" i="50"/>
  <c r="CE4" i="50"/>
  <c r="CD4" i="50"/>
  <c r="CC4" i="50"/>
  <c r="CA4" i="50"/>
  <c r="BZ4" i="50"/>
  <c r="BY4" i="50"/>
  <c r="BX4" i="50"/>
  <c r="BW4" i="50"/>
  <c r="BV4" i="50"/>
  <c r="BT4" i="50"/>
  <c r="BS4" i="50"/>
  <c r="BR4" i="50"/>
  <c r="BP4" i="50"/>
  <c r="BN4" i="50"/>
  <c r="BM4" i="50"/>
  <c r="BL4" i="50"/>
  <c r="BK4" i="50"/>
  <c r="BI4" i="50"/>
  <c r="BH4" i="50"/>
  <c r="BG4" i="50"/>
  <c r="BF4" i="50"/>
  <c r="BE4" i="50"/>
  <c r="BD4" i="50"/>
  <c r="BB4" i="50"/>
  <c r="BA4" i="50"/>
  <c r="AZ4" i="50"/>
  <c r="AX4" i="50"/>
  <c r="A4" i="50"/>
  <c r="B4" i="50" s="1"/>
  <c r="AW36" i="49"/>
  <c r="AV36" i="49"/>
  <c r="AU36" i="49"/>
  <c r="AT36" i="49"/>
  <c r="AS36" i="49"/>
  <c r="AR36" i="49"/>
  <c r="AQ36" i="49"/>
  <c r="AP36" i="49"/>
  <c r="AO36" i="49"/>
  <c r="AN36" i="49"/>
  <c r="AM36" i="49"/>
  <c r="AL36" i="49"/>
  <c r="AK36" i="49"/>
  <c r="AJ36" i="49"/>
  <c r="AI36" i="49"/>
  <c r="AH36" i="49"/>
  <c r="AG36" i="49"/>
  <c r="AF36" i="49"/>
  <c r="AE36" i="49"/>
  <c r="AD36" i="49"/>
  <c r="AC36" i="49"/>
  <c r="AB36" i="49"/>
  <c r="AA36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BT36" i="49" s="1"/>
  <c r="I36" i="49"/>
  <c r="H36" i="49"/>
  <c r="G36" i="49"/>
  <c r="F36" i="49"/>
  <c r="E36" i="49"/>
  <c r="D36" i="49"/>
  <c r="C36" i="49"/>
  <c r="AW35" i="49"/>
  <c r="AV35" i="49"/>
  <c r="AU35" i="49"/>
  <c r="AT35" i="49"/>
  <c r="AS35" i="49"/>
  <c r="AR35" i="49"/>
  <c r="AQ35" i="49"/>
  <c r="AP35" i="49"/>
  <c r="AO35" i="49"/>
  <c r="AN35" i="49"/>
  <c r="AM35" i="49"/>
  <c r="AL35" i="49"/>
  <c r="AK35" i="49"/>
  <c r="AJ35" i="49"/>
  <c r="AI35" i="49"/>
  <c r="AH35" i="49"/>
  <c r="AG35" i="49"/>
  <c r="AF35" i="49"/>
  <c r="AE35" i="49"/>
  <c r="AD35" i="49"/>
  <c r="AC35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BT35" i="49" s="1"/>
  <c r="I35" i="49"/>
  <c r="H35" i="49"/>
  <c r="G35" i="49"/>
  <c r="F35" i="49"/>
  <c r="E35" i="49"/>
  <c r="D35" i="49"/>
  <c r="C35" i="49"/>
  <c r="CG34" i="49"/>
  <c r="CF34" i="49"/>
  <c r="CE34" i="49"/>
  <c r="CD34" i="49"/>
  <c r="CC34" i="49"/>
  <c r="CA34" i="49"/>
  <c r="BZ34" i="49"/>
  <c r="BY34" i="49"/>
  <c r="BX34" i="49"/>
  <c r="BW34" i="49"/>
  <c r="BV34" i="49"/>
  <c r="BT34" i="49"/>
  <c r="BS34" i="49"/>
  <c r="BR34" i="49"/>
  <c r="BP34" i="49"/>
  <c r="BN34" i="49"/>
  <c r="BM34" i="49"/>
  <c r="BL34" i="49"/>
  <c r="BK34" i="49"/>
  <c r="BI34" i="49"/>
  <c r="BH34" i="49"/>
  <c r="BG34" i="49"/>
  <c r="BF34" i="49"/>
  <c r="BE34" i="49"/>
  <c r="BD34" i="49"/>
  <c r="BB34" i="49"/>
  <c r="BA34" i="49"/>
  <c r="AZ34" i="49"/>
  <c r="AX34" i="49"/>
  <c r="CG33" i="49"/>
  <c r="CF33" i="49"/>
  <c r="CE33" i="49"/>
  <c r="CD33" i="49"/>
  <c r="CC33" i="49"/>
  <c r="CA33" i="49"/>
  <c r="BZ33" i="49"/>
  <c r="BY33" i="49"/>
  <c r="BX33" i="49"/>
  <c r="BW33" i="49"/>
  <c r="BV33" i="49"/>
  <c r="BT33" i="49"/>
  <c r="BS33" i="49"/>
  <c r="BR33" i="49"/>
  <c r="BP33" i="49"/>
  <c r="BN33" i="49"/>
  <c r="BM33" i="49"/>
  <c r="BL33" i="49"/>
  <c r="BK33" i="49"/>
  <c r="BI33" i="49"/>
  <c r="BH33" i="49"/>
  <c r="BG33" i="49"/>
  <c r="BF33" i="49"/>
  <c r="BE33" i="49"/>
  <c r="BD33" i="49"/>
  <c r="BB33" i="49"/>
  <c r="BA33" i="49"/>
  <c r="AZ33" i="49"/>
  <c r="AX33" i="49"/>
  <c r="CG32" i="49"/>
  <c r="CF32" i="49"/>
  <c r="CE32" i="49"/>
  <c r="CD32" i="49"/>
  <c r="CC32" i="49"/>
  <c r="CA32" i="49"/>
  <c r="BZ32" i="49"/>
  <c r="BY32" i="49"/>
  <c r="BX32" i="49"/>
  <c r="BW32" i="49"/>
  <c r="BV32" i="49"/>
  <c r="BT32" i="49"/>
  <c r="BS32" i="49"/>
  <c r="BR32" i="49"/>
  <c r="BP32" i="49"/>
  <c r="BN32" i="49"/>
  <c r="BM32" i="49"/>
  <c r="BL32" i="49"/>
  <c r="BK32" i="49"/>
  <c r="BI32" i="49"/>
  <c r="BH32" i="49"/>
  <c r="BG32" i="49"/>
  <c r="BF32" i="49"/>
  <c r="BE32" i="49"/>
  <c r="BD32" i="49"/>
  <c r="BB32" i="49"/>
  <c r="BA32" i="49"/>
  <c r="AZ32" i="49"/>
  <c r="AX32" i="49"/>
  <c r="CG31" i="49"/>
  <c r="CF31" i="49"/>
  <c r="CE31" i="49"/>
  <c r="CD31" i="49"/>
  <c r="CC31" i="49"/>
  <c r="CA31" i="49"/>
  <c r="BZ31" i="49"/>
  <c r="BY31" i="49"/>
  <c r="BX31" i="49"/>
  <c r="BW31" i="49"/>
  <c r="BV31" i="49"/>
  <c r="BT31" i="49"/>
  <c r="BS31" i="49"/>
  <c r="BR31" i="49"/>
  <c r="BP31" i="49"/>
  <c r="BN31" i="49"/>
  <c r="BM31" i="49"/>
  <c r="BL31" i="49"/>
  <c r="BK31" i="49"/>
  <c r="BI31" i="49"/>
  <c r="BH31" i="49"/>
  <c r="BG31" i="49"/>
  <c r="BF31" i="49"/>
  <c r="BE31" i="49"/>
  <c r="BD31" i="49"/>
  <c r="BB31" i="49"/>
  <c r="BA31" i="49"/>
  <c r="AZ31" i="49"/>
  <c r="AX31" i="49"/>
  <c r="CG30" i="49"/>
  <c r="CF30" i="49"/>
  <c r="CE30" i="49"/>
  <c r="CD30" i="49"/>
  <c r="CC30" i="49"/>
  <c r="CA30" i="49"/>
  <c r="BZ30" i="49"/>
  <c r="BY30" i="49"/>
  <c r="BX30" i="49"/>
  <c r="BW30" i="49"/>
  <c r="BV30" i="49"/>
  <c r="BT30" i="49"/>
  <c r="BS30" i="49"/>
  <c r="BR30" i="49"/>
  <c r="BP30" i="49"/>
  <c r="BN30" i="49"/>
  <c r="BM30" i="49"/>
  <c r="BL30" i="49"/>
  <c r="BK30" i="49"/>
  <c r="BI30" i="49"/>
  <c r="BH30" i="49"/>
  <c r="BG30" i="49"/>
  <c r="BF30" i="49"/>
  <c r="BE30" i="49"/>
  <c r="BD30" i="49"/>
  <c r="BB30" i="49"/>
  <c r="BA30" i="49"/>
  <c r="AZ30" i="49"/>
  <c r="AX30" i="49"/>
  <c r="CG29" i="49"/>
  <c r="CF29" i="49"/>
  <c r="CE29" i="49"/>
  <c r="CD29" i="49"/>
  <c r="CC29" i="49"/>
  <c r="CA29" i="49"/>
  <c r="BZ29" i="49"/>
  <c r="BY29" i="49"/>
  <c r="BX29" i="49"/>
  <c r="BW29" i="49"/>
  <c r="BV29" i="49"/>
  <c r="BT29" i="49"/>
  <c r="BS29" i="49"/>
  <c r="BR29" i="49"/>
  <c r="BP29" i="49"/>
  <c r="BN29" i="49"/>
  <c r="BM29" i="49"/>
  <c r="BL29" i="49"/>
  <c r="BK29" i="49"/>
  <c r="BI29" i="49"/>
  <c r="BH29" i="49"/>
  <c r="BG29" i="49"/>
  <c r="BF29" i="49"/>
  <c r="BE29" i="49"/>
  <c r="BD29" i="49"/>
  <c r="BB29" i="49"/>
  <c r="BA29" i="49"/>
  <c r="AZ29" i="49"/>
  <c r="AX29" i="49"/>
  <c r="CG28" i="49"/>
  <c r="CF28" i="49"/>
  <c r="CE28" i="49"/>
  <c r="CD28" i="49"/>
  <c r="CC28" i="49"/>
  <c r="CA28" i="49"/>
  <c r="BZ28" i="49"/>
  <c r="BY28" i="49"/>
  <c r="BX28" i="49"/>
  <c r="BW28" i="49"/>
  <c r="BV28" i="49"/>
  <c r="BT28" i="49"/>
  <c r="BS28" i="49"/>
  <c r="BR28" i="49"/>
  <c r="BP28" i="49"/>
  <c r="BN28" i="49"/>
  <c r="BM28" i="49"/>
  <c r="BL28" i="49"/>
  <c r="BK28" i="49"/>
  <c r="BI28" i="49"/>
  <c r="BH28" i="49"/>
  <c r="BG28" i="49"/>
  <c r="BF28" i="49"/>
  <c r="BE28" i="49"/>
  <c r="BD28" i="49"/>
  <c r="BB28" i="49"/>
  <c r="BA28" i="49"/>
  <c r="AZ28" i="49"/>
  <c r="AX28" i="49"/>
  <c r="CG27" i="49"/>
  <c r="CF27" i="49"/>
  <c r="CE27" i="49"/>
  <c r="CD27" i="49"/>
  <c r="CC27" i="49"/>
  <c r="CA27" i="49"/>
  <c r="BZ27" i="49"/>
  <c r="BY27" i="49"/>
  <c r="BX27" i="49"/>
  <c r="BW27" i="49"/>
  <c r="BV27" i="49"/>
  <c r="BT27" i="49"/>
  <c r="BS27" i="49"/>
  <c r="BR27" i="49"/>
  <c r="BP27" i="49"/>
  <c r="BN27" i="49"/>
  <c r="BM27" i="49"/>
  <c r="BL27" i="49"/>
  <c r="BK27" i="49"/>
  <c r="BI27" i="49"/>
  <c r="BH27" i="49"/>
  <c r="BG27" i="49"/>
  <c r="BF27" i="49"/>
  <c r="BE27" i="49"/>
  <c r="BD27" i="49"/>
  <c r="BB27" i="49"/>
  <c r="BA27" i="49"/>
  <c r="AZ27" i="49"/>
  <c r="AX27" i="49"/>
  <c r="CG26" i="49"/>
  <c r="CF26" i="49"/>
  <c r="CE26" i="49"/>
  <c r="CD26" i="49"/>
  <c r="CC26" i="49"/>
  <c r="CA26" i="49"/>
  <c r="BZ26" i="49"/>
  <c r="BY26" i="49"/>
  <c r="BX26" i="49"/>
  <c r="BW26" i="49"/>
  <c r="BV26" i="49"/>
  <c r="BT26" i="49"/>
  <c r="BS26" i="49"/>
  <c r="BR26" i="49"/>
  <c r="BP26" i="49"/>
  <c r="BN26" i="49"/>
  <c r="BM26" i="49"/>
  <c r="BL26" i="49"/>
  <c r="BK26" i="49"/>
  <c r="BI26" i="49"/>
  <c r="BH26" i="49"/>
  <c r="BG26" i="49"/>
  <c r="BF26" i="49"/>
  <c r="BE26" i="49"/>
  <c r="BD26" i="49"/>
  <c r="BB26" i="49"/>
  <c r="BA26" i="49"/>
  <c r="AZ26" i="49"/>
  <c r="AX26" i="49"/>
  <c r="CG25" i="49"/>
  <c r="CF25" i="49"/>
  <c r="CE25" i="49"/>
  <c r="CD25" i="49"/>
  <c r="CC25" i="49"/>
  <c r="CA25" i="49"/>
  <c r="BZ25" i="49"/>
  <c r="BY25" i="49"/>
  <c r="BX25" i="49"/>
  <c r="BW25" i="49"/>
  <c r="BV25" i="49"/>
  <c r="BT25" i="49"/>
  <c r="BS25" i="49"/>
  <c r="BR25" i="49"/>
  <c r="BP25" i="49"/>
  <c r="BN25" i="49"/>
  <c r="BM25" i="49"/>
  <c r="BL25" i="49"/>
  <c r="BK25" i="49"/>
  <c r="BI25" i="49"/>
  <c r="BH25" i="49"/>
  <c r="BG25" i="49"/>
  <c r="BF25" i="49"/>
  <c r="BE25" i="49"/>
  <c r="BD25" i="49"/>
  <c r="BB25" i="49"/>
  <c r="BA25" i="49"/>
  <c r="AZ25" i="49"/>
  <c r="CG24" i="49"/>
  <c r="CF24" i="49"/>
  <c r="CE24" i="49"/>
  <c r="CD24" i="49"/>
  <c r="CC24" i="49"/>
  <c r="CA24" i="49"/>
  <c r="BZ24" i="49"/>
  <c r="BY24" i="49"/>
  <c r="BX24" i="49"/>
  <c r="BW24" i="49"/>
  <c r="BV24" i="49"/>
  <c r="BT24" i="49"/>
  <c r="BS24" i="49"/>
  <c r="BR24" i="49"/>
  <c r="BP24" i="49"/>
  <c r="BN24" i="49"/>
  <c r="BM24" i="49"/>
  <c r="BL24" i="49"/>
  <c r="BK24" i="49"/>
  <c r="BI24" i="49"/>
  <c r="BH24" i="49"/>
  <c r="BG24" i="49"/>
  <c r="BF24" i="49"/>
  <c r="BE24" i="49"/>
  <c r="BD24" i="49"/>
  <c r="BB24" i="49"/>
  <c r="BA24" i="49"/>
  <c r="AZ24" i="49"/>
  <c r="AX24" i="49"/>
  <c r="CG23" i="49"/>
  <c r="CF23" i="49"/>
  <c r="CE23" i="49"/>
  <c r="CD23" i="49"/>
  <c r="CC23" i="49"/>
  <c r="CA23" i="49"/>
  <c r="BZ23" i="49"/>
  <c r="BY23" i="49"/>
  <c r="BX23" i="49"/>
  <c r="BW23" i="49"/>
  <c r="BV23" i="49"/>
  <c r="BT23" i="49"/>
  <c r="BS23" i="49"/>
  <c r="BR23" i="49"/>
  <c r="BP23" i="49"/>
  <c r="BN23" i="49"/>
  <c r="BM23" i="49"/>
  <c r="BL23" i="49"/>
  <c r="BK23" i="49"/>
  <c r="BI23" i="49"/>
  <c r="BH23" i="49"/>
  <c r="BG23" i="49"/>
  <c r="BF23" i="49"/>
  <c r="BE23" i="49"/>
  <c r="BD23" i="49"/>
  <c r="BB23" i="49"/>
  <c r="BA23" i="49"/>
  <c r="AZ23" i="49"/>
  <c r="AX23" i="49"/>
  <c r="CG22" i="49"/>
  <c r="CF22" i="49"/>
  <c r="CE22" i="49"/>
  <c r="CD22" i="49"/>
  <c r="CC22" i="49"/>
  <c r="CA22" i="49"/>
  <c r="BZ22" i="49"/>
  <c r="BY22" i="49"/>
  <c r="BX22" i="49"/>
  <c r="BW22" i="49"/>
  <c r="BV22" i="49"/>
  <c r="BT22" i="49"/>
  <c r="BS22" i="49"/>
  <c r="BR22" i="49"/>
  <c r="BP22" i="49"/>
  <c r="BN22" i="49"/>
  <c r="BM22" i="49"/>
  <c r="BL22" i="49"/>
  <c r="BK22" i="49"/>
  <c r="BI22" i="49"/>
  <c r="BH22" i="49"/>
  <c r="BG22" i="49"/>
  <c r="BF22" i="49"/>
  <c r="BE22" i="49"/>
  <c r="BD22" i="49"/>
  <c r="BB22" i="49"/>
  <c r="BA22" i="49"/>
  <c r="AZ22" i="49"/>
  <c r="CG21" i="49"/>
  <c r="CF21" i="49"/>
  <c r="CE21" i="49"/>
  <c r="CD21" i="49"/>
  <c r="CC21" i="49"/>
  <c r="CA21" i="49"/>
  <c r="BZ21" i="49"/>
  <c r="BY21" i="49"/>
  <c r="BX21" i="49"/>
  <c r="BW21" i="49"/>
  <c r="BV21" i="49"/>
  <c r="BT21" i="49"/>
  <c r="BS21" i="49"/>
  <c r="BR21" i="49"/>
  <c r="BP21" i="49"/>
  <c r="BN21" i="49"/>
  <c r="BM21" i="49"/>
  <c r="BL21" i="49"/>
  <c r="BK21" i="49"/>
  <c r="BI21" i="49"/>
  <c r="BH21" i="49"/>
  <c r="BG21" i="49"/>
  <c r="BF21" i="49"/>
  <c r="BE21" i="49"/>
  <c r="BD21" i="49"/>
  <c r="BB21" i="49"/>
  <c r="BA21" i="49"/>
  <c r="AZ21" i="49"/>
  <c r="AX21" i="49"/>
  <c r="CG20" i="49"/>
  <c r="CF20" i="49"/>
  <c r="CE20" i="49"/>
  <c r="CD20" i="49"/>
  <c r="CC20" i="49"/>
  <c r="CA20" i="49"/>
  <c r="BZ20" i="49"/>
  <c r="BY20" i="49"/>
  <c r="BX20" i="49"/>
  <c r="BW20" i="49"/>
  <c r="BV20" i="49"/>
  <c r="BT20" i="49"/>
  <c r="BS20" i="49"/>
  <c r="BR20" i="49"/>
  <c r="BP20" i="49"/>
  <c r="BN20" i="49"/>
  <c r="BM20" i="49"/>
  <c r="BL20" i="49"/>
  <c r="BK20" i="49"/>
  <c r="BI20" i="49"/>
  <c r="BH20" i="49"/>
  <c r="BG20" i="49"/>
  <c r="BF20" i="49"/>
  <c r="BE20" i="49"/>
  <c r="BD20" i="49"/>
  <c r="BB20" i="49"/>
  <c r="BA20" i="49"/>
  <c r="AZ20" i="49"/>
  <c r="AX20" i="49"/>
  <c r="CG19" i="49"/>
  <c r="CF19" i="49"/>
  <c r="CE19" i="49"/>
  <c r="CD19" i="49"/>
  <c r="CC19" i="49"/>
  <c r="CA19" i="49"/>
  <c r="BZ19" i="49"/>
  <c r="BY19" i="49"/>
  <c r="BX19" i="49"/>
  <c r="BW19" i="49"/>
  <c r="BV19" i="49"/>
  <c r="BT19" i="49"/>
  <c r="BS19" i="49"/>
  <c r="BR19" i="49"/>
  <c r="BP19" i="49"/>
  <c r="BN19" i="49"/>
  <c r="BM19" i="49"/>
  <c r="BL19" i="49"/>
  <c r="BK19" i="49"/>
  <c r="BI19" i="49"/>
  <c r="BH19" i="49"/>
  <c r="BG19" i="49"/>
  <c r="BF19" i="49"/>
  <c r="BE19" i="49"/>
  <c r="BD19" i="49"/>
  <c r="BB19" i="49"/>
  <c r="BA19" i="49"/>
  <c r="AZ19" i="49"/>
  <c r="AX19" i="49"/>
  <c r="CG18" i="49"/>
  <c r="CF18" i="49"/>
  <c r="CE18" i="49"/>
  <c r="CD18" i="49"/>
  <c r="CC18" i="49"/>
  <c r="CA18" i="49"/>
  <c r="BZ18" i="49"/>
  <c r="BY18" i="49"/>
  <c r="BX18" i="49"/>
  <c r="BW18" i="49"/>
  <c r="BV18" i="49"/>
  <c r="BT18" i="49"/>
  <c r="BS18" i="49"/>
  <c r="BR18" i="49"/>
  <c r="BP18" i="49"/>
  <c r="BN18" i="49"/>
  <c r="BM18" i="49"/>
  <c r="BL18" i="49"/>
  <c r="BK18" i="49"/>
  <c r="BI18" i="49"/>
  <c r="BH18" i="49"/>
  <c r="BG18" i="49"/>
  <c r="BF18" i="49"/>
  <c r="BE18" i="49"/>
  <c r="BD18" i="49"/>
  <c r="BB18" i="49"/>
  <c r="BA18" i="49"/>
  <c r="AZ18" i="49"/>
  <c r="AX18" i="49"/>
  <c r="CG17" i="49"/>
  <c r="CF17" i="49"/>
  <c r="CE17" i="49"/>
  <c r="CD17" i="49"/>
  <c r="CC17" i="49"/>
  <c r="CA17" i="49"/>
  <c r="BZ17" i="49"/>
  <c r="BY17" i="49"/>
  <c r="BX17" i="49"/>
  <c r="BW17" i="49"/>
  <c r="BV17" i="49"/>
  <c r="BT17" i="49"/>
  <c r="BS17" i="49"/>
  <c r="BR17" i="49"/>
  <c r="BP17" i="49"/>
  <c r="BN17" i="49"/>
  <c r="BM17" i="49"/>
  <c r="BL17" i="49"/>
  <c r="BK17" i="49"/>
  <c r="BI17" i="49"/>
  <c r="BH17" i="49"/>
  <c r="BG17" i="49"/>
  <c r="BF17" i="49"/>
  <c r="BE17" i="49"/>
  <c r="BD17" i="49"/>
  <c r="BB17" i="49"/>
  <c r="BA17" i="49"/>
  <c r="AZ17" i="49"/>
  <c r="AX17" i="49"/>
  <c r="CG16" i="49"/>
  <c r="CF16" i="49"/>
  <c r="CE16" i="49"/>
  <c r="CD16" i="49"/>
  <c r="CC16" i="49"/>
  <c r="CA16" i="49"/>
  <c r="BZ16" i="49"/>
  <c r="BY16" i="49"/>
  <c r="BX16" i="49"/>
  <c r="BW16" i="49"/>
  <c r="BV16" i="49"/>
  <c r="BT16" i="49"/>
  <c r="BS16" i="49"/>
  <c r="BR16" i="49"/>
  <c r="BP16" i="49"/>
  <c r="BN16" i="49"/>
  <c r="BM16" i="49"/>
  <c r="BL16" i="49"/>
  <c r="BK16" i="49"/>
  <c r="BI16" i="49"/>
  <c r="BH16" i="49"/>
  <c r="BG16" i="49"/>
  <c r="BF16" i="49"/>
  <c r="BE16" i="49"/>
  <c r="BD16" i="49"/>
  <c r="BB16" i="49"/>
  <c r="BA16" i="49"/>
  <c r="AZ16" i="49"/>
  <c r="AX16" i="49"/>
  <c r="CG15" i="49"/>
  <c r="CF15" i="49"/>
  <c r="CE15" i="49"/>
  <c r="CD15" i="49"/>
  <c r="CC15" i="49"/>
  <c r="CA15" i="49"/>
  <c r="BZ15" i="49"/>
  <c r="BY15" i="49"/>
  <c r="BX15" i="49"/>
  <c r="BW15" i="49"/>
  <c r="BV15" i="49"/>
  <c r="BT15" i="49"/>
  <c r="BS15" i="49"/>
  <c r="BR15" i="49"/>
  <c r="BP15" i="49"/>
  <c r="BN15" i="49"/>
  <c r="BM15" i="49"/>
  <c r="BL15" i="49"/>
  <c r="BK15" i="49"/>
  <c r="BI15" i="49"/>
  <c r="BH15" i="49"/>
  <c r="BG15" i="49"/>
  <c r="BF15" i="49"/>
  <c r="BE15" i="49"/>
  <c r="BD15" i="49"/>
  <c r="BB15" i="49"/>
  <c r="BA15" i="49"/>
  <c r="AZ15" i="49"/>
  <c r="AX15" i="49"/>
  <c r="CG14" i="49"/>
  <c r="CF14" i="49"/>
  <c r="CE14" i="49"/>
  <c r="CD14" i="49"/>
  <c r="CC14" i="49"/>
  <c r="CA14" i="49"/>
  <c r="BZ14" i="49"/>
  <c r="BY14" i="49"/>
  <c r="BX14" i="49"/>
  <c r="BW14" i="49"/>
  <c r="BV14" i="49"/>
  <c r="BT14" i="49"/>
  <c r="BS14" i="49"/>
  <c r="BR14" i="49"/>
  <c r="BP14" i="49"/>
  <c r="BN14" i="49"/>
  <c r="BM14" i="49"/>
  <c r="BL14" i="49"/>
  <c r="BK14" i="49"/>
  <c r="BI14" i="49"/>
  <c r="BH14" i="49"/>
  <c r="BG14" i="49"/>
  <c r="BF14" i="49"/>
  <c r="BE14" i="49"/>
  <c r="BD14" i="49"/>
  <c r="BB14" i="49"/>
  <c r="BA14" i="49"/>
  <c r="AZ14" i="49"/>
  <c r="AX14" i="49"/>
  <c r="CG13" i="49"/>
  <c r="CF13" i="49"/>
  <c r="CE13" i="49"/>
  <c r="CD13" i="49"/>
  <c r="CC13" i="49"/>
  <c r="CA13" i="49"/>
  <c r="BZ13" i="49"/>
  <c r="BY13" i="49"/>
  <c r="BX13" i="49"/>
  <c r="BW13" i="49"/>
  <c r="BV13" i="49"/>
  <c r="BT13" i="49"/>
  <c r="BS13" i="49"/>
  <c r="BR13" i="49"/>
  <c r="BP13" i="49"/>
  <c r="BN13" i="49"/>
  <c r="BM13" i="49"/>
  <c r="BL13" i="49"/>
  <c r="BK13" i="49"/>
  <c r="BI13" i="49"/>
  <c r="BH13" i="49"/>
  <c r="BG13" i="49"/>
  <c r="BF13" i="49"/>
  <c r="BE13" i="49"/>
  <c r="BD13" i="49"/>
  <c r="BB13" i="49"/>
  <c r="BA13" i="49"/>
  <c r="AZ13" i="49"/>
  <c r="AX13" i="49"/>
  <c r="CG12" i="49"/>
  <c r="CF12" i="49"/>
  <c r="CE12" i="49"/>
  <c r="CD12" i="49"/>
  <c r="CC12" i="49"/>
  <c r="CA12" i="49"/>
  <c r="BZ12" i="49"/>
  <c r="BY12" i="49"/>
  <c r="BX12" i="49"/>
  <c r="BW12" i="49"/>
  <c r="BV12" i="49"/>
  <c r="BT12" i="49"/>
  <c r="BS12" i="49"/>
  <c r="BR12" i="49"/>
  <c r="BP12" i="49"/>
  <c r="BN12" i="49"/>
  <c r="BM12" i="49"/>
  <c r="BL12" i="49"/>
  <c r="BK12" i="49"/>
  <c r="BI12" i="49"/>
  <c r="BH12" i="49"/>
  <c r="BG12" i="49"/>
  <c r="BF12" i="49"/>
  <c r="BE12" i="49"/>
  <c r="BD12" i="49"/>
  <c r="BB12" i="49"/>
  <c r="BA12" i="49"/>
  <c r="AZ12" i="49"/>
  <c r="AX12" i="49"/>
  <c r="CG11" i="49"/>
  <c r="CF11" i="49"/>
  <c r="CE11" i="49"/>
  <c r="CD11" i="49"/>
  <c r="CC11" i="49"/>
  <c r="CA11" i="49"/>
  <c r="BZ11" i="49"/>
  <c r="BY11" i="49"/>
  <c r="BX11" i="49"/>
  <c r="BW11" i="49"/>
  <c r="BV11" i="49"/>
  <c r="BT11" i="49"/>
  <c r="BS11" i="49"/>
  <c r="BR11" i="49"/>
  <c r="BP11" i="49"/>
  <c r="BN11" i="49"/>
  <c r="BM11" i="49"/>
  <c r="BL11" i="49"/>
  <c r="BK11" i="49"/>
  <c r="BI11" i="49"/>
  <c r="BH11" i="49"/>
  <c r="BG11" i="49"/>
  <c r="BF11" i="49"/>
  <c r="BE11" i="49"/>
  <c r="BD11" i="49"/>
  <c r="BB11" i="49"/>
  <c r="BA11" i="49"/>
  <c r="AZ11" i="49"/>
  <c r="AX11" i="49"/>
  <c r="CG10" i="49"/>
  <c r="CF10" i="49"/>
  <c r="CE10" i="49"/>
  <c r="CD10" i="49"/>
  <c r="CC10" i="49"/>
  <c r="CA10" i="49"/>
  <c r="BZ10" i="49"/>
  <c r="BY10" i="49"/>
  <c r="BX10" i="49"/>
  <c r="BW10" i="49"/>
  <c r="BV10" i="49"/>
  <c r="BT10" i="49"/>
  <c r="BS10" i="49"/>
  <c r="BR10" i="49"/>
  <c r="BP10" i="49"/>
  <c r="BN10" i="49"/>
  <c r="BM10" i="49"/>
  <c r="BL10" i="49"/>
  <c r="BK10" i="49"/>
  <c r="BI10" i="49"/>
  <c r="BH10" i="49"/>
  <c r="BG10" i="49"/>
  <c r="BF10" i="49"/>
  <c r="BE10" i="49"/>
  <c r="BD10" i="49"/>
  <c r="BB10" i="49"/>
  <c r="BA10" i="49"/>
  <c r="AZ10" i="49"/>
  <c r="AX10" i="49"/>
  <c r="CG9" i="49"/>
  <c r="CF9" i="49"/>
  <c r="CE9" i="49"/>
  <c r="CD9" i="49"/>
  <c r="CC9" i="49"/>
  <c r="CA9" i="49"/>
  <c r="BZ9" i="49"/>
  <c r="BY9" i="49"/>
  <c r="BX9" i="49"/>
  <c r="BW9" i="49"/>
  <c r="BV9" i="49"/>
  <c r="BT9" i="49"/>
  <c r="BS9" i="49"/>
  <c r="BR9" i="49"/>
  <c r="BP9" i="49"/>
  <c r="BN9" i="49"/>
  <c r="BM9" i="49"/>
  <c r="BL9" i="49"/>
  <c r="BK9" i="49"/>
  <c r="BI9" i="49"/>
  <c r="BH9" i="49"/>
  <c r="BG9" i="49"/>
  <c r="BF9" i="49"/>
  <c r="BE9" i="49"/>
  <c r="BD9" i="49"/>
  <c r="BB9" i="49"/>
  <c r="BA9" i="49"/>
  <c r="AZ9" i="49"/>
  <c r="CG8" i="49"/>
  <c r="CF8" i="49"/>
  <c r="CE8" i="49"/>
  <c r="CD8" i="49"/>
  <c r="CC8" i="49"/>
  <c r="CA8" i="49"/>
  <c r="BZ8" i="49"/>
  <c r="BY8" i="49"/>
  <c r="BX8" i="49"/>
  <c r="BW8" i="49"/>
  <c r="BV8" i="49"/>
  <c r="BT8" i="49"/>
  <c r="BS8" i="49"/>
  <c r="BR8" i="49"/>
  <c r="BP8" i="49"/>
  <c r="BN8" i="49"/>
  <c r="BM8" i="49"/>
  <c r="BL8" i="49"/>
  <c r="BK8" i="49"/>
  <c r="BI8" i="49"/>
  <c r="BH8" i="49"/>
  <c r="BG8" i="49"/>
  <c r="BF8" i="49"/>
  <c r="BE8" i="49"/>
  <c r="BD8" i="49"/>
  <c r="BB8" i="49"/>
  <c r="BA8" i="49"/>
  <c r="AZ8" i="49"/>
  <c r="AX8" i="49"/>
  <c r="CG7" i="49"/>
  <c r="CF7" i="49"/>
  <c r="CE7" i="49"/>
  <c r="CD7" i="49"/>
  <c r="CC7" i="49"/>
  <c r="CA7" i="49"/>
  <c r="BZ7" i="49"/>
  <c r="BY7" i="49"/>
  <c r="BX7" i="49"/>
  <c r="BW7" i="49"/>
  <c r="BV7" i="49"/>
  <c r="BT7" i="49"/>
  <c r="BS7" i="49"/>
  <c r="BR7" i="49"/>
  <c r="BP7" i="49"/>
  <c r="BN7" i="49"/>
  <c r="BM7" i="49"/>
  <c r="BL7" i="49"/>
  <c r="BK7" i="49"/>
  <c r="BI7" i="49"/>
  <c r="BH7" i="49"/>
  <c r="BG7" i="49"/>
  <c r="BF7" i="49"/>
  <c r="BE7" i="49"/>
  <c r="BD7" i="49"/>
  <c r="BB7" i="49"/>
  <c r="BA7" i="49"/>
  <c r="AZ7" i="49"/>
  <c r="AX7" i="49"/>
  <c r="CG6" i="49"/>
  <c r="CF6" i="49"/>
  <c r="CE6" i="49"/>
  <c r="CD6" i="49"/>
  <c r="CC6" i="49"/>
  <c r="CA6" i="49"/>
  <c r="BZ6" i="49"/>
  <c r="BY6" i="49"/>
  <c r="BX6" i="49"/>
  <c r="BW6" i="49"/>
  <c r="BV6" i="49"/>
  <c r="BT6" i="49"/>
  <c r="BS6" i="49"/>
  <c r="BR6" i="49"/>
  <c r="BP6" i="49"/>
  <c r="BN6" i="49"/>
  <c r="BM6" i="49"/>
  <c r="BL6" i="49"/>
  <c r="BK6" i="49"/>
  <c r="BI6" i="49"/>
  <c r="BH6" i="49"/>
  <c r="BG6" i="49"/>
  <c r="BF6" i="49"/>
  <c r="BE6" i="49"/>
  <c r="BD6" i="49"/>
  <c r="BB6" i="49"/>
  <c r="BA6" i="49"/>
  <c r="AZ6" i="49"/>
  <c r="AX6" i="49"/>
  <c r="CG5" i="49"/>
  <c r="CF5" i="49"/>
  <c r="CE5" i="49"/>
  <c r="CD5" i="49"/>
  <c r="CC5" i="49"/>
  <c r="CA5" i="49"/>
  <c r="BZ5" i="49"/>
  <c r="BY5" i="49"/>
  <c r="BX5" i="49"/>
  <c r="BW5" i="49"/>
  <c r="BV5" i="49"/>
  <c r="BT5" i="49"/>
  <c r="BS5" i="49"/>
  <c r="BR5" i="49"/>
  <c r="BP5" i="49"/>
  <c r="BN5" i="49"/>
  <c r="BM5" i="49"/>
  <c r="BL5" i="49"/>
  <c r="BK5" i="49"/>
  <c r="BI5" i="49"/>
  <c r="BH5" i="49"/>
  <c r="BG5" i="49"/>
  <c r="BF5" i="49"/>
  <c r="BE5" i="49"/>
  <c r="BD5" i="49"/>
  <c r="BB5" i="49"/>
  <c r="BA5" i="49"/>
  <c r="AZ5" i="49"/>
  <c r="AX5" i="49"/>
  <c r="B5" i="49"/>
  <c r="CG4" i="49"/>
  <c r="CF4" i="49"/>
  <c r="CE4" i="49"/>
  <c r="CD4" i="49"/>
  <c r="CC4" i="49"/>
  <c r="CA4" i="49"/>
  <c r="BZ4" i="49"/>
  <c r="BY4" i="49"/>
  <c r="BX4" i="49"/>
  <c r="BW4" i="49"/>
  <c r="BV4" i="49"/>
  <c r="BT4" i="49"/>
  <c r="BS4" i="49"/>
  <c r="BR4" i="49"/>
  <c r="BP4" i="49"/>
  <c r="BN4" i="49"/>
  <c r="BM4" i="49"/>
  <c r="BL4" i="49"/>
  <c r="BK4" i="49"/>
  <c r="BI4" i="49"/>
  <c r="BH4" i="49"/>
  <c r="BG4" i="49"/>
  <c r="BF4" i="49"/>
  <c r="BE4" i="49"/>
  <c r="BD4" i="49"/>
  <c r="BB4" i="49"/>
  <c r="BA4" i="49"/>
  <c r="AZ4" i="49"/>
  <c r="AX4" i="49"/>
  <c r="B4" i="49"/>
  <c r="CC33" i="63" l="1"/>
  <c r="BI36" i="54"/>
  <c r="AZ36" i="54"/>
  <c r="CE35" i="65"/>
  <c r="CE35" i="54"/>
  <c r="CF33" i="62"/>
  <c r="CC32" i="51"/>
  <c r="BE9" i="60"/>
  <c r="CD33" i="51"/>
  <c r="CE36" i="54"/>
  <c r="BH36" i="54"/>
  <c r="CD36" i="55"/>
  <c r="CF35" i="54"/>
  <c r="CD35" i="55"/>
  <c r="BI36" i="55"/>
  <c r="BR33" i="63"/>
  <c r="BC32" i="62"/>
  <c r="BH33" i="51"/>
  <c r="BH35" i="54"/>
  <c r="CC32" i="62"/>
  <c r="BW32" i="62"/>
  <c r="CC33" i="62"/>
  <c r="BJ31" i="60"/>
  <c r="BE23" i="60"/>
  <c r="BR22" i="60"/>
  <c r="BE31" i="60"/>
  <c r="BK35" i="52"/>
  <c r="BK7" i="60"/>
  <c r="BM5" i="60"/>
  <c r="BR8" i="60"/>
  <c r="BM9" i="60"/>
  <c r="BR12" i="60"/>
  <c r="BR16" i="60"/>
  <c r="BM17" i="60"/>
  <c r="BK19" i="60"/>
  <c r="BR20" i="60"/>
  <c r="BS4" i="60"/>
  <c r="BS6" i="60"/>
  <c r="BS10" i="60"/>
  <c r="BL29" i="60"/>
  <c r="BE29" i="60"/>
  <c r="BM25" i="60"/>
  <c r="BK35" i="50"/>
  <c r="CE35" i="50"/>
  <c r="BR24" i="60"/>
  <c r="BL23" i="60"/>
  <c r="BD18" i="60"/>
  <c r="CC7" i="60"/>
  <c r="BD4" i="60"/>
  <c r="BE5" i="60"/>
  <c r="BD6" i="60"/>
  <c r="BD10" i="60"/>
  <c r="BD7" i="60"/>
  <c r="BQ7" i="60"/>
  <c r="BD11" i="60"/>
  <c r="BD17" i="60"/>
  <c r="BD19" i="60"/>
  <c r="BR23" i="60"/>
  <c r="BE28" i="60"/>
  <c r="BR29" i="60"/>
  <c r="BH5" i="60"/>
  <c r="CC8" i="60"/>
  <c r="BH9" i="60"/>
  <c r="CC12" i="60"/>
  <c r="BH13" i="60"/>
  <c r="BS14" i="60"/>
  <c r="CC16" i="60"/>
  <c r="BS18" i="60"/>
  <c r="BS20" i="60"/>
  <c r="BS22" i="60"/>
  <c r="AY24" i="60"/>
  <c r="CC24" i="60"/>
  <c r="AY26" i="60"/>
  <c r="CC26" i="60"/>
  <c r="BZ27" i="60"/>
  <c r="BS28" i="60"/>
  <c r="BS30" i="60"/>
  <c r="BH31" i="60"/>
  <c r="BH4" i="60"/>
  <c r="BS5" i="60"/>
  <c r="BZ6" i="60"/>
  <c r="BH6" i="60"/>
  <c r="BS9" i="60"/>
  <c r="BZ10" i="60"/>
  <c r="BS11" i="60"/>
  <c r="BS15" i="60"/>
  <c r="BS17" i="60"/>
  <c r="BS19" i="60"/>
  <c r="CC23" i="60"/>
  <c r="BS27" i="60"/>
  <c r="CC29" i="60"/>
  <c r="BS31" i="60"/>
  <c r="BM4" i="60"/>
  <c r="BJ6" i="60"/>
  <c r="BJ10" i="60"/>
  <c r="BJ14" i="60"/>
  <c r="BJ26" i="60"/>
  <c r="BD31" i="60"/>
  <c r="BO31" i="60"/>
  <c r="BD30" i="60"/>
  <c r="BH30" i="60"/>
  <c r="BM30" i="60"/>
  <c r="BR30" i="60"/>
  <c r="BE30" i="60"/>
  <c r="AY29" i="60"/>
  <c r="BD28" i="60"/>
  <c r="BM28" i="60"/>
  <c r="BE27" i="60"/>
  <c r="BD27" i="60"/>
  <c r="BO27" i="60"/>
  <c r="BO26" i="60"/>
  <c r="BE26" i="60"/>
  <c r="BS25" i="60"/>
  <c r="BO25" i="60"/>
  <c r="BE24" i="60"/>
  <c r="BL24" i="60"/>
  <c r="BE19" i="60"/>
  <c r="BQ19" i="60"/>
  <c r="BL20" i="60"/>
  <c r="BE20" i="60"/>
  <c r="BO18" i="60"/>
  <c r="BE36" i="50"/>
  <c r="BE17" i="60"/>
  <c r="BR17" i="60"/>
  <c r="BF36" i="50"/>
  <c r="BL16" i="60"/>
  <c r="BE16" i="60"/>
  <c r="BK15" i="60"/>
  <c r="BE15" i="60"/>
  <c r="BD15" i="60"/>
  <c r="BQ15" i="60"/>
  <c r="BE14" i="60"/>
  <c r="BD14" i="60"/>
  <c r="BO14" i="60"/>
  <c r="BE36" i="52"/>
  <c r="BE12" i="60"/>
  <c r="BX12" i="60"/>
  <c r="BL12" i="60"/>
  <c r="BK11" i="60"/>
  <c r="BE11" i="60"/>
  <c r="BQ11" i="60"/>
  <c r="BO10" i="60"/>
  <c r="BE10" i="60"/>
  <c r="BD9" i="60"/>
  <c r="CD9" i="60"/>
  <c r="BR9" i="60"/>
  <c r="BL8" i="60"/>
  <c r="BE8" i="60"/>
  <c r="BE7" i="60"/>
  <c r="BM36" i="50"/>
  <c r="BF35" i="50"/>
  <c r="CE36" i="50"/>
  <c r="BO6" i="60"/>
  <c r="BV6" i="60"/>
  <c r="BE6" i="60"/>
  <c r="BI35" i="53"/>
  <c r="BO5" i="60"/>
  <c r="CE36" i="52"/>
  <c r="BE35" i="52"/>
  <c r="BP36" i="52"/>
  <c r="BZ36" i="52"/>
  <c r="CD36" i="52"/>
  <c r="BP35" i="52"/>
  <c r="BZ35" i="52"/>
  <c r="CD35" i="52"/>
  <c r="BF35" i="52"/>
  <c r="BI35" i="52"/>
  <c r="BE35" i="50"/>
  <c r="BP36" i="50"/>
  <c r="BY36" i="50"/>
  <c r="BP35" i="50"/>
  <c r="BY35" i="50"/>
  <c r="BL36" i="50"/>
  <c r="BO4" i="60"/>
  <c r="BL35" i="50"/>
  <c r="BN35" i="50"/>
  <c r="AZ36" i="50"/>
  <c r="AZ35" i="50"/>
  <c r="BE4" i="60"/>
  <c r="CD4" i="60"/>
  <c r="BJ18" i="60"/>
  <c r="BE18" i="60"/>
  <c r="BZ18" i="60"/>
  <c r="CD35" i="50"/>
  <c r="CD36" i="50"/>
  <c r="BT36" i="50"/>
  <c r="CE35" i="52"/>
  <c r="CG36" i="52"/>
  <c r="BR36" i="52"/>
  <c r="CA36" i="52"/>
  <c r="BW35" i="55"/>
  <c r="CE36" i="55"/>
  <c r="BA35" i="65"/>
  <c r="BK35" i="65"/>
  <c r="BA36" i="65"/>
  <c r="BK36" i="65"/>
  <c r="BG32" i="62"/>
  <c r="CB32" i="62"/>
  <c r="CD33" i="62"/>
  <c r="BD33" i="62"/>
  <c r="CB32" i="51"/>
  <c r="CF4" i="60"/>
  <c r="AZ4" i="60"/>
  <c r="BU5" i="60"/>
  <c r="AW6" i="60"/>
  <c r="BK10" i="60"/>
  <c r="CE12" i="60"/>
  <c r="CF35" i="50"/>
  <c r="BI35" i="50"/>
  <c r="BT35" i="50"/>
  <c r="CF36" i="50"/>
  <c r="BK36" i="50"/>
  <c r="BY35" i="53"/>
  <c r="BW35" i="52"/>
  <c r="CG35" i="54"/>
  <c r="BA35" i="54"/>
  <c r="BI35" i="54"/>
  <c r="BA36" i="54"/>
  <c r="BK36" i="54"/>
  <c r="BY35" i="55"/>
  <c r="BW36" i="55"/>
  <c r="CD35" i="65"/>
  <c r="BD35" i="65"/>
  <c r="BM35" i="65"/>
  <c r="CD36" i="65"/>
  <c r="BD36" i="65"/>
  <c r="BM36" i="65"/>
  <c r="CF33" i="63"/>
  <c r="AW33" i="63"/>
  <c r="BW33" i="63"/>
  <c r="CE32" i="62"/>
  <c r="BH32" i="62"/>
  <c r="BM33" i="62"/>
  <c r="CE32" i="51"/>
  <c r="BM32" i="51"/>
  <c r="CF33" i="51"/>
  <c r="AZ33" i="51"/>
  <c r="BZ14" i="60"/>
  <c r="BH14" i="60"/>
  <c r="BH18" i="60"/>
  <c r="AY23" i="60"/>
  <c r="CG35" i="50"/>
  <c r="CG36" i="50"/>
  <c r="AX35" i="53"/>
  <c r="AX36" i="53"/>
  <c r="BY36" i="53"/>
  <c r="BY35" i="52"/>
  <c r="BW36" i="52"/>
  <c r="BD35" i="54"/>
  <c r="BK35" i="54"/>
  <c r="CD36" i="54"/>
  <c r="BD36" i="54"/>
  <c r="BM36" i="54"/>
  <c r="CG35" i="55"/>
  <c r="BR35" i="55"/>
  <c r="CA35" i="55"/>
  <c r="BY36" i="55"/>
  <c r="CF35" i="65"/>
  <c r="BS35" i="65"/>
  <c r="CF36" i="65"/>
  <c r="BS36" i="65"/>
  <c r="CD33" i="63"/>
  <c r="BC33" i="63"/>
  <c r="CB33" i="63"/>
  <c r="CF32" i="62"/>
  <c r="AW32" i="62"/>
  <c r="BR32" i="62"/>
  <c r="CE33" i="62"/>
  <c r="BX33" i="62"/>
  <c r="CF32" i="51"/>
  <c r="AY32" i="51"/>
  <c r="BX32" i="51"/>
  <c r="BY4" i="60"/>
  <c r="CC4" i="60"/>
  <c r="BJ4" i="60"/>
  <c r="BZ7" i="60"/>
  <c r="BD8" i="60"/>
  <c r="AZ25" i="60"/>
  <c r="BA35" i="50"/>
  <c r="BM35" i="50"/>
  <c r="BI36" i="50"/>
  <c r="BA36" i="50"/>
  <c r="BN36" i="50"/>
  <c r="CG35" i="52"/>
  <c r="BR35" i="52"/>
  <c r="CA35" i="52"/>
  <c r="BI36" i="52"/>
  <c r="BY36" i="52"/>
  <c r="CD35" i="54"/>
  <c r="BM35" i="54"/>
  <c r="CF36" i="54"/>
  <c r="CE35" i="55"/>
  <c r="CG36" i="55"/>
  <c r="BR36" i="55"/>
  <c r="CA36" i="55"/>
  <c r="CG35" i="65"/>
  <c r="AX35" i="65"/>
  <c r="BH35" i="65"/>
  <c r="BX35" i="65"/>
  <c r="CG36" i="65"/>
  <c r="AX36" i="65"/>
  <c r="BH36" i="65"/>
  <c r="BX36" i="65"/>
  <c r="CF32" i="63"/>
  <c r="BG33" i="63"/>
  <c r="CD32" i="62"/>
  <c r="AY33" i="62"/>
  <c r="CD32" i="51"/>
  <c r="BD32" i="51"/>
  <c r="CC33" i="51"/>
  <c r="BJ33" i="51"/>
  <c r="CD5" i="60"/>
  <c r="BH17" i="60"/>
  <c r="BS20" i="59"/>
  <c r="BS16" i="59"/>
  <c r="BS18" i="59"/>
  <c r="BS12" i="59"/>
  <c r="BS25" i="59"/>
  <c r="BI35" i="56"/>
  <c r="CB11" i="60"/>
  <c r="CE11" i="60"/>
  <c r="BI36" i="56"/>
  <c r="BR11" i="60"/>
  <c r="BY35" i="56"/>
  <c r="BY36" i="56"/>
  <c r="BS10" i="59"/>
  <c r="BS19" i="59"/>
  <c r="A5" i="66"/>
  <c r="BS31" i="59"/>
  <c r="BE31" i="59"/>
  <c r="BS28" i="59"/>
  <c r="BS27" i="59"/>
  <c r="BS23" i="59"/>
  <c r="BS17" i="59"/>
  <c r="BS15" i="59"/>
  <c r="BS14" i="59"/>
  <c r="BS11" i="59"/>
  <c r="BV35" i="50"/>
  <c r="BB35" i="50"/>
  <c r="BG35" i="50"/>
  <c r="BR35" i="50"/>
  <c r="BW35" i="50"/>
  <c r="CA35" i="50"/>
  <c r="BB36" i="50"/>
  <c r="BG36" i="50"/>
  <c r="BR36" i="50"/>
  <c r="BW36" i="50"/>
  <c r="CA36" i="50"/>
  <c r="BG35" i="56"/>
  <c r="BG36" i="56"/>
  <c r="BI36" i="53"/>
  <c r="BV36" i="50"/>
  <c r="AX35" i="50"/>
  <c r="BD35" i="50"/>
  <c r="BH35" i="50"/>
  <c r="BS35" i="50"/>
  <c r="BX35" i="50"/>
  <c r="CC35" i="50"/>
  <c r="AX36" i="50"/>
  <c r="BD36" i="50"/>
  <c r="BH36" i="50"/>
  <c r="BS36" i="50"/>
  <c r="BX36" i="50"/>
  <c r="CC36" i="50"/>
  <c r="AX35" i="56"/>
  <c r="AX36" i="56"/>
  <c r="BZ35" i="50"/>
  <c r="BZ36" i="50"/>
  <c r="BB35" i="52"/>
  <c r="BG35" i="52"/>
  <c r="BL35" i="52"/>
  <c r="CF35" i="52"/>
  <c r="BB36" i="52"/>
  <c r="BG36" i="52"/>
  <c r="BL36" i="52"/>
  <c r="CF36" i="52"/>
  <c r="BP35" i="54"/>
  <c r="BV35" i="54"/>
  <c r="BZ35" i="54"/>
  <c r="BP36" i="54"/>
  <c r="BV36" i="54"/>
  <c r="BZ36" i="54"/>
  <c r="BB35" i="55"/>
  <c r="BG35" i="55"/>
  <c r="BL35" i="55"/>
  <c r="CF35" i="55"/>
  <c r="BB36" i="55"/>
  <c r="BG36" i="55"/>
  <c r="BL36" i="55"/>
  <c r="CF36" i="55"/>
  <c r="CC35" i="65"/>
  <c r="CC36" i="65"/>
  <c r="CD32" i="63"/>
  <c r="AY32" i="63"/>
  <c r="BD32" i="63"/>
  <c r="BH32" i="63"/>
  <c r="CE32" i="63"/>
  <c r="B4" i="68"/>
  <c r="AX35" i="52"/>
  <c r="BD35" i="52"/>
  <c r="BH35" i="52"/>
  <c r="BM35" i="52"/>
  <c r="BS35" i="52"/>
  <c r="BX35" i="52"/>
  <c r="CC35" i="52"/>
  <c r="AX36" i="52"/>
  <c r="BD36" i="52"/>
  <c r="BH36" i="52"/>
  <c r="BM36" i="52"/>
  <c r="BS36" i="52"/>
  <c r="BX36" i="52"/>
  <c r="CC36" i="52"/>
  <c r="BB35" i="54"/>
  <c r="BG35" i="54"/>
  <c r="BL35" i="54"/>
  <c r="BR35" i="54"/>
  <c r="BW35" i="54"/>
  <c r="CA35" i="54"/>
  <c r="BB36" i="54"/>
  <c r="BG36" i="54"/>
  <c r="BL36" i="54"/>
  <c r="BR36" i="54"/>
  <c r="BW36" i="54"/>
  <c r="CA36" i="54"/>
  <c r="AX35" i="55"/>
  <c r="BD35" i="55"/>
  <c r="BH35" i="55"/>
  <c r="BM35" i="55"/>
  <c r="BS35" i="55"/>
  <c r="BX35" i="55"/>
  <c r="CC35" i="55"/>
  <c r="AX36" i="55"/>
  <c r="BD36" i="55"/>
  <c r="BH36" i="55"/>
  <c r="BM36" i="55"/>
  <c r="BS36" i="55"/>
  <c r="BX36" i="55"/>
  <c r="CC36" i="55"/>
  <c r="AZ35" i="65"/>
  <c r="BI35" i="65"/>
  <c r="BN35" i="65"/>
  <c r="BT35" i="65"/>
  <c r="BY35" i="65"/>
  <c r="AZ36" i="65"/>
  <c r="BI36" i="65"/>
  <c r="BN36" i="65"/>
  <c r="BT36" i="65"/>
  <c r="BY36" i="65"/>
  <c r="B4" i="64"/>
  <c r="BS6" i="59"/>
  <c r="BR32" i="63"/>
  <c r="BO32" i="63"/>
  <c r="CB32" i="63"/>
  <c r="BW32" i="63"/>
  <c r="BY32" i="63"/>
  <c r="BU32" i="63"/>
  <c r="BX32" i="63"/>
  <c r="CC32" i="63"/>
  <c r="AZ32" i="63"/>
  <c r="BJ32" i="63"/>
  <c r="BG35" i="53"/>
  <c r="BG36" i="53"/>
  <c r="A5" i="69"/>
  <c r="A6" i="69" s="1"/>
  <c r="A7" i="69" s="1"/>
  <c r="B7" i="69" s="1"/>
  <c r="AZ35" i="52"/>
  <c r="BN35" i="52"/>
  <c r="AZ36" i="52"/>
  <c r="BN36" i="52"/>
  <c r="AX35" i="54"/>
  <c r="BX35" i="54"/>
  <c r="CC35" i="54"/>
  <c r="AX36" i="54"/>
  <c r="BX36" i="54"/>
  <c r="CC36" i="54"/>
  <c r="CG36" i="54"/>
  <c r="AZ35" i="55"/>
  <c r="BN35" i="55"/>
  <c r="AZ36" i="55"/>
  <c r="BN36" i="55"/>
  <c r="BP35" i="65"/>
  <c r="BV35" i="65"/>
  <c r="BZ35" i="65"/>
  <c r="BP36" i="65"/>
  <c r="BV36" i="65"/>
  <c r="BZ36" i="65"/>
  <c r="BA32" i="63"/>
  <c r="BK32" i="63"/>
  <c r="BV32" i="63"/>
  <c r="BH33" i="63"/>
  <c r="B5" i="57"/>
  <c r="A6" i="57"/>
  <c r="A7" i="57" s="1"/>
  <c r="B4" i="52"/>
  <c r="BA35" i="52"/>
  <c r="BV35" i="52"/>
  <c r="BA36" i="52"/>
  <c r="BV36" i="52"/>
  <c r="B4" i="54"/>
  <c r="AZ35" i="54"/>
  <c r="BA35" i="55"/>
  <c r="BV35" i="55"/>
  <c r="BA36" i="55"/>
  <c r="BV36" i="55"/>
  <c r="BB35" i="65"/>
  <c r="BG35" i="65"/>
  <c r="BW35" i="65"/>
  <c r="BB36" i="65"/>
  <c r="BG36" i="65"/>
  <c r="BW36" i="65"/>
  <c r="AW32" i="63"/>
  <c r="BC32" i="63"/>
  <c r="BM32" i="63"/>
  <c r="BZ32" i="63"/>
  <c r="BM33" i="63"/>
  <c r="AY33" i="63"/>
  <c r="BK33" i="63"/>
  <c r="BA33" i="63"/>
  <c r="BJ33" i="63"/>
  <c r="AZ33" i="63"/>
  <c r="BO33" i="63"/>
  <c r="BU33" i="63"/>
  <c r="BY33" i="63"/>
  <c r="AZ32" i="62"/>
  <c r="BJ32" i="62"/>
  <c r="BO32" i="62"/>
  <c r="BU32" i="62"/>
  <c r="BY32" i="62"/>
  <c r="BA33" i="62"/>
  <c r="BF33" i="62"/>
  <c r="BK33" i="62"/>
  <c r="BQ33" i="62"/>
  <c r="BV33" i="62"/>
  <c r="BZ33" i="62"/>
  <c r="A5" i="51"/>
  <c r="B5" i="51" s="1"/>
  <c r="AZ32" i="51"/>
  <c r="BJ32" i="51"/>
  <c r="BO32" i="51"/>
  <c r="BU32" i="51"/>
  <c r="BY32" i="51"/>
  <c r="BA33" i="51"/>
  <c r="BF33" i="51"/>
  <c r="BK33" i="51"/>
  <c r="BQ33" i="51"/>
  <c r="BV33" i="51"/>
  <c r="BZ33" i="51"/>
  <c r="CE33" i="51"/>
  <c r="BA4" i="60"/>
  <c r="BF4" i="60"/>
  <c r="BK4" i="60"/>
  <c r="BQ4" i="60"/>
  <c r="BV4" i="60"/>
  <c r="BZ4" i="60"/>
  <c r="CE4" i="60"/>
  <c r="CF5" i="60"/>
  <c r="AZ5" i="60"/>
  <c r="CF6" i="60"/>
  <c r="BA6" i="60"/>
  <c r="BG7" i="60"/>
  <c r="CB8" i="60"/>
  <c r="BM8" i="60"/>
  <c r="CF9" i="60"/>
  <c r="AZ9" i="60"/>
  <c r="BY10" i="60"/>
  <c r="CC10" i="60"/>
  <c r="BQ10" i="60"/>
  <c r="CF11" i="60"/>
  <c r="AW11" i="60"/>
  <c r="BW11" i="60"/>
  <c r="CF12" i="60"/>
  <c r="AY12" i="60"/>
  <c r="BX13" i="60"/>
  <c r="CF14" i="60"/>
  <c r="BA14" i="60"/>
  <c r="BZ15" i="60"/>
  <c r="CC15" i="60"/>
  <c r="BG15" i="60"/>
  <c r="CF16" i="60"/>
  <c r="BX17" i="60"/>
  <c r="CC17" i="60"/>
  <c r="CF18" i="60"/>
  <c r="BQ18" i="60"/>
  <c r="CD19" i="60"/>
  <c r="BR19" i="60"/>
  <c r="CD20" i="60"/>
  <c r="BH21" i="60"/>
  <c r="BH27" i="60"/>
  <c r="CD28" i="60"/>
  <c r="CD30" i="60"/>
  <c r="B4" i="57"/>
  <c r="BF33" i="63"/>
  <c r="BV33" i="63"/>
  <c r="BZ33" i="63"/>
  <c r="CE33" i="63"/>
  <c r="BA32" i="62"/>
  <c r="BF32" i="62"/>
  <c r="BK32" i="62"/>
  <c r="BV32" i="62"/>
  <c r="BZ32" i="62"/>
  <c r="AW33" i="62"/>
  <c r="BC33" i="62"/>
  <c r="BL33" i="62"/>
  <c r="BR33" i="62"/>
  <c r="BW33" i="62"/>
  <c r="CB33" i="62"/>
  <c r="BA32" i="51"/>
  <c r="BF32" i="51"/>
  <c r="BK32" i="51"/>
  <c r="BQ32" i="51"/>
  <c r="BV32" i="51"/>
  <c r="BZ32" i="51"/>
  <c r="AW33" i="51"/>
  <c r="BC33" i="51"/>
  <c r="BG33" i="51"/>
  <c r="BL33" i="51"/>
  <c r="BR33" i="51"/>
  <c r="BW33" i="51"/>
  <c r="CB33" i="51"/>
  <c r="AW4" i="60"/>
  <c r="BC4" i="60"/>
  <c r="BG4" i="60"/>
  <c r="BL4" i="60"/>
  <c r="BR4" i="60"/>
  <c r="BW4" i="60"/>
  <c r="CB4" i="60"/>
  <c r="CD6" i="60"/>
  <c r="BK6" i="60"/>
  <c r="CE7" i="60"/>
  <c r="BR7" i="60"/>
  <c r="CE8" i="60"/>
  <c r="BX8" i="60"/>
  <c r="BH10" i="60"/>
  <c r="BV10" i="60"/>
  <c r="CD11" i="60"/>
  <c r="BC11" i="60"/>
  <c r="CD12" i="60"/>
  <c r="BD12" i="60"/>
  <c r="CD14" i="60"/>
  <c r="BK14" i="60"/>
  <c r="CE15" i="60"/>
  <c r="BR15" i="60"/>
  <c r="CD16" i="60"/>
  <c r="CD18" i="60"/>
  <c r="BZ19" i="60"/>
  <c r="CC19" i="60"/>
  <c r="CB20" i="60"/>
  <c r="CC20" i="60"/>
  <c r="BX22" i="60"/>
  <c r="BX26" i="60"/>
  <c r="BX30" i="60"/>
  <c r="CC30" i="60"/>
  <c r="CF31" i="60"/>
  <c r="BL32" i="62"/>
  <c r="BH33" i="62"/>
  <c r="BS33" i="62"/>
  <c r="AW32" i="51"/>
  <c r="BC32" i="51"/>
  <c r="BW32" i="51"/>
  <c r="AY33" i="51"/>
  <c r="BX33" i="51"/>
  <c r="AY4" i="60"/>
  <c r="BX4" i="60"/>
  <c r="BY5" i="60"/>
  <c r="CC5" i="60"/>
  <c r="BJ5" i="60"/>
  <c r="BY6" i="60"/>
  <c r="CC6" i="60"/>
  <c r="BQ6" i="60"/>
  <c r="BH7" i="60"/>
  <c r="AW7" i="60"/>
  <c r="BW7" i="60"/>
  <c r="CF8" i="60"/>
  <c r="AY8" i="60"/>
  <c r="BX9" i="60"/>
  <c r="CC9" i="60"/>
  <c r="BJ9" i="60"/>
  <c r="CF10" i="60"/>
  <c r="BA10" i="60"/>
  <c r="BZ11" i="60"/>
  <c r="CC11" i="60"/>
  <c r="BG11" i="60"/>
  <c r="CB12" i="60"/>
  <c r="BM12" i="60"/>
  <c r="BY14" i="60"/>
  <c r="CC14" i="60"/>
  <c r="BQ14" i="60"/>
  <c r="CF15" i="60"/>
  <c r="AW15" i="60"/>
  <c r="CB16" i="60"/>
  <c r="CF17" i="60"/>
  <c r="BY18" i="60"/>
  <c r="CC18" i="60"/>
  <c r="CE19" i="60"/>
  <c r="CE20" i="60"/>
  <c r="BH23" i="60"/>
  <c r="CD25" i="60"/>
  <c r="CD31" i="60"/>
  <c r="AY32" i="62"/>
  <c r="BS32" i="62"/>
  <c r="AZ33" i="62"/>
  <c r="BU33" i="62"/>
  <c r="BS32" i="51"/>
  <c r="BU33" i="51"/>
  <c r="BU4" i="60"/>
  <c r="CD7" i="60"/>
  <c r="BC7" i="60"/>
  <c r="CB7" i="60"/>
  <c r="CD8" i="60"/>
  <c r="CD10" i="60"/>
  <c r="BV14" i="60"/>
  <c r="CD15" i="60"/>
  <c r="BC15" i="60"/>
  <c r="CE16" i="60"/>
  <c r="CF19" i="60"/>
  <c r="AW19" i="60"/>
  <c r="CF20" i="60"/>
  <c r="BX21" i="60"/>
  <c r="CF30" i="60"/>
  <c r="BY31" i="60"/>
  <c r="CC31" i="60"/>
  <c r="BS9" i="59"/>
  <c r="BS8" i="59"/>
  <c r="BS7" i="59"/>
  <c r="BS5" i="59"/>
  <c r="A23" i="77"/>
  <c r="B22" i="77"/>
  <c r="B21" i="76"/>
  <c r="A22" i="76"/>
  <c r="A9" i="70"/>
  <c r="B8" i="70"/>
  <c r="B8" i="71"/>
  <c r="A9" i="71"/>
  <c r="B9" i="71" s="1"/>
  <c r="B8" i="72"/>
  <c r="A9" i="72"/>
  <c r="B9" i="72" s="1"/>
  <c r="A9" i="73"/>
  <c r="B8" i="73"/>
  <c r="A9" i="74"/>
  <c r="B8" i="74"/>
  <c r="A9" i="75"/>
  <c r="B8" i="75"/>
  <c r="BY4" i="64"/>
  <c r="CC7" i="59"/>
  <c r="CC11" i="59"/>
  <c r="CC15" i="59"/>
  <c r="CC19" i="59"/>
  <c r="CC6" i="59"/>
  <c r="CC10" i="59"/>
  <c r="CC14" i="59"/>
  <c r="CC18" i="59"/>
  <c r="CC5" i="59"/>
  <c r="CC9" i="59"/>
  <c r="CC17" i="59"/>
  <c r="CC8" i="59"/>
  <c r="CC12" i="59"/>
  <c r="CC16" i="59"/>
  <c r="CC20" i="59"/>
  <c r="BF24" i="64"/>
  <c r="CE33" i="64"/>
  <c r="BD33" i="64"/>
  <c r="AZ34" i="64"/>
  <c r="BE34" i="64"/>
  <c r="BI34" i="64"/>
  <c r="BN34" i="64"/>
  <c r="BY34" i="64"/>
  <c r="AO4" i="59"/>
  <c r="BG4" i="64"/>
  <c r="CD31" i="64"/>
  <c r="CD33" i="64"/>
  <c r="BH33" i="64"/>
  <c r="BA34" i="64"/>
  <c r="BK34" i="64"/>
  <c r="BP34" i="64"/>
  <c r="BV34" i="64"/>
  <c r="BZ34" i="64"/>
  <c r="AX4" i="64"/>
  <c r="CD25" i="64"/>
  <c r="BI31" i="64"/>
  <c r="CF33" i="64"/>
  <c r="BM33" i="64"/>
  <c r="BB34" i="64"/>
  <c r="BG34" i="64"/>
  <c r="BL34" i="64"/>
  <c r="BR34" i="64"/>
  <c r="BW34" i="64"/>
  <c r="CA34" i="64"/>
  <c r="AM4" i="59"/>
  <c r="AQ4" i="59"/>
  <c r="BI4" i="64"/>
  <c r="CE5" i="64"/>
  <c r="CE6" i="64"/>
  <c r="CE7" i="64"/>
  <c r="CE8" i="64"/>
  <c r="CE9" i="64"/>
  <c r="CE10" i="64"/>
  <c r="CE11" i="64"/>
  <c r="CE12" i="64"/>
  <c r="CE14" i="64"/>
  <c r="CE15" i="64"/>
  <c r="CE16" i="64"/>
  <c r="CE17" i="64"/>
  <c r="CE18" i="64"/>
  <c r="CE19" i="64"/>
  <c r="CE20" i="64"/>
  <c r="BS28" i="64"/>
  <c r="CE31" i="64"/>
  <c r="CG33" i="64"/>
  <c r="BS33" i="64"/>
  <c r="AX34" i="64"/>
  <c r="BD34" i="64"/>
  <c r="BX34" i="64"/>
  <c r="CF5" i="59"/>
  <c r="AX5" i="64"/>
  <c r="BD5" i="64"/>
  <c r="BH5" i="64"/>
  <c r="BM5" i="64"/>
  <c r="BS5" i="64"/>
  <c r="BX5" i="64"/>
  <c r="CC5" i="64"/>
  <c r="CG5" i="64"/>
  <c r="CF6" i="59"/>
  <c r="AX6" i="64"/>
  <c r="BD6" i="64"/>
  <c r="BH6" i="64"/>
  <c r="BM6" i="64"/>
  <c r="BS6" i="64"/>
  <c r="BX6" i="64"/>
  <c r="CC6" i="64"/>
  <c r="CG6" i="64"/>
  <c r="CF7" i="59"/>
  <c r="AX7" i="64"/>
  <c r="BD7" i="64"/>
  <c r="BH7" i="64"/>
  <c r="BM7" i="64"/>
  <c r="BS7" i="64"/>
  <c r="BX7" i="64"/>
  <c r="CC7" i="64"/>
  <c r="CG7" i="64"/>
  <c r="CF8" i="59"/>
  <c r="AX8" i="64"/>
  <c r="BD8" i="64"/>
  <c r="BH8" i="64"/>
  <c r="BM8" i="64"/>
  <c r="BS8" i="64"/>
  <c r="BX8" i="64"/>
  <c r="CC8" i="64"/>
  <c r="CG8" i="64"/>
  <c r="CF9" i="59"/>
  <c r="AX9" i="64"/>
  <c r="BD9" i="64"/>
  <c r="BH9" i="64"/>
  <c r="BM9" i="64"/>
  <c r="BS9" i="64"/>
  <c r="BX9" i="64"/>
  <c r="CC9" i="64"/>
  <c r="CG9" i="64"/>
  <c r="CF10" i="59"/>
  <c r="AX10" i="64"/>
  <c r="BD10" i="64"/>
  <c r="BH10" i="64"/>
  <c r="BM10" i="64"/>
  <c r="BS10" i="64"/>
  <c r="BX10" i="64"/>
  <c r="CC10" i="64"/>
  <c r="CG10" i="64"/>
  <c r="CF11" i="59"/>
  <c r="AX11" i="64"/>
  <c r="BD11" i="64"/>
  <c r="BH11" i="64"/>
  <c r="BM11" i="64"/>
  <c r="BS11" i="64"/>
  <c r="BX11" i="64"/>
  <c r="CC11" i="64"/>
  <c r="CG11" i="64"/>
  <c r="CF12" i="59"/>
  <c r="AX12" i="64"/>
  <c r="BD12" i="64"/>
  <c r="BH12" i="64"/>
  <c r="BM12" i="64"/>
  <c r="BS12" i="64"/>
  <c r="BX12" i="64"/>
  <c r="CC12" i="64"/>
  <c r="CG12" i="64"/>
  <c r="AX13" i="64"/>
  <c r="CF14" i="59"/>
  <c r="AX14" i="64"/>
  <c r="BD14" i="64"/>
  <c r="BH14" i="64"/>
  <c r="BM14" i="64"/>
  <c r="BS14" i="64"/>
  <c r="BX14" i="64"/>
  <c r="CC14" i="64"/>
  <c r="CG14" i="64"/>
  <c r="CF15" i="59"/>
  <c r="AX15" i="64"/>
  <c r="BD15" i="64"/>
  <c r="BH15" i="64"/>
  <c r="BM15" i="64"/>
  <c r="BS15" i="64"/>
  <c r="BX15" i="64"/>
  <c r="CC15" i="64"/>
  <c r="CG15" i="64"/>
  <c r="CF16" i="59"/>
  <c r="AX16" i="64"/>
  <c r="BD16" i="64"/>
  <c r="BH16" i="64"/>
  <c r="BM16" i="64"/>
  <c r="BS16" i="64"/>
  <c r="BX16" i="64"/>
  <c r="CC16" i="64"/>
  <c r="CG16" i="64"/>
  <c r="CF17" i="59"/>
  <c r="AX17" i="64"/>
  <c r="BD17" i="64"/>
  <c r="BH17" i="64"/>
  <c r="BM17" i="64"/>
  <c r="BS17" i="64"/>
  <c r="BX17" i="64"/>
  <c r="CC17" i="64"/>
  <c r="CG17" i="64"/>
  <c r="CF18" i="59"/>
  <c r="AX18" i="64"/>
  <c r="BD18" i="64"/>
  <c r="BH18" i="64"/>
  <c r="BM18" i="64"/>
  <c r="BS18" i="64"/>
  <c r="BX18" i="64"/>
  <c r="CC18" i="64"/>
  <c r="CG18" i="64"/>
  <c r="CF19" i="59"/>
  <c r="AX19" i="64"/>
  <c r="BD19" i="64"/>
  <c r="BH19" i="64"/>
  <c r="BM19" i="64"/>
  <c r="BS19" i="64"/>
  <c r="BX19" i="64"/>
  <c r="CC19" i="64"/>
  <c r="CG19" i="64"/>
  <c r="CF20" i="59"/>
  <c r="AX20" i="64"/>
  <c r="BD20" i="64"/>
  <c r="BH20" i="64"/>
  <c r="BM20" i="64"/>
  <c r="BS20" i="64"/>
  <c r="BX20" i="64"/>
  <c r="CC20" i="64"/>
  <c r="CG20" i="64"/>
  <c r="AX21" i="64"/>
  <c r="BW22" i="64"/>
  <c r="CD24" i="64"/>
  <c r="BE26" i="64"/>
  <c r="CE30" i="64"/>
  <c r="CD30" i="64"/>
  <c r="BA31" i="64"/>
  <c r="BF35" i="49"/>
  <c r="BG5" i="59"/>
  <c r="BC5" i="59"/>
  <c r="BD5" i="59"/>
  <c r="CD5" i="59"/>
  <c r="AZ5" i="64"/>
  <c r="BE5" i="64"/>
  <c r="BI5" i="64"/>
  <c r="BN5" i="64"/>
  <c r="BT5" i="64"/>
  <c r="BY5" i="64"/>
  <c r="CD5" i="64"/>
  <c r="BD6" i="59"/>
  <c r="BG6" i="59"/>
  <c r="BC6" i="59"/>
  <c r="CD6" i="59"/>
  <c r="AZ6" i="64"/>
  <c r="BE6" i="64"/>
  <c r="BI6" i="64"/>
  <c r="BN6" i="64"/>
  <c r="BT6" i="64"/>
  <c r="BY6" i="64"/>
  <c r="CD6" i="64"/>
  <c r="BG7" i="59"/>
  <c r="BC7" i="59"/>
  <c r="BD7" i="59"/>
  <c r="CD7" i="59"/>
  <c r="AZ7" i="64"/>
  <c r="BE7" i="64"/>
  <c r="BI7" i="64"/>
  <c r="BN7" i="64"/>
  <c r="BT7" i="64"/>
  <c r="BY7" i="64"/>
  <c r="CD7" i="64"/>
  <c r="BD8" i="59"/>
  <c r="BG8" i="59"/>
  <c r="BC8" i="59"/>
  <c r="CD8" i="59"/>
  <c r="AZ8" i="64"/>
  <c r="BE8" i="64"/>
  <c r="BI8" i="64"/>
  <c r="BN8" i="64"/>
  <c r="BT8" i="64"/>
  <c r="BY8" i="64"/>
  <c r="CD8" i="64"/>
  <c r="BD9" i="59"/>
  <c r="BG9" i="59"/>
  <c r="BC9" i="59"/>
  <c r="CD9" i="59"/>
  <c r="AZ9" i="64"/>
  <c r="BE9" i="64"/>
  <c r="BI9" i="64"/>
  <c r="BN9" i="64"/>
  <c r="BT9" i="64"/>
  <c r="BY9" i="64"/>
  <c r="CD9" i="64"/>
  <c r="BD10" i="59"/>
  <c r="BG10" i="59"/>
  <c r="BC10" i="59"/>
  <c r="CD10" i="59"/>
  <c r="AZ10" i="64"/>
  <c r="BE10" i="64"/>
  <c r="BI10" i="64"/>
  <c r="BN10" i="64"/>
  <c r="BT10" i="64"/>
  <c r="BY10" i="64"/>
  <c r="CD10" i="64"/>
  <c r="BD11" i="59"/>
  <c r="BG11" i="59"/>
  <c r="BC11" i="59"/>
  <c r="CD11" i="59"/>
  <c r="AZ11" i="64"/>
  <c r="BE11" i="64"/>
  <c r="BI11" i="64"/>
  <c r="BN11" i="64"/>
  <c r="BT11" i="64"/>
  <c r="BY11" i="64"/>
  <c r="CD11" i="64"/>
  <c r="BD12" i="59"/>
  <c r="BG12" i="59"/>
  <c r="BC12" i="59"/>
  <c r="CD12" i="59"/>
  <c r="AZ12" i="64"/>
  <c r="BE12" i="64"/>
  <c r="BI12" i="64"/>
  <c r="BN12" i="64"/>
  <c r="BT12" i="64"/>
  <c r="BY12" i="64"/>
  <c r="CD12" i="64"/>
  <c r="BI13" i="64"/>
  <c r="BY13" i="64"/>
  <c r="BD14" i="59"/>
  <c r="BG14" i="59"/>
  <c r="BC14" i="59"/>
  <c r="CD14" i="59"/>
  <c r="AZ14" i="64"/>
  <c r="BE14" i="64"/>
  <c r="BI14" i="64"/>
  <c r="BN14" i="64"/>
  <c r="BT14" i="64"/>
  <c r="BY14" i="64"/>
  <c r="CD14" i="64"/>
  <c r="BG15" i="59"/>
  <c r="BC15" i="59"/>
  <c r="BD15" i="59"/>
  <c r="CD15" i="59"/>
  <c r="AZ15" i="64"/>
  <c r="BE15" i="64"/>
  <c r="BI15" i="64"/>
  <c r="BN15" i="64"/>
  <c r="BT15" i="64"/>
  <c r="BY15" i="64"/>
  <c r="CD15" i="64"/>
  <c r="BD16" i="59"/>
  <c r="BG16" i="59"/>
  <c r="BC16" i="59"/>
  <c r="CD16" i="59"/>
  <c r="AZ16" i="64"/>
  <c r="BE16" i="64"/>
  <c r="BI16" i="64"/>
  <c r="BN16" i="64"/>
  <c r="BT16" i="64"/>
  <c r="BY16" i="64"/>
  <c r="CD16" i="64"/>
  <c r="BD17" i="59"/>
  <c r="BG17" i="59"/>
  <c r="BC17" i="59"/>
  <c r="CD17" i="59"/>
  <c r="AZ17" i="64"/>
  <c r="BE17" i="64"/>
  <c r="BI17" i="64"/>
  <c r="BN17" i="64"/>
  <c r="BT17" i="64"/>
  <c r="BY17" i="64"/>
  <c r="CD17" i="64"/>
  <c r="BG18" i="59"/>
  <c r="BC18" i="59"/>
  <c r="BD18" i="59"/>
  <c r="CD18" i="59"/>
  <c r="AZ18" i="64"/>
  <c r="BE18" i="64"/>
  <c r="BI18" i="64"/>
  <c r="BN18" i="64"/>
  <c r="BT18" i="64"/>
  <c r="BY18" i="64"/>
  <c r="CD18" i="64"/>
  <c r="BD19" i="59"/>
  <c r="BG19" i="59"/>
  <c r="BC19" i="59"/>
  <c r="CD19" i="59"/>
  <c r="AZ19" i="64"/>
  <c r="BE19" i="64"/>
  <c r="BI19" i="64"/>
  <c r="BN19" i="64"/>
  <c r="BT19" i="64"/>
  <c r="BY19" i="64"/>
  <c r="CD19" i="64"/>
  <c r="BD20" i="59"/>
  <c r="BG20" i="59"/>
  <c r="BC20" i="59"/>
  <c r="CD20" i="59"/>
  <c r="AZ20" i="64"/>
  <c r="BE20" i="64"/>
  <c r="BI20" i="64"/>
  <c r="BN20" i="64"/>
  <c r="BT20" i="64"/>
  <c r="BY20" i="64"/>
  <c r="CD20" i="64"/>
  <c r="BI21" i="64"/>
  <c r="BY21" i="64"/>
  <c r="BY23" i="64"/>
  <c r="K23" i="59"/>
  <c r="BP30" i="64"/>
  <c r="AI30" i="59"/>
  <c r="BO30" i="59" s="1"/>
  <c r="BZ30" i="64"/>
  <c r="AM30" i="59"/>
  <c r="AW30" i="59" s="1"/>
  <c r="CC30" i="59"/>
  <c r="BS30" i="64"/>
  <c r="BE31" i="64"/>
  <c r="G31" i="59"/>
  <c r="BG31" i="59" s="1"/>
  <c r="BF31" i="64"/>
  <c r="BD5" i="60"/>
  <c r="BG5" i="60"/>
  <c r="BC5" i="60"/>
  <c r="BR5" i="60"/>
  <c r="BQ5" i="60"/>
  <c r="BX5" i="60"/>
  <c r="CB5" i="60"/>
  <c r="BW5" i="60"/>
  <c r="AW5" i="60"/>
  <c r="BZ5" i="60"/>
  <c r="BV5" i="60"/>
  <c r="BR5" i="59"/>
  <c r="BQ5" i="59"/>
  <c r="BO5" i="59"/>
  <c r="BY5" i="59"/>
  <c r="BU5" i="59"/>
  <c r="BX5" i="59"/>
  <c r="CB5" i="59"/>
  <c r="BW5" i="59"/>
  <c r="AW5" i="59"/>
  <c r="BZ5" i="59"/>
  <c r="BV5" i="59"/>
  <c r="BA5" i="64"/>
  <c r="BF5" i="64"/>
  <c r="BK5" i="64"/>
  <c r="BP5" i="64"/>
  <c r="BV5" i="64"/>
  <c r="BZ5" i="64"/>
  <c r="BQ6" i="59"/>
  <c r="BO6" i="59"/>
  <c r="BR6" i="59"/>
  <c r="BZ6" i="59"/>
  <c r="BV6" i="59"/>
  <c r="BY6" i="59"/>
  <c r="BU6" i="59"/>
  <c r="BX6" i="59"/>
  <c r="CB6" i="59"/>
  <c r="BW6" i="59"/>
  <c r="AW6" i="59"/>
  <c r="BA6" i="64"/>
  <c r="BF6" i="64"/>
  <c r="BK6" i="64"/>
  <c r="BP6" i="64"/>
  <c r="BV6" i="64"/>
  <c r="BZ6" i="64"/>
  <c r="BR7" i="59"/>
  <c r="BQ7" i="59"/>
  <c r="BO7" i="59"/>
  <c r="CB7" i="59"/>
  <c r="BW7" i="59"/>
  <c r="AW7" i="59"/>
  <c r="BZ7" i="59"/>
  <c r="BV7" i="59"/>
  <c r="BY7" i="59"/>
  <c r="BU7" i="59"/>
  <c r="BX7" i="59"/>
  <c r="BA7" i="64"/>
  <c r="BF7" i="64"/>
  <c r="BK7" i="64"/>
  <c r="BP7" i="64"/>
  <c r="BV7" i="64"/>
  <c r="BZ7" i="64"/>
  <c r="BR8" i="59"/>
  <c r="BQ8" i="59"/>
  <c r="BO8" i="59"/>
  <c r="BX8" i="59"/>
  <c r="CB8" i="59"/>
  <c r="BW8" i="59"/>
  <c r="AW8" i="59"/>
  <c r="BZ8" i="59"/>
  <c r="BV8" i="59"/>
  <c r="BY8" i="59"/>
  <c r="BU8" i="59"/>
  <c r="BA8" i="64"/>
  <c r="BF8" i="64"/>
  <c r="BK8" i="64"/>
  <c r="BP8" i="64"/>
  <c r="BV8" i="64"/>
  <c r="BZ8" i="64"/>
  <c r="BR9" i="59"/>
  <c r="BQ9" i="59"/>
  <c r="BO9" i="59"/>
  <c r="BX9" i="59"/>
  <c r="CB9" i="59"/>
  <c r="BW9" i="59"/>
  <c r="AW9" i="59"/>
  <c r="BV9" i="59"/>
  <c r="BU9" i="59"/>
  <c r="BZ9" i="59"/>
  <c r="BY9" i="59"/>
  <c r="BA9" i="64"/>
  <c r="BF9" i="64"/>
  <c r="BK9" i="64"/>
  <c r="BP9" i="64"/>
  <c r="BV9" i="64"/>
  <c r="BZ9" i="64"/>
  <c r="BO10" i="59"/>
  <c r="BR10" i="59"/>
  <c r="BQ10" i="59"/>
  <c r="BY10" i="59"/>
  <c r="BU10" i="59"/>
  <c r="BX10" i="59"/>
  <c r="CB10" i="59"/>
  <c r="AW10" i="59"/>
  <c r="BZ10" i="59"/>
  <c r="BW10" i="59"/>
  <c r="BV10" i="59"/>
  <c r="BA10" i="64"/>
  <c r="BF10" i="64"/>
  <c r="BK10" i="64"/>
  <c r="BP10" i="64"/>
  <c r="BV10" i="64"/>
  <c r="BZ10" i="64"/>
  <c r="BR11" i="59"/>
  <c r="BQ11" i="59"/>
  <c r="BO11" i="59"/>
  <c r="BX11" i="59"/>
  <c r="CB11" i="59"/>
  <c r="BW11" i="59"/>
  <c r="AW11" i="59"/>
  <c r="BZ11" i="59"/>
  <c r="BV11" i="59"/>
  <c r="BY11" i="59"/>
  <c r="BU11" i="59"/>
  <c r="BA11" i="64"/>
  <c r="BF11" i="64"/>
  <c r="BK11" i="64"/>
  <c r="BP11" i="64"/>
  <c r="BV11" i="64"/>
  <c r="BZ11" i="64"/>
  <c r="BO12" i="59"/>
  <c r="BR12" i="59"/>
  <c r="BQ12" i="59"/>
  <c r="BY12" i="59"/>
  <c r="BU12" i="59"/>
  <c r="BX12" i="59"/>
  <c r="CB12" i="59"/>
  <c r="BW12" i="59"/>
  <c r="AW12" i="59"/>
  <c r="BZ12" i="59"/>
  <c r="BV12" i="59"/>
  <c r="BA12" i="64"/>
  <c r="BF12" i="64"/>
  <c r="BK12" i="64"/>
  <c r="BP12" i="64"/>
  <c r="BV12" i="64"/>
  <c r="BZ12" i="64"/>
  <c r="BX13" i="59"/>
  <c r="AW13" i="59"/>
  <c r="BQ14" i="59"/>
  <c r="BO14" i="59"/>
  <c r="BR14" i="59"/>
  <c r="BZ14" i="59"/>
  <c r="BV14" i="59"/>
  <c r="BY14" i="59"/>
  <c r="BU14" i="59"/>
  <c r="BX14" i="59"/>
  <c r="CB14" i="59"/>
  <c r="BW14" i="59"/>
  <c r="AW14" i="59"/>
  <c r="BA14" i="64"/>
  <c r="BF14" i="64"/>
  <c r="BK14" i="64"/>
  <c r="BP14" i="64"/>
  <c r="BV14" i="64"/>
  <c r="BZ14" i="64"/>
  <c r="BR15" i="59"/>
  <c r="BQ15" i="59"/>
  <c r="BO15" i="59"/>
  <c r="CB15" i="59"/>
  <c r="BW15" i="59"/>
  <c r="AW15" i="59"/>
  <c r="BZ15" i="59"/>
  <c r="BV15" i="59"/>
  <c r="BY15" i="59"/>
  <c r="BU15" i="59"/>
  <c r="BX15" i="59"/>
  <c r="BA15" i="64"/>
  <c r="BF15" i="64"/>
  <c r="BK15" i="64"/>
  <c r="BP15" i="64"/>
  <c r="BV15" i="64"/>
  <c r="BZ15" i="64"/>
  <c r="BR16" i="59"/>
  <c r="BQ16" i="59"/>
  <c r="BO16" i="59"/>
  <c r="BX16" i="59"/>
  <c r="CB16" i="59"/>
  <c r="BW16" i="59"/>
  <c r="AW16" i="59"/>
  <c r="BZ16" i="59"/>
  <c r="BV16" i="59"/>
  <c r="BY16" i="59"/>
  <c r="BU16" i="59"/>
  <c r="BA16" i="64"/>
  <c r="BF16" i="64"/>
  <c r="BK16" i="64"/>
  <c r="BP16" i="64"/>
  <c r="BV16" i="64"/>
  <c r="BZ16" i="64"/>
  <c r="BO17" i="59"/>
  <c r="BR17" i="59"/>
  <c r="BQ17" i="59"/>
  <c r="BY17" i="59"/>
  <c r="BU17" i="59"/>
  <c r="BX17" i="59"/>
  <c r="CB17" i="59"/>
  <c r="BW17" i="59"/>
  <c r="AW17" i="59"/>
  <c r="BZ17" i="59"/>
  <c r="BV17" i="59"/>
  <c r="BA17" i="64"/>
  <c r="BF17" i="64"/>
  <c r="BK17" i="64"/>
  <c r="BP17" i="64"/>
  <c r="BV17" i="64"/>
  <c r="BZ17" i="64"/>
  <c r="BR18" i="59"/>
  <c r="BQ18" i="59"/>
  <c r="BO18" i="59"/>
  <c r="CB18" i="59"/>
  <c r="BW18" i="59"/>
  <c r="AW18" i="59"/>
  <c r="BZ18" i="59"/>
  <c r="BV18" i="59"/>
  <c r="BY18" i="59"/>
  <c r="BU18" i="59"/>
  <c r="BX18" i="59"/>
  <c r="BA18" i="64"/>
  <c r="BF18" i="64"/>
  <c r="BK18" i="64"/>
  <c r="BP18" i="64"/>
  <c r="BV18" i="64"/>
  <c r="BZ18" i="64"/>
  <c r="BR19" i="59"/>
  <c r="BQ19" i="59"/>
  <c r="BO19" i="59"/>
  <c r="BX19" i="59"/>
  <c r="CB19" i="59"/>
  <c r="BW19" i="59"/>
  <c r="AW19" i="59"/>
  <c r="BZ19" i="59"/>
  <c r="BV19" i="59"/>
  <c r="BY19" i="59"/>
  <c r="BU19" i="59"/>
  <c r="BA19" i="64"/>
  <c r="BF19" i="64"/>
  <c r="BK19" i="64"/>
  <c r="BP19" i="64"/>
  <c r="BV19" i="64"/>
  <c r="BZ19" i="64"/>
  <c r="BO20" i="59"/>
  <c r="BR20" i="59"/>
  <c r="BQ20" i="59"/>
  <c r="BY20" i="59"/>
  <c r="BU20" i="59"/>
  <c r="BX20" i="59"/>
  <c r="CB20" i="59"/>
  <c r="BW20" i="59"/>
  <c r="AW20" i="59"/>
  <c r="BZ20" i="59"/>
  <c r="BV20" i="59"/>
  <c r="BA20" i="64"/>
  <c r="BF20" i="64"/>
  <c r="BK20" i="64"/>
  <c r="BP20" i="64"/>
  <c r="BV20" i="64"/>
  <c r="BZ20" i="64"/>
  <c r="BX21" i="59"/>
  <c r="AW21" i="59"/>
  <c r="AM29" i="59"/>
  <c r="BX29" i="59" s="1"/>
  <c r="AQ29" i="59"/>
  <c r="BT30" i="64"/>
  <c r="BL5" i="59"/>
  <c r="BK5" i="59"/>
  <c r="BA5" i="59"/>
  <c r="BM5" i="59"/>
  <c r="BJ5" i="59"/>
  <c r="AZ5" i="59"/>
  <c r="AY5" i="59"/>
  <c r="BE5" i="59"/>
  <c r="CE5" i="59"/>
  <c r="BF5" i="59"/>
  <c r="BH5" i="59"/>
  <c r="BB5" i="64"/>
  <c r="BG5" i="64"/>
  <c r="BL5" i="64"/>
  <c r="BR5" i="64"/>
  <c r="BW5" i="64"/>
  <c r="CA5" i="64"/>
  <c r="CF5" i="64"/>
  <c r="BK6" i="59"/>
  <c r="BA6" i="59"/>
  <c r="BJ6" i="59"/>
  <c r="AZ6" i="59"/>
  <c r="BM6" i="59"/>
  <c r="AY6" i="59"/>
  <c r="BL6" i="59"/>
  <c r="BE6" i="59"/>
  <c r="CE6" i="59"/>
  <c r="BF6" i="59"/>
  <c r="BH6" i="59"/>
  <c r="BB6" i="64"/>
  <c r="BG6" i="64"/>
  <c r="BL6" i="64"/>
  <c r="BR6" i="64"/>
  <c r="BW6" i="64"/>
  <c r="CA6" i="64"/>
  <c r="CF6" i="64"/>
  <c r="BL7" i="59"/>
  <c r="BK7" i="59"/>
  <c r="BA7" i="59"/>
  <c r="BJ7" i="59"/>
  <c r="AZ7" i="59"/>
  <c r="BM7" i="59"/>
  <c r="AY7" i="59"/>
  <c r="BE7" i="59"/>
  <c r="CE7" i="59"/>
  <c r="BF7" i="59"/>
  <c r="BH7" i="59"/>
  <c r="BB7" i="64"/>
  <c r="BG7" i="64"/>
  <c r="BL7" i="64"/>
  <c r="BR7" i="64"/>
  <c r="BW7" i="64"/>
  <c r="CA7" i="64"/>
  <c r="CF7" i="64"/>
  <c r="BM8" i="59"/>
  <c r="AY8" i="59"/>
  <c r="BL8" i="59"/>
  <c r="BK8" i="59"/>
  <c r="BA8" i="59"/>
  <c r="BJ8" i="59"/>
  <c r="AZ8" i="59"/>
  <c r="BE8" i="59"/>
  <c r="BH8" i="59"/>
  <c r="CE8" i="59"/>
  <c r="BF8" i="59"/>
  <c r="BB8" i="64"/>
  <c r="BG8" i="64"/>
  <c r="BL8" i="64"/>
  <c r="BR8" i="64"/>
  <c r="BW8" i="64"/>
  <c r="CA8" i="64"/>
  <c r="CF8" i="64"/>
  <c r="BM9" i="59"/>
  <c r="AY9" i="59"/>
  <c r="BL9" i="59"/>
  <c r="BK9" i="59"/>
  <c r="BA9" i="59"/>
  <c r="BJ9" i="59"/>
  <c r="AZ9" i="59"/>
  <c r="BE9" i="59"/>
  <c r="BH9" i="59"/>
  <c r="CE9" i="59"/>
  <c r="BF9" i="59"/>
  <c r="BB9" i="64"/>
  <c r="BG9" i="64"/>
  <c r="BL9" i="64"/>
  <c r="BR9" i="64"/>
  <c r="BW9" i="64"/>
  <c r="CA9" i="64"/>
  <c r="CF9" i="64"/>
  <c r="BJ10" i="59"/>
  <c r="AZ10" i="59"/>
  <c r="BM10" i="59"/>
  <c r="AY10" i="59"/>
  <c r="BL10" i="59"/>
  <c r="BK10" i="59"/>
  <c r="BA10" i="59"/>
  <c r="BE10" i="59"/>
  <c r="BH10" i="59"/>
  <c r="BF10" i="59"/>
  <c r="CE10" i="59"/>
  <c r="BB10" i="64"/>
  <c r="BG10" i="64"/>
  <c r="BL10" i="64"/>
  <c r="BR10" i="64"/>
  <c r="BW10" i="64"/>
  <c r="CA10" i="64"/>
  <c r="CF10" i="64"/>
  <c r="BM11" i="59"/>
  <c r="AY11" i="59"/>
  <c r="BL11" i="59"/>
  <c r="BK11" i="59"/>
  <c r="BA11" i="59"/>
  <c r="BJ11" i="59"/>
  <c r="AZ11" i="59"/>
  <c r="BE11" i="59"/>
  <c r="BH11" i="59"/>
  <c r="CE11" i="59"/>
  <c r="BF11" i="59"/>
  <c r="BB11" i="64"/>
  <c r="BG11" i="64"/>
  <c r="BL11" i="64"/>
  <c r="BR11" i="64"/>
  <c r="BW11" i="64"/>
  <c r="CA11" i="64"/>
  <c r="CF11" i="64"/>
  <c r="BJ12" i="59"/>
  <c r="AZ12" i="59"/>
  <c r="BM12" i="59"/>
  <c r="AY12" i="59"/>
  <c r="BL12" i="59"/>
  <c r="BK12" i="59"/>
  <c r="BA12" i="59"/>
  <c r="BE12" i="59"/>
  <c r="BH12" i="59"/>
  <c r="CE12" i="59"/>
  <c r="BF12" i="59"/>
  <c r="BB12" i="64"/>
  <c r="BG12" i="64"/>
  <c r="BL12" i="64"/>
  <c r="BR12" i="64"/>
  <c r="BW12" i="64"/>
  <c r="CA12" i="64"/>
  <c r="CF12" i="64"/>
  <c r="BF13" i="59"/>
  <c r="BH13" i="59"/>
  <c r="BG13" i="64"/>
  <c r="BK14" i="59"/>
  <c r="BA14" i="59"/>
  <c r="BJ14" i="59"/>
  <c r="AZ14" i="59"/>
  <c r="BM14" i="59"/>
  <c r="AY14" i="59"/>
  <c r="BL14" i="59"/>
  <c r="BE14" i="59"/>
  <c r="CE14" i="59"/>
  <c r="BF14" i="59"/>
  <c r="BH14" i="59"/>
  <c r="BB14" i="64"/>
  <c r="BG14" i="64"/>
  <c r="BL14" i="64"/>
  <c r="BR14" i="64"/>
  <c r="BW14" i="64"/>
  <c r="CA14" i="64"/>
  <c r="CF14" i="64"/>
  <c r="BL15" i="59"/>
  <c r="BK15" i="59"/>
  <c r="BA15" i="59"/>
  <c r="BJ15" i="59"/>
  <c r="AZ15" i="59"/>
  <c r="BM15" i="59"/>
  <c r="AY15" i="59"/>
  <c r="BE15" i="59"/>
  <c r="CE15" i="59"/>
  <c r="BF15" i="59"/>
  <c r="BH15" i="59"/>
  <c r="BB15" i="64"/>
  <c r="BG15" i="64"/>
  <c r="BL15" i="64"/>
  <c r="BR15" i="64"/>
  <c r="BW15" i="64"/>
  <c r="CA15" i="64"/>
  <c r="CF15" i="64"/>
  <c r="BM16" i="59"/>
  <c r="AY16" i="59"/>
  <c r="BL16" i="59"/>
  <c r="BK16" i="59"/>
  <c r="BA16" i="59"/>
  <c r="BJ16" i="59"/>
  <c r="AZ16" i="59"/>
  <c r="BE16" i="59"/>
  <c r="BH16" i="59"/>
  <c r="CE16" i="59"/>
  <c r="BF16" i="59"/>
  <c r="BB16" i="64"/>
  <c r="BG16" i="64"/>
  <c r="BL16" i="64"/>
  <c r="BR16" i="64"/>
  <c r="BW16" i="64"/>
  <c r="CA16" i="64"/>
  <c r="CF16" i="64"/>
  <c r="BJ17" i="59"/>
  <c r="AZ17" i="59"/>
  <c r="BM17" i="59"/>
  <c r="AY17" i="59"/>
  <c r="BL17" i="59"/>
  <c r="BK17" i="59"/>
  <c r="BA17" i="59"/>
  <c r="BE17" i="59"/>
  <c r="BH17" i="59"/>
  <c r="CE17" i="59"/>
  <c r="BF17" i="59"/>
  <c r="BB17" i="64"/>
  <c r="BG17" i="64"/>
  <c r="BL17" i="64"/>
  <c r="BR17" i="64"/>
  <c r="BW17" i="64"/>
  <c r="CA17" i="64"/>
  <c r="CF17" i="64"/>
  <c r="BL18" i="59"/>
  <c r="BK18" i="59"/>
  <c r="BA18" i="59"/>
  <c r="BJ18" i="59"/>
  <c r="AZ18" i="59"/>
  <c r="BM18" i="59"/>
  <c r="AY18" i="59"/>
  <c r="BE18" i="59"/>
  <c r="CE18" i="59"/>
  <c r="BF18" i="59"/>
  <c r="BH18" i="59"/>
  <c r="BB18" i="64"/>
  <c r="BG18" i="64"/>
  <c r="BL18" i="64"/>
  <c r="BR18" i="64"/>
  <c r="BW18" i="64"/>
  <c r="CA18" i="64"/>
  <c r="CF18" i="64"/>
  <c r="BM19" i="59"/>
  <c r="AY19" i="59"/>
  <c r="BL19" i="59"/>
  <c r="BK19" i="59"/>
  <c r="BA19" i="59"/>
  <c r="BJ19" i="59"/>
  <c r="AZ19" i="59"/>
  <c r="BE19" i="59"/>
  <c r="BH19" i="59"/>
  <c r="CE19" i="59"/>
  <c r="BF19" i="59"/>
  <c r="BB19" i="64"/>
  <c r="BG19" i="64"/>
  <c r="BL19" i="64"/>
  <c r="BR19" i="64"/>
  <c r="BW19" i="64"/>
  <c r="CA19" i="64"/>
  <c r="CF19" i="64"/>
  <c r="BJ20" i="59"/>
  <c r="AZ20" i="59"/>
  <c r="BM20" i="59"/>
  <c r="AY20" i="59"/>
  <c r="BL20" i="59"/>
  <c r="BK20" i="59"/>
  <c r="BA20" i="59"/>
  <c r="BE20" i="59"/>
  <c r="BH20" i="59"/>
  <c r="CE20" i="59"/>
  <c r="BF20" i="59"/>
  <c r="BB20" i="64"/>
  <c r="BG20" i="64"/>
  <c r="BL20" i="64"/>
  <c r="BR20" i="64"/>
  <c r="BW20" i="64"/>
  <c r="CA20" i="64"/>
  <c r="CF20" i="64"/>
  <c r="BF21" i="59"/>
  <c r="BH21" i="59"/>
  <c r="BG21" i="64"/>
  <c r="CG30" i="64"/>
  <c r="AO30" i="59"/>
  <c r="CF30" i="59" s="1"/>
  <c r="AX30" i="64"/>
  <c r="BF6" i="60"/>
  <c r="CE6" i="60"/>
  <c r="BL7" i="60"/>
  <c r="CF7" i="60"/>
  <c r="BH8" i="60"/>
  <c r="BS8" i="60"/>
  <c r="BO9" i="60"/>
  <c r="BU9" i="60"/>
  <c r="BY9" i="60"/>
  <c r="BF10" i="60"/>
  <c r="CE10" i="60"/>
  <c r="BL11" i="60"/>
  <c r="BH12" i="60"/>
  <c r="BS12" i="60"/>
  <c r="BF14" i="60"/>
  <c r="CE14" i="60"/>
  <c r="BL15" i="60"/>
  <c r="BW15" i="60"/>
  <c r="CB15" i="60"/>
  <c r="AY16" i="60"/>
  <c r="BD16" i="60"/>
  <c r="BH16" i="60"/>
  <c r="BM16" i="60"/>
  <c r="BS16" i="60"/>
  <c r="AZ17" i="60"/>
  <c r="BJ17" i="60"/>
  <c r="BO17" i="60"/>
  <c r="BU17" i="60"/>
  <c r="BY17" i="60"/>
  <c r="CD17" i="60"/>
  <c r="BA18" i="60"/>
  <c r="BF18" i="60"/>
  <c r="BK18" i="60"/>
  <c r="BV18" i="60"/>
  <c r="CE18" i="60"/>
  <c r="BC19" i="60"/>
  <c r="BG19" i="60"/>
  <c r="BL19" i="60"/>
  <c r="BW19" i="60"/>
  <c r="CB19" i="60"/>
  <c r="AY20" i="60"/>
  <c r="BD20" i="60"/>
  <c r="BH20" i="60"/>
  <c r="BM20" i="60"/>
  <c r="BX20" i="60"/>
  <c r="CB23" i="60"/>
  <c r="CB24" i="60"/>
  <c r="BY25" i="60"/>
  <c r="CC25" i="60"/>
  <c r="BQ25" i="60"/>
  <c r="BZ26" i="60"/>
  <c r="BH26" i="60"/>
  <c r="BV26" i="60"/>
  <c r="CF27" i="60"/>
  <c r="BA27" i="60"/>
  <c r="BX28" i="60"/>
  <c r="CC28" i="60"/>
  <c r="CB29" i="60"/>
  <c r="AZ30" i="60"/>
  <c r="BJ30" i="60"/>
  <c r="BO30" i="60"/>
  <c r="BU30" i="60"/>
  <c r="BY30" i="60"/>
  <c r="BA31" i="60"/>
  <c r="BF31" i="60"/>
  <c r="BK31" i="60"/>
  <c r="BQ31" i="60"/>
  <c r="BV31" i="60"/>
  <c r="BZ31" i="60"/>
  <c r="CE31" i="60"/>
  <c r="BY32" i="64"/>
  <c r="BA5" i="60"/>
  <c r="BF5" i="60"/>
  <c r="BK5" i="60"/>
  <c r="CE5" i="60"/>
  <c r="BC6" i="60"/>
  <c r="BG6" i="60"/>
  <c r="BL6" i="60"/>
  <c r="BR6" i="60"/>
  <c r="BW6" i="60"/>
  <c r="CB6" i="60"/>
  <c r="AY7" i="60"/>
  <c r="BM7" i="60"/>
  <c r="BS7" i="60"/>
  <c r="BX7" i="60"/>
  <c r="AZ8" i="60"/>
  <c r="BJ8" i="60"/>
  <c r="BO8" i="60"/>
  <c r="BU8" i="60"/>
  <c r="BY8" i="60"/>
  <c r="BA9" i="60"/>
  <c r="BF9" i="60"/>
  <c r="BK9" i="60"/>
  <c r="BQ9" i="60"/>
  <c r="BV9" i="60"/>
  <c r="BZ9" i="60"/>
  <c r="CE9" i="60"/>
  <c r="AW10" i="60"/>
  <c r="BC10" i="60"/>
  <c r="BG10" i="60"/>
  <c r="BL10" i="60"/>
  <c r="BR10" i="60"/>
  <c r="BW10" i="60"/>
  <c r="CB10" i="60"/>
  <c r="AY11" i="60"/>
  <c r="BH11" i="60"/>
  <c r="BM11" i="60"/>
  <c r="BX11" i="60"/>
  <c r="AZ12" i="60"/>
  <c r="BJ12" i="60"/>
  <c r="BO12" i="60"/>
  <c r="BU12" i="60"/>
  <c r="BY12" i="60"/>
  <c r="BF13" i="60"/>
  <c r="AW14" i="60"/>
  <c r="BC14" i="60"/>
  <c r="BG14" i="60"/>
  <c r="BL14" i="60"/>
  <c r="BR14" i="60"/>
  <c r="BW14" i="60"/>
  <c r="CB14" i="60"/>
  <c r="AY15" i="60"/>
  <c r="BH15" i="60"/>
  <c r="BM15" i="60"/>
  <c r="BX15" i="60"/>
  <c r="AZ16" i="60"/>
  <c r="BJ16" i="60"/>
  <c r="BO16" i="60"/>
  <c r="BU16" i="60"/>
  <c r="BY16" i="60"/>
  <c r="BA17" i="60"/>
  <c r="BF17" i="60"/>
  <c r="BK17" i="60"/>
  <c r="BQ17" i="60"/>
  <c r="BV17" i="60"/>
  <c r="BZ17" i="60"/>
  <c r="CE17" i="60"/>
  <c r="AW18" i="60"/>
  <c r="BC18" i="60"/>
  <c r="BG18" i="60"/>
  <c r="BL18" i="60"/>
  <c r="BR18" i="60"/>
  <c r="BW18" i="60"/>
  <c r="CB18" i="60"/>
  <c r="AY19" i="60"/>
  <c r="BH19" i="60"/>
  <c r="BM19" i="60"/>
  <c r="BX19" i="60"/>
  <c r="AZ20" i="60"/>
  <c r="BJ20" i="60"/>
  <c r="BO20" i="60"/>
  <c r="BU20" i="60"/>
  <c r="BY20" i="60"/>
  <c r="BF21" i="60"/>
  <c r="AW22" i="60"/>
  <c r="CE23" i="60"/>
  <c r="CE24" i="60"/>
  <c r="BE25" i="60"/>
  <c r="BZ25" i="60"/>
  <c r="CE25" i="60"/>
  <c r="BV25" i="60"/>
  <c r="CF26" i="60"/>
  <c r="BA26" i="60"/>
  <c r="CD27" i="60"/>
  <c r="BK27" i="60"/>
  <c r="BH28" i="60"/>
  <c r="CE29" i="60"/>
  <c r="BA30" i="60"/>
  <c r="BF30" i="60"/>
  <c r="BK30" i="60"/>
  <c r="BQ30" i="60"/>
  <c r="BV30" i="60"/>
  <c r="BZ30" i="60"/>
  <c r="CE30" i="60"/>
  <c r="AW31" i="60"/>
  <c r="BC31" i="60"/>
  <c r="BG31" i="60"/>
  <c r="BL31" i="60"/>
  <c r="BR31" i="60"/>
  <c r="BW31" i="60"/>
  <c r="CB31" i="60"/>
  <c r="BI32" i="64"/>
  <c r="BL5" i="60"/>
  <c r="AY6" i="60"/>
  <c r="BM6" i="60"/>
  <c r="BX6" i="60"/>
  <c r="AZ7" i="60"/>
  <c r="BJ7" i="60"/>
  <c r="BO7" i="60"/>
  <c r="BU7" i="60"/>
  <c r="BY7" i="60"/>
  <c r="BA8" i="60"/>
  <c r="BF8" i="60"/>
  <c r="BK8" i="60"/>
  <c r="BQ8" i="60"/>
  <c r="BV8" i="60"/>
  <c r="BZ8" i="60"/>
  <c r="AW9" i="60"/>
  <c r="BC9" i="60"/>
  <c r="BG9" i="60"/>
  <c r="BL9" i="60"/>
  <c r="BW9" i="60"/>
  <c r="CB9" i="60"/>
  <c r="AY10" i="60"/>
  <c r="BM10" i="60"/>
  <c r="BX10" i="60"/>
  <c r="AZ11" i="60"/>
  <c r="BJ11" i="60"/>
  <c r="BO11" i="60"/>
  <c r="BU11" i="60"/>
  <c r="BY11" i="60"/>
  <c r="BA12" i="60"/>
  <c r="BF12" i="60"/>
  <c r="BK12" i="60"/>
  <c r="BQ12" i="60"/>
  <c r="BV12" i="60"/>
  <c r="BZ12" i="60"/>
  <c r="AW13" i="60"/>
  <c r="AY14" i="60"/>
  <c r="BM14" i="60"/>
  <c r="BX14" i="60"/>
  <c r="AZ15" i="60"/>
  <c r="BJ15" i="60"/>
  <c r="BO15" i="60"/>
  <c r="BU15" i="60"/>
  <c r="BY15" i="60"/>
  <c r="BA16" i="60"/>
  <c r="BF16" i="60"/>
  <c r="BK16" i="60"/>
  <c r="BQ16" i="60"/>
  <c r="BV16" i="60"/>
  <c r="BZ16" i="60"/>
  <c r="AW17" i="60"/>
  <c r="BC17" i="60"/>
  <c r="BG17" i="60"/>
  <c r="BL17" i="60"/>
  <c r="BW17" i="60"/>
  <c r="CB17" i="60"/>
  <c r="AY18" i="60"/>
  <c r="BM18" i="60"/>
  <c r="BX18" i="60"/>
  <c r="AZ19" i="60"/>
  <c r="BJ19" i="60"/>
  <c r="BO19" i="60"/>
  <c r="BU19" i="60"/>
  <c r="BY19" i="60"/>
  <c r="BA20" i="60"/>
  <c r="BF20" i="60"/>
  <c r="BK20" i="60"/>
  <c r="BQ20" i="60"/>
  <c r="BV20" i="60"/>
  <c r="BZ20" i="60"/>
  <c r="AW21" i="60"/>
  <c r="CF23" i="60"/>
  <c r="CF24" i="60"/>
  <c r="AO33" i="60"/>
  <c r="BA25" i="60"/>
  <c r="CD26" i="60"/>
  <c r="BK26" i="60"/>
  <c r="BY27" i="60"/>
  <c r="CC27" i="60"/>
  <c r="BQ27" i="60"/>
  <c r="CF28" i="60"/>
  <c r="CF29" i="60"/>
  <c r="AW30" i="60"/>
  <c r="BC30" i="60"/>
  <c r="BG30" i="60"/>
  <c r="BL30" i="60"/>
  <c r="BW30" i="60"/>
  <c r="CB30" i="60"/>
  <c r="AY31" i="60"/>
  <c r="BM31" i="60"/>
  <c r="BX31" i="60"/>
  <c r="AY5" i="60"/>
  <c r="AZ6" i="60"/>
  <c r="BU6" i="60"/>
  <c r="BA7" i="60"/>
  <c r="BF7" i="60"/>
  <c r="BV7" i="60"/>
  <c r="AW8" i="60"/>
  <c r="BC8" i="60"/>
  <c r="BW8" i="60"/>
  <c r="AY9" i="60"/>
  <c r="AZ10" i="60"/>
  <c r="BU10" i="60"/>
  <c r="BA11" i="60"/>
  <c r="BF11" i="60"/>
  <c r="BV11" i="60"/>
  <c r="AW12" i="60"/>
  <c r="BC12" i="60"/>
  <c r="BW12" i="60"/>
  <c r="AZ14" i="60"/>
  <c r="BU14" i="60"/>
  <c r="BA15" i="60"/>
  <c r="BF15" i="60"/>
  <c r="BV15" i="60"/>
  <c r="AW16" i="60"/>
  <c r="BC16" i="60"/>
  <c r="BW16" i="60"/>
  <c r="AY17" i="60"/>
  <c r="AZ18" i="60"/>
  <c r="BU18" i="60"/>
  <c r="BA19" i="60"/>
  <c r="BF19" i="60"/>
  <c r="BV19" i="60"/>
  <c r="AW20" i="60"/>
  <c r="BC20" i="60"/>
  <c r="BW20" i="60"/>
  <c r="BX23" i="60"/>
  <c r="CD24" i="60"/>
  <c r="BX24" i="60"/>
  <c r="BK25" i="60"/>
  <c r="BY26" i="60"/>
  <c r="BQ26" i="60"/>
  <c r="BV27" i="60"/>
  <c r="CD29" i="60"/>
  <c r="BX29" i="60"/>
  <c r="AY30" i="60"/>
  <c r="AZ31" i="60"/>
  <c r="BU31" i="60"/>
  <c r="A5" i="65"/>
  <c r="B4" i="65"/>
  <c r="A6" i="52"/>
  <c r="A6" i="66"/>
  <c r="B5" i="66"/>
  <c r="B4" i="63"/>
  <c r="A5" i="63"/>
  <c r="A5" i="55"/>
  <c r="B4" i="55"/>
  <c r="A5" i="67"/>
  <c r="B4" i="67"/>
  <c r="A6" i="68"/>
  <c r="A6" i="54"/>
  <c r="A6" i="60"/>
  <c r="B5" i="60"/>
  <c r="B6" i="57"/>
  <c r="A6" i="64"/>
  <c r="B5" i="64"/>
  <c r="A5" i="62"/>
  <c r="B4" i="62"/>
  <c r="B4" i="60"/>
  <c r="A5" i="59"/>
  <c r="B4" i="59"/>
  <c r="CC33" i="64"/>
  <c r="BG32" i="64"/>
  <c r="AZ33" i="64"/>
  <c r="BI33" i="64"/>
  <c r="BN33" i="64"/>
  <c r="BT33" i="64"/>
  <c r="BY33" i="64"/>
  <c r="BF32" i="57"/>
  <c r="BS32" i="57"/>
  <c r="CC32" i="57"/>
  <c r="AX32" i="64"/>
  <c r="BA33" i="64"/>
  <c r="BK33" i="64"/>
  <c r="BP33" i="64"/>
  <c r="BV33" i="64"/>
  <c r="BZ33" i="64"/>
  <c r="BM32" i="57"/>
  <c r="CF32" i="57"/>
  <c r="BB33" i="64"/>
  <c r="BG33" i="64"/>
  <c r="BW33" i="64"/>
  <c r="CG32" i="57"/>
  <c r="AZ32" i="57"/>
  <c r="BG33" i="57"/>
  <c r="BA32" i="57"/>
  <c r="BK32" i="57"/>
  <c r="BP32" i="57"/>
  <c r="BV32" i="57"/>
  <c r="BZ32" i="57"/>
  <c r="CE32" i="57"/>
  <c r="BB32" i="57"/>
  <c r="BG32" i="57"/>
  <c r="BL32" i="57"/>
  <c r="BR32" i="57"/>
  <c r="BW32" i="57"/>
  <c r="CA32" i="57"/>
  <c r="BI33" i="57"/>
  <c r="BE32" i="57"/>
  <c r="BD32" i="57"/>
  <c r="BX32" i="57"/>
  <c r="BK31" i="57"/>
  <c r="CA31" i="57"/>
  <c r="BI31" i="57"/>
  <c r="BZ31" i="57"/>
  <c r="CG31" i="57"/>
  <c r="BH31" i="57"/>
  <c r="BS31" i="57"/>
  <c r="CE31" i="57"/>
  <c r="BR31" i="57"/>
  <c r="CF31" i="59"/>
  <c r="CD31" i="59"/>
  <c r="AI31" i="59"/>
  <c r="AQ31" i="59"/>
  <c r="CC31" i="59" s="1"/>
  <c r="BB31" i="57"/>
  <c r="BG31" i="57"/>
  <c r="BL31" i="57"/>
  <c r="CF31" i="57"/>
  <c r="BK31" i="64"/>
  <c r="BP31" i="64"/>
  <c r="BV31" i="64"/>
  <c r="BZ31" i="64"/>
  <c r="AM31" i="59"/>
  <c r="BB31" i="64"/>
  <c r="BG31" i="64"/>
  <c r="BL31" i="64"/>
  <c r="BR31" i="64"/>
  <c r="BW31" i="64"/>
  <c r="CA31" i="64"/>
  <c r="CF31" i="64"/>
  <c r="AN31" i="59"/>
  <c r="BD31" i="57"/>
  <c r="BM31" i="57"/>
  <c r="BX31" i="57"/>
  <c r="CC31" i="57"/>
  <c r="AX31" i="64"/>
  <c r="BD31" i="64"/>
  <c r="BH31" i="64"/>
  <c r="BM31" i="64"/>
  <c r="BX31" i="64"/>
  <c r="CC31" i="64"/>
  <c r="CG31" i="64"/>
  <c r="E31" i="59"/>
  <c r="AZ31" i="57"/>
  <c r="BN31" i="57"/>
  <c r="BY31" i="57"/>
  <c r="AZ31" i="64"/>
  <c r="BT31" i="64"/>
  <c r="BA31" i="57"/>
  <c r="BV31" i="57"/>
  <c r="CE30" i="57"/>
  <c r="BN30" i="57"/>
  <c r="CG30" i="57"/>
  <c r="CC30" i="57"/>
  <c r="BY35" i="67"/>
  <c r="BR36" i="67"/>
  <c r="AX36" i="67"/>
  <c r="BM30" i="57"/>
  <c r="CF30" i="57"/>
  <c r="BD30" i="59"/>
  <c r="BG30" i="59"/>
  <c r="CE30" i="59"/>
  <c r="BS30" i="59"/>
  <c r="BB30" i="64"/>
  <c r="CF30" i="64"/>
  <c r="E30" i="59"/>
  <c r="BE30" i="57"/>
  <c r="BI30" i="57"/>
  <c r="BD30" i="64"/>
  <c r="BH30" i="64"/>
  <c r="BM30" i="64"/>
  <c r="BX30" i="64"/>
  <c r="CC30" i="64"/>
  <c r="AP30" i="59"/>
  <c r="CD30" i="59" s="1"/>
  <c r="BA30" i="57"/>
  <c r="BK30" i="57"/>
  <c r="BP30" i="57"/>
  <c r="BV30" i="57"/>
  <c r="BZ30" i="57"/>
  <c r="BG30" i="64"/>
  <c r="BL30" i="64"/>
  <c r="CA30" i="64"/>
  <c r="I30" i="59"/>
  <c r="BE30" i="59" s="1"/>
  <c r="AZ30" i="64"/>
  <c r="BE30" i="64"/>
  <c r="BI30" i="64"/>
  <c r="BN30" i="64"/>
  <c r="BY30" i="64"/>
  <c r="BB30" i="57"/>
  <c r="BG30" i="57"/>
  <c r="BL30" i="57"/>
  <c r="BR30" i="57"/>
  <c r="BW30" i="57"/>
  <c r="CA30" i="57"/>
  <c r="BA30" i="64"/>
  <c r="BV30" i="64"/>
  <c r="BD30" i="57"/>
  <c r="BX30" i="57"/>
  <c r="BH29" i="60"/>
  <c r="AX29" i="64"/>
  <c r="BO29" i="60"/>
  <c r="BI29" i="64"/>
  <c r="BY29" i="64"/>
  <c r="BA29" i="60"/>
  <c r="BF29" i="60"/>
  <c r="BK29" i="60"/>
  <c r="BQ29" i="60"/>
  <c r="BV29" i="60"/>
  <c r="BZ29" i="60"/>
  <c r="AO29" i="59"/>
  <c r="BI29" i="57"/>
  <c r="BY29" i="57"/>
  <c r="BG29" i="64"/>
  <c r="BD29" i="60"/>
  <c r="BM29" i="60"/>
  <c r="BS29" i="60"/>
  <c r="BG29" i="57"/>
  <c r="AZ29" i="60"/>
  <c r="BJ29" i="60"/>
  <c r="BU29" i="60"/>
  <c r="BY29" i="60"/>
  <c r="AW29" i="60"/>
  <c r="BC29" i="60"/>
  <c r="BW29" i="60"/>
  <c r="BI28" i="57"/>
  <c r="CC28" i="57"/>
  <c r="CD28" i="57"/>
  <c r="BF28" i="57"/>
  <c r="BL28" i="64"/>
  <c r="BH28" i="64"/>
  <c r="BF28" i="64"/>
  <c r="BI28" i="64"/>
  <c r="AX28" i="64"/>
  <c r="BM28" i="64"/>
  <c r="E28" i="59"/>
  <c r="AZ28" i="59" s="1"/>
  <c r="BN28" i="57"/>
  <c r="BD28" i="64"/>
  <c r="I28" i="59"/>
  <c r="BE28" i="59" s="1"/>
  <c r="BM28" i="57"/>
  <c r="CF28" i="57"/>
  <c r="BR28" i="64"/>
  <c r="CA28" i="64"/>
  <c r="CG28" i="57"/>
  <c r="AZ28" i="57"/>
  <c r="CE28" i="59"/>
  <c r="BD28" i="59"/>
  <c r="BG28" i="59"/>
  <c r="CD28" i="59"/>
  <c r="CC28" i="59"/>
  <c r="CC28" i="64"/>
  <c r="AZ28" i="60"/>
  <c r="AO28" i="59"/>
  <c r="CF28" i="59" s="1"/>
  <c r="BE28" i="57"/>
  <c r="AZ28" i="64"/>
  <c r="BE28" i="64"/>
  <c r="BN28" i="64"/>
  <c r="BY28" i="64"/>
  <c r="BA28" i="60"/>
  <c r="BK28" i="60"/>
  <c r="BV28" i="60"/>
  <c r="BZ28" i="60"/>
  <c r="BV28" i="57"/>
  <c r="CE28" i="57"/>
  <c r="BA28" i="64"/>
  <c r="BK28" i="64"/>
  <c r="BP28" i="64"/>
  <c r="BV28" i="64"/>
  <c r="BZ28" i="64"/>
  <c r="CE28" i="64"/>
  <c r="AW28" i="60"/>
  <c r="BC28" i="60"/>
  <c r="BG28" i="60"/>
  <c r="BL28" i="60"/>
  <c r="BR28" i="60"/>
  <c r="BW28" i="60"/>
  <c r="CB28" i="60"/>
  <c r="AI28" i="59"/>
  <c r="AM28" i="59"/>
  <c r="BB28" i="57"/>
  <c r="BG28" i="57"/>
  <c r="BL28" i="57"/>
  <c r="BR28" i="57"/>
  <c r="BW28" i="57"/>
  <c r="CA28" i="57"/>
  <c r="BX28" i="64"/>
  <c r="CG28" i="64"/>
  <c r="BJ28" i="60"/>
  <c r="BO28" i="60"/>
  <c r="BU28" i="60"/>
  <c r="BY28" i="60"/>
  <c r="BT28" i="64"/>
  <c r="CD28" i="64"/>
  <c r="BF28" i="60"/>
  <c r="CE28" i="60"/>
  <c r="BA28" i="57"/>
  <c r="BK28" i="57"/>
  <c r="BP28" i="57"/>
  <c r="BZ28" i="57"/>
  <c r="BB28" i="64"/>
  <c r="BG28" i="64"/>
  <c r="BW28" i="64"/>
  <c r="CF28" i="64"/>
  <c r="AY28" i="60"/>
  <c r="BD28" i="57"/>
  <c r="BX28" i="57"/>
  <c r="AZ35" i="66"/>
  <c r="CF35" i="66"/>
  <c r="BY36" i="66"/>
  <c r="BK27" i="57"/>
  <c r="BE27" i="64"/>
  <c r="CD27" i="59"/>
  <c r="BP27" i="64"/>
  <c r="CD27" i="64"/>
  <c r="AQ27" i="59"/>
  <c r="CC27" i="59" s="1"/>
  <c r="BE27" i="57"/>
  <c r="CE27" i="57"/>
  <c r="BW27" i="57"/>
  <c r="BK27" i="64"/>
  <c r="BF27" i="64"/>
  <c r="CA27" i="64"/>
  <c r="BG27" i="64"/>
  <c r="AI27" i="59"/>
  <c r="BP27" i="57"/>
  <c r="BZ27" i="57"/>
  <c r="CD27" i="57"/>
  <c r="BW27" i="64"/>
  <c r="CG27" i="57"/>
  <c r="BZ27" i="64"/>
  <c r="BR27" i="64"/>
  <c r="G27" i="59"/>
  <c r="AM27" i="59"/>
  <c r="BX27" i="59" s="1"/>
  <c r="BF27" i="57"/>
  <c r="CA27" i="57"/>
  <c r="CF27" i="57"/>
  <c r="CF27" i="59"/>
  <c r="CF27" i="64"/>
  <c r="BF27" i="60"/>
  <c r="BB27" i="57"/>
  <c r="BG27" i="57"/>
  <c r="BL27" i="57"/>
  <c r="AX27" i="64"/>
  <c r="BD27" i="64"/>
  <c r="BH27" i="64"/>
  <c r="BM27" i="64"/>
  <c r="BS27" i="64"/>
  <c r="BX27" i="64"/>
  <c r="CC27" i="64"/>
  <c r="CG27" i="64"/>
  <c r="AW27" i="60"/>
  <c r="BC27" i="60"/>
  <c r="BG27" i="60"/>
  <c r="BL27" i="60"/>
  <c r="BR27" i="60"/>
  <c r="BW27" i="60"/>
  <c r="CB27" i="60"/>
  <c r="AJ27" i="59"/>
  <c r="AN27" i="59"/>
  <c r="BD27" i="57"/>
  <c r="BH27" i="57"/>
  <c r="BM27" i="57"/>
  <c r="BS27" i="57"/>
  <c r="BX27" i="57"/>
  <c r="CC27" i="57"/>
  <c r="CE27" i="60"/>
  <c r="AZ27" i="64"/>
  <c r="BI27" i="64"/>
  <c r="BN27" i="64"/>
  <c r="BT27" i="64"/>
  <c r="BY27" i="64"/>
  <c r="AY27" i="60"/>
  <c r="BM27" i="60"/>
  <c r="BX27" i="60"/>
  <c r="E27" i="59"/>
  <c r="I27" i="59"/>
  <c r="BE27" i="59" s="1"/>
  <c r="AZ27" i="57"/>
  <c r="BI27" i="57"/>
  <c r="BN27" i="57"/>
  <c r="BY27" i="57"/>
  <c r="BB27" i="64"/>
  <c r="BL27" i="64"/>
  <c r="BA27" i="64"/>
  <c r="BV27" i="64"/>
  <c r="CE27" i="64"/>
  <c r="AZ27" i="60"/>
  <c r="BU27" i="60"/>
  <c r="BA27" i="57"/>
  <c r="BV27" i="57"/>
  <c r="BS35" i="67"/>
  <c r="BY26" i="57"/>
  <c r="CE26" i="57"/>
  <c r="CD26" i="57"/>
  <c r="BN26" i="57"/>
  <c r="BE26" i="59"/>
  <c r="BF26" i="57"/>
  <c r="CA26" i="57"/>
  <c r="BY37" i="68"/>
  <c r="BM26" i="64"/>
  <c r="BR26" i="64"/>
  <c r="CA26" i="64"/>
  <c r="BD26" i="64"/>
  <c r="BS26" i="64"/>
  <c r="G26" i="59"/>
  <c r="BG26" i="59" s="1"/>
  <c r="BS26" i="57"/>
  <c r="CC26" i="57"/>
  <c r="BR26" i="57"/>
  <c r="BL26" i="64"/>
  <c r="BF26" i="64"/>
  <c r="BM26" i="57"/>
  <c r="CF26" i="57"/>
  <c r="BA26" i="64"/>
  <c r="BY35" i="69"/>
  <c r="CE26" i="64"/>
  <c r="AX26" i="64"/>
  <c r="BH26" i="64"/>
  <c r="CG26" i="57"/>
  <c r="AZ26" i="57"/>
  <c r="BX26" i="64"/>
  <c r="CC26" i="64"/>
  <c r="CG26" i="64"/>
  <c r="BF26" i="60"/>
  <c r="CE26" i="60"/>
  <c r="BE26" i="57"/>
  <c r="BI26" i="57"/>
  <c r="D36" i="64"/>
  <c r="AZ26" i="64"/>
  <c r="BI26" i="64"/>
  <c r="BN26" i="64"/>
  <c r="BT26" i="64"/>
  <c r="BY26" i="64"/>
  <c r="CD26" i="64"/>
  <c r="AW26" i="60"/>
  <c r="BC26" i="60"/>
  <c r="BL26" i="60"/>
  <c r="BR26" i="60"/>
  <c r="BW26" i="60"/>
  <c r="CB26" i="60"/>
  <c r="J26" i="59"/>
  <c r="BS26" i="59" s="1"/>
  <c r="AY26" i="59"/>
  <c r="BA26" i="57"/>
  <c r="BK26" i="57"/>
  <c r="BP26" i="57"/>
  <c r="BV26" i="57"/>
  <c r="BZ26" i="57"/>
  <c r="BK26" i="64"/>
  <c r="BP26" i="64"/>
  <c r="BV26" i="64"/>
  <c r="BZ26" i="64"/>
  <c r="BD26" i="60"/>
  <c r="BM26" i="60"/>
  <c r="BS26" i="60"/>
  <c r="AI26" i="59"/>
  <c r="BA26" i="59" s="1"/>
  <c r="AM26" i="59"/>
  <c r="BF26" i="59" s="1"/>
  <c r="BB26" i="57"/>
  <c r="BG26" i="57"/>
  <c r="BL26" i="57"/>
  <c r="BW26" i="57"/>
  <c r="BA36" i="49"/>
  <c r="BB26" i="64"/>
  <c r="BG26" i="64"/>
  <c r="BW26" i="64"/>
  <c r="CF26" i="64"/>
  <c r="AZ26" i="60"/>
  <c r="BU26" i="60"/>
  <c r="BD26" i="57"/>
  <c r="BX26" i="57"/>
  <c r="CD36" i="66"/>
  <c r="BS35" i="66"/>
  <c r="CC35" i="66"/>
  <c r="CD35" i="66"/>
  <c r="CF36" i="66"/>
  <c r="BF35" i="67"/>
  <c r="AX35" i="67"/>
  <c r="CF25" i="64"/>
  <c r="AX36" i="69"/>
  <c r="BY36" i="69"/>
  <c r="BI36" i="69"/>
  <c r="AX35" i="69"/>
  <c r="BS25" i="64"/>
  <c r="AM25" i="59"/>
  <c r="AW25" i="59" s="1"/>
  <c r="BK25" i="57"/>
  <c r="BF25" i="57"/>
  <c r="CA25" i="57"/>
  <c r="BG25" i="57"/>
  <c r="BN25" i="64"/>
  <c r="BZ25" i="57"/>
  <c r="BS25" i="57"/>
  <c r="CG25" i="64"/>
  <c r="AX25" i="64"/>
  <c r="BT25" i="64"/>
  <c r="AQ25" i="59"/>
  <c r="CC25" i="59" s="1"/>
  <c r="CG25" i="57"/>
  <c r="BH25" i="57"/>
  <c r="AI25" i="59"/>
  <c r="BR25" i="59" s="1"/>
  <c r="BY36" i="68"/>
  <c r="BM25" i="64"/>
  <c r="BY25" i="64"/>
  <c r="AZ25" i="64"/>
  <c r="CE25" i="57"/>
  <c r="BR25" i="57"/>
  <c r="AY25" i="59"/>
  <c r="BE25" i="59"/>
  <c r="CD25" i="59"/>
  <c r="BE25" i="64"/>
  <c r="K25" i="59"/>
  <c r="BB25" i="57"/>
  <c r="BA25" i="64"/>
  <c r="BF25" i="64"/>
  <c r="BK25" i="64"/>
  <c r="BP25" i="64"/>
  <c r="BV25" i="64"/>
  <c r="BZ25" i="64"/>
  <c r="CE25" i="64"/>
  <c r="D32" i="60"/>
  <c r="AN33" i="60"/>
  <c r="AR33" i="60"/>
  <c r="AV32" i="60"/>
  <c r="AW25" i="60"/>
  <c r="BC25" i="60"/>
  <c r="BG25" i="60"/>
  <c r="BL25" i="60"/>
  <c r="BR25" i="60"/>
  <c r="BW25" i="60"/>
  <c r="CB25" i="60"/>
  <c r="CF25" i="60"/>
  <c r="AN25" i="59"/>
  <c r="BD25" i="57"/>
  <c r="BM25" i="57"/>
  <c r="BX25" i="57"/>
  <c r="CC25" i="57"/>
  <c r="BF25" i="60"/>
  <c r="G25" i="59"/>
  <c r="CF25" i="57"/>
  <c r="CE36" i="49"/>
  <c r="BB25" i="64"/>
  <c r="BG25" i="64"/>
  <c r="BL25" i="64"/>
  <c r="BW25" i="64"/>
  <c r="AK32" i="60"/>
  <c r="AO32" i="60"/>
  <c r="AY25" i="60"/>
  <c r="BD25" i="60"/>
  <c r="BH25" i="60"/>
  <c r="BX25" i="60"/>
  <c r="AO25" i="59"/>
  <c r="CF25" i="59" s="1"/>
  <c r="AZ25" i="57"/>
  <c r="BI25" i="57"/>
  <c r="BN25" i="57"/>
  <c r="BY25" i="57"/>
  <c r="BI25" i="64"/>
  <c r="BL25" i="57"/>
  <c r="BS36" i="49"/>
  <c r="BD25" i="64"/>
  <c r="BH25" i="64"/>
  <c r="BX25" i="64"/>
  <c r="CC25" i="64"/>
  <c r="BJ25" i="60"/>
  <c r="BU25" i="60"/>
  <c r="BA25" i="57"/>
  <c r="BV25" i="57"/>
  <c r="BM36" i="66"/>
  <c r="BF36" i="66"/>
  <c r="AZ35" i="67"/>
  <c r="CE24" i="57"/>
  <c r="AZ36" i="67"/>
  <c r="BX36" i="67"/>
  <c r="BI36" i="67"/>
  <c r="CD24" i="57"/>
  <c r="CC35" i="67"/>
  <c r="BF36" i="67"/>
  <c r="BR35" i="67"/>
  <c r="BY36" i="67"/>
  <c r="BS36" i="67"/>
  <c r="BF24" i="57"/>
  <c r="BH24" i="57"/>
  <c r="CE24" i="64"/>
  <c r="BN24" i="57"/>
  <c r="BP24" i="64"/>
  <c r="BZ24" i="64"/>
  <c r="BS24" i="64"/>
  <c r="CC24" i="57"/>
  <c r="BW24" i="64"/>
  <c r="AP24" i="59"/>
  <c r="BM24" i="57"/>
  <c r="CF24" i="57"/>
  <c r="BI35" i="69"/>
  <c r="CG24" i="64"/>
  <c r="BH24" i="64"/>
  <c r="CG24" i="57"/>
  <c r="AZ24" i="57"/>
  <c r="BG24" i="59"/>
  <c r="BB24" i="64"/>
  <c r="CA24" i="64"/>
  <c r="BH24" i="60"/>
  <c r="E24" i="59"/>
  <c r="BE24" i="57"/>
  <c r="BI24" i="57"/>
  <c r="CE35" i="49"/>
  <c r="AX24" i="64"/>
  <c r="BM24" i="64"/>
  <c r="BX24" i="64"/>
  <c r="AZ24" i="60"/>
  <c r="BJ24" i="60"/>
  <c r="BU24" i="60"/>
  <c r="BY24" i="60"/>
  <c r="J24" i="59"/>
  <c r="BS24" i="59" s="1"/>
  <c r="BP35" i="49"/>
  <c r="CD35" i="49"/>
  <c r="AZ24" i="64"/>
  <c r="BE24" i="64"/>
  <c r="BI24" i="64"/>
  <c r="BN24" i="64"/>
  <c r="BT24" i="64"/>
  <c r="BY24" i="64"/>
  <c r="BA24" i="60"/>
  <c r="BF24" i="60"/>
  <c r="BK24" i="60"/>
  <c r="BQ24" i="60"/>
  <c r="BV24" i="60"/>
  <c r="BZ24" i="60"/>
  <c r="AI24" i="59"/>
  <c r="AM24" i="59"/>
  <c r="AM35" i="57"/>
  <c r="AQ35" i="57"/>
  <c r="BB24" i="57"/>
  <c r="BG24" i="57"/>
  <c r="BL24" i="57"/>
  <c r="BR24" i="57"/>
  <c r="BW24" i="57"/>
  <c r="CA24" i="57"/>
  <c r="BG24" i="64"/>
  <c r="BL24" i="64"/>
  <c r="CF24" i="64"/>
  <c r="BD24" i="60"/>
  <c r="BM24" i="60"/>
  <c r="BS24" i="60"/>
  <c r="I24" i="59"/>
  <c r="BE24" i="59" s="1"/>
  <c r="BE35" i="49"/>
  <c r="BD24" i="64"/>
  <c r="CC24" i="64"/>
  <c r="BO24" i="60"/>
  <c r="BA24" i="57"/>
  <c r="BK24" i="57"/>
  <c r="BP24" i="57"/>
  <c r="BV24" i="57"/>
  <c r="BZ24" i="57"/>
  <c r="BA24" i="64"/>
  <c r="BV24" i="64"/>
  <c r="K33" i="60"/>
  <c r="AW24" i="60"/>
  <c r="BC24" i="60"/>
  <c r="BW24" i="60"/>
  <c r="BD24" i="57"/>
  <c r="BX24" i="57"/>
  <c r="BF35" i="66"/>
  <c r="CG36" i="66"/>
  <c r="CG35" i="66"/>
  <c r="BI36" i="66"/>
  <c r="BN36" i="66"/>
  <c r="BK23" i="57"/>
  <c r="BF23" i="57"/>
  <c r="CA23" i="57"/>
  <c r="BM35" i="66"/>
  <c r="AZ36" i="66"/>
  <c r="BY35" i="66"/>
  <c r="BI35" i="66"/>
  <c r="BN35" i="66"/>
  <c r="BS36" i="66"/>
  <c r="CC36" i="66"/>
  <c r="K36" i="57"/>
  <c r="CG35" i="67"/>
  <c r="BE35" i="67"/>
  <c r="CE35" i="67"/>
  <c r="BD35" i="67"/>
  <c r="BE36" i="67"/>
  <c r="CE36" i="67"/>
  <c r="BD36" i="67"/>
  <c r="CA35" i="67"/>
  <c r="BH35" i="67"/>
  <c r="CA36" i="67"/>
  <c r="BH36" i="67"/>
  <c r="BL35" i="67"/>
  <c r="CF35" i="67"/>
  <c r="BM35" i="67"/>
  <c r="BL36" i="67"/>
  <c r="CF36" i="67"/>
  <c r="BM36" i="67"/>
  <c r="AS35" i="64"/>
  <c r="BS23" i="64"/>
  <c r="BI36" i="68"/>
  <c r="AX36" i="68"/>
  <c r="BI37" i="68"/>
  <c r="AX37" i="68"/>
  <c r="BW23" i="57"/>
  <c r="BE23" i="64"/>
  <c r="BD23" i="64"/>
  <c r="BE23" i="57"/>
  <c r="CE23" i="57"/>
  <c r="BR23" i="64"/>
  <c r="CA23" i="64"/>
  <c r="BH23" i="64"/>
  <c r="AI23" i="59"/>
  <c r="BR23" i="59" s="1"/>
  <c r="BP23" i="57"/>
  <c r="BZ23" i="57"/>
  <c r="CD23" i="57"/>
  <c r="CG23" i="64"/>
  <c r="CG23" i="57"/>
  <c r="BL23" i="64"/>
  <c r="CF23" i="64"/>
  <c r="BM23" i="64"/>
  <c r="G23" i="59"/>
  <c r="AM23" i="59"/>
  <c r="AL36" i="57"/>
  <c r="AP36" i="57"/>
  <c r="CF23" i="57"/>
  <c r="CC23" i="59"/>
  <c r="CD23" i="59"/>
  <c r="BE23" i="59"/>
  <c r="AZ23" i="64"/>
  <c r="BI23" i="64"/>
  <c r="BN23" i="64"/>
  <c r="BT23" i="64"/>
  <c r="CD23" i="64"/>
  <c r="AL33" i="60"/>
  <c r="AZ23" i="60"/>
  <c r="BJ23" i="60"/>
  <c r="BO23" i="60"/>
  <c r="BU23" i="60"/>
  <c r="BY23" i="60"/>
  <c r="CD23" i="60"/>
  <c r="D23" i="59"/>
  <c r="D33" i="59" s="1"/>
  <c r="AN23" i="59"/>
  <c r="BD23" i="57"/>
  <c r="BM23" i="57"/>
  <c r="BS23" i="57"/>
  <c r="BX23" i="57"/>
  <c r="CC23" i="57"/>
  <c r="BN35" i="49"/>
  <c r="BI35" i="49"/>
  <c r="BF36" i="49"/>
  <c r="BY36" i="49"/>
  <c r="CD36" i="49"/>
  <c r="AP36" i="64"/>
  <c r="BA23" i="64"/>
  <c r="BF23" i="64"/>
  <c r="BK23" i="64"/>
  <c r="BP23" i="64"/>
  <c r="BV23" i="64"/>
  <c r="BZ23" i="64"/>
  <c r="CE23" i="64"/>
  <c r="K32" i="60"/>
  <c r="AM33" i="60"/>
  <c r="AQ33" i="60"/>
  <c r="BA23" i="60"/>
  <c r="BF23" i="60"/>
  <c r="BK23" i="60"/>
  <c r="BQ23" i="60"/>
  <c r="BV23" i="60"/>
  <c r="BZ23" i="60"/>
  <c r="E23" i="59"/>
  <c r="AO23" i="59"/>
  <c r="CF23" i="59" s="1"/>
  <c r="AZ23" i="57"/>
  <c r="BI23" i="57"/>
  <c r="BN23" i="57"/>
  <c r="BY23" i="57"/>
  <c r="CG36" i="49"/>
  <c r="BX23" i="64"/>
  <c r="CC23" i="64"/>
  <c r="BD23" i="60"/>
  <c r="BM23" i="60"/>
  <c r="BS23" i="60"/>
  <c r="BB23" i="57"/>
  <c r="BG23" i="57"/>
  <c r="BL23" i="57"/>
  <c r="BR23" i="57"/>
  <c r="BY35" i="49"/>
  <c r="BE36" i="49"/>
  <c r="CG35" i="49"/>
  <c r="BA35" i="49"/>
  <c r="BN36" i="49"/>
  <c r="BI36" i="49"/>
  <c r="BB23" i="64"/>
  <c r="BG23" i="64"/>
  <c r="BW23" i="64"/>
  <c r="AW23" i="60"/>
  <c r="BC23" i="60"/>
  <c r="BW23" i="60"/>
  <c r="AO36" i="57"/>
  <c r="AS36" i="57"/>
  <c r="AW36" i="57"/>
  <c r="BA23" i="57"/>
  <c r="BV23" i="57"/>
  <c r="BA35" i="66"/>
  <c r="BK35" i="66"/>
  <c r="BP35" i="66"/>
  <c r="BV35" i="66"/>
  <c r="BZ35" i="66"/>
  <c r="CE35" i="66"/>
  <c r="BA36" i="66"/>
  <c r="BK36" i="66"/>
  <c r="BP36" i="66"/>
  <c r="BV36" i="66"/>
  <c r="BZ36" i="66"/>
  <c r="CE36" i="66"/>
  <c r="BE35" i="66"/>
  <c r="BB35" i="66"/>
  <c r="BG35" i="66"/>
  <c r="BL35" i="66"/>
  <c r="BR35" i="66"/>
  <c r="BW35" i="66"/>
  <c r="CA35" i="66"/>
  <c r="BB36" i="66"/>
  <c r="BG36" i="66"/>
  <c r="BL36" i="66"/>
  <c r="BR36" i="66"/>
  <c r="BW36" i="66"/>
  <c r="CA36" i="66"/>
  <c r="BE36" i="66"/>
  <c r="AX35" i="66"/>
  <c r="BD35" i="66"/>
  <c r="BX35" i="66"/>
  <c r="AX36" i="66"/>
  <c r="BD36" i="66"/>
  <c r="BX36" i="66"/>
  <c r="CG36" i="67"/>
  <c r="BI35" i="67"/>
  <c r="BN35" i="67"/>
  <c r="BT35" i="67"/>
  <c r="CD35" i="67"/>
  <c r="BN36" i="67"/>
  <c r="BT36" i="67"/>
  <c r="CD36" i="67"/>
  <c r="BX35" i="67"/>
  <c r="CC36" i="67"/>
  <c r="BA35" i="67"/>
  <c r="BK35" i="67"/>
  <c r="BP35" i="67"/>
  <c r="BV35" i="67"/>
  <c r="BZ35" i="67"/>
  <c r="BA36" i="67"/>
  <c r="BK36" i="67"/>
  <c r="BP36" i="67"/>
  <c r="BV36" i="67"/>
  <c r="BZ36" i="67"/>
  <c r="BY22" i="57"/>
  <c r="BB35" i="67"/>
  <c r="BG35" i="67"/>
  <c r="BW35" i="67"/>
  <c r="BB36" i="67"/>
  <c r="BG36" i="67"/>
  <c r="BW36" i="67"/>
  <c r="BG35" i="69"/>
  <c r="BG36" i="69"/>
  <c r="K35" i="57"/>
  <c r="BE22" i="57"/>
  <c r="AG22" i="59"/>
  <c r="CE22" i="57"/>
  <c r="BT22" i="57"/>
  <c r="AM36" i="57"/>
  <c r="BG36" i="68"/>
  <c r="BG37" i="68"/>
  <c r="BN22" i="64"/>
  <c r="BN22" i="57"/>
  <c r="BK35" i="49"/>
  <c r="BV35" i="49"/>
  <c r="BK36" i="49"/>
  <c r="BV36" i="49"/>
  <c r="AB22" i="59"/>
  <c r="AN22" i="59"/>
  <c r="AO36" i="64"/>
  <c r="AO35" i="64"/>
  <c r="AP33" i="60"/>
  <c r="CD22" i="60"/>
  <c r="BB35" i="49"/>
  <c r="BG35" i="49"/>
  <c r="BL35" i="49"/>
  <c r="BR35" i="49"/>
  <c r="BW35" i="49"/>
  <c r="CA35" i="49"/>
  <c r="CF35" i="49"/>
  <c r="BB36" i="49"/>
  <c r="BG36" i="49"/>
  <c r="BL36" i="49"/>
  <c r="BR36" i="49"/>
  <c r="BW36" i="49"/>
  <c r="CA36" i="49"/>
  <c r="CF36" i="49"/>
  <c r="F22" i="59"/>
  <c r="J22" i="59"/>
  <c r="N22" i="59"/>
  <c r="BO22" i="59" s="1"/>
  <c r="R22" i="59"/>
  <c r="U22" i="59"/>
  <c r="AC22" i="59"/>
  <c r="AK22" i="59"/>
  <c r="AL36" i="64"/>
  <c r="AS22" i="59"/>
  <c r="AX22" i="64"/>
  <c r="BD22" i="64"/>
  <c r="BM22" i="64"/>
  <c r="BS22" i="64"/>
  <c r="BX22" i="64"/>
  <c r="CC22" i="64"/>
  <c r="CG22" i="64"/>
  <c r="AL35" i="64"/>
  <c r="AP35" i="64"/>
  <c r="AN36" i="64"/>
  <c r="BD22" i="60"/>
  <c r="AL32" i="60"/>
  <c r="I22" i="59"/>
  <c r="AO22" i="59"/>
  <c r="BP36" i="49"/>
  <c r="BZ36" i="49"/>
  <c r="AJ22" i="59"/>
  <c r="BQ22" i="59" s="1"/>
  <c r="AV22" i="59"/>
  <c r="AW36" i="64"/>
  <c r="BB22" i="64"/>
  <c r="BL22" i="64"/>
  <c r="CA22" i="64"/>
  <c r="CB22" i="60"/>
  <c r="BW22" i="60"/>
  <c r="AX35" i="49"/>
  <c r="BD35" i="49"/>
  <c r="BH35" i="49"/>
  <c r="BM35" i="49"/>
  <c r="BS35" i="49"/>
  <c r="BX35" i="49"/>
  <c r="CC35" i="49"/>
  <c r="AX36" i="49"/>
  <c r="BD36" i="49"/>
  <c r="BH36" i="49"/>
  <c r="BM36" i="49"/>
  <c r="BX36" i="49"/>
  <c r="CC36" i="49"/>
  <c r="C22" i="59"/>
  <c r="G22" i="59"/>
  <c r="BV22" i="59" s="1"/>
  <c r="K22" i="59"/>
  <c r="BX22" i="59" s="1"/>
  <c r="K36" i="64"/>
  <c r="O22" i="59"/>
  <c r="S22" i="59"/>
  <c r="V22" i="59"/>
  <c r="Z22" i="59"/>
  <c r="AD22" i="59"/>
  <c r="AH22" i="59"/>
  <c r="AL22" i="59"/>
  <c r="AM36" i="64"/>
  <c r="AQ36" i="64"/>
  <c r="AP22" i="59"/>
  <c r="AT22" i="59"/>
  <c r="AZ22" i="64"/>
  <c r="BE22" i="64"/>
  <c r="BI22" i="64"/>
  <c r="BT22" i="64"/>
  <c r="BY22" i="64"/>
  <c r="CD22" i="64"/>
  <c r="K35" i="64"/>
  <c r="AM35" i="64"/>
  <c r="AQ35" i="64"/>
  <c r="AR36" i="64"/>
  <c r="BH22" i="60"/>
  <c r="AP32" i="60"/>
  <c r="Q22" i="59"/>
  <c r="BZ35" i="49"/>
  <c r="E22" i="59"/>
  <c r="M22" i="59"/>
  <c r="X22" i="59"/>
  <c r="AF22" i="59"/>
  <c r="AR22" i="59"/>
  <c r="AS36" i="64"/>
  <c r="BG22" i="64"/>
  <c r="BR22" i="64"/>
  <c r="CF22" i="64"/>
  <c r="AW35" i="64"/>
  <c r="AY22" i="60"/>
  <c r="AZ35" i="49"/>
  <c r="AZ36" i="49"/>
  <c r="BY22" i="59"/>
  <c r="BA22" i="64"/>
  <c r="BF22" i="64"/>
  <c r="BK22" i="64"/>
  <c r="BP22" i="64"/>
  <c r="BV22" i="64"/>
  <c r="BZ22" i="64"/>
  <c r="CE22" i="64"/>
  <c r="D35" i="64"/>
  <c r="AN35" i="64"/>
  <c r="AR35" i="64"/>
  <c r="BM22" i="60"/>
  <c r="CC22" i="60"/>
  <c r="Y22" i="59"/>
  <c r="AZ22" i="60"/>
  <c r="BE22" i="60"/>
  <c r="BJ22" i="60"/>
  <c r="BO22" i="60"/>
  <c r="BU22" i="60"/>
  <c r="BY22" i="60"/>
  <c r="AM32" i="60"/>
  <c r="AQ32" i="60"/>
  <c r="D33" i="60"/>
  <c r="AK33" i="60"/>
  <c r="AV33" i="60"/>
  <c r="BA22" i="60"/>
  <c r="BF22" i="60"/>
  <c r="BK22" i="60"/>
  <c r="BQ22" i="60"/>
  <c r="BV22" i="60"/>
  <c r="BZ22" i="60"/>
  <c r="CE22" i="60"/>
  <c r="AN32" i="60"/>
  <c r="AR32" i="60"/>
  <c r="BC22" i="60"/>
  <c r="BL22" i="60"/>
  <c r="CF22" i="60"/>
  <c r="D36" i="57"/>
  <c r="D35" i="57"/>
  <c r="BS22" i="57"/>
  <c r="BR22" i="57"/>
  <c r="BP22" i="57"/>
  <c r="CC22" i="57"/>
  <c r="BX22" i="57"/>
  <c r="CA22" i="57"/>
  <c r="BW22" i="57"/>
  <c r="AN35" i="57"/>
  <c r="BV22" i="57"/>
  <c r="AN36" i="57"/>
  <c r="BZ22" i="57"/>
  <c r="AR36" i="57"/>
  <c r="CD22" i="57"/>
  <c r="AR35" i="57"/>
  <c r="BM22" i="57"/>
  <c r="BL22" i="57"/>
  <c r="BB22" i="57"/>
  <c r="BF22" i="57"/>
  <c r="AZ22" i="57"/>
  <c r="BI22" i="57"/>
  <c r="AQ36" i="57"/>
  <c r="BH22" i="57"/>
  <c r="BD22" i="57"/>
  <c r="BA22" i="57"/>
  <c r="BK22" i="57"/>
  <c r="BG22" i="57"/>
  <c r="CF22" i="57"/>
  <c r="AO35" i="57"/>
  <c r="AS35" i="57"/>
  <c r="AW35" i="57"/>
  <c r="CG22" i="57"/>
  <c r="AL35" i="57"/>
  <c r="AP35" i="57"/>
  <c r="A6" i="51" l="1"/>
  <c r="A7" i="51" s="1"/>
  <c r="B5" i="69"/>
  <c r="BX23" i="59"/>
  <c r="BG23" i="59"/>
  <c r="B6" i="69"/>
  <c r="A8" i="69"/>
  <c r="A9" i="69" s="1"/>
  <c r="AZ26" i="59"/>
  <c r="D32" i="59"/>
  <c r="AW23" i="59"/>
  <c r="BQ23" i="59"/>
  <c r="BU23" i="59"/>
  <c r="CB23" i="59"/>
  <c r="BW23" i="59"/>
  <c r="BO23" i="59"/>
  <c r="BC23" i="59"/>
  <c r="BL28" i="59"/>
  <c r="AY28" i="59"/>
  <c r="BD23" i="59"/>
  <c r="BC31" i="59"/>
  <c r="BD31" i="59"/>
  <c r="BC28" i="59"/>
  <c r="BU27" i="59"/>
  <c r="BV30" i="59"/>
  <c r="BW30" i="59"/>
  <c r="BF24" i="59"/>
  <c r="CB27" i="59"/>
  <c r="BY30" i="59"/>
  <c r="BZ30" i="59"/>
  <c r="AW29" i="59"/>
  <c r="BU30" i="59"/>
  <c r="BX30" i="59"/>
  <c r="CB30" i="59"/>
  <c r="A24" i="77"/>
  <c r="B23" i="77"/>
  <c r="B22" i="76"/>
  <c r="A23" i="76"/>
  <c r="B9" i="70"/>
  <c r="A10" i="70"/>
  <c r="A10" i="71"/>
  <c r="B10" i="71" s="1"/>
  <c r="A10" i="72"/>
  <c r="B9" i="73"/>
  <c r="A10" i="73"/>
  <c r="B9" i="74"/>
  <c r="A10" i="74"/>
  <c r="A10" i="75"/>
  <c r="B9" i="75"/>
  <c r="AQ32" i="59"/>
  <c r="AQ33" i="59"/>
  <c r="BX4" i="59"/>
  <c r="AW4" i="59"/>
  <c r="BH4" i="59"/>
  <c r="CB22" i="59"/>
  <c r="BZ23" i="59"/>
  <c r="BW27" i="59"/>
  <c r="BA28" i="59"/>
  <c r="BF4" i="59"/>
  <c r="BY23" i="59"/>
  <c r="BV23" i="59"/>
  <c r="AW27" i="59"/>
  <c r="BZ27" i="59"/>
  <c r="BH29" i="59"/>
  <c r="BV27" i="59"/>
  <c r="BQ30" i="59"/>
  <c r="BR30" i="59"/>
  <c r="B6" i="52"/>
  <c r="A7" i="52"/>
  <c r="A7" i="64"/>
  <c r="B6" i="64"/>
  <c r="A8" i="57"/>
  <c r="B7" i="57"/>
  <c r="A6" i="59"/>
  <c r="B5" i="59"/>
  <c r="B5" i="67"/>
  <c r="A6" i="67"/>
  <c r="B6" i="68"/>
  <c r="A7" i="68"/>
  <c r="A6" i="55"/>
  <c r="B5" i="55"/>
  <c r="B6" i="54"/>
  <c r="A7" i="54"/>
  <c r="A6" i="63"/>
  <c r="B5" i="63"/>
  <c r="A6" i="62"/>
  <c r="B5" i="62"/>
  <c r="A7" i="60"/>
  <c r="B6" i="60"/>
  <c r="A7" i="66"/>
  <c r="B6" i="66"/>
  <c r="A6" i="65"/>
  <c r="B5" i="65"/>
  <c r="BR31" i="59"/>
  <c r="BO31" i="59"/>
  <c r="BQ31" i="59"/>
  <c r="BM31" i="59"/>
  <c r="AY31" i="59"/>
  <c r="BL31" i="59"/>
  <c r="BK31" i="59"/>
  <c r="BA31" i="59"/>
  <c r="BJ31" i="59"/>
  <c r="AZ31" i="59"/>
  <c r="BH31" i="59"/>
  <c r="CE31" i="59"/>
  <c r="BF31" i="59"/>
  <c r="BX31" i="59"/>
  <c r="CB31" i="59"/>
  <c r="BW31" i="59"/>
  <c r="AW31" i="59"/>
  <c r="BZ31" i="59"/>
  <c r="BV31" i="59"/>
  <c r="BY31" i="59"/>
  <c r="BU31" i="59"/>
  <c r="BC30" i="59"/>
  <c r="BK30" i="59"/>
  <c r="BA30" i="59"/>
  <c r="BJ30" i="59"/>
  <c r="AZ30" i="59"/>
  <c r="BM30" i="59"/>
  <c r="AY30" i="59"/>
  <c r="BL30" i="59"/>
  <c r="BH30" i="59"/>
  <c r="BF30" i="59"/>
  <c r="BF29" i="59"/>
  <c r="BQ28" i="59"/>
  <c r="BO28" i="59"/>
  <c r="BR28" i="59"/>
  <c r="BM28" i="59"/>
  <c r="BF28" i="59"/>
  <c r="BZ28" i="59"/>
  <c r="BV28" i="59"/>
  <c r="BX28" i="59"/>
  <c r="CB28" i="59"/>
  <c r="BW28" i="59"/>
  <c r="BY28" i="59"/>
  <c r="BU28" i="59"/>
  <c r="AW28" i="59"/>
  <c r="BH28" i="59"/>
  <c r="BJ28" i="59"/>
  <c r="BK28" i="59"/>
  <c r="BC27" i="59"/>
  <c r="BR27" i="59"/>
  <c r="BQ27" i="59"/>
  <c r="BG27" i="59"/>
  <c r="BY27" i="59"/>
  <c r="BD27" i="59"/>
  <c r="BO27" i="59"/>
  <c r="BM27" i="59"/>
  <c r="AY27" i="59"/>
  <c r="BJ27" i="59"/>
  <c r="AZ27" i="59"/>
  <c r="BL27" i="59"/>
  <c r="BK27" i="59"/>
  <c r="BA27" i="59"/>
  <c r="BH27" i="59"/>
  <c r="CE27" i="59"/>
  <c r="BF27" i="59"/>
  <c r="CF26" i="59"/>
  <c r="BL26" i="59"/>
  <c r="BC26" i="59"/>
  <c r="CD26" i="59"/>
  <c r="BD26" i="59"/>
  <c r="BQ26" i="59"/>
  <c r="BO26" i="59"/>
  <c r="BR26" i="59"/>
  <c r="CC26" i="59"/>
  <c r="BZ26" i="59"/>
  <c r="BV26" i="59"/>
  <c r="BY26" i="59"/>
  <c r="BU26" i="59"/>
  <c r="BX26" i="59"/>
  <c r="CB26" i="59"/>
  <c r="BW26" i="59"/>
  <c r="AW26" i="59"/>
  <c r="BH26" i="59"/>
  <c r="BX33" i="60"/>
  <c r="BH33" i="60"/>
  <c r="BJ26" i="59"/>
  <c r="BM26" i="59"/>
  <c r="CE26" i="59"/>
  <c r="BK26" i="59"/>
  <c r="AM32" i="59"/>
  <c r="BJ25" i="59"/>
  <c r="AM33" i="59"/>
  <c r="CB25" i="59"/>
  <c r="BZ25" i="59"/>
  <c r="BO25" i="59"/>
  <c r="BW25" i="59"/>
  <c r="BU25" i="59"/>
  <c r="BQ25" i="59"/>
  <c r="BX25" i="59"/>
  <c r="BM25" i="59"/>
  <c r="BL25" i="59"/>
  <c r="BA25" i="59"/>
  <c r="BY25" i="59"/>
  <c r="BK25" i="59"/>
  <c r="BV25" i="59"/>
  <c r="AZ25" i="59"/>
  <c r="BD25" i="59"/>
  <c r="BG25" i="59"/>
  <c r="BC25" i="59"/>
  <c r="BH25" i="59"/>
  <c r="CE25" i="59"/>
  <c r="BF25" i="59"/>
  <c r="BH24" i="59"/>
  <c r="BQ24" i="59"/>
  <c r="BR24" i="59"/>
  <c r="BO24" i="59"/>
  <c r="BF33" i="60"/>
  <c r="AW33" i="60"/>
  <c r="CE24" i="59"/>
  <c r="BC24" i="59"/>
  <c r="BD24" i="59"/>
  <c r="BZ24" i="59"/>
  <c r="BV24" i="59"/>
  <c r="BX24" i="59"/>
  <c r="BY24" i="59"/>
  <c r="BU24" i="59"/>
  <c r="CB24" i="59"/>
  <c r="BW24" i="59"/>
  <c r="AW24" i="59"/>
  <c r="BK24" i="59"/>
  <c r="BA24" i="59"/>
  <c r="BJ24" i="59"/>
  <c r="AZ24" i="59"/>
  <c r="BM24" i="59"/>
  <c r="AY24" i="59"/>
  <c r="BL24" i="59"/>
  <c r="CF24" i="59"/>
  <c r="CD24" i="59"/>
  <c r="CC24" i="59"/>
  <c r="BH23" i="59"/>
  <c r="CE23" i="59"/>
  <c r="BF23" i="59"/>
  <c r="BM23" i="59"/>
  <c r="AY23" i="59"/>
  <c r="BJ23" i="59"/>
  <c r="AZ23" i="59"/>
  <c r="BL23" i="59"/>
  <c r="BK23" i="59"/>
  <c r="BA23" i="59"/>
  <c r="CC22" i="59"/>
  <c r="BZ22" i="59"/>
  <c r="BW22" i="59"/>
  <c r="BI36" i="57"/>
  <c r="AR33" i="59"/>
  <c r="AR32" i="59"/>
  <c r="BK22" i="59"/>
  <c r="BA22" i="59"/>
  <c r="BJ22" i="59"/>
  <c r="AZ22" i="59"/>
  <c r="BM22" i="59"/>
  <c r="BL22" i="59"/>
  <c r="AY22" i="59"/>
  <c r="AP32" i="59"/>
  <c r="AP33" i="59"/>
  <c r="CD22" i="59"/>
  <c r="AK33" i="59"/>
  <c r="AK32" i="59"/>
  <c r="BG35" i="57"/>
  <c r="BI35" i="57"/>
  <c r="AX36" i="57"/>
  <c r="BY36" i="57"/>
  <c r="BF32" i="60"/>
  <c r="BH32" i="60"/>
  <c r="K33" i="59"/>
  <c r="K32" i="59"/>
  <c r="AV33" i="59"/>
  <c r="AV32" i="59"/>
  <c r="BS22" i="59"/>
  <c r="BG36" i="57"/>
  <c r="BY35" i="64"/>
  <c r="AX35" i="64"/>
  <c r="BU22" i="59"/>
  <c r="CF22" i="59"/>
  <c r="AO33" i="59"/>
  <c r="AO32" i="59"/>
  <c r="BG35" i="64"/>
  <c r="BI35" i="64"/>
  <c r="BI36" i="64"/>
  <c r="BG36" i="64"/>
  <c r="AW32" i="60"/>
  <c r="BX32" i="60"/>
  <c r="AX35" i="57"/>
  <c r="BY35" i="57"/>
  <c r="AL32" i="59"/>
  <c r="AL33" i="59"/>
  <c r="BD22" i="59"/>
  <c r="BC22" i="59"/>
  <c r="BG22" i="59"/>
  <c r="BR22" i="59"/>
  <c r="BE22" i="59"/>
  <c r="BY36" i="64"/>
  <c r="AX36" i="64"/>
  <c r="BF22" i="59"/>
  <c r="AN32" i="59"/>
  <c r="CE22" i="59"/>
  <c r="BH22" i="59"/>
  <c r="AN33" i="59"/>
  <c r="AW22" i="59"/>
  <c r="B6" i="51" l="1"/>
  <c r="B8" i="69"/>
  <c r="B24" i="77"/>
  <c r="A25" i="77"/>
  <c r="A24" i="76"/>
  <c r="B23" i="76"/>
  <c r="A11" i="70"/>
  <c r="B10" i="70"/>
  <c r="A11" i="71"/>
  <c r="A11" i="72"/>
  <c r="B10" i="72"/>
  <c r="A11" i="73"/>
  <c r="B10" i="73"/>
  <c r="B10" i="74"/>
  <c r="A11" i="74"/>
  <c r="B10" i="75"/>
  <c r="A11" i="75"/>
  <c r="AW32" i="59"/>
  <c r="B7" i="66"/>
  <c r="A8" i="66"/>
  <c r="A8" i="60"/>
  <c r="B7" i="60"/>
  <c r="A7" i="63"/>
  <c r="B6" i="63"/>
  <c r="B6" i="55"/>
  <c r="A7" i="55"/>
  <c r="A8" i="51"/>
  <c r="B7" i="51"/>
  <c r="A7" i="59"/>
  <c r="B6" i="59"/>
  <c r="A8" i="64"/>
  <c r="B7" i="64"/>
  <c r="A10" i="69"/>
  <c r="B9" i="69"/>
  <c r="A8" i="54"/>
  <c r="B7" i="54"/>
  <c r="A8" i="68"/>
  <c r="B7" i="68"/>
  <c r="B6" i="67"/>
  <c r="A7" i="67"/>
  <c r="A8" i="52"/>
  <c r="B7" i="52"/>
  <c r="B6" i="65"/>
  <c r="A7" i="65"/>
  <c r="B6" i="62"/>
  <c r="A7" i="62"/>
  <c r="B8" i="57"/>
  <c r="A9" i="57"/>
  <c r="AW33" i="59"/>
  <c r="BX33" i="59"/>
  <c r="BX32" i="59"/>
  <c r="BH32" i="59"/>
  <c r="BF32" i="59"/>
  <c r="BH33" i="59"/>
  <c r="BF33" i="59"/>
  <c r="B25" i="77" l="1"/>
  <c r="A26" i="77"/>
  <c r="A25" i="76"/>
  <c r="B24" i="76"/>
  <c r="A12" i="70"/>
  <c r="B11" i="70"/>
  <c r="A12" i="71"/>
  <c r="B11" i="71"/>
  <c r="A12" i="72"/>
  <c r="B11" i="72"/>
  <c r="A12" i="73"/>
  <c r="B11" i="73"/>
  <c r="A12" i="74"/>
  <c r="B12" i="74" s="1"/>
  <c r="B11" i="74"/>
  <c r="B11" i="75"/>
  <c r="A12" i="75"/>
  <c r="B7" i="62"/>
  <c r="A8" i="62"/>
  <c r="A9" i="52"/>
  <c r="B8" i="52"/>
  <c r="A9" i="68"/>
  <c r="B8" i="68"/>
  <c r="B10" i="69"/>
  <c r="A11" i="69"/>
  <c r="A8" i="59"/>
  <c r="B7" i="59"/>
  <c r="A9" i="60"/>
  <c r="B8" i="60"/>
  <c r="B9" i="57"/>
  <c r="A10" i="57"/>
  <c r="B7" i="65"/>
  <c r="A8" i="65"/>
  <c r="A8" i="67"/>
  <c r="B7" i="67"/>
  <c r="B8" i="66"/>
  <c r="A9" i="66"/>
  <c r="B7" i="55"/>
  <c r="A8" i="55"/>
  <c r="A9" i="54"/>
  <c r="B8" i="54"/>
  <c r="A9" i="64"/>
  <c r="B8" i="64"/>
  <c r="B8" i="51"/>
  <c r="A9" i="51"/>
  <c r="B7" i="63"/>
  <c r="A8" i="63"/>
  <c r="B26" i="77" l="1"/>
  <c r="A27" i="77"/>
  <c r="B25" i="76"/>
  <c r="A26" i="76"/>
  <c r="A13" i="70"/>
  <c r="B12" i="70"/>
  <c r="B12" i="71"/>
  <c r="A13" i="71"/>
  <c r="A13" i="72"/>
  <c r="B12" i="72"/>
  <c r="A13" i="73"/>
  <c r="B12" i="73"/>
  <c r="A13" i="74"/>
  <c r="A13" i="75"/>
  <c r="B12" i="75"/>
  <c r="B11" i="69"/>
  <c r="A12" i="69"/>
  <c r="A10" i="66"/>
  <c r="B9" i="66"/>
  <c r="A9" i="65"/>
  <c r="B8" i="65"/>
  <c r="B9" i="54"/>
  <c r="A10" i="54"/>
  <c r="B9" i="52"/>
  <c r="A10" i="52"/>
  <c r="B8" i="63"/>
  <c r="A9" i="63"/>
  <c r="A9" i="55"/>
  <c r="B8" i="55"/>
  <c r="A11" i="57"/>
  <c r="B10" i="57"/>
  <c r="A9" i="62"/>
  <c r="B8" i="62"/>
  <c r="B9" i="51"/>
  <c r="A10" i="51"/>
  <c r="A10" i="60"/>
  <c r="B9" i="60"/>
  <c r="A10" i="64"/>
  <c r="B9" i="64"/>
  <c r="B8" i="67"/>
  <c r="A9" i="67"/>
  <c r="A9" i="59"/>
  <c r="B8" i="59"/>
  <c r="B9" i="68"/>
  <c r="A10" i="68"/>
  <c r="A28" i="77" l="1"/>
  <c r="B27" i="77"/>
  <c r="B26" i="76"/>
  <c r="A27" i="76"/>
  <c r="B13" i="70"/>
  <c r="A14" i="70"/>
  <c r="B13" i="71"/>
  <c r="A14" i="71"/>
  <c r="B13" i="72"/>
  <c r="A14" i="72"/>
  <c r="B13" i="73"/>
  <c r="A14" i="73"/>
  <c r="B13" i="74"/>
  <c r="A14" i="74"/>
  <c r="A14" i="75"/>
  <c r="B13" i="75"/>
  <c r="B9" i="63"/>
  <c r="A10" i="63"/>
  <c r="B10" i="54"/>
  <c r="A11" i="54"/>
  <c r="A10" i="59"/>
  <c r="B9" i="59"/>
  <c r="A11" i="64"/>
  <c r="B10" i="64"/>
  <c r="A12" i="57"/>
  <c r="B11" i="57"/>
  <c r="B10" i="66"/>
  <c r="A11" i="66"/>
  <c r="A11" i="51"/>
  <c r="B10" i="51"/>
  <c r="B10" i="68"/>
  <c r="A11" i="68"/>
  <c r="B9" i="67"/>
  <c r="A10" i="67"/>
  <c r="B10" i="52"/>
  <c r="A11" i="52"/>
  <c r="A13" i="69"/>
  <c r="B12" i="69"/>
  <c r="A11" i="60"/>
  <c r="B10" i="60"/>
  <c r="A10" i="62"/>
  <c r="B9" i="62"/>
  <c r="A10" i="55"/>
  <c r="B9" i="55"/>
  <c r="A10" i="65"/>
  <c r="B9" i="65"/>
  <c r="B28" i="77" l="1"/>
  <c r="A29" i="77"/>
  <c r="A28" i="76"/>
  <c r="B27" i="76"/>
  <c r="B14" i="70"/>
  <c r="A15" i="70"/>
  <c r="B14" i="71"/>
  <c r="A15" i="71"/>
  <c r="A15" i="72"/>
  <c r="B14" i="72"/>
  <c r="A15" i="73"/>
  <c r="B14" i="73"/>
  <c r="A15" i="74"/>
  <c r="B14" i="74"/>
  <c r="B14" i="75"/>
  <c r="A15" i="75"/>
  <c r="A12" i="54"/>
  <c r="B11" i="54"/>
  <c r="B10" i="55"/>
  <c r="A11" i="55"/>
  <c r="A12" i="60"/>
  <c r="B11" i="60"/>
  <c r="A12" i="64"/>
  <c r="B11" i="64"/>
  <c r="A12" i="52"/>
  <c r="B11" i="52"/>
  <c r="A11" i="63"/>
  <c r="B10" i="63"/>
  <c r="A12" i="68"/>
  <c r="B11" i="68"/>
  <c r="B11" i="66"/>
  <c r="A12" i="66"/>
  <c r="A11" i="67"/>
  <c r="B10" i="67"/>
  <c r="B10" i="65"/>
  <c r="A11" i="65"/>
  <c r="B10" i="62"/>
  <c r="A11" i="62"/>
  <c r="A14" i="69"/>
  <c r="B13" i="69"/>
  <c r="A12" i="51"/>
  <c r="B11" i="51"/>
  <c r="B12" i="57"/>
  <c r="A13" i="57"/>
  <c r="A11" i="59"/>
  <c r="B10" i="59"/>
  <c r="B29" i="77" l="1"/>
  <c r="A30" i="77"/>
  <c r="A29" i="76"/>
  <c r="B28" i="76"/>
  <c r="A16" i="70"/>
  <c r="B15" i="70"/>
  <c r="A16" i="71"/>
  <c r="B15" i="71"/>
  <c r="A16" i="72"/>
  <c r="B15" i="72"/>
  <c r="A16" i="73"/>
  <c r="B15" i="73"/>
  <c r="A16" i="74"/>
  <c r="B15" i="74"/>
  <c r="B15" i="75"/>
  <c r="A16" i="75"/>
  <c r="B11" i="55"/>
  <c r="A12" i="55"/>
  <c r="B14" i="69"/>
  <c r="A15" i="69"/>
  <c r="A12" i="63"/>
  <c r="B11" i="63"/>
  <c r="A13" i="64"/>
  <c r="B12" i="64"/>
  <c r="B13" i="57"/>
  <c r="A14" i="57"/>
  <c r="B11" i="62"/>
  <c r="A12" i="62"/>
  <c r="A12" i="65"/>
  <c r="B11" i="65"/>
  <c r="A13" i="66"/>
  <c r="B12" i="66"/>
  <c r="A12" i="59"/>
  <c r="B11" i="59"/>
  <c r="B12" i="51"/>
  <c r="A13" i="51"/>
  <c r="A12" i="67"/>
  <c r="B11" i="67"/>
  <c r="A13" i="68"/>
  <c r="B12" i="68"/>
  <c r="A13" i="52"/>
  <c r="B12" i="52"/>
  <c r="A13" i="60"/>
  <c r="B12" i="60"/>
  <c r="A13" i="54"/>
  <c r="B12" i="54"/>
  <c r="A31" i="77" l="1"/>
  <c r="B30" i="77"/>
  <c r="B29" i="76"/>
  <c r="A30" i="76"/>
  <c r="A17" i="70"/>
  <c r="B16" i="70"/>
  <c r="A17" i="71"/>
  <c r="B16" i="71"/>
  <c r="A17" i="72"/>
  <c r="B16" i="72"/>
  <c r="A17" i="73"/>
  <c r="B16" i="73"/>
  <c r="A17" i="74"/>
  <c r="B16" i="74"/>
  <c r="A17" i="75"/>
  <c r="B16" i="75"/>
  <c r="A14" i="66"/>
  <c r="B13" i="66"/>
  <c r="A14" i="64"/>
  <c r="B13" i="64"/>
  <c r="B13" i="51"/>
  <c r="A14" i="51"/>
  <c r="A14" i="60"/>
  <c r="B13" i="60"/>
  <c r="B13" i="68"/>
  <c r="A14" i="68"/>
  <c r="A15" i="57"/>
  <c r="B14" i="57"/>
  <c r="A13" i="55"/>
  <c r="B12" i="55"/>
  <c r="A13" i="62"/>
  <c r="B12" i="62"/>
  <c r="B15" i="69"/>
  <c r="A16" i="69"/>
  <c r="B13" i="54"/>
  <c r="A14" i="54"/>
  <c r="B13" i="52"/>
  <c r="A14" i="52"/>
  <c r="A13" i="67"/>
  <c r="B12" i="67"/>
  <c r="A13" i="59"/>
  <c r="B12" i="59"/>
  <c r="A13" i="65"/>
  <c r="B12" i="65"/>
  <c r="B12" i="63"/>
  <c r="A13" i="63"/>
  <c r="A32" i="77" l="1"/>
  <c r="B31" i="77"/>
  <c r="B30" i="76"/>
  <c r="A31" i="76"/>
  <c r="B17" i="70"/>
  <c r="A18" i="70"/>
  <c r="B17" i="71"/>
  <c r="A18" i="71"/>
  <c r="B17" i="72"/>
  <c r="A18" i="72"/>
  <c r="B17" i="73"/>
  <c r="A18" i="73"/>
  <c r="B17" i="74"/>
  <c r="A18" i="74"/>
  <c r="A18" i="75"/>
  <c r="B17" i="75"/>
  <c r="B14" i="54"/>
  <c r="A15" i="54"/>
  <c r="B13" i="65"/>
  <c r="A14" i="65"/>
  <c r="B13" i="67"/>
  <c r="A14" i="67"/>
  <c r="A14" i="62"/>
  <c r="B13" i="62"/>
  <c r="A16" i="57"/>
  <c r="B15" i="57"/>
  <c r="A15" i="60"/>
  <c r="B14" i="60"/>
  <c r="A15" i="64"/>
  <c r="B14" i="64"/>
  <c r="B14" i="52"/>
  <c r="A15" i="52"/>
  <c r="B15" i="52" s="1"/>
  <c r="A17" i="69"/>
  <c r="B16" i="69"/>
  <c r="B14" i="68"/>
  <c r="A15" i="68"/>
  <c r="A15" i="51"/>
  <c r="B14" i="51"/>
  <c r="B13" i="63"/>
  <c r="A14" i="63"/>
  <c r="A14" i="59"/>
  <c r="B13" i="59"/>
  <c r="A14" i="55"/>
  <c r="B13" i="55"/>
  <c r="B14" i="66"/>
  <c r="A15" i="66"/>
  <c r="A33" i="77" l="1"/>
  <c r="B32" i="77"/>
  <c r="A32" i="76"/>
  <c r="B31" i="76"/>
  <c r="B18" i="70"/>
  <c r="A19" i="70"/>
  <c r="B18" i="71"/>
  <c r="A19" i="71"/>
  <c r="A19" i="72"/>
  <c r="B18" i="72"/>
  <c r="B18" i="73"/>
  <c r="A19" i="73"/>
  <c r="A19" i="74"/>
  <c r="B18" i="74"/>
  <c r="B18" i="75"/>
  <c r="A19" i="75"/>
  <c r="A16" i="60"/>
  <c r="B15" i="60"/>
  <c r="B14" i="62"/>
  <c r="A15" i="62"/>
  <c r="A15" i="63"/>
  <c r="B14" i="63"/>
  <c r="A16" i="68"/>
  <c r="B15" i="68"/>
  <c r="A16" i="52"/>
  <c r="B15" i="66"/>
  <c r="A16" i="66"/>
  <c r="B14" i="67"/>
  <c r="A15" i="67"/>
  <c r="A16" i="54"/>
  <c r="B15" i="54"/>
  <c r="B14" i="65"/>
  <c r="A15" i="65"/>
  <c r="B14" i="55"/>
  <c r="A15" i="55"/>
  <c r="A15" i="59"/>
  <c r="B14" i="59"/>
  <c r="A16" i="51"/>
  <c r="B15" i="51"/>
  <c r="A18" i="69"/>
  <c r="B17" i="69"/>
  <c r="A16" i="64"/>
  <c r="B15" i="64"/>
  <c r="B16" i="57"/>
  <c r="A17" i="57"/>
  <c r="B33" i="77" l="1"/>
  <c r="A34" i="77"/>
  <c r="B34" i="77" s="1"/>
  <c r="A33" i="76"/>
  <c r="B32" i="76"/>
  <c r="A20" i="70"/>
  <c r="B19" i="70"/>
  <c r="A20" i="71"/>
  <c r="B19" i="71"/>
  <c r="A20" i="72"/>
  <c r="B19" i="72"/>
  <c r="A20" i="73"/>
  <c r="B19" i="73"/>
  <c r="A20" i="74"/>
  <c r="B19" i="74"/>
  <c r="B19" i="75"/>
  <c r="A20" i="75"/>
  <c r="B15" i="55"/>
  <c r="A16" i="55"/>
  <c r="A17" i="66"/>
  <c r="B16" i="66"/>
  <c r="B15" i="62"/>
  <c r="A16" i="62"/>
  <c r="A17" i="64"/>
  <c r="B16" i="64"/>
  <c r="B16" i="51"/>
  <c r="A17" i="51"/>
  <c r="A17" i="54"/>
  <c r="B16" i="54"/>
  <c r="A17" i="68"/>
  <c r="B16" i="68"/>
  <c r="B17" i="57"/>
  <c r="A18" i="57"/>
  <c r="A16" i="65"/>
  <c r="B15" i="65"/>
  <c r="A16" i="67"/>
  <c r="B15" i="67"/>
  <c r="B18" i="69"/>
  <c r="A19" i="69"/>
  <c r="A16" i="59"/>
  <c r="B15" i="59"/>
  <c r="A17" i="52"/>
  <c r="B16" i="52"/>
  <c r="A16" i="63"/>
  <c r="B15" i="63"/>
  <c r="A17" i="60"/>
  <c r="B16" i="60"/>
  <c r="B33" i="76" l="1"/>
  <c r="A34" i="76"/>
  <c r="B34" i="76" s="1"/>
  <c r="B20" i="70"/>
  <c r="A21" i="70"/>
  <c r="B20" i="71"/>
  <c r="A21" i="71"/>
  <c r="A21" i="72"/>
  <c r="B20" i="72"/>
  <c r="B20" i="73"/>
  <c r="A21" i="73"/>
  <c r="A21" i="74"/>
  <c r="B20" i="74"/>
  <c r="A21" i="75"/>
  <c r="B20" i="75"/>
  <c r="B16" i="63"/>
  <c r="A17" i="63"/>
  <c r="A17" i="59"/>
  <c r="B16" i="59"/>
  <c r="B16" i="67"/>
  <c r="A17" i="67"/>
  <c r="B17" i="54"/>
  <c r="A18" i="54"/>
  <c r="A18" i="64"/>
  <c r="B17" i="64"/>
  <c r="A18" i="66"/>
  <c r="B17" i="66"/>
  <c r="B19" i="69"/>
  <c r="A20" i="69"/>
  <c r="B17" i="51"/>
  <c r="A18" i="51"/>
  <c r="A17" i="62"/>
  <c r="B16" i="62"/>
  <c r="A17" i="55"/>
  <c r="B16" i="55"/>
  <c r="A19" i="57"/>
  <c r="B18" i="57"/>
  <c r="A18" i="60"/>
  <c r="B17" i="60"/>
  <c r="B17" i="52"/>
  <c r="A18" i="52"/>
  <c r="A17" i="65"/>
  <c r="B16" i="65"/>
  <c r="B17" i="68"/>
  <c r="A18" i="68"/>
  <c r="B21" i="70" l="1"/>
  <c r="A22" i="70"/>
  <c r="B21" i="71"/>
  <c r="A22" i="71"/>
  <c r="B21" i="72"/>
  <c r="A22" i="72"/>
  <c r="B21" i="73"/>
  <c r="A22" i="73"/>
  <c r="B21" i="74"/>
  <c r="A22" i="74"/>
  <c r="A22" i="75"/>
  <c r="B21" i="75"/>
  <c r="A19" i="51"/>
  <c r="B18" i="51"/>
  <c r="B18" i="54"/>
  <c r="A19" i="54"/>
  <c r="B17" i="65"/>
  <c r="A18" i="65"/>
  <c r="A19" i="60"/>
  <c r="B18" i="60"/>
  <c r="A18" i="55"/>
  <c r="B17" i="55"/>
  <c r="B18" i="66"/>
  <c r="A19" i="66"/>
  <c r="A18" i="59"/>
  <c r="B17" i="59"/>
  <c r="B18" i="52"/>
  <c r="A19" i="52"/>
  <c r="A21" i="69"/>
  <c r="B20" i="69"/>
  <c r="B17" i="67"/>
  <c r="A18" i="67"/>
  <c r="B17" i="63"/>
  <c r="A18" i="63"/>
  <c r="B18" i="68"/>
  <c r="A19" i="68"/>
  <c r="A20" i="57"/>
  <c r="B19" i="57"/>
  <c r="A18" i="62"/>
  <c r="B17" i="62"/>
  <c r="A19" i="64"/>
  <c r="B18" i="64"/>
  <c r="B22" i="70" l="1"/>
  <c r="A23" i="70"/>
  <c r="A23" i="71"/>
  <c r="B22" i="71"/>
  <c r="A23" i="72"/>
  <c r="B22" i="72"/>
  <c r="B22" i="73"/>
  <c r="A23" i="73"/>
  <c r="A23" i="74"/>
  <c r="B22" i="74"/>
  <c r="B22" i="75"/>
  <c r="A23" i="75"/>
  <c r="A20" i="54"/>
  <c r="B19" i="54"/>
  <c r="B18" i="62"/>
  <c r="A19" i="62"/>
  <c r="A20" i="60"/>
  <c r="B19" i="60"/>
  <c r="A20" i="68"/>
  <c r="B19" i="68"/>
  <c r="A20" i="52"/>
  <c r="B19" i="52"/>
  <c r="A19" i="63"/>
  <c r="B18" i="63"/>
  <c r="B18" i="65"/>
  <c r="A19" i="65"/>
  <c r="A19" i="67"/>
  <c r="B18" i="67"/>
  <c r="B19" i="66"/>
  <c r="A20" i="66"/>
  <c r="A20" i="64"/>
  <c r="B19" i="64"/>
  <c r="B20" i="57"/>
  <c r="A21" i="57"/>
  <c r="A22" i="69"/>
  <c r="B21" i="69"/>
  <c r="A19" i="59"/>
  <c r="B18" i="59"/>
  <c r="B18" i="55"/>
  <c r="A19" i="55"/>
  <c r="A20" i="51"/>
  <c r="B19" i="51"/>
  <c r="A24" i="70" l="1"/>
  <c r="B23" i="70"/>
  <c r="A24" i="71"/>
  <c r="B23" i="71"/>
  <c r="A24" i="72"/>
  <c r="B23" i="72"/>
  <c r="A24" i="73"/>
  <c r="B23" i="73"/>
  <c r="A24" i="74"/>
  <c r="B23" i="74"/>
  <c r="B23" i="75"/>
  <c r="A24" i="75"/>
  <c r="B22" i="69"/>
  <c r="A23" i="69"/>
  <c r="A21" i="64"/>
  <c r="B20" i="64"/>
  <c r="A20" i="67"/>
  <c r="B19" i="67"/>
  <c r="A20" i="63"/>
  <c r="B19" i="63"/>
  <c r="A21" i="68"/>
  <c r="B20" i="68"/>
  <c r="B21" i="57"/>
  <c r="A22" i="57"/>
  <c r="A21" i="66"/>
  <c r="B20" i="66"/>
  <c r="A20" i="65"/>
  <c r="B19" i="65"/>
  <c r="B19" i="55"/>
  <c r="A20" i="55"/>
  <c r="B19" i="62"/>
  <c r="A20" i="62"/>
  <c r="B20" i="51"/>
  <c r="A21" i="51"/>
  <c r="A20" i="59"/>
  <c r="B19" i="59"/>
  <c r="A21" i="52"/>
  <c r="B20" i="52"/>
  <c r="A21" i="60"/>
  <c r="B20" i="60"/>
  <c r="A21" i="54"/>
  <c r="B20" i="54"/>
  <c r="A25" i="70" l="1"/>
  <c r="B24" i="70"/>
  <c r="B24" i="71"/>
  <c r="A25" i="71"/>
  <c r="A25" i="72"/>
  <c r="B24" i="72"/>
  <c r="B24" i="73"/>
  <c r="A25" i="73"/>
  <c r="A25" i="74"/>
  <c r="B24" i="74"/>
  <c r="A25" i="75"/>
  <c r="B24" i="75"/>
  <c r="A21" i="62"/>
  <c r="B20" i="62"/>
  <c r="A22" i="60"/>
  <c r="B21" i="60"/>
  <c r="A21" i="59"/>
  <c r="B20" i="59"/>
  <c r="A23" i="57"/>
  <c r="B22" i="57"/>
  <c r="A21" i="65"/>
  <c r="B20" i="65"/>
  <c r="B20" i="63"/>
  <c r="A21" i="63"/>
  <c r="B21" i="51"/>
  <c r="A22" i="51"/>
  <c r="A21" i="55"/>
  <c r="B20" i="55"/>
  <c r="B23" i="69"/>
  <c r="A24" i="69"/>
  <c r="A22" i="64"/>
  <c r="B21" i="64"/>
  <c r="B21" i="54"/>
  <c r="A22" i="54"/>
  <c r="B21" i="52"/>
  <c r="A22" i="52"/>
  <c r="A22" i="66"/>
  <c r="B21" i="66"/>
  <c r="B21" i="68"/>
  <c r="A22" i="68"/>
  <c r="A21" i="67"/>
  <c r="B20" i="67"/>
  <c r="B25" i="70" l="1"/>
  <c r="A26" i="70"/>
  <c r="B25" i="71"/>
  <c r="A26" i="71"/>
  <c r="B25" i="72"/>
  <c r="A26" i="72"/>
  <c r="B25" i="73"/>
  <c r="A26" i="73"/>
  <c r="B25" i="74"/>
  <c r="A26" i="74"/>
  <c r="A26" i="75"/>
  <c r="B25" i="75"/>
  <c r="B21" i="67"/>
  <c r="A22" i="67"/>
  <c r="B22" i="52"/>
  <c r="A23" i="52"/>
  <c r="B21" i="63"/>
  <c r="A22" i="63"/>
  <c r="A23" i="64"/>
  <c r="B22" i="64"/>
  <c r="A22" i="55"/>
  <c r="B21" i="55"/>
  <c r="B23" i="57"/>
  <c r="A24" i="57"/>
  <c r="B22" i="60"/>
  <c r="A23" i="60"/>
  <c r="B22" i="68"/>
  <c r="A23" i="68"/>
  <c r="B22" i="54"/>
  <c r="A23" i="54"/>
  <c r="A25" i="69"/>
  <c r="B24" i="69"/>
  <c r="A23" i="51"/>
  <c r="B22" i="51"/>
  <c r="B22" i="66"/>
  <c r="A23" i="66"/>
  <c r="B21" i="65"/>
  <c r="A22" i="65"/>
  <c r="A22" i="59"/>
  <c r="B21" i="59"/>
  <c r="A22" i="62"/>
  <c r="B21" i="62"/>
  <c r="B26" i="70" l="1"/>
  <c r="A27" i="70"/>
  <c r="B26" i="71"/>
  <c r="A27" i="71"/>
  <c r="B26" i="72"/>
  <c r="A27" i="72"/>
  <c r="B26" i="73"/>
  <c r="A27" i="73"/>
  <c r="B26" i="74"/>
  <c r="A27" i="74"/>
  <c r="B26" i="75"/>
  <c r="A27" i="75"/>
  <c r="A26" i="69"/>
  <c r="B25" i="69"/>
  <c r="A24" i="64"/>
  <c r="B23" i="64"/>
  <c r="B23" i="66"/>
  <c r="A24" i="66"/>
  <c r="A24" i="68"/>
  <c r="B23" i="68"/>
  <c r="A25" i="57"/>
  <c r="B24" i="57"/>
  <c r="A24" i="52"/>
  <c r="B23" i="52"/>
  <c r="A23" i="59"/>
  <c r="B22" i="59"/>
  <c r="B22" i="65"/>
  <c r="A23" i="65"/>
  <c r="A24" i="54"/>
  <c r="B23" i="54"/>
  <c r="A24" i="60"/>
  <c r="B23" i="60"/>
  <c r="A23" i="63"/>
  <c r="B22" i="63"/>
  <c r="A23" i="67"/>
  <c r="B22" i="67"/>
  <c r="B22" i="62"/>
  <c r="A23" i="62"/>
  <c r="A24" i="51"/>
  <c r="B23" i="51"/>
  <c r="B22" i="55"/>
  <c r="A23" i="55"/>
  <c r="A28" i="70" l="1"/>
  <c r="B27" i="70"/>
  <c r="A28" i="71"/>
  <c r="B27" i="71"/>
  <c r="A28" i="72"/>
  <c r="B27" i="72"/>
  <c r="A28" i="73"/>
  <c r="B27" i="73"/>
  <c r="A28" i="74"/>
  <c r="B27" i="74"/>
  <c r="B27" i="75"/>
  <c r="A28" i="75"/>
  <c r="A24" i="65"/>
  <c r="B23" i="65"/>
  <c r="B24" i="51"/>
  <c r="A25" i="51"/>
  <c r="A24" i="67"/>
  <c r="B23" i="67"/>
  <c r="A25" i="60"/>
  <c r="B24" i="60"/>
  <c r="A25" i="52"/>
  <c r="B24" i="52"/>
  <c r="A25" i="68"/>
  <c r="B24" i="68"/>
  <c r="A25" i="64"/>
  <c r="B24" i="64"/>
  <c r="A25" i="66"/>
  <c r="B24" i="66"/>
  <c r="B23" i="55"/>
  <c r="A24" i="55"/>
  <c r="B23" i="62"/>
  <c r="A24" i="62"/>
  <c r="A24" i="63"/>
  <c r="B23" i="63"/>
  <c r="A25" i="54"/>
  <c r="B24" i="54"/>
  <c r="A24" i="59"/>
  <c r="B23" i="59"/>
  <c r="A26" i="57"/>
  <c r="B25" i="57"/>
  <c r="B26" i="69"/>
  <c r="A27" i="69"/>
  <c r="A29" i="70" l="1"/>
  <c r="B28" i="70"/>
  <c r="A29" i="71"/>
  <c r="B28" i="71"/>
  <c r="B28" i="72"/>
  <c r="A29" i="72"/>
  <c r="A29" i="73"/>
  <c r="B28" i="73"/>
  <c r="B28" i="74"/>
  <c r="A29" i="74"/>
  <c r="A29" i="75"/>
  <c r="B28" i="75"/>
  <c r="A26" i="66"/>
  <c r="B25" i="66"/>
  <c r="B25" i="68"/>
  <c r="A26" i="68"/>
  <c r="A26" i="60"/>
  <c r="B25" i="60"/>
  <c r="B26" i="57"/>
  <c r="A27" i="57"/>
  <c r="B27" i="69"/>
  <c r="A28" i="69"/>
  <c r="A25" i="62"/>
  <c r="B24" i="62"/>
  <c r="B25" i="51"/>
  <c r="A26" i="51"/>
  <c r="B25" i="54"/>
  <c r="A26" i="54"/>
  <c r="A25" i="55"/>
  <c r="B24" i="55"/>
  <c r="B24" i="59"/>
  <c r="A25" i="59"/>
  <c r="B24" i="63"/>
  <c r="A25" i="63"/>
  <c r="A26" i="64"/>
  <c r="B25" i="64"/>
  <c r="B25" i="52"/>
  <c r="A26" i="52"/>
  <c r="B24" i="67"/>
  <c r="A25" i="67"/>
  <c r="A25" i="65"/>
  <c r="B24" i="65"/>
  <c r="B29" i="70" l="1"/>
  <c r="A30" i="70"/>
  <c r="B29" i="71"/>
  <c r="A30" i="71"/>
  <c r="B29" i="72"/>
  <c r="A30" i="72"/>
  <c r="B29" i="73"/>
  <c r="A30" i="73"/>
  <c r="B29" i="74"/>
  <c r="A30" i="74"/>
  <c r="A30" i="75"/>
  <c r="B29" i="75"/>
  <c r="B26" i="54"/>
  <c r="A27" i="54"/>
  <c r="B27" i="57"/>
  <c r="A28" i="57"/>
  <c r="B26" i="68"/>
  <c r="A27" i="68"/>
  <c r="A27" i="64"/>
  <c r="B26" i="64"/>
  <c r="A26" i="62"/>
  <c r="B25" i="62"/>
  <c r="B25" i="67"/>
  <c r="A26" i="67"/>
  <c r="A26" i="59"/>
  <c r="B25" i="59"/>
  <c r="B26" i="52"/>
  <c r="A27" i="52"/>
  <c r="B25" i="63"/>
  <c r="A26" i="63"/>
  <c r="A27" i="51"/>
  <c r="B26" i="51"/>
  <c r="A29" i="69"/>
  <c r="B28" i="69"/>
  <c r="B25" i="65"/>
  <c r="A26" i="65"/>
  <c r="A26" i="55"/>
  <c r="B25" i="55"/>
  <c r="A27" i="60"/>
  <c r="B26" i="60"/>
  <c r="B26" i="66"/>
  <c r="A27" i="66"/>
  <c r="B30" i="70" l="1"/>
  <c r="A31" i="70"/>
  <c r="B30" i="71"/>
  <c r="A31" i="71"/>
  <c r="A31" i="72"/>
  <c r="B30" i="72"/>
  <c r="A31" i="73"/>
  <c r="B30" i="73"/>
  <c r="A31" i="74"/>
  <c r="B30" i="74"/>
  <c r="B30" i="75"/>
  <c r="A31" i="75"/>
  <c r="B26" i="65"/>
  <c r="A27" i="65"/>
  <c r="A28" i="52"/>
  <c r="B27" i="52"/>
  <c r="A27" i="67"/>
  <c r="B26" i="67"/>
  <c r="B28" i="57"/>
  <c r="A29" i="57"/>
  <c r="A28" i="60"/>
  <c r="B27" i="60"/>
  <c r="A28" i="51"/>
  <c r="B27" i="51"/>
  <c r="A28" i="64"/>
  <c r="B27" i="64"/>
  <c r="A27" i="63"/>
  <c r="B26" i="63"/>
  <c r="A28" i="68"/>
  <c r="B27" i="68"/>
  <c r="A28" i="54"/>
  <c r="B27" i="54"/>
  <c r="B27" i="66"/>
  <c r="A28" i="66"/>
  <c r="B26" i="55"/>
  <c r="A27" i="55"/>
  <c r="A30" i="69"/>
  <c r="B29" i="69"/>
  <c r="B26" i="59"/>
  <c r="A27" i="59"/>
  <c r="B26" i="62"/>
  <c r="A27" i="62"/>
  <c r="A32" i="70" l="1"/>
  <c r="B31" i="70"/>
  <c r="A32" i="71"/>
  <c r="B31" i="71"/>
  <c r="A32" i="72"/>
  <c r="B31" i="72"/>
  <c r="A32" i="73"/>
  <c r="B31" i="73"/>
  <c r="A32" i="74"/>
  <c r="B31" i="74"/>
  <c r="B31" i="75"/>
  <c r="A32" i="75"/>
  <c r="B29" i="57"/>
  <c r="A30" i="57"/>
  <c r="A29" i="54"/>
  <c r="B28" i="54"/>
  <c r="A28" i="63"/>
  <c r="B27" i="63"/>
  <c r="B28" i="51"/>
  <c r="A29" i="51"/>
  <c r="A29" i="52"/>
  <c r="B28" i="52"/>
  <c r="A28" i="59"/>
  <c r="B27" i="59"/>
  <c r="B27" i="55"/>
  <c r="A28" i="55"/>
  <c r="B27" i="62"/>
  <c r="A28" i="62"/>
  <c r="A28" i="65"/>
  <c r="B27" i="65"/>
  <c r="A29" i="66"/>
  <c r="B28" i="66"/>
  <c r="B30" i="69"/>
  <c r="A31" i="69"/>
  <c r="A29" i="68"/>
  <c r="B28" i="68"/>
  <c r="A29" i="64"/>
  <c r="B28" i="64"/>
  <c r="B28" i="60"/>
  <c r="A29" i="60"/>
  <c r="A28" i="67"/>
  <c r="B27" i="67"/>
  <c r="B32" i="70" l="1"/>
  <c r="A33" i="70"/>
  <c r="A33" i="71"/>
  <c r="B32" i="71"/>
  <c r="B32" i="72"/>
  <c r="A33" i="72"/>
  <c r="A33" i="73"/>
  <c r="B32" i="73"/>
  <c r="A33" i="74"/>
  <c r="B32" i="74"/>
  <c r="A33" i="75"/>
  <c r="B32" i="75"/>
  <c r="A30" i="60"/>
  <c r="B29" i="60"/>
  <c r="B29" i="68"/>
  <c r="A30" i="68"/>
  <c r="A30" i="66"/>
  <c r="B29" i="66"/>
  <c r="B28" i="59"/>
  <c r="A29" i="59"/>
  <c r="B29" i="54"/>
  <c r="A30" i="54"/>
  <c r="B31" i="69"/>
  <c r="A32" i="69"/>
  <c r="A29" i="55"/>
  <c r="B28" i="55"/>
  <c r="A31" i="57"/>
  <c r="B30" i="57"/>
  <c r="A29" i="62"/>
  <c r="B28" i="62"/>
  <c r="B29" i="51"/>
  <c r="A30" i="51"/>
  <c r="B28" i="67"/>
  <c r="A29" i="67"/>
  <c r="A30" i="64"/>
  <c r="B29" i="64"/>
  <c r="A29" i="65"/>
  <c r="B28" i="65"/>
  <c r="B29" i="52"/>
  <c r="A30" i="52"/>
  <c r="B28" i="63"/>
  <c r="A29" i="63"/>
  <c r="B33" i="70" l="1"/>
  <c r="A34" i="70"/>
  <c r="B34" i="70" s="1"/>
  <c r="B33" i="71"/>
  <c r="A34" i="71"/>
  <c r="B34" i="71" s="1"/>
  <c r="B33" i="72"/>
  <c r="A34" i="72"/>
  <c r="B34" i="72" s="1"/>
  <c r="B33" i="73"/>
  <c r="A34" i="73"/>
  <c r="B34" i="73" s="1"/>
  <c r="B33" i="74"/>
  <c r="A34" i="74"/>
  <c r="B34" i="74" s="1"/>
  <c r="A34" i="75"/>
  <c r="B34" i="75" s="1"/>
  <c r="B33" i="75"/>
  <c r="B29" i="59"/>
  <c r="A30" i="59"/>
  <c r="B30" i="64"/>
  <c r="A31" i="64"/>
  <c r="B31" i="57"/>
  <c r="A32" i="57"/>
  <c r="B30" i="68"/>
  <c r="A31" i="68"/>
  <c r="B29" i="63"/>
  <c r="A30" i="63"/>
  <c r="A31" i="52"/>
  <c r="B30" i="52"/>
  <c r="A31" i="51"/>
  <c r="B31" i="51" s="1"/>
  <c r="B30" i="51"/>
  <c r="A33" i="69"/>
  <c r="B32" i="69"/>
  <c r="B29" i="67"/>
  <c r="A30" i="67"/>
  <c r="B30" i="54"/>
  <c r="A31" i="54"/>
  <c r="B29" i="65"/>
  <c r="A30" i="65"/>
  <c r="A30" i="62"/>
  <c r="B29" i="62"/>
  <c r="A30" i="55"/>
  <c r="B29" i="55"/>
  <c r="B30" i="66"/>
  <c r="A31" i="66"/>
  <c r="A31" i="60"/>
  <c r="B31" i="60" s="1"/>
  <c r="B30" i="60"/>
  <c r="B31" i="66" l="1"/>
  <c r="A32" i="66"/>
  <c r="A32" i="54"/>
  <c r="B31" i="54"/>
  <c r="A32" i="68"/>
  <c r="B31" i="68"/>
  <c r="B31" i="64"/>
  <c r="A32" i="64"/>
  <c r="B30" i="62"/>
  <c r="A31" i="62"/>
  <c r="B31" i="62" s="1"/>
  <c r="A34" i="69"/>
  <c r="B34" i="69" s="1"/>
  <c r="B33" i="69"/>
  <c r="A32" i="52"/>
  <c r="B31" i="52"/>
  <c r="B30" i="55"/>
  <c r="A31" i="55"/>
  <c r="B30" i="65"/>
  <c r="A31" i="65"/>
  <c r="A31" i="67"/>
  <c r="B30" i="67"/>
  <c r="A31" i="63"/>
  <c r="B31" i="63" s="1"/>
  <c r="B30" i="63"/>
  <c r="B32" i="57"/>
  <c r="A33" i="57"/>
  <c r="A31" i="59"/>
  <c r="B31" i="59" s="1"/>
  <c r="B30" i="59"/>
  <c r="B32" i="64" l="1"/>
  <c r="A33" i="64"/>
  <c r="A33" i="54"/>
  <c r="B32" i="54"/>
  <c r="A32" i="65"/>
  <c r="B31" i="65"/>
  <c r="A33" i="66"/>
  <c r="B32" i="66"/>
  <c r="A34" i="57"/>
  <c r="B34" i="57" s="1"/>
  <c r="B33" i="57"/>
  <c r="A32" i="55"/>
  <c r="B31" i="55"/>
  <c r="A32" i="67"/>
  <c r="B31" i="67"/>
  <c r="B32" i="52"/>
  <c r="A33" i="52"/>
  <c r="A33" i="68"/>
  <c r="A34" i="68" s="1"/>
  <c r="A35" i="68" s="1"/>
  <c r="B32" i="68"/>
  <c r="B34" i="68" l="1"/>
  <c r="B33" i="52"/>
  <c r="A34" i="52"/>
  <c r="B34" i="52" s="1"/>
  <c r="A33" i="55"/>
  <c r="B32" i="55"/>
  <c r="A34" i="66"/>
  <c r="B34" i="66" s="1"/>
  <c r="B33" i="66"/>
  <c r="B33" i="54"/>
  <c r="A34" i="54"/>
  <c r="B34" i="54" s="1"/>
  <c r="A34" i="64"/>
  <c r="B34" i="64" s="1"/>
  <c r="B33" i="64"/>
  <c r="B33" i="68"/>
  <c r="B35" i="68"/>
  <c r="B32" i="67"/>
  <c r="A33" i="67"/>
  <c r="A33" i="65"/>
  <c r="B32" i="65"/>
  <c r="B33" i="65" l="1"/>
  <c r="A34" i="65"/>
  <c r="B34" i="65" s="1"/>
  <c r="B33" i="55"/>
  <c r="A34" i="55"/>
  <c r="B34" i="55" s="1"/>
  <c r="B33" i="67"/>
  <c r="A34" i="67"/>
  <c r="B34" i="67" s="1"/>
  <c r="BW32" i="73" l="1"/>
  <c r="BE32" i="73"/>
  <c r="BH32" i="73"/>
  <c r="BD32" i="73"/>
  <c r="CA32" i="73" l="1"/>
  <c r="BW32" i="64"/>
  <c r="BH32" i="64"/>
  <c r="BZ32" i="73"/>
  <c r="BP32" i="73"/>
  <c r="BR32" i="73"/>
  <c r="BS32" i="73"/>
  <c r="BH33" i="57"/>
  <c r="BW33" i="57"/>
  <c r="BV32" i="73"/>
  <c r="BK32" i="73"/>
  <c r="BA32" i="73"/>
  <c r="BB32" i="73"/>
  <c r="BN32" i="73"/>
  <c r="AZ32" i="73"/>
  <c r="BM32" i="73"/>
  <c r="BL32" i="73"/>
  <c r="BF32" i="73" l="1"/>
  <c r="CA32" i="64"/>
  <c r="BS32" i="64"/>
  <c r="BZ32" i="64"/>
  <c r="BR32" i="64"/>
  <c r="BP32" i="64"/>
  <c r="CA33" i="57"/>
  <c r="BA32" i="64"/>
  <c r="BL32" i="64"/>
  <c r="BM32" i="64"/>
  <c r="AZ32" i="64"/>
  <c r="BK32" i="64"/>
  <c r="BB32" i="64"/>
  <c r="BV32" i="64"/>
  <c r="BR33" i="57"/>
  <c r="BP33" i="57"/>
  <c r="BZ33" i="57"/>
  <c r="BS33" i="57"/>
  <c r="BK33" i="57"/>
  <c r="BV33" i="57"/>
  <c r="BM33" i="57"/>
  <c r="BB33" i="57"/>
  <c r="AZ33" i="57"/>
  <c r="BL33" i="57"/>
  <c r="BA33" i="57"/>
  <c r="BF33" i="57" l="1"/>
  <c r="BD33" i="57"/>
  <c r="CE32" i="73"/>
  <c r="CD32" i="73"/>
  <c r="BT32" i="73"/>
  <c r="CF32" i="73"/>
  <c r="CG32" i="73"/>
  <c r="CC32" i="73"/>
  <c r="BX32" i="73"/>
  <c r="BF32" i="64"/>
  <c r="BD32" i="64"/>
  <c r="BT32" i="64" l="1"/>
  <c r="CF32" i="64"/>
  <c r="CG32" i="64"/>
  <c r="BX32" i="64"/>
  <c r="CC32" i="64"/>
  <c r="CE32" i="64"/>
  <c r="CD32" i="64"/>
  <c r="BE32" i="64"/>
  <c r="BN32" i="64"/>
  <c r="CD33" i="57"/>
  <c r="BX33" i="57"/>
  <c r="CG33" i="57"/>
  <c r="CC33" i="57"/>
  <c r="BT33" i="57"/>
  <c r="CE33" i="57"/>
  <c r="CF33" i="57"/>
  <c r="BE33" i="57"/>
  <c r="BN33" i="57"/>
  <c r="AB35" i="73" l="1"/>
  <c r="AB36" i="73"/>
  <c r="BE4" i="73"/>
  <c r="BH4" i="73"/>
  <c r="BD4" i="73"/>
  <c r="BW4" i="73"/>
  <c r="G36" i="73"/>
  <c r="G35" i="73"/>
  <c r="C36" i="73"/>
  <c r="C35" i="73"/>
  <c r="Y36" i="73"/>
  <c r="Y35" i="73"/>
  <c r="N36" i="73"/>
  <c r="N35" i="73"/>
  <c r="AD35" i="73"/>
  <c r="AD36" i="73"/>
  <c r="S36" i="73"/>
  <c r="S35" i="73"/>
  <c r="AV36" i="73"/>
  <c r="AV35" i="73"/>
  <c r="P36" i="73"/>
  <c r="P35" i="73"/>
  <c r="M35" i="73"/>
  <c r="M36" i="73"/>
  <c r="AC36" i="73"/>
  <c r="AC35" i="73"/>
  <c r="R35" i="73"/>
  <c r="R36" i="73"/>
  <c r="AH35" i="73"/>
  <c r="AH36" i="73"/>
  <c r="W35" i="73"/>
  <c r="W36" i="73"/>
  <c r="F35" i="73"/>
  <c r="F36" i="73"/>
  <c r="X35" i="73"/>
  <c r="X36" i="73"/>
  <c r="Q35" i="73"/>
  <c r="Q36" i="73"/>
  <c r="AG36" i="73"/>
  <c r="AG35" i="73"/>
  <c r="V35" i="73"/>
  <c r="V36" i="73"/>
  <c r="AU35" i="73"/>
  <c r="AU36" i="73"/>
  <c r="AA36" i="73"/>
  <c r="AA35" i="73"/>
  <c r="T35" i="73"/>
  <c r="T36" i="73"/>
  <c r="U36" i="73"/>
  <c r="U35" i="73"/>
  <c r="AT35" i="73"/>
  <c r="AT36" i="73"/>
  <c r="Z36" i="73"/>
  <c r="Z35" i="73"/>
  <c r="O36" i="73"/>
  <c r="O35" i="73"/>
  <c r="AE36" i="73"/>
  <c r="AE35" i="73"/>
  <c r="AF35" i="73"/>
  <c r="AF36" i="73"/>
  <c r="AF4" i="57" l="1"/>
  <c r="AE4" i="59"/>
  <c r="AT4" i="57"/>
  <c r="AS4" i="59"/>
  <c r="AU4" i="57"/>
  <c r="AT4" i="59"/>
  <c r="X4" i="57"/>
  <c r="W4" i="59"/>
  <c r="R4" i="57"/>
  <c r="R4" i="59"/>
  <c r="L35" i="73"/>
  <c r="L36" i="73"/>
  <c r="AD4" i="57"/>
  <c r="AC4" i="59"/>
  <c r="BP4" i="73"/>
  <c r="BS4" i="73"/>
  <c r="BR4" i="73"/>
  <c r="BZ4" i="73"/>
  <c r="AJ35" i="73"/>
  <c r="AJ36" i="73"/>
  <c r="Y4" i="57"/>
  <c r="X4" i="59"/>
  <c r="BN4" i="73"/>
  <c r="AZ4" i="73"/>
  <c r="BM4" i="73"/>
  <c r="BV4" i="73"/>
  <c r="BL4" i="73"/>
  <c r="BB4" i="73"/>
  <c r="BK4" i="73"/>
  <c r="BA4" i="73"/>
  <c r="E35" i="73"/>
  <c r="E36" i="73"/>
  <c r="H35" i="73"/>
  <c r="H36" i="73"/>
  <c r="Z4" i="57"/>
  <c r="Y4" i="59"/>
  <c r="AA4" i="57"/>
  <c r="Z4" i="59"/>
  <c r="Q4" i="57"/>
  <c r="Q4" i="59"/>
  <c r="AH4" i="57"/>
  <c r="AG4" i="59"/>
  <c r="S4" i="57"/>
  <c r="S4" i="59"/>
  <c r="CA4" i="73"/>
  <c r="AK35" i="73"/>
  <c r="CA35" i="73" s="1"/>
  <c r="AK36" i="73"/>
  <c r="CA36" i="73" s="1"/>
  <c r="BH35" i="73"/>
  <c r="BW35" i="73"/>
  <c r="O4" i="57"/>
  <c r="O4" i="59"/>
  <c r="T4" i="57"/>
  <c r="T4" i="59"/>
  <c r="AG4" i="57"/>
  <c r="AF4" i="59"/>
  <c r="W4" i="57"/>
  <c r="V4" i="59"/>
  <c r="M4" i="57"/>
  <c r="M4" i="59"/>
  <c r="AV4" i="57"/>
  <c r="AU4" i="59"/>
  <c r="BH36" i="73"/>
  <c r="BW36" i="73"/>
  <c r="AE4" i="57"/>
  <c r="AD4" i="59"/>
  <c r="U4" i="57"/>
  <c r="V4" i="57"/>
  <c r="U4" i="59"/>
  <c r="F4" i="57"/>
  <c r="F4" i="59"/>
  <c r="AC4" i="57"/>
  <c r="AB4" i="59"/>
  <c r="AI35" i="73"/>
  <c r="AI36" i="73"/>
  <c r="P4" i="57"/>
  <c r="P4" i="59"/>
  <c r="N4" i="57"/>
  <c r="N4" i="59"/>
  <c r="C4" i="57"/>
  <c r="C4" i="59"/>
  <c r="G4" i="57"/>
  <c r="G4" i="59"/>
  <c r="BW4" i="64"/>
  <c r="BH4" i="64"/>
  <c r="AB4" i="57"/>
  <c r="AA4" i="59"/>
  <c r="BH4" i="57" l="1"/>
  <c r="BW4" i="57"/>
  <c r="BF4" i="73"/>
  <c r="I35" i="73"/>
  <c r="I36" i="73"/>
  <c r="BV35" i="73"/>
  <c r="BB35" i="73"/>
  <c r="BA35" i="73"/>
  <c r="BM35" i="73"/>
  <c r="AZ35" i="73"/>
  <c r="BK35" i="73"/>
  <c r="BL35" i="73"/>
  <c r="AJ4" i="57"/>
  <c r="BR4" i="64"/>
  <c r="AI4" i="59"/>
  <c r="BP4" i="64"/>
  <c r="BS4" i="64"/>
  <c r="BZ4" i="64"/>
  <c r="E4" i="57"/>
  <c r="BL4" i="64"/>
  <c r="BM4" i="64"/>
  <c r="BK4" i="64"/>
  <c r="BA4" i="64"/>
  <c r="BV4" i="64"/>
  <c r="BB4" i="64"/>
  <c r="E4" i="59"/>
  <c r="AZ4" i="64"/>
  <c r="BG4" i="59"/>
  <c r="BV4" i="59"/>
  <c r="H4" i="57"/>
  <c r="H4" i="59"/>
  <c r="BP36" i="73"/>
  <c r="BR36" i="73"/>
  <c r="BS36" i="73"/>
  <c r="BZ36" i="73"/>
  <c r="AI4" i="57"/>
  <c r="AH4" i="59"/>
  <c r="AK4" i="57"/>
  <c r="CA4" i="57" s="1"/>
  <c r="AJ4" i="59"/>
  <c r="CA4" i="64"/>
  <c r="BV36" i="73"/>
  <c r="BL36" i="73"/>
  <c r="AZ36" i="73"/>
  <c r="BM36" i="73"/>
  <c r="BB36" i="73"/>
  <c r="BA36" i="73"/>
  <c r="BK36" i="73"/>
  <c r="BR35" i="73"/>
  <c r="BZ35" i="73"/>
  <c r="BS35" i="73"/>
  <c r="BP35" i="73"/>
  <c r="L4" i="57"/>
  <c r="L4" i="59"/>
  <c r="BM4" i="57" l="1"/>
  <c r="BL4" i="57"/>
  <c r="AZ4" i="57"/>
  <c r="BA4" i="57"/>
  <c r="BK4" i="57"/>
  <c r="BB4" i="57"/>
  <c r="BV4" i="57"/>
  <c r="BS4" i="57"/>
  <c r="BR4" i="57"/>
  <c r="BP4" i="57"/>
  <c r="BZ4" i="57"/>
  <c r="BF36" i="73"/>
  <c r="BD36" i="73"/>
  <c r="BF35" i="73"/>
  <c r="BD35" i="73"/>
  <c r="I4" i="57"/>
  <c r="I4" i="59"/>
  <c r="BF4" i="64"/>
  <c r="BD4" i="64"/>
  <c r="BZ4" i="59"/>
  <c r="CD4" i="73"/>
  <c r="BT4" i="73"/>
  <c r="CE4" i="73"/>
  <c r="CG4" i="73"/>
  <c r="CC4" i="73"/>
  <c r="BX4" i="73"/>
  <c r="CF4" i="73"/>
  <c r="J36" i="73"/>
  <c r="J35" i="73"/>
  <c r="AZ4" i="59"/>
  <c r="BA4" i="59"/>
  <c r="BU4" i="59"/>
  <c r="BL4" i="59"/>
  <c r="BK4" i="59"/>
  <c r="AY4" i="59"/>
  <c r="BJ4" i="59"/>
  <c r="BR4" i="59"/>
  <c r="BQ4" i="59"/>
  <c r="BO4" i="59"/>
  <c r="BY4" i="59"/>
  <c r="BF4" i="57" l="1"/>
  <c r="BD4" i="57"/>
  <c r="BE35" i="73"/>
  <c r="BN35" i="73"/>
  <c r="BE36" i="73"/>
  <c r="BN36" i="73"/>
  <c r="CC36" i="73"/>
  <c r="CG36" i="73"/>
  <c r="BT36" i="73"/>
  <c r="CD36" i="73"/>
  <c r="BX36" i="73"/>
  <c r="CE36" i="73"/>
  <c r="CF36" i="73"/>
  <c r="J4" i="57"/>
  <c r="BT4" i="64"/>
  <c r="BX4" i="64"/>
  <c r="CG4" i="64"/>
  <c r="CE4" i="64"/>
  <c r="CF4" i="64"/>
  <c r="J4" i="59"/>
  <c r="CD4" i="64"/>
  <c r="CC4" i="64"/>
  <c r="BE4" i="64"/>
  <c r="BN4" i="64"/>
  <c r="BE4" i="59"/>
  <c r="BC4" i="59"/>
  <c r="CG35" i="73"/>
  <c r="CF35" i="73"/>
  <c r="BT35" i="73"/>
  <c r="CE35" i="73"/>
  <c r="CC35" i="73"/>
  <c r="BX35" i="73"/>
  <c r="CD35" i="73"/>
  <c r="BT4" i="57" l="1"/>
  <c r="CD4" i="57"/>
  <c r="BX4" i="57"/>
  <c r="CC4" i="57"/>
  <c r="CE4" i="57"/>
  <c r="CG4" i="57"/>
  <c r="CF4" i="57"/>
  <c r="BE4" i="57"/>
  <c r="BN4" i="57"/>
  <c r="BS4" i="59"/>
  <c r="CF4" i="59"/>
  <c r="CE4" i="59"/>
  <c r="BW4" i="59"/>
  <c r="CC4" i="59"/>
  <c r="CB4" i="59"/>
  <c r="CD4" i="59"/>
  <c r="BD4" i="59"/>
  <c r="BM4" i="59"/>
  <c r="AD35" i="69" l="1"/>
  <c r="AD36" i="69"/>
  <c r="O35" i="69"/>
  <c r="O36" i="69"/>
  <c r="AE35" i="69"/>
  <c r="AE36" i="69"/>
  <c r="Y36" i="69"/>
  <c r="Y35" i="69"/>
  <c r="T35" i="69"/>
  <c r="T36" i="69"/>
  <c r="N35" i="69"/>
  <c r="N36" i="69"/>
  <c r="R35" i="69"/>
  <c r="R36" i="69"/>
  <c r="AH35" i="69"/>
  <c r="AH36" i="69"/>
  <c r="S35" i="69"/>
  <c r="S36" i="69"/>
  <c r="AV35" i="69"/>
  <c r="AV36" i="69"/>
  <c r="AG36" i="69"/>
  <c r="AG35" i="69"/>
  <c r="X35" i="69"/>
  <c r="X36" i="69"/>
  <c r="M36" i="69"/>
  <c r="M35" i="69"/>
  <c r="U36" i="69"/>
  <c r="U35" i="69"/>
  <c r="AC36" i="69"/>
  <c r="AC35" i="69"/>
  <c r="V35" i="69"/>
  <c r="V36" i="69"/>
  <c r="AU35" i="69"/>
  <c r="AU36" i="69"/>
  <c r="W35" i="69"/>
  <c r="W36" i="69"/>
  <c r="C35" i="69"/>
  <c r="C36" i="69"/>
  <c r="BW21" i="69"/>
  <c r="G35" i="69"/>
  <c r="G36" i="69"/>
  <c r="BH21" i="69"/>
  <c r="AB35" i="69"/>
  <c r="AB36" i="69"/>
  <c r="AT35" i="69"/>
  <c r="AT36" i="69"/>
  <c r="Z35" i="69"/>
  <c r="Z36" i="69"/>
  <c r="F35" i="69"/>
  <c r="F36" i="69"/>
  <c r="AA35" i="69"/>
  <c r="AA36" i="69"/>
  <c r="Q36" i="69"/>
  <c r="Q35" i="69"/>
  <c r="P35" i="69"/>
  <c r="P36" i="69"/>
  <c r="AF35" i="69"/>
  <c r="AF36" i="69"/>
  <c r="N21" i="64"/>
  <c r="N21" i="60"/>
  <c r="N35" i="56"/>
  <c r="N36" i="56"/>
  <c r="AD21" i="64"/>
  <c r="AC21" i="60"/>
  <c r="AD35" i="56"/>
  <c r="AD36" i="56"/>
  <c r="O21" i="64"/>
  <c r="O35" i="56"/>
  <c r="O36" i="56"/>
  <c r="O21" i="60"/>
  <c r="AE21" i="64"/>
  <c r="AD21" i="60"/>
  <c r="AE35" i="56"/>
  <c r="AE36" i="56"/>
  <c r="T21" i="64"/>
  <c r="T36" i="56"/>
  <c r="T21" i="60"/>
  <c r="T35" i="56"/>
  <c r="AC21" i="64"/>
  <c r="AB21" i="60"/>
  <c r="AC35" i="56"/>
  <c r="AC36" i="56"/>
  <c r="Q21" i="64"/>
  <c r="Q21" i="60"/>
  <c r="Q35" i="56"/>
  <c r="Q36" i="56"/>
  <c r="R21" i="64"/>
  <c r="R21" i="60"/>
  <c r="R35" i="56"/>
  <c r="R36" i="56"/>
  <c r="AH21" i="64"/>
  <c r="AG21" i="60"/>
  <c r="AH35" i="56"/>
  <c r="AH36" i="56"/>
  <c r="S21" i="64"/>
  <c r="S35" i="56"/>
  <c r="S36" i="56"/>
  <c r="S21" i="60"/>
  <c r="AV21" i="64"/>
  <c r="AV36" i="56"/>
  <c r="AU21" i="60"/>
  <c r="AV35" i="56"/>
  <c r="X21" i="64"/>
  <c r="X36" i="56"/>
  <c r="W21" i="60"/>
  <c r="X35" i="56"/>
  <c r="M21" i="64"/>
  <c r="M21" i="60"/>
  <c r="M35" i="56"/>
  <c r="M36" i="56"/>
  <c r="AG21" i="64"/>
  <c r="AF21" i="60"/>
  <c r="AG35" i="56"/>
  <c r="AG36" i="56"/>
  <c r="U21" i="64"/>
  <c r="U35" i="56"/>
  <c r="U36" i="56"/>
  <c r="AT21" i="64"/>
  <c r="AS21" i="60"/>
  <c r="AT35" i="56"/>
  <c r="AT36" i="56"/>
  <c r="V21" i="64"/>
  <c r="U21" i="60"/>
  <c r="V35" i="56"/>
  <c r="V36" i="56"/>
  <c r="AU21" i="64"/>
  <c r="AT21" i="60"/>
  <c r="AU35" i="56"/>
  <c r="AU36" i="56"/>
  <c r="W21" i="64"/>
  <c r="V21" i="60"/>
  <c r="W35" i="56"/>
  <c r="W36" i="56"/>
  <c r="G21" i="64"/>
  <c r="G35" i="56"/>
  <c r="BW21" i="56"/>
  <c r="G36" i="56"/>
  <c r="G21" i="60"/>
  <c r="BH21" i="56"/>
  <c r="AB21" i="64"/>
  <c r="AB36" i="56"/>
  <c r="AA21" i="60"/>
  <c r="AB35" i="56"/>
  <c r="Y21" i="64"/>
  <c r="X21" i="60"/>
  <c r="Y35" i="56"/>
  <c r="Y36" i="56"/>
  <c r="C21" i="64"/>
  <c r="C35" i="56"/>
  <c r="C36" i="56"/>
  <c r="C21" i="60"/>
  <c r="Z21" i="64"/>
  <c r="Y21" i="60"/>
  <c r="Z35" i="56"/>
  <c r="Z36" i="56"/>
  <c r="F21" i="64"/>
  <c r="F21" i="60"/>
  <c r="F35" i="56"/>
  <c r="F36" i="56"/>
  <c r="AA21" i="64"/>
  <c r="Z21" i="60"/>
  <c r="AA35" i="56"/>
  <c r="AA36" i="56"/>
  <c r="P21" i="64"/>
  <c r="P36" i="56"/>
  <c r="P21" i="60"/>
  <c r="P35" i="56"/>
  <c r="AF21" i="64"/>
  <c r="AF36" i="56"/>
  <c r="AE21" i="60"/>
  <c r="AF35" i="56"/>
  <c r="H35" i="69" l="1"/>
  <c r="H36" i="69"/>
  <c r="AI35" i="69"/>
  <c r="AI36" i="69"/>
  <c r="AK36" i="69"/>
  <c r="CA36" i="69" s="1"/>
  <c r="CA21" i="69"/>
  <c r="AK35" i="69"/>
  <c r="CA35" i="69" s="1"/>
  <c r="BW36" i="69"/>
  <c r="BH36" i="69"/>
  <c r="L35" i="69"/>
  <c r="L36" i="69"/>
  <c r="AJ35" i="69"/>
  <c r="BR21" i="69"/>
  <c r="AJ36" i="69"/>
  <c r="BZ21" i="69"/>
  <c r="BP21" i="69"/>
  <c r="BS21" i="69"/>
  <c r="BH35" i="69"/>
  <c r="BW35" i="69"/>
  <c r="E36" i="69"/>
  <c r="BL21" i="69"/>
  <c r="BB21" i="69"/>
  <c r="BV21" i="69"/>
  <c r="BK21" i="69"/>
  <c r="BA21" i="69"/>
  <c r="AZ21" i="69"/>
  <c r="E35" i="69"/>
  <c r="BM21" i="69"/>
  <c r="BH36" i="56"/>
  <c r="BW36" i="56"/>
  <c r="H21" i="64"/>
  <c r="H36" i="56"/>
  <c r="H21" i="60"/>
  <c r="H35" i="56"/>
  <c r="W21" i="57"/>
  <c r="V21" i="59"/>
  <c r="AU21" i="57"/>
  <c r="AT21" i="59"/>
  <c r="V21" i="57"/>
  <c r="U21" i="59"/>
  <c r="AT21" i="57"/>
  <c r="AS21" i="59"/>
  <c r="AI21" i="64"/>
  <c r="AH21" i="60"/>
  <c r="AI35" i="56"/>
  <c r="AI36" i="56"/>
  <c r="L21" i="64"/>
  <c r="L36" i="56"/>
  <c r="L21" i="60"/>
  <c r="L35" i="56"/>
  <c r="X21" i="57"/>
  <c r="W21" i="59"/>
  <c r="AV21" i="57"/>
  <c r="AU21" i="59"/>
  <c r="S21" i="57"/>
  <c r="S21" i="59"/>
  <c r="AH21" i="57"/>
  <c r="AG21" i="59"/>
  <c r="R21" i="57"/>
  <c r="R21" i="59"/>
  <c r="Q21" i="57"/>
  <c r="Q21" i="59"/>
  <c r="AC21" i="57"/>
  <c r="AB21" i="59"/>
  <c r="T21" i="57"/>
  <c r="T21" i="59"/>
  <c r="AE21" i="57"/>
  <c r="AD21" i="59"/>
  <c r="O21" i="57"/>
  <c r="O21" i="59"/>
  <c r="AD21" i="57"/>
  <c r="AC21" i="59"/>
  <c r="N21" i="57"/>
  <c r="N21" i="59"/>
  <c r="AF21" i="57"/>
  <c r="AE21" i="59"/>
  <c r="P21" i="57"/>
  <c r="P21" i="59"/>
  <c r="AA21" i="57"/>
  <c r="Z21" i="59"/>
  <c r="F21" i="57"/>
  <c r="F21" i="59"/>
  <c r="Z21" i="57"/>
  <c r="Y21" i="59"/>
  <c r="C21" i="57"/>
  <c r="C21" i="59"/>
  <c r="BV21" i="60"/>
  <c r="BG21" i="60"/>
  <c r="BH35" i="56"/>
  <c r="BW35" i="56"/>
  <c r="AK21" i="64"/>
  <c r="CA21" i="56"/>
  <c r="AJ21" i="60"/>
  <c r="AK35" i="56"/>
  <c r="CA35" i="56" s="1"/>
  <c r="AK36" i="56"/>
  <c r="CA36" i="56" s="1"/>
  <c r="E21" i="64"/>
  <c r="BL21" i="56"/>
  <c r="BB21" i="56"/>
  <c r="E21" i="60"/>
  <c r="BV21" i="56"/>
  <c r="BK21" i="56"/>
  <c r="BA21" i="56"/>
  <c r="E35" i="56"/>
  <c r="BN21" i="56"/>
  <c r="AZ21" i="56"/>
  <c r="E36" i="56"/>
  <c r="BM21" i="56"/>
  <c r="Y21" i="57"/>
  <c r="X21" i="59"/>
  <c r="AB21" i="57"/>
  <c r="AA21" i="59"/>
  <c r="G21" i="57"/>
  <c r="G21" i="59"/>
  <c r="BH21" i="64"/>
  <c r="BW21" i="64"/>
  <c r="U21" i="57"/>
  <c r="AG21" i="57"/>
  <c r="AF21" i="59"/>
  <c r="M21" i="57"/>
  <c r="M21" i="59"/>
  <c r="AJ21" i="64"/>
  <c r="AJ36" i="56"/>
  <c r="BR21" i="56"/>
  <c r="BZ21" i="56"/>
  <c r="BP21" i="56"/>
  <c r="AI21" i="60"/>
  <c r="AJ35" i="56"/>
  <c r="BS21" i="56"/>
  <c r="BK35" i="69" l="1"/>
  <c r="BL35" i="69"/>
  <c r="BV35" i="69"/>
  <c r="AZ35" i="69"/>
  <c r="BM35" i="69"/>
  <c r="BA35" i="69"/>
  <c r="BB35" i="69"/>
  <c r="AZ36" i="69"/>
  <c r="BL36" i="69"/>
  <c r="BA36" i="69"/>
  <c r="BK36" i="69"/>
  <c r="BM36" i="69"/>
  <c r="BB36" i="69"/>
  <c r="BV36" i="69"/>
  <c r="BR36" i="69"/>
  <c r="BS36" i="69"/>
  <c r="BZ36" i="69"/>
  <c r="BP36" i="69"/>
  <c r="BS35" i="69"/>
  <c r="BP35" i="69"/>
  <c r="BR35" i="69"/>
  <c r="BZ35" i="69"/>
  <c r="BN21" i="69"/>
  <c r="I36" i="69"/>
  <c r="BF21" i="69"/>
  <c r="I35" i="69"/>
  <c r="BD21" i="69"/>
  <c r="BR35" i="56"/>
  <c r="BZ35" i="56"/>
  <c r="BS35" i="56"/>
  <c r="BP35" i="56"/>
  <c r="BY21" i="60"/>
  <c r="BR21" i="60"/>
  <c r="BO21" i="60"/>
  <c r="BQ21" i="60"/>
  <c r="BZ36" i="56"/>
  <c r="BR36" i="56"/>
  <c r="BP36" i="56"/>
  <c r="BS36" i="56"/>
  <c r="AJ21" i="57"/>
  <c r="AI21" i="59"/>
  <c r="BR21" i="64"/>
  <c r="BZ21" i="64"/>
  <c r="BS21" i="64"/>
  <c r="BP21" i="64"/>
  <c r="BV21" i="59"/>
  <c r="BG21" i="59"/>
  <c r="BH21" i="57"/>
  <c r="BW21" i="57"/>
  <c r="BK36" i="56"/>
  <c r="BA36" i="56"/>
  <c r="BB36" i="56"/>
  <c r="AZ36" i="56"/>
  <c r="BL36" i="56"/>
  <c r="BM36" i="56"/>
  <c r="BV36" i="56"/>
  <c r="BL35" i="56"/>
  <c r="BK35" i="56"/>
  <c r="BV35" i="56"/>
  <c r="BA35" i="56"/>
  <c r="BM35" i="56"/>
  <c r="AZ35" i="56"/>
  <c r="BB35" i="56"/>
  <c r="AZ21" i="60"/>
  <c r="BL21" i="60"/>
  <c r="AY21" i="60"/>
  <c r="BJ21" i="60"/>
  <c r="BK21" i="60"/>
  <c r="BU21" i="60"/>
  <c r="BA21" i="60"/>
  <c r="E21" i="57"/>
  <c r="E21" i="59"/>
  <c r="BA21" i="64"/>
  <c r="BV21" i="64"/>
  <c r="BM21" i="64"/>
  <c r="BB21" i="64"/>
  <c r="AZ21" i="64"/>
  <c r="BK21" i="64"/>
  <c r="BL21" i="64"/>
  <c r="BZ21" i="60"/>
  <c r="AK21" i="57"/>
  <c r="AJ21" i="59"/>
  <c r="CA21" i="64"/>
  <c r="L21" i="57"/>
  <c r="L21" i="59"/>
  <c r="AI21" i="57"/>
  <c r="AH21" i="59"/>
  <c r="I21" i="64"/>
  <c r="BD21" i="64" s="1"/>
  <c r="I21" i="60"/>
  <c r="BC21" i="60" s="1"/>
  <c r="BF21" i="56"/>
  <c r="I35" i="56"/>
  <c r="I36" i="56"/>
  <c r="BD21" i="56"/>
  <c r="H21" i="57"/>
  <c r="H21" i="59"/>
  <c r="BF35" i="69" l="1"/>
  <c r="BD35" i="69"/>
  <c r="BF36" i="69"/>
  <c r="BD36" i="69"/>
  <c r="CF21" i="69"/>
  <c r="CE21" i="69"/>
  <c r="J35" i="69"/>
  <c r="CD21" i="69"/>
  <c r="BT21" i="69"/>
  <c r="J36" i="69"/>
  <c r="CG21" i="69"/>
  <c r="CC21" i="69"/>
  <c r="BX21" i="69"/>
  <c r="BE21" i="69"/>
  <c r="BF36" i="56"/>
  <c r="BD36" i="56"/>
  <c r="BF35" i="56"/>
  <c r="BD35" i="56"/>
  <c r="BE21" i="60"/>
  <c r="I21" i="57"/>
  <c r="BD21" i="57" s="1"/>
  <c r="I21" i="59"/>
  <c r="BC21" i="59" s="1"/>
  <c r="BF21" i="64"/>
  <c r="J21" i="64"/>
  <c r="J21" i="60"/>
  <c r="CF21" i="56"/>
  <c r="J35" i="56"/>
  <c r="CE21" i="56"/>
  <c r="J36" i="56"/>
  <c r="CD21" i="56"/>
  <c r="BT21" i="56"/>
  <c r="CG21" i="56"/>
  <c r="CC21" i="56"/>
  <c r="BX21" i="56"/>
  <c r="BE21" i="56"/>
  <c r="BZ21" i="59"/>
  <c r="CA21" i="57"/>
  <c r="BJ21" i="59"/>
  <c r="BL21" i="59"/>
  <c r="AZ21" i="59"/>
  <c r="BK21" i="59"/>
  <c r="BU21" i="59"/>
  <c r="BA21" i="59"/>
  <c r="AY21" i="59"/>
  <c r="BM21" i="57"/>
  <c r="BL21" i="57"/>
  <c r="BB21" i="57"/>
  <c r="BV21" i="57"/>
  <c r="BK21" i="57"/>
  <c r="BA21" i="57"/>
  <c r="AZ21" i="57"/>
  <c r="BQ21" i="59"/>
  <c r="BO21" i="59"/>
  <c r="BY21" i="59"/>
  <c r="BR21" i="59"/>
  <c r="BS21" i="57"/>
  <c r="BR21" i="57"/>
  <c r="BZ21" i="57"/>
  <c r="BP21" i="57"/>
  <c r="BE35" i="69" l="1"/>
  <c r="BN35" i="69"/>
  <c r="BE36" i="69"/>
  <c r="BN36" i="69"/>
  <c r="CE36" i="69"/>
  <c r="BX36" i="69"/>
  <c r="CF36" i="69"/>
  <c r="CC36" i="69"/>
  <c r="CD36" i="69"/>
  <c r="CG36" i="69"/>
  <c r="BT36" i="69"/>
  <c r="BT35" i="69"/>
  <c r="CD35" i="69"/>
  <c r="CE35" i="69"/>
  <c r="BX35" i="69"/>
  <c r="CF35" i="69"/>
  <c r="CC35" i="69"/>
  <c r="CG35" i="69"/>
  <c r="BE35" i="56"/>
  <c r="BN35" i="56"/>
  <c r="BE36" i="56"/>
  <c r="BN36" i="56"/>
  <c r="BD21" i="60"/>
  <c r="BM21" i="60"/>
  <c r="BE21" i="64"/>
  <c r="BN21" i="64"/>
  <c r="BT36" i="56"/>
  <c r="CG36" i="56"/>
  <c r="CE36" i="56"/>
  <c r="BX36" i="56"/>
  <c r="CF36" i="56"/>
  <c r="CD36" i="56"/>
  <c r="CC36" i="56"/>
  <c r="BT35" i="56"/>
  <c r="CD35" i="56"/>
  <c r="CE35" i="56"/>
  <c r="CF35" i="56"/>
  <c r="BX35" i="56"/>
  <c r="CG35" i="56"/>
  <c r="CC35" i="56"/>
  <c r="CF21" i="60"/>
  <c r="CE21" i="60"/>
  <c r="BW21" i="60"/>
  <c r="CB21" i="60"/>
  <c r="BS21" i="60"/>
  <c r="CD21" i="60"/>
  <c r="CC21" i="60"/>
  <c r="J21" i="57"/>
  <c r="J21" i="59"/>
  <c r="CC21" i="64"/>
  <c r="CD21" i="64"/>
  <c r="CE21" i="64"/>
  <c r="CG21" i="64"/>
  <c r="BT21" i="64"/>
  <c r="BX21" i="64"/>
  <c r="CF21" i="64"/>
  <c r="BE21" i="59"/>
  <c r="BF21" i="57"/>
  <c r="BE21" i="57" l="1"/>
  <c r="BN21" i="57"/>
  <c r="BD21" i="59"/>
  <c r="BM21" i="59"/>
  <c r="BS21" i="59"/>
  <c r="CC21" i="59"/>
  <c r="CF21" i="59"/>
  <c r="CD21" i="59"/>
  <c r="CB21" i="59"/>
  <c r="BW21" i="59"/>
  <c r="CE21" i="59"/>
  <c r="CG21" i="57"/>
  <c r="CC21" i="57"/>
  <c r="BX21" i="57"/>
  <c r="CF21" i="57"/>
  <c r="CE21" i="57"/>
  <c r="CD21" i="57"/>
  <c r="BT21" i="57"/>
  <c r="X29" i="64" l="1"/>
  <c r="X36" i="68"/>
  <c r="X37" i="68"/>
  <c r="U29" i="64"/>
  <c r="U37" i="68"/>
  <c r="U36" i="68"/>
  <c r="AT29" i="64"/>
  <c r="AT36" i="68"/>
  <c r="AT37" i="68"/>
  <c r="AB29" i="64"/>
  <c r="AB36" i="68"/>
  <c r="AB37" i="68"/>
  <c r="V29" i="64"/>
  <c r="V36" i="68"/>
  <c r="V37" i="68"/>
  <c r="AU29" i="64"/>
  <c r="AU36" i="68"/>
  <c r="AU37" i="68"/>
  <c r="W29" i="64"/>
  <c r="W36" i="68"/>
  <c r="W37" i="68"/>
  <c r="Q29" i="64"/>
  <c r="Q37" i="68"/>
  <c r="Q36" i="68"/>
  <c r="C29" i="64"/>
  <c r="C36" i="68"/>
  <c r="C37" i="68"/>
  <c r="Y29" i="64"/>
  <c r="Y37" i="68"/>
  <c r="Y36" i="68"/>
  <c r="G29" i="64"/>
  <c r="BH29" i="68"/>
  <c r="BD29" i="68"/>
  <c r="G36" i="68"/>
  <c r="BW29" i="68"/>
  <c r="G37" i="68"/>
  <c r="BE29" i="68"/>
  <c r="AF29" i="64"/>
  <c r="AF36" i="68"/>
  <c r="AF37" i="68"/>
  <c r="Z29" i="64"/>
  <c r="Z36" i="68"/>
  <c r="Z37" i="68"/>
  <c r="F29" i="64"/>
  <c r="F36" i="68"/>
  <c r="F37" i="68"/>
  <c r="AA29" i="64"/>
  <c r="AA36" i="68"/>
  <c r="AA37" i="68"/>
  <c r="AC29" i="64"/>
  <c r="AC37" i="68"/>
  <c r="AC36" i="68"/>
  <c r="P29" i="64"/>
  <c r="P36" i="68"/>
  <c r="P37" i="68"/>
  <c r="N29" i="64"/>
  <c r="N36" i="68"/>
  <c r="N37" i="68"/>
  <c r="AD29" i="64"/>
  <c r="AD36" i="68"/>
  <c r="AD37" i="68"/>
  <c r="O29" i="64"/>
  <c r="O36" i="68"/>
  <c r="O37" i="68"/>
  <c r="AE29" i="64"/>
  <c r="AE36" i="68"/>
  <c r="AE37" i="68"/>
  <c r="M29" i="64"/>
  <c r="M37" i="68"/>
  <c r="M36" i="68"/>
  <c r="AG29" i="64"/>
  <c r="AG37" i="68"/>
  <c r="AG36" i="68"/>
  <c r="T29" i="64"/>
  <c r="T36" i="68"/>
  <c r="T37" i="68"/>
  <c r="R29" i="64"/>
  <c r="R36" i="68"/>
  <c r="R37" i="68"/>
  <c r="AH29" i="64"/>
  <c r="AH36" i="68"/>
  <c r="AH37" i="68"/>
  <c r="S29" i="64"/>
  <c r="S36" i="68"/>
  <c r="S37" i="68"/>
  <c r="AV29" i="64"/>
  <c r="AV36" i="68"/>
  <c r="AV37" i="68"/>
  <c r="AV29" i="57" l="1"/>
  <c r="AU29" i="59"/>
  <c r="T29" i="57"/>
  <c r="T29" i="59"/>
  <c r="AI29" i="64"/>
  <c r="AI36" i="68"/>
  <c r="AI37" i="68"/>
  <c r="N29" i="57"/>
  <c r="N29" i="59"/>
  <c r="AC29" i="57"/>
  <c r="AB29" i="59"/>
  <c r="AF29" i="57"/>
  <c r="AE29" i="59"/>
  <c r="BH36" i="68"/>
  <c r="BW36" i="68"/>
  <c r="H29" i="64"/>
  <c r="H36" i="68"/>
  <c r="H37" i="68"/>
  <c r="AU29" i="57"/>
  <c r="AT29" i="59"/>
  <c r="U29" i="57"/>
  <c r="R29" i="57"/>
  <c r="R29" i="59"/>
  <c r="AD29" i="57"/>
  <c r="AC29" i="59"/>
  <c r="AK29" i="64"/>
  <c r="AK37" i="68"/>
  <c r="CA37" i="68" s="1"/>
  <c r="CA29" i="68"/>
  <c r="AK36" i="68"/>
  <c r="CA36" i="68" s="1"/>
  <c r="P29" i="57"/>
  <c r="P29" i="59"/>
  <c r="Z29" i="57"/>
  <c r="Y29" i="59"/>
  <c r="W29" i="57"/>
  <c r="V29" i="59"/>
  <c r="AT29" i="57"/>
  <c r="AS29" i="59"/>
  <c r="AH29" i="57"/>
  <c r="AG29" i="59"/>
  <c r="M29" i="57"/>
  <c r="M29" i="59"/>
  <c r="O29" i="57"/>
  <c r="O29" i="59"/>
  <c r="AJ29" i="64"/>
  <c r="AJ36" i="68"/>
  <c r="BS29" i="68"/>
  <c r="AJ37" i="68"/>
  <c r="BR29" i="68"/>
  <c r="BZ29" i="68"/>
  <c r="BP29" i="68"/>
  <c r="F29" i="57"/>
  <c r="F29" i="59"/>
  <c r="BW37" i="68"/>
  <c r="BH37" i="68"/>
  <c r="C29" i="57"/>
  <c r="C29" i="59"/>
  <c r="Q29" i="57"/>
  <c r="Q29" i="59"/>
  <c r="AB29" i="57"/>
  <c r="AA29" i="59"/>
  <c r="S29" i="57"/>
  <c r="S29" i="59"/>
  <c r="AG29" i="57"/>
  <c r="AF29" i="59"/>
  <c r="L29" i="64"/>
  <c r="L36" i="68"/>
  <c r="L37" i="68"/>
  <c r="AE29" i="57"/>
  <c r="AD29" i="59"/>
  <c r="AA29" i="57"/>
  <c r="Z29" i="59"/>
  <c r="G29" i="57"/>
  <c r="BH29" i="64"/>
  <c r="BW29" i="64"/>
  <c r="G29" i="59"/>
  <c r="Y29" i="57"/>
  <c r="X29" i="59"/>
  <c r="E29" i="64"/>
  <c r="E37" i="68"/>
  <c r="BM29" i="68"/>
  <c r="BL29" i="68"/>
  <c r="BB29" i="68"/>
  <c r="BV29" i="68"/>
  <c r="BK29" i="68"/>
  <c r="BA29" i="68"/>
  <c r="E36" i="68"/>
  <c r="BN29" i="68"/>
  <c r="AZ29" i="68"/>
  <c r="V29" i="57"/>
  <c r="U29" i="59"/>
  <c r="X29" i="57"/>
  <c r="W29" i="59"/>
  <c r="AZ36" i="68" l="1"/>
  <c r="BA36" i="68"/>
  <c r="BK36" i="68"/>
  <c r="BV36" i="68"/>
  <c r="BB36" i="68"/>
  <c r="BM36" i="68"/>
  <c r="BL36" i="68"/>
  <c r="BM37" i="68"/>
  <c r="BK37" i="68"/>
  <c r="BL37" i="68"/>
  <c r="AZ37" i="68"/>
  <c r="BV37" i="68"/>
  <c r="BB37" i="68"/>
  <c r="BA37" i="68"/>
  <c r="E29" i="57"/>
  <c r="BK29" i="64"/>
  <c r="AZ29" i="64"/>
  <c r="BL29" i="64"/>
  <c r="BM29" i="64"/>
  <c r="BA29" i="64"/>
  <c r="E29" i="59"/>
  <c r="BB29" i="64"/>
  <c r="BV29" i="64"/>
  <c r="BG29" i="59"/>
  <c r="BV29" i="59"/>
  <c r="BW29" i="57"/>
  <c r="BH29" i="57"/>
  <c r="L29" i="57"/>
  <c r="L29" i="59"/>
  <c r="BP37" i="68"/>
  <c r="BZ37" i="68"/>
  <c r="BS37" i="68"/>
  <c r="BR37" i="68"/>
  <c r="BS36" i="68"/>
  <c r="BR36" i="68"/>
  <c r="BP36" i="68"/>
  <c r="BZ36" i="68"/>
  <c r="AJ29" i="57"/>
  <c r="BR29" i="64"/>
  <c r="BZ29" i="64"/>
  <c r="BS29" i="64"/>
  <c r="BP29" i="64"/>
  <c r="AI29" i="59"/>
  <c r="AK29" i="57"/>
  <c r="AJ29" i="59"/>
  <c r="CA29" i="64"/>
  <c r="H29" i="57"/>
  <c r="H29" i="59"/>
  <c r="AI29" i="57"/>
  <c r="AH29" i="59"/>
  <c r="I29" i="64"/>
  <c r="BD29" i="64" s="1"/>
  <c r="I37" i="68"/>
  <c r="BF29" i="68"/>
  <c r="I36" i="68"/>
  <c r="BF36" i="68" l="1"/>
  <c r="BD36" i="68"/>
  <c r="BF37" i="68"/>
  <c r="BD37" i="68"/>
  <c r="I29" i="57"/>
  <c r="BD29" i="57" s="1"/>
  <c r="BF29" i="64"/>
  <c r="I29" i="59"/>
  <c r="BC29" i="59" s="1"/>
  <c r="J29" i="64"/>
  <c r="CG29" i="68"/>
  <c r="CC29" i="68"/>
  <c r="BX29" i="68"/>
  <c r="CF29" i="68"/>
  <c r="J36" i="68"/>
  <c r="CE29" i="68"/>
  <c r="J37" i="68"/>
  <c r="CD29" i="68"/>
  <c r="BT29" i="68"/>
  <c r="BZ29" i="59"/>
  <c r="CA29" i="57"/>
  <c r="BQ29" i="59"/>
  <c r="BY29" i="59"/>
  <c r="BO29" i="59"/>
  <c r="BR29" i="59"/>
  <c r="BP29" i="57"/>
  <c r="BZ29" i="57"/>
  <c r="BS29" i="57"/>
  <c r="BR29" i="57"/>
  <c r="AZ29" i="59"/>
  <c r="BL29" i="59"/>
  <c r="BU29" i="59"/>
  <c r="AY29" i="59"/>
  <c r="BK29" i="59"/>
  <c r="BJ29" i="59"/>
  <c r="BA29" i="59"/>
  <c r="BL29" i="57"/>
  <c r="BA29" i="57"/>
  <c r="BM29" i="57"/>
  <c r="BV29" i="57"/>
  <c r="AZ29" i="57"/>
  <c r="BB29" i="57"/>
  <c r="BK29" i="57"/>
  <c r="BE36" i="68" l="1"/>
  <c r="BN36" i="68"/>
  <c r="BE29" i="64"/>
  <c r="BN29" i="64"/>
  <c r="BE37" i="68"/>
  <c r="BN37" i="68"/>
  <c r="CF37" i="68"/>
  <c r="BT37" i="68"/>
  <c r="CE37" i="68"/>
  <c r="CC37" i="68"/>
  <c r="BX37" i="68"/>
  <c r="CD37" i="68"/>
  <c r="CG37" i="68"/>
  <c r="CE36" i="68"/>
  <c r="CF36" i="68"/>
  <c r="CC36" i="68"/>
  <c r="CD36" i="68"/>
  <c r="CG36" i="68"/>
  <c r="BT36" i="68"/>
  <c r="BX36" i="68"/>
  <c r="J29" i="57"/>
  <c r="J29" i="59"/>
  <c r="CE29" i="64"/>
  <c r="CG29" i="64"/>
  <c r="CC29" i="64"/>
  <c r="CD29" i="64"/>
  <c r="CF29" i="64"/>
  <c r="BT29" i="64"/>
  <c r="BX29" i="64"/>
  <c r="BE29" i="59"/>
  <c r="BF29" i="57"/>
  <c r="BD29" i="59" l="1"/>
  <c r="BM29" i="59"/>
  <c r="BE29" i="57"/>
  <c r="BN29" i="57"/>
  <c r="CD29" i="59"/>
  <c r="CE29" i="59"/>
  <c r="BS29" i="59"/>
  <c r="CC29" i="59"/>
  <c r="BW29" i="59"/>
  <c r="CF29" i="59"/>
  <c r="CB29" i="59"/>
  <c r="CD29" i="57"/>
  <c r="CF29" i="57"/>
  <c r="BT29" i="57"/>
  <c r="BX29" i="57"/>
  <c r="CE29" i="57"/>
  <c r="CG29" i="57"/>
  <c r="CC29" i="57"/>
  <c r="Y13" i="64" l="1"/>
  <c r="X13" i="60"/>
  <c r="Y36" i="53"/>
  <c r="Y35" i="53"/>
  <c r="N13" i="64"/>
  <c r="N13" i="60"/>
  <c r="N35" i="53"/>
  <c r="N36" i="53"/>
  <c r="AD13" i="64"/>
  <c r="AD35" i="53"/>
  <c r="AC13" i="60"/>
  <c r="AD36" i="53"/>
  <c r="O13" i="64"/>
  <c r="O13" i="60"/>
  <c r="O35" i="53"/>
  <c r="O36" i="53"/>
  <c r="AE13" i="64"/>
  <c r="AE35" i="53"/>
  <c r="AD13" i="60"/>
  <c r="AE36" i="53"/>
  <c r="T13" i="64"/>
  <c r="T13" i="60"/>
  <c r="T35" i="53"/>
  <c r="T36" i="53"/>
  <c r="M13" i="64"/>
  <c r="M36" i="53"/>
  <c r="M13" i="60"/>
  <c r="M35" i="53"/>
  <c r="AC13" i="64"/>
  <c r="AB13" i="60"/>
  <c r="AC36" i="53"/>
  <c r="AC35" i="53"/>
  <c r="R13" i="64"/>
  <c r="R13" i="60"/>
  <c r="R35" i="53"/>
  <c r="R36" i="53"/>
  <c r="AH13" i="64"/>
  <c r="AH35" i="53"/>
  <c r="AG13" i="60"/>
  <c r="AH36" i="53"/>
  <c r="S13" i="64"/>
  <c r="S13" i="60"/>
  <c r="S35" i="53"/>
  <c r="S36" i="53"/>
  <c r="AV13" i="64"/>
  <c r="AV35" i="53"/>
  <c r="AU13" i="60"/>
  <c r="AV36" i="53"/>
  <c r="X13" i="64"/>
  <c r="X35" i="53"/>
  <c r="W13" i="60"/>
  <c r="X36" i="53"/>
  <c r="C13" i="64"/>
  <c r="C13" i="60"/>
  <c r="C35" i="53"/>
  <c r="C36" i="53"/>
  <c r="Q13" i="64"/>
  <c r="Q36" i="53"/>
  <c r="Q13" i="60"/>
  <c r="Q35" i="53"/>
  <c r="AG13" i="64"/>
  <c r="AF13" i="60"/>
  <c r="AG36" i="53"/>
  <c r="AG35" i="53"/>
  <c r="V13" i="64"/>
  <c r="V35" i="53"/>
  <c r="U13" i="60"/>
  <c r="V36" i="53"/>
  <c r="AU13" i="64"/>
  <c r="AU35" i="53"/>
  <c r="AT13" i="60"/>
  <c r="AU36" i="53"/>
  <c r="W13" i="64"/>
  <c r="W35" i="53"/>
  <c r="V13" i="60"/>
  <c r="W36" i="53"/>
  <c r="G13" i="64"/>
  <c r="BW13" i="53"/>
  <c r="G13" i="60"/>
  <c r="G35" i="53"/>
  <c r="G36" i="53"/>
  <c r="BE13" i="53"/>
  <c r="BH13" i="53"/>
  <c r="BD13" i="53"/>
  <c r="AB13" i="64"/>
  <c r="AB35" i="53"/>
  <c r="AA13" i="60"/>
  <c r="AB36" i="53"/>
  <c r="U13" i="64"/>
  <c r="U36" i="53"/>
  <c r="U35" i="53"/>
  <c r="AT13" i="64"/>
  <c r="AT35" i="53"/>
  <c r="AS13" i="60"/>
  <c r="AT36" i="53"/>
  <c r="Z13" i="64"/>
  <c r="Z35" i="53"/>
  <c r="Y13" i="60"/>
  <c r="Z36" i="53"/>
  <c r="F13" i="64"/>
  <c r="F13" i="60"/>
  <c r="F35" i="53"/>
  <c r="F36" i="53"/>
  <c r="AA13" i="64"/>
  <c r="AA35" i="53"/>
  <c r="Z13" i="60"/>
  <c r="AA36" i="53"/>
  <c r="P13" i="64"/>
  <c r="P13" i="60"/>
  <c r="P35" i="53"/>
  <c r="P36" i="53"/>
  <c r="AF13" i="64"/>
  <c r="AF35" i="53"/>
  <c r="AE13" i="60"/>
  <c r="AF36" i="53"/>
  <c r="P32" i="60" l="1"/>
  <c r="P33" i="60"/>
  <c r="AA33" i="60"/>
  <c r="AA32" i="60"/>
  <c r="BV13" i="60"/>
  <c r="BG13" i="60"/>
  <c r="G32" i="60"/>
  <c r="G33" i="60"/>
  <c r="X13" i="57"/>
  <c r="W13" i="59"/>
  <c r="X36" i="64"/>
  <c r="X35" i="64"/>
  <c r="S13" i="57"/>
  <c r="S13" i="59"/>
  <c r="S35" i="64"/>
  <c r="S36" i="64"/>
  <c r="R13" i="57"/>
  <c r="R13" i="59"/>
  <c r="R35" i="64"/>
  <c r="R36" i="64"/>
  <c r="M13" i="57"/>
  <c r="M13" i="59"/>
  <c r="M35" i="64"/>
  <c r="M36" i="64"/>
  <c r="AD33" i="60"/>
  <c r="AD32" i="60"/>
  <c r="AJ13" i="64"/>
  <c r="AJ35" i="53"/>
  <c r="BR13" i="53"/>
  <c r="AI13" i="60"/>
  <c r="AJ36" i="53"/>
  <c r="BZ13" i="53"/>
  <c r="BP13" i="53"/>
  <c r="BS13" i="53"/>
  <c r="AE32" i="60"/>
  <c r="AE33" i="60"/>
  <c r="Z33" i="60"/>
  <c r="Z32" i="60"/>
  <c r="Y33" i="60"/>
  <c r="Y32" i="60"/>
  <c r="AS33" i="60"/>
  <c r="AS32" i="60"/>
  <c r="V32" i="60"/>
  <c r="V33" i="60"/>
  <c r="AT32" i="60"/>
  <c r="AT33" i="60"/>
  <c r="U33" i="60"/>
  <c r="U32" i="60"/>
  <c r="Q33" i="60"/>
  <c r="Q32" i="60"/>
  <c r="AI13" i="64"/>
  <c r="AI35" i="53"/>
  <c r="AH13" i="60"/>
  <c r="AI36" i="53"/>
  <c r="T32" i="60"/>
  <c r="T33" i="60"/>
  <c r="O32" i="60"/>
  <c r="O33" i="60"/>
  <c r="N32" i="60"/>
  <c r="N33" i="60"/>
  <c r="F33" i="60"/>
  <c r="F32" i="60"/>
  <c r="G13" i="57"/>
  <c r="G13" i="59"/>
  <c r="BH13" i="64"/>
  <c r="BW13" i="64"/>
  <c r="G36" i="64"/>
  <c r="G35" i="64"/>
  <c r="AF33" i="60"/>
  <c r="AF32" i="60"/>
  <c r="W33" i="60"/>
  <c r="W32" i="60"/>
  <c r="AG33" i="60"/>
  <c r="AG32" i="60"/>
  <c r="M33" i="60"/>
  <c r="M32" i="60"/>
  <c r="L13" i="64"/>
  <c r="L13" i="60"/>
  <c r="L35" i="53"/>
  <c r="L36" i="53"/>
  <c r="T13" i="57"/>
  <c r="T13" i="59"/>
  <c r="T35" i="64"/>
  <c r="T36" i="64"/>
  <c r="AE13" i="57"/>
  <c r="AD13" i="59"/>
  <c r="AE36" i="64"/>
  <c r="AE35" i="64"/>
  <c r="O13" i="57"/>
  <c r="O13" i="59"/>
  <c r="O35" i="64"/>
  <c r="O36" i="64"/>
  <c r="AD13" i="57"/>
  <c r="AC13" i="59"/>
  <c r="AD36" i="64"/>
  <c r="AD35" i="64"/>
  <c r="N13" i="57"/>
  <c r="N13" i="59"/>
  <c r="N35" i="64"/>
  <c r="N36" i="64"/>
  <c r="AB13" i="57"/>
  <c r="AA13" i="59"/>
  <c r="AB36" i="64"/>
  <c r="AB35" i="64"/>
  <c r="BW36" i="53"/>
  <c r="BH36" i="53"/>
  <c r="C33" i="60"/>
  <c r="C32" i="60"/>
  <c r="AU33" i="60"/>
  <c r="AU32" i="60"/>
  <c r="AF13" i="57"/>
  <c r="AE13" i="59"/>
  <c r="AF36" i="64"/>
  <c r="AF35" i="64"/>
  <c r="P13" i="57"/>
  <c r="P13" i="59"/>
  <c r="P36" i="64"/>
  <c r="P35" i="64"/>
  <c r="AA13" i="57"/>
  <c r="Z13" i="59"/>
  <c r="AA36" i="64"/>
  <c r="AA35" i="64"/>
  <c r="F13" i="57"/>
  <c r="F13" i="59"/>
  <c r="F35" i="64"/>
  <c r="F36" i="64"/>
  <c r="Z13" i="57"/>
  <c r="Y13" i="59"/>
  <c r="Z36" i="64"/>
  <c r="Z35" i="64"/>
  <c r="AT13" i="57"/>
  <c r="AS13" i="59"/>
  <c r="AT35" i="64"/>
  <c r="AT36" i="64"/>
  <c r="BW35" i="53"/>
  <c r="BH35" i="53"/>
  <c r="H13" i="64"/>
  <c r="H13" i="60"/>
  <c r="H35" i="53"/>
  <c r="H36" i="53"/>
  <c r="W13" i="57"/>
  <c r="V13" i="59"/>
  <c r="W36" i="64"/>
  <c r="W35" i="64"/>
  <c r="AU13" i="57"/>
  <c r="AT13" i="59"/>
  <c r="AU36" i="64"/>
  <c r="AU35" i="64"/>
  <c r="V13" i="57"/>
  <c r="U13" i="59"/>
  <c r="V36" i="64"/>
  <c r="V35" i="64"/>
  <c r="AG13" i="57"/>
  <c r="AF13" i="59"/>
  <c r="AG36" i="64"/>
  <c r="AG35" i="64"/>
  <c r="Q13" i="57"/>
  <c r="Q13" i="59"/>
  <c r="Q36" i="64"/>
  <c r="Q35" i="64"/>
  <c r="C13" i="57"/>
  <c r="C13" i="59"/>
  <c r="C36" i="64"/>
  <c r="C35" i="64"/>
  <c r="S33" i="60"/>
  <c r="S32" i="60"/>
  <c r="R33" i="60"/>
  <c r="R32" i="60"/>
  <c r="AB33" i="60"/>
  <c r="AB32" i="60"/>
  <c r="AK13" i="64"/>
  <c r="AJ13" i="60"/>
  <c r="AK36" i="53"/>
  <c r="CA36" i="53" s="1"/>
  <c r="CA13" i="53"/>
  <c r="AK35" i="53"/>
  <c r="CA35" i="53" s="1"/>
  <c r="X32" i="60"/>
  <c r="X33" i="60"/>
  <c r="U13" i="57"/>
  <c r="U35" i="64"/>
  <c r="U36" i="64"/>
  <c r="E13" i="64"/>
  <c r="E36" i="53"/>
  <c r="BL13" i="53"/>
  <c r="BB13" i="53"/>
  <c r="BV13" i="53"/>
  <c r="BK13" i="53"/>
  <c r="BA13" i="53"/>
  <c r="BN13" i="53"/>
  <c r="AZ13" i="53"/>
  <c r="E13" i="60"/>
  <c r="E35" i="53"/>
  <c r="BM13" i="53"/>
  <c r="AV13" i="57"/>
  <c r="AU13" i="59"/>
  <c r="AV35" i="64"/>
  <c r="AV36" i="64"/>
  <c r="AH13" i="57"/>
  <c r="AG13" i="59"/>
  <c r="AH35" i="64"/>
  <c r="AH36" i="64"/>
  <c r="AC13" i="57"/>
  <c r="AB13" i="59"/>
  <c r="AC35" i="64"/>
  <c r="AC36" i="64"/>
  <c r="AC33" i="60"/>
  <c r="AC32" i="60"/>
  <c r="Y13" i="57"/>
  <c r="X13" i="59"/>
  <c r="Y35" i="64"/>
  <c r="Y36" i="64"/>
  <c r="Y35" i="57" l="1"/>
  <c r="Y36" i="57"/>
  <c r="BK35" i="53"/>
  <c r="BL35" i="53"/>
  <c r="BM35" i="53"/>
  <c r="AZ35" i="53"/>
  <c r="BV35" i="53"/>
  <c r="BB35" i="53"/>
  <c r="BA35" i="53"/>
  <c r="AK13" i="57"/>
  <c r="AJ13" i="59"/>
  <c r="CA13" i="64"/>
  <c r="AK35" i="64"/>
  <c r="CA35" i="64" s="1"/>
  <c r="AK36" i="64"/>
  <c r="CA36" i="64" s="1"/>
  <c r="BH36" i="64"/>
  <c r="BW36" i="64"/>
  <c r="AH32" i="60"/>
  <c r="AH33" i="60"/>
  <c r="BR13" i="60"/>
  <c r="BY13" i="60"/>
  <c r="BO13" i="60"/>
  <c r="BQ13" i="60"/>
  <c r="AI32" i="60"/>
  <c r="AI33" i="60"/>
  <c r="M33" i="59"/>
  <c r="M32" i="59"/>
  <c r="R32" i="59"/>
  <c r="R33" i="59"/>
  <c r="S33" i="59"/>
  <c r="S32" i="59"/>
  <c r="W32" i="59"/>
  <c r="W33" i="59"/>
  <c r="AB33" i="59"/>
  <c r="AB32" i="59"/>
  <c r="AG32" i="59"/>
  <c r="AG33" i="59"/>
  <c r="AU32" i="59"/>
  <c r="AU33" i="59"/>
  <c r="BA13" i="60"/>
  <c r="BL13" i="60"/>
  <c r="AY13" i="60"/>
  <c r="BJ13" i="60"/>
  <c r="BK13" i="60"/>
  <c r="AZ13" i="60"/>
  <c r="BU13" i="60"/>
  <c r="E32" i="60"/>
  <c r="E33" i="60"/>
  <c r="BM36" i="53"/>
  <c r="AZ36" i="53"/>
  <c r="BA36" i="53"/>
  <c r="BK36" i="53"/>
  <c r="BB36" i="53"/>
  <c r="BV36" i="53"/>
  <c r="BL36" i="53"/>
  <c r="U35" i="57"/>
  <c r="U36" i="57"/>
  <c r="C33" i="59"/>
  <c r="C32" i="59"/>
  <c r="Q32" i="59"/>
  <c r="Q33" i="59"/>
  <c r="AF33" i="59"/>
  <c r="AF32" i="59"/>
  <c r="U33" i="59"/>
  <c r="U32" i="59"/>
  <c r="AT33" i="59"/>
  <c r="AT32" i="59"/>
  <c r="V32" i="59"/>
  <c r="V33" i="59"/>
  <c r="H33" i="60"/>
  <c r="H32" i="60"/>
  <c r="AS33" i="59"/>
  <c r="AS32" i="59"/>
  <c r="Y32" i="59"/>
  <c r="Y33" i="59"/>
  <c r="F33" i="59"/>
  <c r="F32" i="59"/>
  <c r="Z33" i="59"/>
  <c r="Z32" i="59"/>
  <c r="P33" i="59"/>
  <c r="P32" i="59"/>
  <c r="AE32" i="59"/>
  <c r="AE33" i="59"/>
  <c r="AA33" i="59"/>
  <c r="AA32" i="59"/>
  <c r="N32" i="59"/>
  <c r="N33" i="59"/>
  <c r="AC33" i="59"/>
  <c r="AC32" i="59"/>
  <c r="O33" i="59"/>
  <c r="O32" i="59"/>
  <c r="AD32" i="59"/>
  <c r="AD33" i="59"/>
  <c r="T32" i="59"/>
  <c r="T33" i="59"/>
  <c r="L32" i="60"/>
  <c r="L33" i="60"/>
  <c r="BG13" i="59"/>
  <c r="BV13" i="59"/>
  <c r="G33" i="59"/>
  <c r="G32" i="59"/>
  <c r="M36" i="57"/>
  <c r="M35" i="57"/>
  <c r="R36" i="57"/>
  <c r="R35" i="57"/>
  <c r="S36" i="57"/>
  <c r="S35" i="57"/>
  <c r="X36" i="57"/>
  <c r="X35" i="57"/>
  <c r="AC35" i="57"/>
  <c r="AC36" i="57"/>
  <c r="AH35" i="57"/>
  <c r="AH36" i="57"/>
  <c r="AV35" i="57"/>
  <c r="AV36" i="57"/>
  <c r="E13" i="57"/>
  <c r="E13" i="59"/>
  <c r="BA13" i="64"/>
  <c r="BV13" i="64"/>
  <c r="BM13" i="64"/>
  <c r="AZ13" i="64"/>
  <c r="BB13" i="64"/>
  <c r="BK13" i="64"/>
  <c r="BL13" i="64"/>
  <c r="E35" i="64"/>
  <c r="E36" i="64"/>
  <c r="C35" i="57"/>
  <c r="C36" i="57"/>
  <c r="Q36" i="57"/>
  <c r="Q35" i="57"/>
  <c r="AG35" i="57"/>
  <c r="AG36" i="57"/>
  <c r="V36" i="57"/>
  <c r="V35" i="57"/>
  <c r="AU35" i="57"/>
  <c r="AU36" i="57"/>
  <c r="W36" i="57"/>
  <c r="W35" i="57"/>
  <c r="H13" i="57"/>
  <c r="H13" i="59"/>
  <c r="H36" i="64"/>
  <c r="H35" i="64"/>
  <c r="AT36" i="57"/>
  <c r="AT35" i="57"/>
  <c r="Z35" i="57"/>
  <c r="Z36" i="57"/>
  <c r="F35" i="57"/>
  <c r="F36" i="57"/>
  <c r="AA35" i="57"/>
  <c r="AA36" i="57"/>
  <c r="P36" i="57"/>
  <c r="P35" i="57"/>
  <c r="AF35" i="57"/>
  <c r="AF36" i="57"/>
  <c r="AB35" i="57"/>
  <c r="AB36" i="57"/>
  <c r="N36" i="57"/>
  <c r="N35" i="57"/>
  <c r="AD36" i="57"/>
  <c r="AD35" i="57"/>
  <c r="O36" i="57"/>
  <c r="O35" i="57"/>
  <c r="AE36" i="57"/>
  <c r="AE35" i="57"/>
  <c r="T35" i="57"/>
  <c r="T36" i="57"/>
  <c r="L13" i="57"/>
  <c r="L13" i="59"/>
  <c r="L35" i="64"/>
  <c r="L36" i="64"/>
  <c r="BH13" i="57"/>
  <c r="BW13" i="57"/>
  <c r="G36" i="57"/>
  <c r="G35" i="57"/>
  <c r="AI13" i="57"/>
  <c r="AH13" i="59"/>
  <c r="AI36" i="64"/>
  <c r="AI35" i="64"/>
  <c r="BS35" i="53"/>
  <c r="BP35" i="53"/>
  <c r="BR35" i="53"/>
  <c r="BZ35" i="53"/>
  <c r="BG33" i="60"/>
  <c r="BV33" i="60"/>
  <c r="X32" i="59"/>
  <c r="X33" i="59"/>
  <c r="BZ13" i="60"/>
  <c r="AJ33" i="60"/>
  <c r="BZ33" i="60" s="1"/>
  <c r="AJ32" i="60"/>
  <c r="BZ32" i="60" s="1"/>
  <c r="BH35" i="64"/>
  <c r="BW35" i="64"/>
  <c r="I13" i="64"/>
  <c r="I36" i="53"/>
  <c r="BF13" i="53"/>
  <c r="I13" i="60"/>
  <c r="I35" i="53"/>
  <c r="BP36" i="53"/>
  <c r="BZ36" i="53"/>
  <c r="BS36" i="53"/>
  <c r="BR36" i="53"/>
  <c r="AJ13" i="57"/>
  <c r="AI13" i="59"/>
  <c r="BR13" i="64"/>
  <c r="BZ13" i="64"/>
  <c r="BS13" i="64"/>
  <c r="BP13" i="64"/>
  <c r="AJ36" i="64"/>
  <c r="AJ35" i="64"/>
  <c r="BV32" i="60"/>
  <c r="BG32" i="60"/>
  <c r="BR35" i="64" l="1"/>
  <c r="BP35" i="64"/>
  <c r="BZ35" i="64"/>
  <c r="BS35" i="64"/>
  <c r="BP36" i="64"/>
  <c r="BZ36" i="64"/>
  <c r="BS36" i="64"/>
  <c r="BR36" i="64"/>
  <c r="BY13" i="59"/>
  <c r="BO13" i="59"/>
  <c r="BR13" i="59"/>
  <c r="BQ13" i="59"/>
  <c r="AI32" i="59"/>
  <c r="AI33" i="59"/>
  <c r="BS13" i="57"/>
  <c r="BR13" i="57"/>
  <c r="BZ13" i="57"/>
  <c r="BP13" i="57"/>
  <c r="AJ35" i="57"/>
  <c r="AJ36" i="57"/>
  <c r="BF35" i="53"/>
  <c r="BD35" i="53"/>
  <c r="BE13" i="60"/>
  <c r="I33" i="60"/>
  <c r="I32" i="60"/>
  <c r="BC13" i="60"/>
  <c r="BF36" i="53"/>
  <c r="BD36" i="53"/>
  <c r="I13" i="57"/>
  <c r="BD13" i="57" s="1"/>
  <c r="I13" i="59"/>
  <c r="BC13" i="59" s="1"/>
  <c r="BF13" i="64"/>
  <c r="I36" i="64"/>
  <c r="I35" i="64"/>
  <c r="BD13" i="64"/>
  <c r="J13" i="64"/>
  <c r="BN13" i="64" s="1"/>
  <c r="CF13" i="53"/>
  <c r="CE13" i="53"/>
  <c r="J13" i="60"/>
  <c r="BM13" i="60" s="1"/>
  <c r="J35" i="53"/>
  <c r="BN35" i="53" s="1"/>
  <c r="CD13" i="53"/>
  <c r="BT13" i="53"/>
  <c r="J36" i="53"/>
  <c r="BN36" i="53" s="1"/>
  <c r="CG13" i="53"/>
  <c r="CC13" i="53"/>
  <c r="BX13" i="53"/>
  <c r="AH33" i="59"/>
  <c r="AH32" i="59"/>
  <c r="AI35" i="57"/>
  <c r="AI36" i="57"/>
  <c r="BH35" i="57"/>
  <c r="BW35" i="57"/>
  <c r="BH36" i="57"/>
  <c r="BW36" i="57"/>
  <c r="L32" i="59"/>
  <c r="L33" i="59"/>
  <c r="L35" i="57"/>
  <c r="L36" i="57"/>
  <c r="H32" i="59"/>
  <c r="H33" i="59"/>
  <c r="H36" i="57"/>
  <c r="H35" i="57"/>
  <c r="BB36" i="64"/>
  <c r="BA36" i="64"/>
  <c r="BK36" i="64"/>
  <c r="AZ36" i="64"/>
  <c r="BV36" i="64"/>
  <c r="BL36" i="64"/>
  <c r="BM36" i="64"/>
  <c r="BB35" i="64"/>
  <c r="BM35" i="64"/>
  <c r="BK35" i="64"/>
  <c r="BA35" i="64"/>
  <c r="BL35" i="64"/>
  <c r="BV35" i="64"/>
  <c r="AZ35" i="64"/>
  <c r="BA13" i="59"/>
  <c r="BL13" i="59"/>
  <c r="BU13" i="59"/>
  <c r="BJ13" i="59"/>
  <c r="AZ13" i="59"/>
  <c r="BK13" i="59"/>
  <c r="AY13" i="59"/>
  <c r="E32" i="59"/>
  <c r="E33" i="59"/>
  <c r="AZ13" i="57"/>
  <c r="BM13" i="57"/>
  <c r="BL13" i="57"/>
  <c r="BB13" i="57"/>
  <c r="BV13" i="57"/>
  <c r="BK13" i="57"/>
  <c r="BA13" i="57"/>
  <c r="E36" i="57"/>
  <c r="E35" i="57"/>
  <c r="BV32" i="59"/>
  <c r="BG32" i="59"/>
  <c r="BV33" i="59"/>
  <c r="BG33" i="59"/>
  <c r="BK33" i="60"/>
  <c r="BU33" i="60"/>
  <c r="AY33" i="60"/>
  <c r="BJ33" i="60"/>
  <c r="BA33" i="60"/>
  <c r="BL33" i="60"/>
  <c r="AZ33" i="60"/>
  <c r="BA32" i="60"/>
  <c r="BU32" i="60"/>
  <c r="BK32" i="60"/>
  <c r="BL32" i="60"/>
  <c r="AZ32" i="60"/>
  <c r="AY32" i="60"/>
  <c r="BJ32" i="60"/>
  <c r="BO33" i="60"/>
  <c r="BR33" i="60"/>
  <c r="BY33" i="60"/>
  <c r="BQ33" i="60"/>
  <c r="BY32" i="60"/>
  <c r="BQ32" i="60"/>
  <c r="BO32" i="60"/>
  <c r="BR32" i="60"/>
  <c r="BZ13" i="59"/>
  <c r="AJ32" i="59"/>
  <c r="BZ32" i="59" s="1"/>
  <c r="AJ33" i="59"/>
  <c r="BZ33" i="59" s="1"/>
  <c r="CA13" i="57"/>
  <c r="AK36" i="57"/>
  <c r="CA36" i="57" s="1"/>
  <c r="AK35" i="57"/>
  <c r="CA35" i="57" s="1"/>
  <c r="BF36" i="64" l="1"/>
  <c r="BD36" i="64"/>
  <c r="BE33" i="60"/>
  <c r="BC33" i="60"/>
  <c r="BF35" i="64"/>
  <c r="BD35" i="64"/>
  <c r="BE32" i="60"/>
  <c r="BC32" i="60"/>
  <c r="BL35" i="57"/>
  <c r="BM35" i="57"/>
  <c r="BA35" i="57"/>
  <c r="BK35" i="57"/>
  <c r="BB35" i="57"/>
  <c r="BV35" i="57"/>
  <c r="AZ35" i="57"/>
  <c r="BM36" i="57"/>
  <c r="BK36" i="57"/>
  <c r="BA36" i="57"/>
  <c r="BV36" i="57"/>
  <c r="AZ36" i="57"/>
  <c r="BL36" i="57"/>
  <c r="BB36" i="57"/>
  <c r="BU33" i="59"/>
  <c r="AY33" i="59"/>
  <c r="BJ33" i="59"/>
  <c r="BA33" i="59"/>
  <c r="AZ33" i="59"/>
  <c r="BK33" i="59"/>
  <c r="BL33" i="59"/>
  <c r="AY32" i="59"/>
  <c r="BL32" i="59"/>
  <c r="BK32" i="59"/>
  <c r="BJ32" i="59"/>
  <c r="AZ32" i="59"/>
  <c r="BA32" i="59"/>
  <c r="BU32" i="59"/>
  <c r="BT36" i="53"/>
  <c r="BX36" i="53"/>
  <c r="CC36" i="53"/>
  <c r="CF36" i="53"/>
  <c r="CE36" i="53"/>
  <c r="CD36" i="53"/>
  <c r="CG36" i="53"/>
  <c r="BE36" i="53"/>
  <c r="BT35" i="53"/>
  <c r="CD35" i="53"/>
  <c r="CF35" i="53"/>
  <c r="CG35" i="53"/>
  <c r="BX35" i="53"/>
  <c r="CE35" i="53"/>
  <c r="CC35" i="53"/>
  <c r="BE35" i="53"/>
  <c r="BS13" i="60"/>
  <c r="CD13" i="60"/>
  <c r="CC13" i="60"/>
  <c r="CF13" i="60"/>
  <c r="CE13" i="60"/>
  <c r="BW13" i="60"/>
  <c r="CB13" i="60"/>
  <c r="J33" i="60"/>
  <c r="J32" i="60"/>
  <c r="BD13" i="60"/>
  <c r="J13" i="57"/>
  <c r="J13" i="59"/>
  <c r="CC13" i="64"/>
  <c r="CG13" i="64"/>
  <c r="BT13" i="64"/>
  <c r="CE13" i="64"/>
  <c r="BX13" i="64"/>
  <c r="CD13" i="64"/>
  <c r="CF13" i="64"/>
  <c r="J35" i="64"/>
  <c r="J36" i="64"/>
  <c r="BE13" i="64"/>
  <c r="BE13" i="59"/>
  <c r="I32" i="59"/>
  <c r="I33" i="59"/>
  <c r="BF13" i="57"/>
  <c r="I35" i="57"/>
  <c r="I36" i="57"/>
  <c r="BS36" i="57"/>
  <c r="BP36" i="57"/>
  <c r="BZ36" i="57"/>
  <c r="BR36" i="57"/>
  <c r="BS35" i="57"/>
  <c r="BR35" i="57"/>
  <c r="BZ35" i="57"/>
  <c r="BP35" i="57"/>
  <c r="BO33" i="59"/>
  <c r="BR33" i="59"/>
  <c r="BQ33" i="59"/>
  <c r="BY33" i="59"/>
  <c r="BR32" i="59"/>
  <c r="BY32" i="59"/>
  <c r="BQ32" i="59"/>
  <c r="BO32" i="59"/>
  <c r="BE32" i="59" l="1"/>
  <c r="BC32" i="59"/>
  <c r="BE35" i="64"/>
  <c r="BN35" i="64"/>
  <c r="BD13" i="59"/>
  <c r="BM13" i="59"/>
  <c r="BD33" i="60"/>
  <c r="BM33" i="60"/>
  <c r="BF35" i="57"/>
  <c r="BD35" i="57"/>
  <c r="BE13" i="57"/>
  <c r="BN13" i="57"/>
  <c r="BF36" i="57"/>
  <c r="BD36" i="57"/>
  <c r="BE33" i="59"/>
  <c r="BC33" i="59"/>
  <c r="BE36" i="64"/>
  <c r="BN36" i="64"/>
  <c r="BD32" i="60"/>
  <c r="BM32" i="60"/>
  <c r="CD36" i="64"/>
  <c r="BT36" i="64"/>
  <c r="CF36" i="64"/>
  <c r="CG36" i="64"/>
  <c r="BX36" i="64"/>
  <c r="CE36" i="64"/>
  <c r="CC36" i="64"/>
  <c r="CF35" i="64"/>
  <c r="CG35" i="64"/>
  <c r="CD35" i="64"/>
  <c r="CC35" i="64"/>
  <c r="CE35" i="64"/>
  <c r="BT35" i="64"/>
  <c r="BX35" i="64"/>
  <c r="CC13" i="59"/>
  <c r="CD13" i="59"/>
  <c r="CB13" i="59"/>
  <c r="CF13" i="59"/>
  <c r="BW13" i="59"/>
  <c r="CE13" i="59"/>
  <c r="BS13" i="59"/>
  <c r="J32" i="59"/>
  <c r="J33" i="59"/>
  <c r="CD13" i="57"/>
  <c r="BT13" i="57"/>
  <c r="CG13" i="57"/>
  <c r="CC13" i="57"/>
  <c r="BX13" i="57"/>
  <c r="CF13" i="57"/>
  <c r="CE13" i="57"/>
  <c r="J36" i="57"/>
  <c r="J35" i="57"/>
  <c r="CB32" i="60"/>
  <c r="CC32" i="60"/>
  <c r="CF32" i="60"/>
  <c r="BW32" i="60"/>
  <c r="BS32" i="60"/>
  <c r="CE32" i="60"/>
  <c r="CD32" i="60"/>
  <c r="CB33" i="60"/>
  <c r="CD33" i="60"/>
  <c r="BS33" i="60"/>
  <c r="BW33" i="60"/>
  <c r="CC33" i="60"/>
  <c r="CF33" i="60"/>
  <c r="CE33" i="60"/>
  <c r="BE35" i="57" l="1"/>
  <c r="BN35" i="57"/>
  <c r="BE36" i="57"/>
  <c r="BN36" i="57"/>
  <c r="BD33" i="59"/>
  <c r="BM33" i="59"/>
  <c r="BD32" i="59"/>
  <c r="BM32" i="59"/>
  <c r="CC35" i="57"/>
  <c r="BT35" i="57"/>
  <c r="BX35" i="57"/>
  <c r="CG35" i="57"/>
  <c r="CF35" i="57"/>
  <c r="CD35" i="57"/>
  <c r="CE35" i="57"/>
  <c r="BT36" i="57"/>
  <c r="CD36" i="57"/>
  <c r="CF36" i="57"/>
  <c r="CG36" i="57"/>
  <c r="BX36" i="57"/>
  <c r="CE36" i="57"/>
  <c r="CC36" i="57"/>
  <c r="CC33" i="59"/>
  <c r="CF33" i="59"/>
  <c r="CE33" i="59"/>
  <c r="BS33" i="59"/>
  <c r="BW33" i="59"/>
  <c r="CD33" i="59"/>
  <c r="CB33" i="59"/>
  <c r="CC32" i="59"/>
  <c r="CF32" i="59"/>
  <c r="CE32" i="59"/>
  <c r="CD32" i="59"/>
  <c r="BS32" i="59"/>
  <c r="CB32" i="59"/>
  <c r="BW32" i="59"/>
</calcChain>
</file>

<file path=xl/sharedStrings.xml><?xml version="1.0" encoding="utf-8"?>
<sst xmlns="http://schemas.openxmlformats.org/spreadsheetml/2006/main" count="2398" uniqueCount="88">
  <si>
    <t>DIALER MIS</t>
  </si>
  <si>
    <t>Dashboard Measurements</t>
  </si>
  <si>
    <t>System Efficiency</t>
  </si>
  <si>
    <t>Contact Rates</t>
  </si>
  <si>
    <t>Contact Termcodes</t>
  </si>
  <si>
    <t>Agent Hour Statistics</t>
  </si>
  <si>
    <t>Average Call time Statistics</t>
  </si>
  <si>
    <t>Date</t>
  </si>
  <si>
    <t>Day</t>
  </si>
  <si>
    <t xml:space="preserve"> Total Accounts</t>
  </si>
  <si>
    <t>Accounts Excluded</t>
  </si>
  <si>
    <t>Accounts Scheduled</t>
  </si>
  <si>
    <t>Accounts Called</t>
  </si>
  <si>
    <t>Dials</t>
  </si>
  <si>
    <t>Actual Dialer Dials</t>
  </si>
  <si>
    <t>Answers</t>
  </si>
  <si>
    <t>Connects</t>
  </si>
  <si>
    <t>Make Calls</t>
  </si>
  <si>
    <t>Aborts</t>
  </si>
  <si>
    <t>PAD</t>
  </si>
  <si>
    <t>OTP</t>
  </si>
  <si>
    <t>WN</t>
  </si>
  <si>
    <t>NC</t>
  </si>
  <si>
    <t>AU</t>
  </si>
  <si>
    <t>TC</t>
  </si>
  <si>
    <t>WS</t>
  </si>
  <si>
    <t>TOTAL CALLS</t>
  </si>
  <si>
    <t>TOTAL Contacts</t>
  </si>
  <si>
    <t>TOTAL Promises</t>
  </si>
  <si>
    <t>Logged in Time</t>
  </si>
  <si>
    <t>Not Ready Time</t>
  </si>
  <si>
    <t>Time On System</t>
  </si>
  <si>
    <t>Idle Time</t>
  </si>
  <si>
    <t>Preview Time</t>
  </si>
  <si>
    <t>Wrap Time</t>
  </si>
  <si>
    <t>Talk Time</t>
  </si>
  <si>
    <t>Agent Hours</t>
  </si>
  <si>
    <t>Cur_Bal</t>
  </si>
  <si>
    <t>Count Of Agents</t>
  </si>
  <si>
    <t>Average TOS</t>
  </si>
  <si>
    <t>Completion Rate</t>
  </si>
  <si>
    <t>Penetration</t>
  </si>
  <si>
    <t>Contact Rate</t>
  </si>
  <si>
    <t>Answer Rate</t>
  </si>
  <si>
    <t>Connect Rate</t>
  </si>
  <si>
    <t>Abort / Answer Rate</t>
  </si>
  <si>
    <t>Idle Rate</t>
  </si>
  <si>
    <t>Make Call Rate</t>
  </si>
  <si>
    <t>Wrap Rate</t>
  </si>
  <si>
    <t xml:space="preserve">Contact / Download </t>
  </si>
  <si>
    <t>Contact / Accounts called</t>
  </si>
  <si>
    <t>Contact / Dial</t>
  </si>
  <si>
    <t>Contact / Connect</t>
  </si>
  <si>
    <t>PTP Rate</t>
  </si>
  <si>
    <t>Pick-Up Rate</t>
  </si>
  <si>
    <t>CallBack Rate</t>
  </si>
  <si>
    <t>Accounts per Hour</t>
  </si>
  <si>
    <t>Dials per Hour</t>
  </si>
  <si>
    <t>Connects per Hour</t>
  </si>
  <si>
    <t>Make Call per Hour</t>
  </si>
  <si>
    <t>Contacts per Hour</t>
  </si>
  <si>
    <t>Promises per Hour</t>
  </si>
  <si>
    <t>AHT</t>
  </si>
  <si>
    <t>Talk</t>
  </si>
  <si>
    <t>Wrap</t>
  </si>
  <si>
    <t>Idle</t>
  </si>
  <si>
    <t>Preview</t>
  </si>
  <si>
    <t>PTP+PAD rate</t>
  </si>
  <si>
    <t>Average</t>
  </si>
  <si>
    <t>Total</t>
  </si>
  <si>
    <t>DS</t>
  </si>
  <si>
    <t>PTP</t>
  </si>
  <si>
    <t>RTP</t>
  </si>
  <si>
    <t>CBL</t>
  </si>
  <si>
    <t>TPC</t>
  </si>
  <si>
    <t>TCBL</t>
  </si>
  <si>
    <t>DPTP</t>
  </si>
  <si>
    <t>WH</t>
  </si>
  <si>
    <t>CT</t>
  </si>
  <si>
    <t>BCTP</t>
  </si>
  <si>
    <t>LB</t>
  </si>
  <si>
    <t>Total PTP Value</t>
  </si>
  <si>
    <t>PTP Value</t>
  </si>
  <si>
    <t>DROP</t>
  </si>
  <si>
    <t>DISP</t>
  </si>
  <si>
    <t>EWS</t>
  </si>
  <si>
    <t>LB Rate</t>
  </si>
  <si>
    <t>VOML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</si>
</sst>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h]:mm:ss;@"/>
  </numFmts>
  <fonts count="3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2"/>
      <name val="Verdana"/>
      <family val="2"/>
    </font>
    <font>
      <sz val="8"/>
      <name val="Verdana"/>
      <family val="2"/>
    </font>
    <font>
      <b/>
      <sz val="8"/>
      <color indexed="9"/>
      <name val="Verdana"/>
      <family val="2"/>
    </font>
    <font>
      <sz val="8"/>
      <color indexed="8"/>
      <name val="Verdana"/>
      <family val="2"/>
    </font>
    <font>
      <sz val="8"/>
      <color indexed="16"/>
      <name val="Verdana"/>
      <family val="2"/>
    </font>
    <font>
      <sz val="8"/>
      <color theme="0"/>
      <name val="Verdana"/>
      <family val="2"/>
    </font>
    <font>
      <sz val="8"/>
      <color theme="2"/>
      <name val="Verdana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indexed="9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8"/>
      <color indexed="16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2"/>
      <name val="Calibri"/>
      <family val="2"/>
      <scheme val="minor"/>
    </font>
    <font>
      <sz val="8"/>
      <color indexed="9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2"/>
        <bgColor indexed="9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8"/>
        <b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</borders>
  <cellStyleXfs count="222">
    <xf numFmtId="0" fontId="0" fillId="0" borderId="0" applyNumberForma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5" fillId="36" borderId="0" applyNumberFormat="0" applyBorder="0" applyAlignment="0" applyProtection="0"/>
    <xf numFmtId="0" fontId="6" fillId="37" borderId="31" applyNumberFormat="0" applyAlignment="0" applyProtection="0"/>
    <xf numFmtId="0" fontId="7" fillId="38" borderId="3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39" borderId="0" applyNumberFormat="0" applyBorder="0" applyAlignment="0" applyProtection="0"/>
    <xf numFmtId="0" fontId="10" fillId="0" borderId="33" applyNumberFormat="0" applyFill="0" applyAlignment="0" applyProtection="0"/>
    <xf numFmtId="0" fontId="11" fillId="0" borderId="34" applyNumberFormat="0" applyFill="0" applyAlignment="0" applyProtection="0"/>
    <xf numFmtId="0" fontId="12" fillId="0" borderId="35" applyNumberFormat="0" applyFill="0" applyAlignment="0" applyProtection="0"/>
    <xf numFmtId="0" fontId="12" fillId="0" borderId="0" applyNumberFormat="0" applyFill="0" applyBorder="0" applyAlignment="0" applyProtection="0"/>
    <xf numFmtId="0" fontId="13" fillId="40" borderId="31" applyNumberFormat="0" applyAlignment="0" applyProtection="0"/>
    <xf numFmtId="0" fontId="14" fillId="0" borderId="36" applyNumberFormat="0" applyFill="0" applyAlignment="0" applyProtection="0"/>
    <xf numFmtId="0" fontId="15" fillId="4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3" fillId="42" borderId="37" applyNumberFormat="0" applyFont="0" applyAlignment="0" applyProtection="0"/>
    <xf numFmtId="0" fontId="16" fillId="37" borderId="3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39" applyNumberFormat="0" applyFill="0" applyAlignment="0" applyProtection="0"/>
    <xf numFmtId="0" fontId="19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75">
    <xf numFmtId="0" fontId="0" fillId="0" borderId="0" xfId="0"/>
    <xf numFmtId="164" fontId="23" fillId="3" borderId="2" xfId="207" applyNumberFormat="1" applyFont="1" applyFill="1" applyBorder="1" applyAlignment="1">
      <alignment horizontal="center" vertical="center"/>
    </xf>
    <xf numFmtId="0" fontId="21" fillId="44" borderId="7" xfId="0" applyFont="1" applyFill="1" applyBorder="1" applyAlignment="1" applyProtection="1">
      <alignment horizontal="center" vertical="center"/>
      <protection locked="0"/>
    </xf>
    <xf numFmtId="0" fontId="21" fillId="45" borderId="7" xfId="0" applyFont="1" applyFill="1" applyBorder="1" applyAlignment="1" applyProtection="1">
      <alignment horizontal="center" vertical="center"/>
      <protection locked="0"/>
    </xf>
    <xf numFmtId="0" fontId="21" fillId="45" borderId="8" xfId="0" applyFont="1" applyFill="1" applyBorder="1" applyAlignment="1">
      <alignment horizontal="center" vertical="center"/>
    </xf>
    <xf numFmtId="0" fontId="21" fillId="44" borderId="8" xfId="0" applyFont="1" applyFill="1" applyBorder="1" applyAlignment="1">
      <alignment horizontal="center" vertical="center"/>
    </xf>
    <xf numFmtId="0" fontId="21" fillId="45" borderId="8" xfId="0" applyFont="1" applyFill="1" applyBorder="1" applyAlignment="1" applyProtection="1">
      <alignment horizontal="center" vertical="center"/>
      <protection locked="0"/>
    </xf>
    <xf numFmtId="0" fontId="21" fillId="45" borderId="8" xfId="81" applyFont="1" applyFill="1" applyBorder="1" applyAlignment="1" applyProtection="1">
      <alignment horizontal="center" vertical="center"/>
      <protection locked="0"/>
    </xf>
    <xf numFmtId="166" fontId="21" fillId="44" borderId="8" xfId="28" applyNumberFormat="1" applyFont="1" applyFill="1" applyBorder="1" applyAlignment="1">
      <alignment horizontal="center" vertical="center"/>
    </xf>
    <xf numFmtId="166" fontId="21" fillId="45" borderId="8" xfId="28" applyNumberFormat="1" applyFont="1" applyFill="1" applyBorder="1" applyAlignment="1">
      <alignment horizontal="center" vertical="center"/>
    </xf>
    <xf numFmtId="165" fontId="21" fillId="45" borderId="9" xfId="0" applyNumberFormat="1" applyFont="1" applyFill="1" applyBorder="1" applyAlignment="1" applyProtection="1">
      <alignment horizontal="center" vertical="center"/>
      <protection locked="0"/>
    </xf>
    <xf numFmtId="165" fontId="23" fillId="3" borderId="2" xfId="207" applyNumberFormat="1" applyFont="1" applyFill="1" applyBorder="1" applyAlignment="1">
      <alignment horizontal="center" vertical="center"/>
    </xf>
    <xf numFmtId="164" fontId="23" fillId="7" borderId="2" xfId="207" applyNumberFormat="1" applyFont="1" applyFill="1" applyBorder="1" applyAlignment="1">
      <alignment horizontal="center" vertical="center"/>
    </xf>
    <xf numFmtId="164" fontId="23" fillId="8" borderId="2" xfId="207" applyNumberFormat="1" applyFont="1" applyFill="1" applyBorder="1" applyAlignment="1">
      <alignment horizontal="center" vertical="center"/>
    </xf>
    <xf numFmtId="164" fontId="21" fillId="6" borderId="10" xfId="207" applyNumberFormat="1" applyFont="1" applyFill="1" applyBorder="1" applyAlignment="1" applyProtection="1">
      <alignment horizontal="center" vertical="center"/>
      <protection locked="0"/>
    </xf>
    <xf numFmtId="164" fontId="21" fillId="6" borderId="9" xfId="207" applyNumberFormat="1" applyFont="1" applyFill="1" applyBorder="1" applyAlignment="1" applyProtection="1">
      <alignment horizontal="center" vertical="center"/>
      <protection locked="0"/>
    </xf>
    <xf numFmtId="164" fontId="21" fillId="6" borderId="11" xfId="207" applyNumberFormat="1" applyFont="1" applyFill="1" applyBorder="1" applyAlignment="1" applyProtection="1">
      <alignment horizontal="center" vertical="center"/>
      <protection locked="0"/>
    </xf>
    <xf numFmtId="1" fontId="20" fillId="43" borderId="12" xfId="0" applyNumberFormat="1" applyFont="1" applyFill="1" applyBorder="1" applyAlignment="1" applyProtection="1">
      <alignment horizontal="center" vertical="center"/>
      <protection locked="0"/>
    </xf>
    <xf numFmtId="164" fontId="25" fillId="9" borderId="13" xfId="207" applyNumberFormat="1" applyFont="1" applyFill="1" applyBorder="1" applyAlignment="1" applyProtection="1">
      <alignment horizontal="center" vertical="center"/>
      <protection locked="0"/>
    </xf>
    <xf numFmtId="165" fontId="25" fillId="9" borderId="14" xfId="207" applyNumberFormat="1" applyFont="1" applyFill="1" applyBorder="1" applyAlignment="1" applyProtection="1">
      <alignment horizontal="center" vertical="center"/>
      <protection locked="0"/>
    </xf>
    <xf numFmtId="164" fontId="25" fillId="9" borderId="15" xfId="207" applyNumberFormat="1" applyFont="1" applyFill="1" applyBorder="1" applyAlignment="1" applyProtection="1">
      <alignment horizontal="center" vertical="center"/>
      <protection locked="0"/>
    </xf>
    <xf numFmtId="164" fontId="25" fillId="9" borderId="14" xfId="207" applyNumberFormat="1" applyFont="1" applyFill="1" applyBorder="1" applyAlignment="1" applyProtection="1">
      <alignment horizontal="center" vertical="center"/>
      <protection locked="0"/>
    </xf>
    <xf numFmtId="1" fontId="20" fillId="43" borderId="16" xfId="0" applyNumberFormat="1" applyFont="1" applyFill="1" applyBorder="1" applyAlignment="1" applyProtection="1">
      <alignment horizontal="center" vertical="center"/>
      <protection locked="0"/>
    </xf>
    <xf numFmtId="164" fontId="26" fillId="43" borderId="13" xfId="207" applyNumberFormat="1" applyFont="1" applyFill="1" applyBorder="1" applyAlignment="1" applyProtection="1">
      <alignment horizontal="center" vertical="center"/>
      <protection locked="0"/>
    </xf>
    <xf numFmtId="165" fontId="26" fillId="43" borderId="14" xfId="207" applyNumberFormat="1" applyFont="1" applyFill="1" applyBorder="1" applyAlignment="1" applyProtection="1">
      <alignment horizontal="center" vertical="center"/>
      <protection locked="0"/>
    </xf>
    <xf numFmtId="164" fontId="26" fillId="43" borderId="15" xfId="207" applyNumberFormat="1" applyFont="1" applyFill="1" applyBorder="1" applyAlignment="1" applyProtection="1">
      <alignment horizontal="center" vertical="center"/>
      <protection locked="0"/>
    </xf>
    <xf numFmtId="164" fontId="26" fillId="43" borderId="14" xfId="207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 applyAlignment="1">
      <alignment horizontal="center" vertical="center"/>
    </xf>
    <xf numFmtId="165" fontId="23" fillId="8" borderId="2" xfId="207" applyNumberFormat="1" applyFont="1" applyFill="1" applyBorder="1" applyAlignment="1">
      <alignment horizontal="center" vertical="center"/>
    </xf>
    <xf numFmtId="165" fontId="23" fillId="3" borderId="2" xfId="0" applyNumberFormat="1" applyFont="1" applyFill="1" applyBorder="1" applyAlignment="1">
      <alignment horizontal="center" vertical="center"/>
    </xf>
    <xf numFmtId="165" fontId="25" fillId="9" borderId="13" xfId="0" applyNumberFormat="1" applyFont="1" applyFill="1" applyBorder="1" applyAlignment="1" applyProtection="1">
      <alignment horizontal="center" vertical="center"/>
      <protection locked="0"/>
    </xf>
    <xf numFmtId="165" fontId="25" fillId="9" borderId="14" xfId="0" applyNumberFormat="1" applyFont="1" applyFill="1" applyBorder="1" applyAlignment="1" applyProtection="1">
      <alignment horizontal="center" vertical="center"/>
      <protection locked="0"/>
    </xf>
    <xf numFmtId="165" fontId="25" fillId="9" borderId="15" xfId="0" applyNumberFormat="1" applyFont="1" applyFill="1" applyBorder="1" applyAlignment="1" applyProtection="1">
      <alignment horizontal="center" vertical="center"/>
      <protection locked="0"/>
    </xf>
    <xf numFmtId="165" fontId="26" fillId="43" borderId="13" xfId="0" applyNumberFormat="1" applyFont="1" applyFill="1" applyBorder="1" applyAlignment="1" applyProtection="1">
      <alignment horizontal="center" vertical="center"/>
      <protection locked="0"/>
    </xf>
    <xf numFmtId="165" fontId="26" fillId="43" borderId="14" xfId="0" applyNumberFormat="1" applyFont="1" applyFill="1" applyBorder="1" applyAlignment="1" applyProtection="1">
      <alignment horizontal="center" vertical="center"/>
      <protection locked="0"/>
    </xf>
    <xf numFmtId="165" fontId="26" fillId="43" borderId="15" xfId="0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 applyFill="1"/>
    <xf numFmtId="0" fontId="27" fillId="0" borderId="0" xfId="0" applyNumberFormat="1" applyFont="1" applyFill="1"/>
    <xf numFmtId="3" fontId="27" fillId="0" borderId="0" xfId="0" applyNumberFormat="1" applyFont="1" applyFill="1"/>
    <xf numFmtId="0" fontId="21" fillId="10" borderId="0" xfId="0" applyFont="1" applyFill="1" applyBorder="1" applyAlignment="1" applyProtection="1">
      <alignment vertical="center"/>
      <protection locked="0"/>
    </xf>
    <xf numFmtId="0" fontId="21" fillId="10" borderId="17" xfId="0" applyFont="1" applyFill="1" applyBorder="1" applyAlignment="1" applyProtection="1">
      <alignment vertical="center"/>
      <protection locked="0"/>
    </xf>
    <xf numFmtId="0" fontId="22" fillId="11" borderId="40" xfId="0" applyFont="1" applyFill="1" applyBorder="1" applyAlignment="1">
      <alignment vertical="center"/>
    </xf>
    <xf numFmtId="0" fontId="22" fillId="11" borderId="30" xfId="0" applyFont="1" applyFill="1" applyBorder="1" applyAlignment="1">
      <alignment vertical="center"/>
    </xf>
    <xf numFmtId="15" fontId="24" fillId="5" borderId="41" xfId="0" applyNumberFormat="1" applyFont="1" applyFill="1" applyBorder="1" applyAlignment="1" applyProtection="1">
      <alignment horizontal="center" vertical="center"/>
      <protection locked="0"/>
    </xf>
    <xf numFmtId="0" fontId="24" fillId="5" borderId="41" xfId="0" applyFont="1" applyFill="1" applyBorder="1" applyAlignment="1" applyProtection="1">
      <alignment horizontal="center" vertical="center"/>
      <protection locked="0"/>
    </xf>
    <xf numFmtId="1" fontId="20" fillId="43" borderId="13" xfId="0" applyNumberFormat="1" applyFont="1" applyFill="1" applyBorder="1" applyAlignment="1" applyProtection="1">
      <alignment horizontal="center" vertical="center"/>
      <protection locked="0"/>
    </xf>
    <xf numFmtId="1" fontId="20" fillId="43" borderId="30" xfId="0" applyNumberFormat="1" applyFont="1" applyFill="1" applyBorder="1" applyAlignment="1" applyProtection="1">
      <alignment horizontal="center" vertical="center"/>
      <protection locked="0"/>
    </xf>
    <xf numFmtId="1" fontId="20" fillId="43" borderId="22" xfId="0" applyNumberFormat="1" applyFont="1" applyFill="1" applyBorder="1" applyAlignment="1" applyProtection="1">
      <alignment horizontal="center" vertical="center"/>
      <protection locked="0"/>
    </xf>
    <xf numFmtId="1" fontId="20" fillId="43" borderId="18" xfId="0" applyNumberFormat="1" applyFont="1" applyFill="1" applyBorder="1" applyAlignment="1" applyProtection="1">
      <alignment horizontal="center" vertical="center"/>
      <protection locked="0"/>
    </xf>
    <xf numFmtId="165" fontId="23" fillId="3" borderId="42" xfId="0" applyNumberFormat="1" applyFont="1" applyFill="1" applyBorder="1" applyAlignment="1">
      <alignment horizontal="center" vertical="center"/>
    </xf>
    <xf numFmtId="165" fontId="23" fillId="3" borderId="43" xfId="0" applyNumberFormat="1" applyFont="1" applyFill="1" applyBorder="1" applyAlignment="1">
      <alignment horizontal="center" vertical="center"/>
    </xf>
    <xf numFmtId="165" fontId="23" fillId="8" borderId="42" xfId="207" applyNumberFormat="1" applyFont="1" applyFill="1" applyBorder="1" applyAlignment="1">
      <alignment horizontal="center" vertical="center"/>
    </xf>
    <xf numFmtId="165" fontId="23" fillId="8" borderId="43" xfId="207" applyNumberFormat="1" applyFont="1" applyFill="1" applyBorder="1" applyAlignment="1">
      <alignment horizontal="center" vertical="center"/>
    </xf>
    <xf numFmtId="164" fontId="23" fillId="7" borderId="42" xfId="207" applyNumberFormat="1" applyFont="1" applyFill="1" applyBorder="1" applyAlignment="1">
      <alignment horizontal="center" vertical="center"/>
    </xf>
    <xf numFmtId="164" fontId="23" fillId="7" borderId="43" xfId="207" applyNumberFormat="1" applyFont="1" applyFill="1" applyBorder="1" applyAlignment="1">
      <alignment horizontal="center" vertical="center"/>
    </xf>
    <xf numFmtId="164" fontId="23" fillId="8" borderId="42" xfId="207" applyNumberFormat="1" applyFont="1" applyFill="1" applyBorder="1" applyAlignment="1">
      <alignment horizontal="center" vertical="center"/>
    </xf>
    <xf numFmtId="164" fontId="23" fillId="8" borderId="43" xfId="207" applyNumberFormat="1" applyFont="1" applyFill="1" applyBorder="1" applyAlignment="1">
      <alignment horizontal="center" vertical="center"/>
    </xf>
    <xf numFmtId="0" fontId="21" fillId="44" borderId="8" xfId="0" applyFont="1" applyFill="1" applyBorder="1" applyAlignment="1" applyProtection="1">
      <alignment horizontal="center" vertical="center"/>
      <protection locked="0"/>
    </xf>
    <xf numFmtId="0" fontId="21" fillId="44" borderId="8" xfId="0" applyFont="1" applyFill="1" applyBorder="1" applyAlignment="1" applyProtection="1">
      <alignment horizontal="center" vertical="center"/>
      <protection locked="0"/>
    </xf>
    <xf numFmtId="165" fontId="21" fillId="44" borderId="8" xfId="0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/>
    </xf>
    <xf numFmtId="165" fontId="28" fillId="0" borderId="8" xfId="0" applyNumberFormat="1" applyFont="1" applyBorder="1" applyAlignment="1">
      <alignment horizontal="center"/>
    </xf>
    <xf numFmtId="0" fontId="21" fillId="44" borderId="8" xfId="0" applyFont="1" applyFill="1" applyBorder="1" applyAlignment="1" applyProtection="1">
      <alignment horizontal="center" vertical="center"/>
      <protection locked="0"/>
    </xf>
    <xf numFmtId="0" fontId="21" fillId="44" borderId="8" xfId="0" applyFont="1" applyFill="1" applyBorder="1" applyAlignment="1" applyProtection="1">
      <alignment horizontal="center" vertical="center"/>
      <protection locked="0"/>
    </xf>
    <xf numFmtId="165" fontId="20" fillId="43" borderId="12" xfId="0" applyNumberFormat="1" applyFont="1" applyFill="1" applyBorder="1" applyAlignment="1" applyProtection="1">
      <alignment horizontal="center" vertical="center"/>
      <protection locked="0"/>
    </xf>
    <xf numFmtId="165" fontId="20" fillId="43" borderId="16" xfId="0" applyNumberFormat="1" applyFont="1" applyFill="1" applyBorder="1" applyAlignment="1" applyProtection="1">
      <alignment horizontal="center" vertical="center"/>
      <protection locked="0"/>
    </xf>
    <xf numFmtId="0" fontId="21" fillId="44" borderId="8" xfId="0" applyFont="1" applyFill="1" applyBorder="1" applyAlignment="1" applyProtection="1">
      <alignment horizontal="center" vertical="center"/>
      <protection locked="0"/>
    </xf>
    <xf numFmtId="0" fontId="21" fillId="44" borderId="8" xfId="0" applyFont="1" applyFill="1" applyBorder="1" applyAlignment="1" applyProtection="1">
      <alignment horizontal="center" vertical="center"/>
      <protection locked="0"/>
    </xf>
    <xf numFmtId="0" fontId="21" fillId="44" borderId="8" xfId="0" applyFont="1" applyFill="1" applyBorder="1" applyAlignment="1" applyProtection="1">
      <alignment horizontal="center" vertical="center"/>
      <protection locked="0"/>
    </xf>
    <xf numFmtId="0" fontId="21" fillId="44" borderId="8" xfId="0" applyFont="1" applyFill="1" applyBorder="1" applyAlignment="1" applyProtection="1">
      <alignment horizontal="center" vertical="center"/>
      <protection locked="0"/>
    </xf>
    <xf numFmtId="10" fontId="23" fillId="7" borderId="2" xfId="207" applyNumberFormat="1" applyFont="1" applyFill="1" applyBorder="1" applyAlignment="1">
      <alignment horizontal="center" vertical="center"/>
    </xf>
    <xf numFmtId="10" fontId="25" fillId="9" borderId="14" xfId="207" applyNumberFormat="1" applyFont="1" applyFill="1" applyBorder="1" applyAlignment="1" applyProtection="1">
      <alignment horizontal="center" vertical="center"/>
      <protection locked="0"/>
    </xf>
    <xf numFmtId="10" fontId="26" fillId="43" borderId="14" xfId="207" applyNumberFormat="1" applyFont="1" applyFill="1" applyBorder="1" applyAlignment="1" applyProtection="1">
      <alignment horizontal="center" vertical="center"/>
      <protection locked="0"/>
    </xf>
    <xf numFmtId="10" fontId="27" fillId="0" borderId="0" xfId="0" applyNumberFormat="1" applyFont="1" applyFill="1"/>
    <xf numFmtId="10" fontId="21" fillId="6" borderId="9" xfId="207" applyNumberFormat="1" applyFont="1" applyFill="1" applyBorder="1" applyAlignment="1" applyProtection="1">
      <alignment horizontal="center" vertical="center"/>
      <protection locked="0"/>
    </xf>
    <xf numFmtId="10" fontId="23" fillId="8" borderId="42" xfId="207" applyNumberFormat="1" applyFont="1" applyFill="1" applyBorder="1" applyAlignment="1">
      <alignment horizontal="center" vertical="center"/>
    </xf>
    <xf numFmtId="10" fontId="23" fillId="8" borderId="2" xfId="207" applyNumberFormat="1" applyFont="1" applyFill="1" applyBorder="1" applyAlignment="1">
      <alignment horizontal="center" vertical="center"/>
    </xf>
    <xf numFmtId="10" fontId="23" fillId="8" borderId="43" xfId="207" applyNumberFormat="1" applyFont="1" applyFill="1" applyBorder="1" applyAlignment="1">
      <alignment horizontal="center" vertical="center"/>
    </xf>
    <xf numFmtId="10" fontId="25" fillId="9" borderId="13" xfId="207" applyNumberFormat="1" applyFont="1" applyFill="1" applyBorder="1" applyAlignment="1" applyProtection="1">
      <alignment horizontal="center" vertical="center"/>
      <protection locked="0"/>
    </xf>
    <xf numFmtId="10" fontId="25" fillId="9" borderId="15" xfId="207" applyNumberFormat="1" applyFont="1" applyFill="1" applyBorder="1" applyAlignment="1" applyProtection="1">
      <alignment horizontal="center" vertical="center"/>
      <protection locked="0"/>
    </xf>
    <xf numFmtId="10" fontId="26" fillId="43" borderId="13" xfId="207" applyNumberFormat="1" applyFont="1" applyFill="1" applyBorder="1" applyAlignment="1" applyProtection="1">
      <alignment horizontal="center" vertical="center"/>
      <protection locked="0"/>
    </xf>
    <xf numFmtId="10" fontId="26" fillId="43" borderId="15" xfId="207" applyNumberFormat="1" applyFont="1" applyFill="1" applyBorder="1" applyAlignment="1" applyProtection="1">
      <alignment horizontal="center" vertical="center"/>
      <protection locked="0"/>
    </xf>
    <xf numFmtId="10" fontId="23" fillId="7" borderId="42" xfId="207" applyNumberFormat="1" applyFont="1" applyFill="1" applyBorder="1" applyAlignment="1">
      <alignment horizontal="center" vertical="center"/>
    </xf>
    <xf numFmtId="10" fontId="23" fillId="7" borderId="43" xfId="207" applyNumberFormat="1" applyFont="1" applyFill="1" applyBorder="1" applyAlignment="1">
      <alignment horizontal="center" vertical="center"/>
    </xf>
    <xf numFmtId="10" fontId="23" fillId="3" borderId="2" xfId="207" applyNumberFormat="1" applyFont="1" applyFill="1" applyBorder="1" applyAlignment="1">
      <alignment horizontal="center" vertical="center"/>
    </xf>
    <xf numFmtId="0" fontId="21" fillId="44" borderId="8" xfId="0" applyFont="1" applyFill="1" applyBorder="1" applyAlignment="1" applyProtection="1">
      <alignment horizontal="center" vertical="center"/>
      <protection locked="0"/>
    </xf>
    <xf numFmtId="0" fontId="21" fillId="44" borderId="8" xfId="0" applyFont="1" applyFill="1" applyBorder="1" applyAlignment="1" applyProtection="1">
      <alignment horizontal="center" vertical="center"/>
      <protection locked="0"/>
    </xf>
    <xf numFmtId="4" fontId="28" fillId="0" borderId="8" xfId="0" applyNumberFormat="1" applyFont="1" applyBorder="1" applyAlignment="1">
      <alignment horizontal="center"/>
    </xf>
    <xf numFmtId="0" fontId="22" fillId="11" borderId="40" xfId="0" applyFont="1" applyFill="1" applyBorder="1" applyAlignment="1">
      <alignment horizontal="center" vertical="center"/>
    </xf>
    <xf numFmtId="0" fontId="22" fillId="11" borderId="40" xfId="0" applyFont="1" applyFill="1" applyBorder="1" applyAlignment="1">
      <alignment horizontal="center" vertical="center"/>
    </xf>
    <xf numFmtId="0" fontId="22" fillId="11" borderId="40" xfId="0" applyFont="1" applyFill="1" applyBorder="1" applyAlignment="1">
      <alignment horizontal="center" vertical="center"/>
    </xf>
    <xf numFmtId="0" fontId="28" fillId="0" borderId="8" xfId="0" applyFont="1" applyBorder="1" applyAlignment="1"/>
    <xf numFmtId="166" fontId="21" fillId="44" borderId="8" xfId="28" applyNumberFormat="1" applyFont="1" applyFill="1" applyBorder="1" applyAlignment="1">
      <alignment vertical="center"/>
    </xf>
    <xf numFmtId="0" fontId="29" fillId="11" borderId="40" xfId="0" applyFont="1" applyFill="1" applyBorder="1" applyAlignment="1">
      <alignment horizontal="center" vertical="center"/>
    </xf>
    <xf numFmtId="0" fontId="29" fillId="11" borderId="40" xfId="0" applyFont="1" applyFill="1" applyBorder="1" applyAlignment="1">
      <alignment vertical="center"/>
    </xf>
    <xf numFmtId="0" fontId="29" fillId="11" borderId="30" xfId="0" applyFont="1" applyFill="1" applyBorder="1" applyAlignment="1">
      <alignment vertical="center"/>
    </xf>
    <xf numFmtId="15" fontId="31" fillId="5" borderId="41" xfId="0" applyNumberFormat="1" applyFont="1" applyFill="1" applyBorder="1" applyAlignment="1" applyProtection="1">
      <alignment horizontal="center" vertical="center"/>
      <protection locked="0"/>
    </xf>
    <xf numFmtId="0" fontId="31" fillId="5" borderId="41" xfId="0" applyFont="1" applyFill="1" applyBorder="1" applyAlignment="1" applyProtection="1">
      <alignment horizontal="center" vertical="center"/>
      <protection locked="0"/>
    </xf>
    <xf numFmtId="0" fontId="32" fillId="44" borderId="7" xfId="0" applyFont="1" applyFill="1" applyBorder="1" applyAlignment="1" applyProtection="1">
      <alignment horizontal="center" vertical="center"/>
      <protection locked="0"/>
    </xf>
    <xf numFmtId="165" fontId="32" fillId="44" borderId="8" xfId="0" applyNumberFormat="1" applyFont="1" applyFill="1" applyBorder="1" applyAlignment="1">
      <alignment horizontal="center" vertical="center"/>
    </xf>
    <xf numFmtId="166" fontId="32" fillId="44" borderId="8" xfId="28" applyNumberFormat="1" applyFont="1" applyFill="1" applyBorder="1" applyAlignment="1">
      <alignment horizontal="center" vertical="center"/>
    </xf>
    <xf numFmtId="166" fontId="32" fillId="45" borderId="8" xfId="28" applyNumberFormat="1" applyFont="1" applyFill="1" applyBorder="1" applyAlignment="1">
      <alignment horizontal="center" vertical="center"/>
    </xf>
    <xf numFmtId="165" fontId="32" fillId="45" borderId="9" xfId="0" applyNumberFormat="1" applyFont="1" applyFill="1" applyBorder="1" applyAlignment="1" applyProtection="1">
      <alignment horizontal="center" vertical="center"/>
      <protection locked="0"/>
    </xf>
    <xf numFmtId="0" fontId="32" fillId="45" borderId="7" xfId="0" applyFont="1" applyFill="1" applyBorder="1" applyAlignment="1" applyProtection="1">
      <alignment horizontal="center" vertical="center"/>
      <protection locked="0"/>
    </xf>
    <xf numFmtId="0" fontId="32" fillId="45" borderId="8" xfId="0" applyFont="1" applyFill="1" applyBorder="1" applyAlignment="1">
      <alignment horizontal="center" vertical="center"/>
    </xf>
    <xf numFmtId="0" fontId="32" fillId="44" borderId="8" xfId="0" applyFont="1" applyFill="1" applyBorder="1" applyAlignment="1" applyProtection="1">
      <alignment horizontal="center" vertical="center"/>
      <protection locked="0"/>
    </xf>
    <xf numFmtId="0" fontId="32" fillId="44" borderId="8" xfId="0" applyFont="1" applyFill="1" applyBorder="1" applyAlignment="1">
      <alignment horizontal="center" vertical="center"/>
    </xf>
    <xf numFmtId="0" fontId="32" fillId="45" borderId="8" xfId="0" applyFont="1" applyFill="1" applyBorder="1" applyAlignment="1" applyProtection="1">
      <alignment horizontal="center" vertical="center"/>
      <protection locked="0"/>
    </xf>
    <xf numFmtId="0" fontId="32" fillId="45" borderId="8" xfId="81" applyFont="1" applyFill="1" applyBorder="1" applyAlignment="1" applyProtection="1">
      <alignment horizontal="center" vertical="center"/>
      <protection locked="0"/>
    </xf>
    <xf numFmtId="1" fontId="30" fillId="43" borderId="13" xfId="0" applyNumberFormat="1" applyFont="1" applyFill="1" applyBorder="1" applyAlignment="1" applyProtection="1">
      <alignment horizontal="center" vertical="center"/>
      <protection locked="0"/>
    </xf>
    <xf numFmtId="1" fontId="30" fillId="43" borderId="30" xfId="0" applyNumberFormat="1" applyFont="1" applyFill="1" applyBorder="1" applyAlignment="1" applyProtection="1">
      <alignment horizontal="center" vertical="center"/>
      <protection locked="0"/>
    </xf>
    <xf numFmtId="1" fontId="30" fillId="43" borderId="22" xfId="0" applyNumberFormat="1" applyFont="1" applyFill="1" applyBorder="1" applyAlignment="1" applyProtection="1">
      <alignment horizontal="center" vertical="center"/>
      <protection locked="0"/>
    </xf>
    <xf numFmtId="1" fontId="30" fillId="43" borderId="18" xfId="0" applyNumberFormat="1" applyFont="1" applyFill="1" applyBorder="1" applyAlignment="1" applyProtection="1">
      <alignment horizontal="center" vertical="center"/>
      <protection locked="0"/>
    </xf>
    <xf numFmtId="0" fontId="29" fillId="11" borderId="30" xfId="0" applyFont="1" applyFill="1" applyBorder="1" applyAlignment="1">
      <alignment horizontal="center" vertical="center"/>
    </xf>
    <xf numFmtId="0" fontId="32" fillId="10" borderId="0" xfId="0" applyFont="1" applyFill="1" applyBorder="1" applyAlignment="1" applyProtection="1">
      <alignment horizontal="center" vertical="center"/>
      <protection locked="0"/>
    </xf>
    <xf numFmtId="0" fontId="32" fillId="0" borderId="0" xfId="0" applyFont="1" applyAlignment="1">
      <alignment horizontal="center" vertical="center"/>
    </xf>
    <xf numFmtId="164" fontId="33" fillId="3" borderId="2" xfId="207" applyNumberFormat="1" applyFont="1" applyFill="1" applyBorder="1" applyAlignment="1">
      <alignment horizontal="center" vertical="center"/>
    </xf>
    <xf numFmtId="165" fontId="33" fillId="3" borderId="2" xfId="207" applyNumberFormat="1" applyFont="1" applyFill="1" applyBorder="1" applyAlignment="1">
      <alignment horizontal="center" vertical="center"/>
    </xf>
    <xf numFmtId="164" fontId="33" fillId="7" borderId="42" xfId="207" applyNumberFormat="1" applyFont="1" applyFill="1" applyBorder="1" applyAlignment="1">
      <alignment horizontal="center" vertical="center"/>
    </xf>
    <xf numFmtId="164" fontId="33" fillId="7" borderId="2" xfId="207" applyNumberFormat="1" applyFont="1" applyFill="1" applyBorder="1" applyAlignment="1">
      <alignment horizontal="center" vertical="center"/>
    </xf>
    <xf numFmtId="164" fontId="33" fillId="7" borderId="43" xfId="207" applyNumberFormat="1" applyFont="1" applyFill="1" applyBorder="1" applyAlignment="1">
      <alignment horizontal="center" vertical="center"/>
    </xf>
    <xf numFmtId="164" fontId="33" fillId="8" borderId="42" xfId="207" applyNumberFormat="1" applyFont="1" applyFill="1" applyBorder="1" applyAlignment="1">
      <alignment horizontal="center" vertical="center"/>
    </xf>
    <xf numFmtId="164" fontId="33" fillId="8" borderId="2" xfId="207" applyNumberFormat="1" applyFont="1" applyFill="1" applyBorder="1" applyAlignment="1">
      <alignment horizontal="center" vertical="center"/>
    </xf>
    <xf numFmtId="164" fontId="33" fillId="8" borderId="43" xfId="207" applyNumberFormat="1" applyFont="1" applyFill="1" applyBorder="1" applyAlignment="1">
      <alignment horizontal="center" vertical="center"/>
    </xf>
    <xf numFmtId="164" fontId="32" fillId="6" borderId="10" xfId="207" applyNumberFormat="1" applyFont="1" applyFill="1" applyBorder="1" applyAlignment="1" applyProtection="1">
      <alignment horizontal="center" vertical="center"/>
      <protection locked="0"/>
    </xf>
    <xf numFmtId="164" fontId="32" fillId="6" borderId="9" xfId="207" applyNumberFormat="1" applyFont="1" applyFill="1" applyBorder="1" applyAlignment="1" applyProtection="1">
      <alignment horizontal="center" vertical="center"/>
      <protection locked="0"/>
    </xf>
    <xf numFmtId="164" fontId="32" fillId="6" borderId="11" xfId="207" applyNumberFormat="1" applyFont="1" applyFill="1" applyBorder="1" applyAlignment="1" applyProtection="1">
      <alignment horizontal="center" vertical="center"/>
      <protection locked="0"/>
    </xf>
    <xf numFmtId="165" fontId="33" fillId="8" borderId="2" xfId="207" applyNumberFormat="1" applyFont="1" applyFill="1" applyBorder="1" applyAlignment="1">
      <alignment horizontal="center" vertical="center"/>
    </xf>
    <xf numFmtId="165" fontId="33" fillId="8" borderId="43" xfId="207" applyNumberFormat="1" applyFont="1" applyFill="1" applyBorder="1" applyAlignment="1">
      <alignment horizontal="center" vertical="center"/>
    </xf>
    <xf numFmtId="165" fontId="33" fillId="3" borderId="42" xfId="0" applyNumberFormat="1" applyFont="1" applyFill="1" applyBorder="1" applyAlignment="1">
      <alignment horizontal="center" vertical="center"/>
    </xf>
    <xf numFmtId="165" fontId="33" fillId="3" borderId="2" xfId="0" applyNumberFormat="1" applyFont="1" applyFill="1" applyBorder="1" applyAlignment="1">
      <alignment horizontal="center" vertical="center"/>
    </xf>
    <xf numFmtId="165" fontId="33" fillId="3" borderId="43" xfId="0" applyNumberFormat="1" applyFont="1" applyFill="1" applyBorder="1" applyAlignment="1">
      <alignment horizontal="center" vertical="center"/>
    </xf>
    <xf numFmtId="165" fontId="33" fillId="8" borderId="42" xfId="207" applyNumberFormat="1" applyFont="1" applyFill="1" applyBorder="1" applyAlignment="1">
      <alignment horizontal="center" vertical="center"/>
    </xf>
    <xf numFmtId="164" fontId="34" fillId="9" borderId="13" xfId="207" applyNumberFormat="1" applyFont="1" applyFill="1" applyBorder="1" applyAlignment="1" applyProtection="1">
      <alignment horizontal="center" vertical="center"/>
      <protection locked="0"/>
    </xf>
    <xf numFmtId="165" fontId="34" fillId="9" borderId="14" xfId="207" applyNumberFormat="1" applyFont="1" applyFill="1" applyBorder="1" applyAlignment="1" applyProtection="1">
      <alignment horizontal="center" vertical="center"/>
      <protection locked="0"/>
    </xf>
    <xf numFmtId="164" fontId="34" fillId="9" borderId="15" xfId="207" applyNumberFormat="1" applyFont="1" applyFill="1" applyBorder="1" applyAlignment="1" applyProtection="1">
      <alignment horizontal="center" vertical="center"/>
      <protection locked="0"/>
    </xf>
    <xf numFmtId="164" fontId="34" fillId="9" borderId="14" xfId="207" applyNumberFormat="1" applyFont="1" applyFill="1" applyBorder="1" applyAlignment="1" applyProtection="1">
      <alignment horizontal="center" vertical="center"/>
      <protection locked="0"/>
    </xf>
    <xf numFmtId="165" fontId="34" fillId="9" borderId="13" xfId="0" applyNumberFormat="1" applyFont="1" applyFill="1" applyBorder="1" applyAlignment="1" applyProtection="1">
      <alignment horizontal="center" vertical="center"/>
      <protection locked="0"/>
    </xf>
    <xf numFmtId="165" fontId="34" fillId="9" borderId="14" xfId="0" applyNumberFormat="1" applyFont="1" applyFill="1" applyBorder="1" applyAlignment="1" applyProtection="1">
      <alignment horizontal="center" vertical="center"/>
      <protection locked="0"/>
    </xf>
    <xf numFmtId="165" fontId="34" fillId="9" borderId="15" xfId="0" applyNumberFormat="1" applyFont="1" applyFill="1" applyBorder="1" applyAlignment="1" applyProtection="1">
      <alignment horizontal="center" vertical="center"/>
      <protection locked="0"/>
    </xf>
    <xf numFmtId="0" fontId="32" fillId="10" borderId="17" xfId="0" applyFont="1" applyFill="1" applyBorder="1" applyAlignment="1" applyProtection="1">
      <alignment horizontal="center" vertical="center"/>
      <protection locked="0"/>
    </xf>
    <xf numFmtId="164" fontId="35" fillId="43" borderId="13" xfId="207" applyNumberFormat="1" applyFont="1" applyFill="1" applyBorder="1" applyAlignment="1" applyProtection="1">
      <alignment horizontal="center" vertical="center"/>
      <protection locked="0"/>
    </xf>
    <xf numFmtId="165" fontId="35" fillId="43" borderId="14" xfId="207" applyNumberFormat="1" applyFont="1" applyFill="1" applyBorder="1" applyAlignment="1" applyProtection="1">
      <alignment horizontal="center" vertical="center"/>
      <protection locked="0"/>
    </xf>
    <xf numFmtId="164" fontId="35" fillId="43" borderId="15" xfId="207" applyNumberFormat="1" applyFont="1" applyFill="1" applyBorder="1" applyAlignment="1" applyProtection="1">
      <alignment horizontal="center" vertical="center"/>
      <protection locked="0"/>
    </xf>
    <xf numFmtId="164" fontId="35" fillId="43" borderId="14" xfId="207" applyNumberFormat="1" applyFont="1" applyFill="1" applyBorder="1" applyAlignment="1" applyProtection="1">
      <alignment horizontal="center" vertical="center"/>
      <protection locked="0"/>
    </xf>
    <xf numFmtId="165" fontId="35" fillId="43" borderId="13" xfId="0" applyNumberFormat="1" applyFont="1" applyFill="1" applyBorder="1" applyAlignment="1" applyProtection="1">
      <alignment horizontal="center" vertical="center"/>
      <protection locked="0"/>
    </xf>
    <xf numFmtId="165" fontId="35" fillId="43" borderId="14" xfId="0" applyNumberFormat="1" applyFont="1" applyFill="1" applyBorder="1" applyAlignment="1" applyProtection="1">
      <alignment horizontal="center" vertical="center"/>
      <protection locked="0"/>
    </xf>
    <xf numFmtId="165" fontId="35" fillId="43" borderId="15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>
      <alignment horizontal="center"/>
    </xf>
    <xf numFmtId="0" fontId="32" fillId="0" borderId="0" xfId="0" applyNumberFormat="1" applyFont="1" applyFill="1" applyAlignment="1">
      <alignment horizontal="center"/>
    </xf>
    <xf numFmtId="3" fontId="32" fillId="0" borderId="0" xfId="0" applyNumberFormat="1" applyFont="1" applyFill="1" applyAlignment="1">
      <alignment horizontal="center"/>
    </xf>
    <xf numFmtId="0" fontId="32" fillId="10" borderId="0" xfId="0" applyFont="1" applyFill="1" applyBorder="1" applyAlignment="1" applyProtection="1">
      <alignment vertical="center"/>
      <protection locked="0"/>
    </xf>
    <xf numFmtId="4" fontId="32" fillId="44" borderId="7" xfId="0" applyNumberFormat="1" applyFont="1" applyFill="1" applyBorder="1" applyAlignment="1" applyProtection="1">
      <alignment horizontal="center" vertical="center"/>
      <protection locked="0"/>
    </xf>
    <xf numFmtId="165" fontId="30" fillId="43" borderId="30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/>
    <xf numFmtId="165" fontId="30" fillId="43" borderId="18" xfId="0" applyNumberFormat="1" applyFont="1" applyFill="1" applyBorder="1" applyAlignment="1" applyProtection="1">
      <alignment horizontal="center" vertical="center"/>
      <protection locked="0"/>
    </xf>
    <xf numFmtId="0" fontId="32" fillId="10" borderId="17" xfId="0" applyFont="1" applyFill="1" applyBorder="1" applyAlignment="1" applyProtection="1">
      <alignment vertical="center"/>
      <protection locked="0"/>
    </xf>
    <xf numFmtId="0" fontId="32" fillId="0" borderId="0" xfId="0" applyNumberFormat="1" applyFont="1" applyFill="1"/>
    <xf numFmtId="3" fontId="32" fillId="0" borderId="0" xfId="0" applyNumberFormat="1" applyFont="1" applyFill="1"/>
    <xf numFmtId="164" fontId="33" fillId="7" borderId="44" xfId="207" applyNumberFormat="1" applyFont="1" applyFill="1" applyBorder="1" applyAlignment="1">
      <alignment horizontal="center" vertical="center"/>
    </xf>
    <xf numFmtId="164" fontId="33" fillId="7" borderId="45" xfId="207" applyNumberFormat="1" applyFont="1" applyFill="1" applyBorder="1" applyAlignment="1">
      <alignment horizontal="center" vertical="center"/>
    </xf>
    <xf numFmtId="164" fontId="33" fillId="7" borderId="46" xfId="207" applyNumberFormat="1" applyFont="1" applyFill="1" applyBorder="1" applyAlignment="1">
      <alignment horizontal="center" vertical="center"/>
    </xf>
    <xf numFmtId="164" fontId="33" fillId="8" borderId="44" xfId="207" applyNumberFormat="1" applyFont="1" applyFill="1" applyBorder="1" applyAlignment="1">
      <alignment horizontal="center" vertical="center"/>
    </xf>
    <xf numFmtId="164" fontId="33" fillId="8" borderId="45" xfId="207" applyNumberFormat="1" applyFont="1" applyFill="1" applyBorder="1" applyAlignment="1">
      <alignment horizontal="center" vertical="center"/>
    </xf>
    <xf numFmtId="164" fontId="33" fillId="8" borderId="46" xfId="207" applyNumberFormat="1" applyFont="1" applyFill="1" applyBorder="1" applyAlignment="1">
      <alignment horizontal="center" vertical="center"/>
    </xf>
    <xf numFmtId="165" fontId="33" fillId="8" borderId="45" xfId="207" applyNumberFormat="1" applyFont="1" applyFill="1" applyBorder="1" applyAlignment="1">
      <alignment horizontal="center" vertical="center"/>
    </xf>
    <xf numFmtId="165" fontId="33" fillId="8" borderId="46" xfId="207" applyNumberFormat="1" applyFont="1" applyFill="1" applyBorder="1" applyAlignment="1">
      <alignment horizontal="center" vertical="center"/>
    </xf>
    <xf numFmtId="1" fontId="32" fillId="44" borderId="7" xfId="0" applyNumberFormat="1" applyFont="1" applyFill="1" applyBorder="1" applyAlignment="1" applyProtection="1">
      <alignment horizontal="center" vertical="center"/>
      <protection locked="0"/>
    </xf>
    <xf numFmtId="167" fontId="32" fillId="0" borderId="0" xfId="0" applyNumberFormat="1" applyFont="1" applyFill="1"/>
    <xf numFmtId="2" fontId="32" fillId="0" borderId="0" xfId="0" applyNumberFormat="1" applyFont="1" applyFill="1"/>
    <xf numFmtId="0" fontId="29" fillId="11" borderId="40" xfId="0" applyFont="1" applyFill="1" applyBorder="1" applyAlignment="1">
      <alignment horizontal="center" vertical="center"/>
    </xf>
    <xf numFmtId="0" fontId="29" fillId="11" borderId="40" xfId="0" applyFont="1" applyFill="1" applyBorder="1" applyAlignment="1">
      <alignment horizontal="center" vertical="center"/>
    </xf>
    <xf numFmtId="0" fontId="36" fillId="11" borderId="40" xfId="0" applyFont="1" applyFill="1" applyBorder="1" applyAlignment="1">
      <alignment vertical="center"/>
    </xf>
    <xf numFmtId="167" fontId="36" fillId="11" borderId="40" xfId="0" applyNumberFormat="1" applyFont="1" applyFill="1" applyBorder="1" applyAlignment="1">
      <alignment vertical="center"/>
    </xf>
    <xf numFmtId="165" fontId="36" fillId="11" borderId="30" xfId="0" applyNumberFormat="1" applyFont="1" applyFill="1" applyBorder="1" applyAlignment="1">
      <alignment vertical="center"/>
    </xf>
    <xf numFmtId="0" fontId="29" fillId="11" borderId="40" xfId="0" applyFont="1" applyFill="1" applyBorder="1" applyAlignment="1">
      <alignment horizontal="center" vertical="center"/>
    </xf>
    <xf numFmtId="10" fontId="33" fillId="3" borderId="2" xfId="207" applyNumberFormat="1" applyFont="1" applyFill="1" applyBorder="1" applyAlignment="1">
      <alignment horizontal="center" vertical="center"/>
    </xf>
    <xf numFmtId="10" fontId="33" fillId="7" borderId="2" xfId="207" applyNumberFormat="1" applyFont="1" applyFill="1" applyBorder="1" applyAlignment="1">
      <alignment horizontal="center" vertical="center"/>
    </xf>
    <xf numFmtId="4" fontId="32" fillId="44" borderId="8" xfId="0" applyNumberFormat="1" applyFont="1" applyFill="1" applyBorder="1" applyAlignment="1">
      <alignment horizontal="center" vertical="center"/>
    </xf>
    <xf numFmtId="4" fontId="32" fillId="44" borderId="8" xfId="28" applyNumberFormat="1" applyFont="1" applyFill="1" applyBorder="1" applyAlignment="1">
      <alignment horizontal="center" vertical="center"/>
    </xf>
    <xf numFmtId="4" fontId="32" fillId="45" borderId="8" xfId="28" applyNumberFormat="1" applyFont="1" applyFill="1" applyBorder="1" applyAlignment="1">
      <alignment horizontal="center" vertical="center"/>
    </xf>
    <xf numFmtId="0" fontId="32" fillId="44" borderId="8" xfId="28" applyNumberFormat="1" applyFont="1" applyFill="1" applyBorder="1" applyAlignment="1">
      <alignment horizontal="center" vertical="center"/>
    </xf>
    <xf numFmtId="0" fontId="32" fillId="45" borderId="9" xfId="0" applyNumberFormat="1" applyFont="1" applyFill="1" applyBorder="1" applyAlignment="1" applyProtection="1">
      <alignment horizontal="center" vertical="center"/>
      <protection locked="0"/>
    </xf>
    <xf numFmtId="0" fontId="29" fillId="11" borderId="40" xfId="0" applyFont="1" applyFill="1" applyBorder="1" applyAlignment="1">
      <alignment horizontal="center" vertical="center"/>
    </xf>
    <xf numFmtId="167" fontId="29" fillId="11" borderId="40" xfId="0" applyNumberFormat="1" applyFont="1" applyFill="1" applyBorder="1" applyAlignment="1">
      <alignment horizontal="center" vertical="center"/>
    </xf>
    <xf numFmtId="167" fontId="32" fillId="0" borderId="0" xfId="0" applyNumberFormat="1" applyFont="1" applyFill="1" applyAlignment="1">
      <alignment horizontal="center"/>
    </xf>
    <xf numFmtId="0" fontId="22" fillId="11" borderId="40" xfId="0" applyFont="1" applyFill="1" applyBorder="1" applyAlignment="1">
      <alignment horizontal="center" vertical="center"/>
    </xf>
    <xf numFmtId="0" fontId="22" fillId="11" borderId="30" xfId="0" applyFont="1" applyFill="1" applyBorder="1" applyAlignment="1">
      <alignment horizontal="center" vertical="center"/>
    </xf>
    <xf numFmtId="0" fontId="21" fillId="10" borderId="0" xfId="0" applyFont="1" applyFill="1" applyBorder="1" applyAlignment="1" applyProtection="1">
      <alignment horizontal="center" vertical="center"/>
      <protection locked="0"/>
    </xf>
    <xf numFmtId="0" fontId="21" fillId="10" borderId="17" xfId="0" applyFont="1" applyFill="1" applyBorder="1" applyAlignment="1" applyProtection="1">
      <alignment horizontal="center" vertical="center"/>
      <protection locked="0"/>
    </xf>
    <xf numFmtId="0" fontId="27" fillId="0" borderId="0" xfId="0" applyFont="1" applyFill="1" applyAlignment="1">
      <alignment horizontal="center"/>
    </xf>
    <xf numFmtId="0" fontId="27" fillId="0" borderId="0" xfId="0" applyNumberFormat="1" applyFont="1" applyFill="1" applyAlignment="1">
      <alignment horizontal="center"/>
    </xf>
    <xf numFmtId="3" fontId="27" fillId="0" borderId="0" xfId="0" applyNumberFormat="1" applyFont="1" applyFill="1" applyAlignment="1">
      <alignment horizontal="center"/>
    </xf>
    <xf numFmtId="0" fontId="30" fillId="43" borderId="3" xfId="0" applyFont="1" applyFill="1" applyBorder="1" applyAlignment="1" applyProtection="1">
      <alignment horizontal="center" vertical="center" wrapText="1"/>
      <protection locked="0"/>
    </xf>
    <xf numFmtId="0" fontId="30" fillId="43" borderId="5" xfId="0" applyFont="1" applyFill="1" applyBorder="1" applyAlignment="1" applyProtection="1">
      <alignment horizontal="center" vertical="center" wrapText="1"/>
      <protection locked="0"/>
    </xf>
    <xf numFmtId="0" fontId="30" fillId="43" borderId="3" xfId="202" applyFont="1" applyFill="1" applyBorder="1" applyAlignment="1" applyProtection="1">
      <alignment horizontal="center" vertical="center" wrapText="1"/>
      <protection locked="0"/>
    </xf>
    <xf numFmtId="0" fontId="30" fillId="43" borderId="5" xfId="202" applyFont="1" applyFill="1" applyBorder="1" applyAlignment="1" applyProtection="1">
      <alignment horizontal="center" vertical="center" wrapText="1"/>
      <protection locked="0"/>
    </xf>
    <xf numFmtId="0" fontId="29" fillId="11" borderId="29" xfId="0" applyFont="1" applyFill="1" applyBorder="1" applyAlignment="1">
      <alignment horizontal="center" vertical="center"/>
    </xf>
    <xf numFmtId="0" fontId="29" fillId="11" borderId="40" xfId="0" applyFont="1" applyFill="1" applyBorder="1" applyAlignment="1">
      <alignment horizontal="center" vertical="center"/>
    </xf>
    <xf numFmtId="0" fontId="30" fillId="43" borderId="19" xfId="0" applyFont="1" applyFill="1" applyBorder="1" applyAlignment="1">
      <alignment horizontal="center" vertical="center" wrapText="1"/>
    </xf>
    <xf numFmtId="0" fontId="30" fillId="43" borderId="20" xfId="0" applyFont="1" applyFill="1" applyBorder="1" applyAlignment="1">
      <alignment horizontal="center" vertical="center" wrapText="1"/>
    </xf>
    <xf numFmtId="0" fontId="30" fillId="43" borderId="19" xfId="0" applyFont="1" applyFill="1" applyBorder="1" applyAlignment="1" applyProtection="1">
      <alignment horizontal="center" vertical="center" wrapText="1"/>
      <protection locked="0"/>
    </xf>
    <xf numFmtId="0" fontId="30" fillId="43" borderId="20" xfId="0" applyFont="1" applyFill="1" applyBorder="1" applyAlignment="1" applyProtection="1">
      <alignment horizontal="center" vertical="center" wrapText="1"/>
      <protection locked="0"/>
    </xf>
    <xf numFmtId="0" fontId="30" fillId="43" borderId="21" xfId="0" applyFont="1" applyFill="1" applyBorder="1" applyAlignment="1" applyProtection="1">
      <alignment horizontal="center" vertical="center" wrapText="1"/>
      <protection locked="0"/>
    </xf>
    <xf numFmtId="0" fontId="30" fillId="43" borderId="22" xfId="0" applyFont="1" applyFill="1" applyBorder="1" applyAlignment="1" applyProtection="1">
      <alignment horizontal="center" vertical="center" wrapText="1"/>
      <protection locked="0"/>
    </xf>
    <xf numFmtId="0" fontId="30" fillId="43" borderId="3" xfId="0" applyNumberFormat="1" applyFont="1" applyFill="1" applyBorder="1" applyAlignment="1" applyProtection="1">
      <alignment horizontal="center" vertical="center" wrapText="1"/>
      <protection locked="0"/>
    </xf>
    <xf numFmtId="0" fontId="30" fillId="43" borderId="5" xfId="0" applyNumberFormat="1" applyFont="1" applyFill="1" applyBorder="1" applyAlignment="1" applyProtection="1">
      <alignment horizontal="center" vertical="center" wrapText="1"/>
      <protection locked="0"/>
    </xf>
    <xf numFmtId="3" fontId="30" fillId="43" borderId="3" xfId="28" applyNumberFormat="1" applyFont="1" applyFill="1" applyBorder="1" applyAlignment="1" applyProtection="1">
      <alignment horizontal="center" vertical="center" wrapText="1"/>
      <protection locked="0"/>
    </xf>
    <xf numFmtId="3" fontId="30" fillId="43" borderId="5" xfId="28" applyNumberFormat="1" applyFont="1" applyFill="1" applyBorder="1" applyAlignment="1" applyProtection="1">
      <alignment horizontal="center" vertical="center" wrapText="1"/>
      <protection locked="0"/>
    </xf>
    <xf numFmtId="167" fontId="30" fillId="43" borderId="3" xfId="0" applyNumberFormat="1" applyFont="1" applyFill="1" applyBorder="1" applyAlignment="1" applyProtection="1">
      <alignment horizontal="center" vertical="center" wrapText="1"/>
      <protection locked="0"/>
    </xf>
    <xf numFmtId="167" fontId="30" fillId="43" borderId="5" xfId="0" applyNumberFormat="1" applyFont="1" applyFill="1" applyBorder="1" applyAlignment="1" applyProtection="1">
      <alignment horizontal="center" vertical="center" wrapText="1"/>
      <protection locked="0"/>
    </xf>
    <xf numFmtId="166" fontId="30" fillId="43" borderId="3" xfId="28" applyNumberFormat="1" applyFont="1" applyFill="1" applyBorder="1" applyAlignment="1" applyProtection="1">
      <alignment horizontal="center" vertical="center" wrapText="1"/>
      <protection locked="0"/>
    </xf>
    <xf numFmtId="166" fontId="30" fillId="43" borderId="5" xfId="28" applyNumberFormat="1" applyFont="1" applyFill="1" applyBorder="1" applyAlignment="1" applyProtection="1">
      <alignment horizontal="center" vertical="center" wrapText="1"/>
      <protection locked="0"/>
    </xf>
    <xf numFmtId="0" fontId="30" fillId="43" borderId="3" xfId="0" applyFont="1" applyFill="1" applyBorder="1" applyAlignment="1">
      <alignment horizontal="center" vertical="center" wrapText="1"/>
    </xf>
    <xf numFmtId="0" fontId="30" fillId="43" borderId="5" xfId="0" applyFont="1" applyFill="1" applyBorder="1" applyAlignment="1">
      <alignment horizontal="center" vertical="center" wrapText="1"/>
    </xf>
    <xf numFmtId="0" fontId="30" fillId="43" borderId="23" xfId="0" applyFont="1" applyFill="1" applyBorder="1" applyAlignment="1">
      <alignment horizontal="center" vertical="center" wrapText="1"/>
    </xf>
    <xf numFmtId="0" fontId="30" fillId="43" borderId="28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 applyProtection="1">
      <alignment horizontal="center" vertical="center"/>
      <protection locked="0"/>
    </xf>
    <xf numFmtId="0" fontId="29" fillId="4" borderId="26" xfId="0" applyFont="1" applyFill="1" applyBorder="1" applyAlignment="1" applyProtection="1">
      <alignment horizontal="center" vertical="center"/>
      <protection locked="0"/>
    </xf>
    <xf numFmtId="0" fontId="29" fillId="4" borderId="4" xfId="0" applyFont="1" applyFill="1" applyBorder="1" applyAlignment="1" applyProtection="1">
      <alignment horizontal="center" vertical="center"/>
      <protection locked="0"/>
    </xf>
    <xf numFmtId="0" fontId="29" fillId="4" borderId="6" xfId="0" applyFont="1" applyFill="1" applyBorder="1" applyAlignment="1" applyProtection="1">
      <alignment horizontal="center" vertical="center"/>
      <protection locked="0"/>
    </xf>
    <xf numFmtId="0" fontId="29" fillId="4" borderId="25" xfId="0" applyFont="1" applyFill="1" applyBorder="1" applyAlignment="1" applyProtection="1">
      <alignment horizontal="center" vertical="center"/>
      <protection locked="0"/>
    </xf>
    <xf numFmtId="0" fontId="29" fillId="4" borderId="27" xfId="0" applyFont="1" applyFill="1" applyBorder="1" applyAlignment="1" applyProtection="1">
      <alignment horizontal="center" vertical="center"/>
      <protection locked="0"/>
    </xf>
    <xf numFmtId="0" fontId="30" fillId="43" borderId="24" xfId="0" applyFont="1" applyFill="1" applyBorder="1" applyAlignment="1" applyProtection="1">
      <alignment horizontal="center" vertical="center"/>
      <protection locked="0"/>
    </xf>
    <xf numFmtId="0" fontId="30" fillId="43" borderId="26" xfId="0" applyFont="1" applyFill="1" applyBorder="1" applyAlignment="1" applyProtection="1">
      <alignment horizontal="center" vertical="center"/>
      <protection locked="0"/>
    </xf>
    <xf numFmtId="0" fontId="30" fillId="43" borderId="4" xfId="0" applyFont="1" applyFill="1" applyBorder="1" applyAlignment="1" applyProtection="1">
      <alignment horizontal="center" vertical="center"/>
      <protection locked="0"/>
    </xf>
    <xf numFmtId="0" fontId="30" fillId="43" borderId="6" xfId="0" applyFont="1" applyFill="1" applyBorder="1" applyAlignment="1" applyProtection="1">
      <alignment horizontal="center" vertical="center"/>
      <protection locked="0"/>
    </xf>
    <xf numFmtId="0" fontId="30" fillId="43" borderId="3" xfId="0" applyFont="1" applyFill="1" applyBorder="1" applyAlignment="1" applyProtection="1">
      <alignment horizontal="center" vertical="center"/>
      <protection locked="0"/>
    </xf>
    <xf numFmtId="0" fontId="30" fillId="43" borderId="5" xfId="0" applyFont="1" applyFill="1" applyBorder="1" applyAlignment="1" applyProtection="1">
      <alignment horizontal="center" vertical="center"/>
      <protection locked="0"/>
    </xf>
    <xf numFmtId="0" fontId="30" fillId="43" borderId="25" xfId="0" applyFont="1" applyFill="1" applyBorder="1" applyAlignment="1" applyProtection="1">
      <alignment horizontal="center" vertical="center"/>
      <protection locked="0"/>
    </xf>
    <xf numFmtId="0" fontId="30" fillId="43" borderId="27" xfId="0" applyFont="1" applyFill="1" applyBorder="1" applyAlignment="1" applyProtection="1">
      <alignment horizontal="center" vertical="center"/>
      <protection locked="0"/>
    </xf>
    <xf numFmtId="0" fontId="30" fillId="43" borderId="10" xfId="0" applyFont="1" applyFill="1" applyBorder="1" applyAlignment="1" applyProtection="1">
      <alignment horizontal="center" vertical="center"/>
      <protection locked="0"/>
    </xf>
    <xf numFmtId="0" fontId="30" fillId="43" borderId="9" xfId="0" applyFont="1" applyFill="1" applyBorder="1" applyAlignment="1" applyProtection="1">
      <alignment horizontal="center" vertical="center"/>
      <protection locked="0"/>
    </xf>
    <xf numFmtId="0" fontId="30" fillId="43" borderId="23" xfId="0" applyFont="1" applyFill="1" applyBorder="1" applyAlignment="1" applyProtection="1">
      <alignment horizontal="center" vertical="center"/>
      <protection locked="0"/>
    </xf>
    <xf numFmtId="0" fontId="30" fillId="43" borderId="28" xfId="0" applyFont="1" applyFill="1" applyBorder="1" applyAlignment="1" applyProtection="1">
      <alignment horizontal="center" vertical="center"/>
      <protection locked="0"/>
    </xf>
    <xf numFmtId="0" fontId="30" fillId="43" borderId="29" xfId="0" applyFont="1" applyFill="1" applyBorder="1" applyAlignment="1" applyProtection="1">
      <alignment horizontal="center" vertical="center"/>
      <protection locked="0"/>
    </xf>
    <xf numFmtId="0" fontId="30" fillId="43" borderId="30" xfId="0" applyFont="1" applyFill="1" applyBorder="1" applyAlignment="1" applyProtection="1">
      <alignment horizontal="center" vertical="center"/>
      <protection locked="0"/>
    </xf>
    <xf numFmtId="0" fontId="30" fillId="43" borderId="25" xfId="0" applyFont="1" applyFill="1" applyBorder="1" applyAlignment="1" applyProtection="1">
      <alignment horizontal="center" vertical="center" wrapText="1"/>
      <protection locked="0"/>
    </xf>
    <xf numFmtId="0" fontId="30" fillId="43" borderId="27" xfId="0" applyFont="1" applyFill="1" applyBorder="1" applyAlignment="1" applyProtection="1">
      <alignment horizontal="center" vertical="center" wrapText="1"/>
      <protection locked="0"/>
    </xf>
    <xf numFmtId="0" fontId="30" fillId="43" borderId="21" xfId="0" applyFont="1" applyFill="1" applyBorder="1" applyAlignment="1" applyProtection="1">
      <alignment horizontal="center" vertical="center"/>
      <protection locked="0"/>
    </xf>
    <xf numFmtId="0" fontId="30" fillId="43" borderId="22" xfId="0" quotePrefix="1" applyFont="1" applyFill="1" applyBorder="1" applyAlignment="1" applyProtection="1">
      <alignment horizontal="center" vertical="center"/>
      <protection locked="0"/>
    </xf>
    <xf numFmtId="0" fontId="30" fillId="43" borderId="24" xfId="0" applyFont="1" applyFill="1" applyBorder="1" applyAlignment="1" applyProtection="1">
      <alignment horizontal="center" vertical="center" wrapText="1"/>
      <protection locked="0"/>
    </xf>
    <xf numFmtId="0" fontId="30" fillId="43" borderId="26" xfId="0" applyFont="1" applyFill="1" applyBorder="1" applyAlignment="1" applyProtection="1">
      <alignment horizontal="center" vertical="center" wrapText="1"/>
      <protection locked="0"/>
    </xf>
    <xf numFmtId="0" fontId="30" fillId="43" borderId="4" xfId="0" applyFont="1" applyFill="1" applyBorder="1" applyAlignment="1" applyProtection="1">
      <alignment horizontal="center" vertical="center" wrapText="1"/>
      <protection locked="0"/>
    </xf>
    <xf numFmtId="0" fontId="30" fillId="43" borderId="6" xfId="0" applyFont="1" applyFill="1" applyBorder="1" applyAlignment="1" applyProtection="1">
      <alignment horizontal="center" vertical="center" wrapText="1"/>
      <protection locked="0"/>
    </xf>
    <xf numFmtId="0" fontId="30" fillId="43" borderId="11" xfId="0" applyFont="1" applyFill="1" applyBorder="1" applyAlignment="1" applyProtection="1">
      <alignment horizontal="center" vertical="center"/>
      <protection locked="0"/>
    </xf>
    <xf numFmtId="0" fontId="29" fillId="4" borderId="13" xfId="0" applyFont="1" applyFill="1" applyBorder="1" applyAlignment="1" applyProtection="1">
      <alignment horizontal="center" vertical="center"/>
      <protection locked="0"/>
    </xf>
    <xf numFmtId="0" fontId="29" fillId="4" borderId="14" xfId="0" applyFont="1" applyFill="1" applyBorder="1" applyAlignment="1" applyProtection="1">
      <alignment horizontal="center" vertical="center"/>
      <protection locked="0"/>
    </xf>
    <xf numFmtId="0" fontId="29" fillId="4" borderId="15" xfId="0" applyFont="1" applyFill="1" applyBorder="1" applyAlignment="1" applyProtection="1">
      <alignment horizontal="center" vertical="center"/>
      <protection locked="0"/>
    </xf>
    <xf numFmtId="0" fontId="30" fillId="43" borderId="13" xfId="0" applyFont="1" applyFill="1" applyBorder="1" applyAlignment="1" applyProtection="1">
      <alignment horizontal="center" vertical="center"/>
      <protection locked="0"/>
    </xf>
    <xf numFmtId="0" fontId="30" fillId="43" borderId="14" xfId="0" applyFont="1" applyFill="1" applyBorder="1" applyAlignment="1" applyProtection="1">
      <alignment horizontal="center" vertical="center"/>
      <protection locked="0"/>
    </xf>
    <xf numFmtId="0" fontId="30" fillId="43" borderId="15" xfId="0" applyFont="1" applyFill="1" applyBorder="1" applyAlignment="1" applyProtection="1">
      <alignment horizontal="center" vertical="center"/>
      <protection locked="0"/>
    </xf>
    <xf numFmtId="46" fontId="30" fillId="43" borderId="3" xfId="0" applyNumberFormat="1" applyFont="1" applyFill="1" applyBorder="1" applyAlignment="1" applyProtection="1">
      <alignment horizontal="center" vertical="center" wrapText="1"/>
      <protection locked="0"/>
    </xf>
    <xf numFmtId="46" fontId="30" fillId="43" borderId="5" xfId="0" applyNumberFormat="1" applyFont="1" applyFill="1" applyBorder="1" applyAlignment="1" applyProtection="1">
      <alignment horizontal="center" vertical="center" wrapText="1"/>
      <protection locked="0"/>
    </xf>
    <xf numFmtId="165" fontId="30" fillId="43" borderId="3" xfId="0" applyNumberFormat="1" applyFont="1" applyFill="1" applyBorder="1" applyAlignment="1" applyProtection="1">
      <alignment horizontal="center" vertical="center" wrapText="1"/>
      <protection locked="0"/>
    </xf>
    <xf numFmtId="165" fontId="30" fillId="43" borderId="5" xfId="0" applyNumberFormat="1" applyFont="1" applyFill="1" applyBorder="1" applyAlignment="1" applyProtection="1">
      <alignment horizontal="center" vertical="center" wrapText="1"/>
      <protection locked="0"/>
    </xf>
    <xf numFmtId="0" fontId="20" fillId="43" borderId="13" xfId="0" applyFont="1" applyFill="1" applyBorder="1" applyAlignment="1" applyProtection="1">
      <alignment horizontal="center" vertical="center"/>
      <protection locked="0"/>
    </xf>
    <xf numFmtId="0" fontId="20" fillId="43" borderId="14" xfId="0" applyFont="1" applyFill="1" applyBorder="1" applyAlignment="1" applyProtection="1">
      <alignment horizontal="center" vertical="center"/>
      <protection locked="0"/>
    </xf>
    <xf numFmtId="0" fontId="20" fillId="43" borderId="15" xfId="0" applyFont="1" applyFill="1" applyBorder="1" applyAlignment="1" applyProtection="1">
      <alignment horizontal="center" vertical="center"/>
      <protection locked="0"/>
    </xf>
    <xf numFmtId="0" fontId="20" fillId="43" borderId="3" xfId="0" applyFont="1" applyFill="1" applyBorder="1" applyAlignment="1" applyProtection="1">
      <alignment horizontal="center" vertical="center" wrapText="1"/>
      <protection locked="0"/>
    </xf>
    <xf numFmtId="0" fontId="20" fillId="43" borderId="5" xfId="0" applyFont="1" applyFill="1" applyBorder="1" applyAlignment="1" applyProtection="1">
      <alignment horizontal="center" vertical="center" wrapText="1"/>
      <protection locked="0"/>
    </xf>
    <xf numFmtId="0" fontId="20" fillId="43" borderId="19" xfId="0" applyFont="1" applyFill="1" applyBorder="1" applyAlignment="1">
      <alignment horizontal="center" vertical="center" wrapText="1"/>
    </xf>
    <xf numFmtId="0" fontId="20" fillId="43" borderId="20" xfId="0" applyFont="1" applyFill="1" applyBorder="1" applyAlignment="1">
      <alignment horizontal="center" vertical="center" wrapText="1"/>
    </xf>
    <xf numFmtId="0" fontId="20" fillId="43" borderId="19" xfId="0" applyFont="1" applyFill="1" applyBorder="1" applyAlignment="1" applyProtection="1">
      <alignment horizontal="center" vertical="center" wrapText="1"/>
      <protection locked="0"/>
    </xf>
    <xf numFmtId="0" fontId="20" fillId="43" borderId="20" xfId="0" applyFont="1" applyFill="1" applyBorder="1" applyAlignment="1" applyProtection="1">
      <alignment horizontal="center" vertical="center" wrapText="1"/>
      <protection locked="0"/>
    </xf>
    <xf numFmtId="0" fontId="20" fillId="43" borderId="21" xfId="0" applyFont="1" applyFill="1" applyBorder="1" applyAlignment="1" applyProtection="1">
      <alignment horizontal="center" vertical="center" wrapText="1"/>
      <protection locked="0"/>
    </xf>
    <xf numFmtId="0" fontId="20" fillId="43" borderId="22" xfId="0" applyFont="1" applyFill="1" applyBorder="1" applyAlignment="1" applyProtection="1">
      <alignment horizontal="center" vertical="center" wrapText="1"/>
      <protection locked="0"/>
    </xf>
    <xf numFmtId="0" fontId="20" fillId="43" borderId="3" xfId="202" applyFont="1" applyFill="1" applyBorder="1" applyAlignment="1" applyProtection="1">
      <alignment horizontal="center" vertical="center" wrapText="1"/>
      <protection locked="0"/>
    </xf>
    <xf numFmtId="0" fontId="20" fillId="43" borderId="5" xfId="202" applyFont="1" applyFill="1" applyBorder="1" applyAlignment="1" applyProtection="1">
      <alignment horizontal="center" vertical="center" wrapText="1"/>
      <protection locked="0"/>
    </xf>
    <xf numFmtId="0" fontId="22" fillId="11" borderId="29" xfId="0" applyFont="1" applyFill="1" applyBorder="1" applyAlignment="1">
      <alignment horizontal="center" vertical="center"/>
    </xf>
    <xf numFmtId="0" fontId="22" fillId="11" borderId="40" xfId="0" applyFont="1" applyFill="1" applyBorder="1" applyAlignment="1">
      <alignment horizontal="center" vertical="center"/>
    </xf>
    <xf numFmtId="0" fontId="22" fillId="4" borderId="13" xfId="0" applyFont="1" applyFill="1" applyBorder="1" applyAlignment="1" applyProtection="1">
      <alignment horizontal="center" vertical="center"/>
      <protection locked="0"/>
    </xf>
    <xf numFmtId="0" fontId="22" fillId="4" borderId="14" xfId="0" applyFont="1" applyFill="1" applyBorder="1" applyAlignment="1" applyProtection="1">
      <alignment horizontal="center" vertical="center"/>
      <protection locked="0"/>
    </xf>
    <xf numFmtId="0" fontId="22" fillId="4" borderId="15" xfId="0" applyFont="1" applyFill="1" applyBorder="1" applyAlignment="1" applyProtection="1">
      <alignment horizontal="center" vertical="center"/>
      <protection locked="0"/>
    </xf>
    <xf numFmtId="0" fontId="20" fillId="43" borderId="3" xfId="0" applyNumberFormat="1" applyFont="1" applyFill="1" applyBorder="1" applyAlignment="1" applyProtection="1">
      <alignment horizontal="center" vertical="center" wrapText="1"/>
      <protection locked="0"/>
    </xf>
    <xf numFmtId="0" fontId="20" fillId="43" borderId="5" xfId="0" applyNumberFormat="1" applyFont="1" applyFill="1" applyBorder="1" applyAlignment="1" applyProtection="1">
      <alignment horizontal="center" vertical="center" wrapText="1"/>
      <protection locked="0"/>
    </xf>
    <xf numFmtId="46" fontId="20" fillId="43" borderId="3" xfId="0" applyNumberFormat="1" applyFont="1" applyFill="1" applyBorder="1" applyAlignment="1" applyProtection="1">
      <alignment horizontal="center" vertical="center" wrapText="1"/>
      <protection locked="0"/>
    </xf>
    <xf numFmtId="46" fontId="20" fillId="43" borderId="5" xfId="0" applyNumberFormat="1" applyFont="1" applyFill="1" applyBorder="1" applyAlignment="1" applyProtection="1">
      <alignment horizontal="center" vertical="center" wrapText="1"/>
      <protection locked="0"/>
    </xf>
    <xf numFmtId="166" fontId="20" fillId="43" borderId="3" xfId="28" applyNumberFormat="1" applyFont="1" applyFill="1" applyBorder="1" applyAlignment="1" applyProtection="1">
      <alignment horizontal="center" vertical="center" wrapText="1"/>
      <protection locked="0"/>
    </xf>
    <xf numFmtId="166" fontId="20" fillId="43" borderId="5" xfId="28" applyNumberFormat="1" applyFont="1" applyFill="1" applyBorder="1" applyAlignment="1" applyProtection="1">
      <alignment horizontal="center" vertical="center" wrapText="1"/>
      <protection locked="0"/>
    </xf>
    <xf numFmtId="0" fontId="20" fillId="43" borderId="3" xfId="0" applyFont="1" applyFill="1" applyBorder="1" applyAlignment="1">
      <alignment horizontal="center" vertical="center" wrapText="1"/>
    </xf>
    <xf numFmtId="0" fontId="20" fillId="43" borderId="5" xfId="0" applyFont="1" applyFill="1" applyBorder="1" applyAlignment="1">
      <alignment horizontal="center" vertical="center" wrapText="1"/>
    </xf>
    <xf numFmtId="0" fontId="20" fillId="43" borderId="23" xfId="0" applyFont="1" applyFill="1" applyBorder="1" applyAlignment="1">
      <alignment horizontal="center" vertical="center" wrapText="1"/>
    </xf>
    <xf numFmtId="0" fontId="20" fillId="43" borderId="28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 applyProtection="1">
      <alignment horizontal="center" vertical="center"/>
      <protection locked="0"/>
    </xf>
    <xf numFmtId="0" fontId="22" fillId="4" borderId="26" xfId="0" applyFont="1" applyFill="1" applyBorder="1" applyAlignment="1" applyProtection="1">
      <alignment horizontal="center" vertical="center"/>
      <protection locked="0"/>
    </xf>
    <xf numFmtId="165" fontId="20" fillId="43" borderId="3" xfId="0" applyNumberFormat="1" applyFont="1" applyFill="1" applyBorder="1" applyAlignment="1" applyProtection="1">
      <alignment horizontal="center" vertical="center" wrapText="1"/>
      <protection locked="0"/>
    </xf>
    <xf numFmtId="165" fontId="20" fillId="43" borderId="5" xfId="0" applyNumberFormat="1" applyFont="1" applyFill="1" applyBorder="1" applyAlignment="1" applyProtection="1">
      <alignment horizontal="center" vertical="center" wrapText="1"/>
      <protection locked="0"/>
    </xf>
    <xf numFmtId="0" fontId="20" fillId="43" borderId="29" xfId="0" applyFont="1" applyFill="1" applyBorder="1" applyAlignment="1" applyProtection="1">
      <alignment horizontal="center" vertical="center"/>
      <protection locked="0"/>
    </xf>
    <xf numFmtId="0" fontId="20" fillId="43" borderId="30" xfId="0" applyFont="1" applyFill="1" applyBorder="1" applyAlignment="1" applyProtection="1">
      <alignment horizontal="center" vertical="center"/>
      <protection locked="0"/>
    </xf>
    <xf numFmtId="0" fontId="20" fillId="43" borderId="4" xfId="0" applyFont="1" applyFill="1" applyBorder="1" applyAlignment="1" applyProtection="1">
      <alignment horizontal="center" vertical="center" wrapText="1"/>
      <protection locked="0"/>
    </xf>
    <xf numFmtId="0" fontId="20" fillId="43" borderId="6" xfId="0" applyFont="1" applyFill="1" applyBorder="1" applyAlignment="1" applyProtection="1">
      <alignment horizontal="center" vertical="center" wrapText="1"/>
      <protection locked="0"/>
    </xf>
    <xf numFmtId="0" fontId="20" fillId="43" borderId="24" xfId="0" applyFont="1" applyFill="1" applyBorder="1" applyAlignment="1" applyProtection="1">
      <alignment horizontal="center" vertical="center"/>
      <protection locked="0"/>
    </xf>
    <xf numFmtId="0" fontId="20" fillId="43" borderId="26" xfId="0" applyFont="1" applyFill="1" applyBorder="1" applyAlignment="1" applyProtection="1">
      <alignment horizontal="center" vertical="center"/>
      <protection locked="0"/>
    </xf>
    <xf numFmtId="0" fontId="20" fillId="43" borderId="4" xfId="0" applyFont="1" applyFill="1" applyBorder="1" applyAlignment="1" applyProtection="1">
      <alignment horizontal="center" vertical="center"/>
      <protection locked="0"/>
    </xf>
    <xf numFmtId="0" fontId="20" fillId="43" borderId="6" xfId="0" applyFont="1" applyFill="1" applyBorder="1" applyAlignment="1" applyProtection="1">
      <alignment horizontal="center" vertical="center"/>
      <protection locked="0"/>
    </xf>
    <xf numFmtId="0" fontId="20" fillId="43" borderId="3" xfId="0" applyFont="1" applyFill="1" applyBorder="1" applyAlignment="1" applyProtection="1">
      <alignment horizontal="center" vertical="center"/>
      <protection locked="0"/>
    </xf>
    <xf numFmtId="0" fontId="20" fillId="43" borderId="5" xfId="0" applyFont="1" applyFill="1" applyBorder="1" applyAlignment="1" applyProtection="1">
      <alignment horizontal="center" vertical="center"/>
      <protection locked="0"/>
    </xf>
    <xf numFmtId="0" fontId="20" fillId="43" borderId="25" xfId="0" applyFont="1" applyFill="1" applyBorder="1" applyAlignment="1" applyProtection="1">
      <alignment horizontal="center" vertical="center"/>
      <protection locked="0"/>
    </xf>
    <xf numFmtId="0" fontId="20" fillId="43" borderId="27" xfId="0" applyFont="1" applyFill="1" applyBorder="1" applyAlignment="1" applyProtection="1">
      <alignment horizontal="center" vertical="center"/>
      <protection locked="0"/>
    </xf>
    <xf numFmtId="0" fontId="20" fillId="43" borderId="24" xfId="0" applyFont="1" applyFill="1" applyBorder="1" applyAlignment="1" applyProtection="1">
      <alignment horizontal="center" vertical="center" wrapText="1"/>
      <protection locked="0"/>
    </xf>
    <xf numFmtId="0" fontId="20" fillId="43" borderId="26" xfId="0" applyFont="1" applyFill="1" applyBorder="1" applyAlignment="1" applyProtection="1">
      <alignment horizontal="center" vertical="center" wrapText="1"/>
      <protection locked="0"/>
    </xf>
    <xf numFmtId="0" fontId="20" fillId="43" borderId="10" xfId="0" applyFont="1" applyFill="1" applyBorder="1" applyAlignment="1" applyProtection="1">
      <alignment horizontal="center" vertical="center"/>
      <protection locked="0"/>
    </xf>
    <xf numFmtId="0" fontId="20" fillId="43" borderId="9" xfId="0" applyFont="1" applyFill="1" applyBorder="1" applyAlignment="1" applyProtection="1">
      <alignment horizontal="center" vertical="center"/>
      <protection locked="0"/>
    </xf>
    <xf numFmtId="0" fontId="20" fillId="43" borderId="23" xfId="0" applyFont="1" applyFill="1" applyBorder="1" applyAlignment="1" applyProtection="1">
      <alignment horizontal="center" vertical="center"/>
      <protection locked="0"/>
    </xf>
    <xf numFmtId="0" fontId="20" fillId="43" borderId="28" xfId="0" applyFont="1" applyFill="1" applyBorder="1" applyAlignment="1" applyProtection="1">
      <alignment horizontal="center" vertical="center"/>
      <protection locked="0"/>
    </xf>
    <xf numFmtId="0" fontId="20" fillId="43" borderId="25" xfId="0" applyFont="1" applyFill="1" applyBorder="1" applyAlignment="1" applyProtection="1">
      <alignment horizontal="center" vertical="center" wrapText="1"/>
      <protection locked="0"/>
    </xf>
    <xf numFmtId="0" fontId="20" fillId="43" borderId="27" xfId="0" applyFont="1" applyFill="1" applyBorder="1" applyAlignment="1" applyProtection="1">
      <alignment horizontal="center" vertical="center" wrapText="1"/>
      <protection locked="0"/>
    </xf>
    <xf numFmtId="0" fontId="20" fillId="43" borderId="21" xfId="0" applyFont="1" applyFill="1" applyBorder="1" applyAlignment="1" applyProtection="1">
      <alignment horizontal="center" vertical="center"/>
      <protection locked="0"/>
    </xf>
    <xf numFmtId="0" fontId="20" fillId="43" borderId="22" xfId="0" quotePrefix="1" applyFont="1" applyFill="1" applyBorder="1" applyAlignment="1" applyProtection="1">
      <alignment horizontal="center" vertical="center"/>
      <protection locked="0"/>
    </xf>
    <xf numFmtId="0" fontId="20" fillId="43" borderId="11" xfId="0" applyFont="1" applyFill="1" applyBorder="1" applyAlignment="1" applyProtection="1">
      <alignment horizontal="center" vertical="center"/>
      <protection locked="0"/>
    </xf>
    <xf numFmtId="0" fontId="22" fillId="4" borderId="4" xfId="0" applyFont="1" applyFill="1" applyBorder="1" applyAlignment="1" applyProtection="1">
      <alignment horizontal="center" vertical="center"/>
      <protection locked="0"/>
    </xf>
    <xf numFmtId="0" fontId="22" fillId="4" borderId="6" xfId="0" applyFont="1" applyFill="1" applyBorder="1" applyAlignment="1" applyProtection="1">
      <alignment horizontal="center" vertical="center"/>
      <protection locked="0"/>
    </xf>
    <xf numFmtId="0" fontId="22" fillId="4" borderId="25" xfId="0" applyFont="1" applyFill="1" applyBorder="1" applyAlignment="1" applyProtection="1">
      <alignment horizontal="center" vertical="center"/>
      <protection locked="0"/>
    </xf>
    <xf numFmtId="0" fontId="22" fillId="4" borderId="27" xfId="0" applyFont="1" applyFill="1" applyBorder="1" applyAlignment="1" applyProtection="1">
      <alignment horizontal="center" vertical="center"/>
      <protection locked="0"/>
    </xf>
    <xf numFmtId="3" fontId="20" fillId="43" borderId="3" xfId="28" applyNumberFormat="1" applyFont="1" applyFill="1" applyBorder="1" applyAlignment="1" applyProtection="1">
      <alignment horizontal="center" vertical="center" wrapText="1"/>
      <protection locked="0"/>
    </xf>
    <xf numFmtId="3" fontId="20" fillId="43" borderId="5" xfId="28" applyNumberFormat="1" applyFont="1" applyFill="1" applyBorder="1" applyAlignment="1" applyProtection="1">
      <alignment horizontal="center" vertical="center" wrapText="1"/>
      <protection locked="0"/>
    </xf>
    <xf numFmtId="10" fontId="20" fillId="43" borderId="24" xfId="0" applyNumberFormat="1" applyFont="1" applyFill="1" applyBorder="1" applyAlignment="1" applyProtection="1">
      <alignment horizontal="center" vertical="center"/>
      <protection locked="0"/>
    </xf>
    <xf numFmtId="10" fontId="20" fillId="43" borderId="26" xfId="0" applyNumberFormat="1" applyFont="1" applyFill="1" applyBorder="1" applyAlignment="1" applyProtection="1">
      <alignment horizontal="center" vertical="center"/>
      <protection locked="0"/>
    </xf>
    <xf numFmtId="10" fontId="20" fillId="43" borderId="4" xfId="0" applyNumberFormat="1" applyFont="1" applyFill="1" applyBorder="1" applyAlignment="1" applyProtection="1">
      <alignment horizontal="center" vertical="center"/>
      <protection locked="0"/>
    </xf>
    <xf numFmtId="10" fontId="20" fillId="43" borderId="6" xfId="0" applyNumberFormat="1" applyFont="1" applyFill="1" applyBorder="1" applyAlignment="1" applyProtection="1">
      <alignment horizontal="center" vertical="center"/>
      <protection locked="0"/>
    </xf>
    <xf numFmtId="10" fontId="20" fillId="43" borderId="3" xfId="0" applyNumberFormat="1" applyFont="1" applyFill="1" applyBorder="1" applyAlignment="1" applyProtection="1">
      <alignment horizontal="center" vertical="center"/>
      <protection locked="0"/>
    </xf>
    <xf numFmtId="10" fontId="20" fillId="43" borderId="5" xfId="0" applyNumberFormat="1" applyFont="1" applyFill="1" applyBorder="1" applyAlignment="1" applyProtection="1">
      <alignment horizontal="center" vertical="center"/>
      <protection locked="0"/>
    </xf>
    <xf numFmtId="10" fontId="20" fillId="43" borderId="25" xfId="0" applyNumberFormat="1" applyFont="1" applyFill="1" applyBorder="1" applyAlignment="1" applyProtection="1">
      <alignment horizontal="center" vertical="center"/>
      <protection locked="0"/>
    </xf>
    <xf numFmtId="10" fontId="20" fillId="43" borderId="27" xfId="0" applyNumberFormat="1" applyFont="1" applyFill="1" applyBorder="1" applyAlignment="1" applyProtection="1">
      <alignment horizontal="center" vertical="center"/>
      <protection locked="0"/>
    </xf>
    <xf numFmtId="10" fontId="20" fillId="43" borderId="10" xfId="0" applyNumberFormat="1" applyFont="1" applyFill="1" applyBorder="1" applyAlignment="1" applyProtection="1">
      <alignment horizontal="center" vertical="center"/>
      <protection locked="0"/>
    </xf>
    <xf numFmtId="10" fontId="20" fillId="43" borderId="9" xfId="0" applyNumberFormat="1" applyFont="1" applyFill="1" applyBorder="1" applyAlignment="1" applyProtection="1">
      <alignment horizontal="center" vertical="center"/>
      <protection locked="0"/>
    </xf>
    <xf numFmtId="10" fontId="20" fillId="43" borderId="11" xfId="0" applyNumberFormat="1" applyFont="1" applyFill="1" applyBorder="1" applyAlignment="1" applyProtection="1">
      <alignment horizontal="center" vertical="center"/>
      <protection locked="0"/>
    </xf>
    <xf numFmtId="10" fontId="20" fillId="43" borderId="13" xfId="0" applyNumberFormat="1" applyFont="1" applyFill="1" applyBorder="1" applyAlignment="1" applyProtection="1">
      <alignment horizontal="center" vertical="center"/>
      <protection locked="0"/>
    </xf>
    <xf numFmtId="10" fontId="20" fillId="43" borderId="14" xfId="0" applyNumberFormat="1" applyFont="1" applyFill="1" applyBorder="1" applyAlignment="1" applyProtection="1">
      <alignment horizontal="center" vertical="center"/>
      <protection locked="0"/>
    </xf>
    <xf numFmtId="10" fontId="20" fillId="43" borderId="15" xfId="0" applyNumberFormat="1" applyFont="1" applyFill="1" applyBorder="1" applyAlignment="1" applyProtection="1">
      <alignment horizontal="center" vertical="center"/>
      <protection locked="0"/>
    </xf>
    <xf numFmtId="0" fontId="35" fillId="43" borderId="3" xfId="0" applyFont="1" applyFill="1" applyBorder="1" applyAlignment="1" applyProtection="1">
      <alignment horizontal="center" vertical="center" wrapText="1"/>
      <protection locked="0"/>
    </xf>
    <xf numFmtId="0" fontId="35" fillId="43" borderId="5" xfId="0" applyFont="1" applyFill="1" applyBorder="1" applyAlignment="1" applyProtection="1">
      <alignment horizontal="center" vertical="center" wrapText="1"/>
      <protection locked="0"/>
    </xf>
    <xf numFmtId="0" fontId="35" fillId="43" borderId="29" xfId="0" applyFont="1" applyFill="1" applyBorder="1" applyAlignment="1" applyProtection="1">
      <alignment horizontal="center" vertical="center"/>
      <protection locked="0"/>
    </xf>
    <xf numFmtId="0" fontId="35" fillId="43" borderId="40" xfId="0" applyFont="1" applyFill="1" applyBorder="1" applyAlignment="1" applyProtection="1">
      <alignment horizontal="center" vertical="center"/>
      <protection locked="0"/>
    </xf>
    <xf numFmtId="0" fontId="35" fillId="43" borderId="30" xfId="0" applyFont="1" applyFill="1" applyBorder="1" applyAlignment="1" applyProtection="1">
      <alignment horizontal="center" vertical="center"/>
      <protection locked="0"/>
    </xf>
    <xf numFmtId="0" fontId="35" fillId="43" borderId="19" xfId="0" applyFont="1" applyFill="1" applyBorder="1" applyAlignment="1">
      <alignment horizontal="center" vertical="center" wrapText="1"/>
    </xf>
    <xf numFmtId="0" fontId="35" fillId="43" borderId="20" xfId="0" applyFont="1" applyFill="1" applyBorder="1" applyAlignment="1">
      <alignment horizontal="center" vertical="center" wrapText="1"/>
    </xf>
    <xf numFmtId="0" fontId="35" fillId="43" borderId="19" xfId="0" applyFont="1" applyFill="1" applyBorder="1" applyAlignment="1" applyProtection="1">
      <alignment horizontal="center" vertical="center" wrapText="1"/>
      <protection locked="0"/>
    </xf>
    <xf numFmtId="0" fontId="35" fillId="43" borderId="20" xfId="0" applyFont="1" applyFill="1" applyBorder="1" applyAlignment="1" applyProtection="1">
      <alignment horizontal="center" vertical="center" wrapText="1"/>
      <protection locked="0"/>
    </xf>
    <xf numFmtId="0" fontId="35" fillId="43" borderId="21" xfId="0" applyFont="1" applyFill="1" applyBorder="1" applyAlignment="1" applyProtection="1">
      <alignment horizontal="center" vertical="center" wrapText="1"/>
      <protection locked="0"/>
    </xf>
    <xf numFmtId="0" fontId="35" fillId="43" borderId="22" xfId="0" applyFont="1" applyFill="1" applyBorder="1" applyAlignment="1" applyProtection="1">
      <alignment horizontal="center" vertical="center" wrapText="1"/>
      <protection locked="0"/>
    </xf>
    <xf numFmtId="0" fontId="35" fillId="43" borderId="3" xfId="202" applyFont="1" applyFill="1" applyBorder="1" applyAlignment="1" applyProtection="1">
      <alignment horizontal="center" vertical="center" wrapText="1"/>
      <protection locked="0"/>
    </xf>
    <xf numFmtId="0" fontId="35" fillId="43" borderId="5" xfId="202" applyFont="1" applyFill="1" applyBorder="1" applyAlignment="1" applyProtection="1">
      <alignment horizontal="center" vertical="center" wrapText="1"/>
      <protection locked="0"/>
    </xf>
    <xf numFmtId="0" fontId="36" fillId="11" borderId="29" xfId="0" applyFont="1" applyFill="1" applyBorder="1" applyAlignment="1">
      <alignment horizontal="center" vertical="center"/>
    </xf>
    <xf numFmtId="0" fontId="36" fillId="11" borderId="40" xfId="0" applyFont="1" applyFill="1" applyBorder="1" applyAlignment="1">
      <alignment horizontal="center" vertical="center"/>
    </xf>
    <xf numFmtId="0" fontId="36" fillId="4" borderId="29" xfId="0" applyFont="1" applyFill="1" applyBorder="1" applyAlignment="1" applyProtection="1">
      <alignment horizontal="center" vertical="center"/>
      <protection locked="0"/>
    </xf>
    <xf numFmtId="0" fontId="36" fillId="4" borderId="40" xfId="0" applyFont="1" applyFill="1" applyBorder="1" applyAlignment="1" applyProtection="1">
      <alignment horizontal="center" vertical="center"/>
      <protection locked="0"/>
    </xf>
    <xf numFmtId="0" fontId="36" fillId="4" borderId="30" xfId="0" applyFont="1" applyFill="1" applyBorder="1" applyAlignment="1" applyProtection="1">
      <alignment horizontal="center" vertical="center"/>
      <protection locked="0"/>
    </xf>
    <xf numFmtId="3" fontId="35" fillId="43" borderId="3" xfId="28" applyNumberFormat="1" applyFont="1" applyFill="1" applyBorder="1" applyAlignment="1" applyProtection="1">
      <alignment horizontal="center" vertical="center" wrapText="1"/>
      <protection locked="0"/>
    </xf>
    <xf numFmtId="3" fontId="35" fillId="43" borderId="5" xfId="28" applyNumberFormat="1" applyFont="1" applyFill="1" applyBorder="1" applyAlignment="1" applyProtection="1">
      <alignment horizontal="center" vertical="center" wrapText="1"/>
      <protection locked="0"/>
    </xf>
    <xf numFmtId="167" fontId="35" fillId="43" borderId="3" xfId="0" applyNumberFormat="1" applyFont="1" applyFill="1" applyBorder="1" applyAlignment="1" applyProtection="1">
      <alignment horizontal="center" vertical="center" wrapText="1"/>
      <protection locked="0"/>
    </xf>
    <xf numFmtId="167" fontId="35" fillId="43" borderId="5" xfId="0" applyNumberFormat="1" applyFont="1" applyFill="1" applyBorder="1" applyAlignment="1" applyProtection="1">
      <alignment horizontal="center" vertical="center" wrapText="1"/>
      <protection locked="0"/>
    </xf>
    <xf numFmtId="0" fontId="35" fillId="43" borderId="3" xfId="0" applyNumberFormat="1" applyFont="1" applyFill="1" applyBorder="1" applyAlignment="1" applyProtection="1">
      <alignment horizontal="center" vertical="center" wrapText="1"/>
      <protection locked="0"/>
    </xf>
    <xf numFmtId="0" fontId="35" fillId="43" borderId="5" xfId="0" applyNumberFormat="1" applyFont="1" applyFill="1" applyBorder="1" applyAlignment="1" applyProtection="1">
      <alignment horizontal="center" vertical="center" wrapText="1"/>
      <protection locked="0"/>
    </xf>
    <xf numFmtId="0" fontId="35" fillId="43" borderId="3" xfId="0" applyFont="1" applyFill="1" applyBorder="1" applyAlignment="1" applyProtection="1">
      <alignment horizontal="center" vertical="center"/>
      <protection locked="0"/>
    </xf>
    <xf numFmtId="0" fontId="35" fillId="43" borderId="5" xfId="0" applyFont="1" applyFill="1" applyBorder="1" applyAlignment="1" applyProtection="1">
      <alignment horizontal="center" vertical="center"/>
      <protection locked="0"/>
    </xf>
    <xf numFmtId="166" fontId="35" fillId="43" borderId="3" xfId="28" applyNumberFormat="1" applyFont="1" applyFill="1" applyBorder="1" applyAlignment="1" applyProtection="1">
      <alignment horizontal="center" vertical="center" wrapText="1"/>
      <protection locked="0"/>
    </xf>
    <xf numFmtId="166" fontId="35" fillId="43" borderId="5" xfId="28" applyNumberFormat="1" applyFont="1" applyFill="1" applyBorder="1" applyAlignment="1" applyProtection="1">
      <alignment horizontal="center" vertical="center" wrapText="1"/>
      <protection locked="0"/>
    </xf>
    <xf numFmtId="0" fontId="35" fillId="43" borderId="3" xfId="0" applyFont="1" applyFill="1" applyBorder="1" applyAlignment="1">
      <alignment horizontal="center" vertical="center" wrapText="1"/>
    </xf>
    <xf numFmtId="0" fontId="35" fillId="43" borderId="5" xfId="0" applyFont="1" applyFill="1" applyBorder="1" applyAlignment="1">
      <alignment horizontal="center" vertical="center" wrapText="1"/>
    </xf>
    <xf numFmtId="165" fontId="35" fillId="43" borderId="23" xfId="0" applyNumberFormat="1" applyFont="1" applyFill="1" applyBorder="1" applyAlignment="1">
      <alignment horizontal="center" vertical="center" wrapText="1"/>
    </xf>
    <xf numFmtId="165" fontId="35" fillId="43" borderId="28" xfId="0" applyNumberFormat="1" applyFont="1" applyFill="1" applyBorder="1" applyAlignment="1">
      <alignment horizontal="center" vertical="center" wrapText="1"/>
    </xf>
    <xf numFmtId="0" fontId="36" fillId="4" borderId="21" xfId="0" applyFont="1" applyFill="1" applyBorder="1" applyAlignment="1" applyProtection="1">
      <alignment horizontal="center" vertical="center"/>
      <protection locked="0"/>
    </xf>
    <xf numFmtId="0" fontId="36" fillId="4" borderId="22" xfId="0" applyFont="1" applyFill="1" applyBorder="1" applyAlignment="1" applyProtection="1">
      <alignment horizontal="center" vertical="center"/>
      <protection locked="0"/>
    </xf>
    <xf numFmtId="0" fontId="36" fillId="4" borderId="3" xfId="0" applyFont="1" applyFill="1" applyBorder="1" applyAlignment="1" applyProtection="1">
      <alignment horizontal="center" vertical="center"/>
      <protection locked="0"/>
    </xf>
    <xf numFmtId="0" fontId="36" fillId="4" borderId="5" xfId="0" applyFont="1" applyFill="1" applyBorder="1" applyAlignment="1" applyProtection="1">
      <alignment horizontal="center" vertical="center"/>
      <protection locked="0"/>
    </xf>
    <xf numFmtId="0" fontId="36" fillId="4" borderId="23" xfId="0" applyFont="1" applyFill="1" applyBorder="1" applyAlignment="1" applyProtection="1">
      <alignment horizontal="center" vertical="center"/>
      <protection locked="0"/>
    </xf>
    <xf numFmtId="0" fontId="36" fillId="4" borderId="28" xfId="0" applyFont="1" applyFill="1" applyBorder="1" applyAlignment="1" applyProtection="1">
      <alignment horizontal="center" vertical="center"/>
      <protection locked="0"/>
    </xf>
    <xf numFmtId="0" fontId="35" fillId="43" borderId="21" xfId="0" applyFont="1" applyFill="1" applyBorder="1" applyAlignment="1" applyProtection="1">
      <alignment horizontal="center" vertical="center"/>
      <protection locked="0"/>
    </xf>
    <xf numFmtId="0" fontId="35" fillId="43" borderId="22" xfId="0" applyFont="1" applyFill="1" applyBorder="1" applyAlignment="1" applyProtection="1">
      <alignment horizontal="center" vertical="center"/>
      <protection locked="0"/>
    </xf>
    <xf numFmtId="0" fontId="35" fillId="43" borderId="23" xfId="0" applyFont="1" applyFill="1" applyBorder="1" applyAlignment="1" applyProtection="1">
      <alignment horizontal="center" vertical="center"/>
      <protection locked="0"/>
    </xf>
    <xf numFmtId="0" fontId="35" fillId="43" borderId="28" xfId="0" applyFont="1" applyFill="1" applyBorder="1" applyAlignment="1" applyProtection="1">
      <alignment horizontal="center" vertical="center"/>
      <protection locked="0"/>
    </xf>
    <xf numFmtId="0" fontId="35" fillId="43" borderId="23" xfId="0" applyFont="1" applyFill="1" applyBorder="1" applyAlignment="1" applyProtection="1">
      <alignment horizontal="center" vertical="center" wrapText="1"/>
      <protection locked="0"/>
    </xf>
    <xf numFmtId="0" fontId="35" fillId="43" borderId="28" xfId="0" applyFont="1" applyFill="1" applyBorder="1" applyAlignment="1" applyProtection="1">
      <alignment horizontal="center" vertical="center" wrapText="1"/>
      <protection locked="0"/>
    </xf>
  </cellXfs>
  <cellStyles count="222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Comma 3" xfId="29"/>
    <cellStyle name="Comma 4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}al" xfId="40"/>
    <cellStyle name="Nor}al 2" xfId="41"/>
    <cellStyle name="Nor}al 3" xfId="42"/>
    <cellStyle name="Nor}al 4" xfId="43"/>
    <cellStyle name="Normal" xfId="0" builtinId="0"/>
    <cellStyle name="Normal 10" xfId="44"/>
    <cellStyle name="Normal 10 2" xfId="45"/>
    <cellStyle name="Normal 11" xfId="46"/>
    <cellStyle name="Normal 11 2" xfId="47"/>
    <cellStyle name="Normal 12" xfId="48"/>
    <cellStyle name="Normal 12 2" xfId="49"/>
    <cellStyle name="Normal 13" xfId="50"/>
    <cellStyle name="Normal 13 2" xfId="51"/>
    <cellStyle name="Normal 14" xfId="52"/>
    <cellStyle name="Normal 14 2" xfId="53"/>
    <cellStyle name="Normal 15" xfId="54"/>
    <cellStyle name="Normal 15 2" xfId="55"/>
    <cellStyle name="Normal 16" xfId="56"/>
    <cellStyle name="Normal 16 2" xfId="57"/>
    <cellStyle name="Normal 17" xfId="58"/>
    <cellStyle name="Normal 17 2" xfId="59"/>
    <cellStyle name="Normal 18" xfId="60"/>
    <cellStyle name="Normal 18 2" xfId="61"/>
    <cellStyle name="Normal 19" xfId="62"/>
    <cellStyle name="Normal 19 2" xfId="63"/>
    <cellStyle name="Normal 2" xfId="64"/>
    <cellStyle name="Normal 2 2" xfId="65"/>
    <cellStyle name="Normal 20" xfId="66"/>
    <cellStyle name="Normal 20 2" xfId="67"/>
    <cellStyle name="Normal 21" xfId="68"/>
    <cellStyle name="Normal 21 2" xfId="69"/>
    <cellStyle name="Normal 22" xfId="70"/>
    <cellStyle name="Normal 22 2" xfId="71"/>
    <cellStyle name="Normal 23" xfId="72"/>
    <cellStyle name="Normal 23 2" xfId="73"/>
    <cellStyle name="Normal 24" xfId="74"/>
    <cellStyle name="Normal 24 2" xfId="75"/>
    <cellStyle name="Normal 25" xfId="76"/>
    <cellStyle name="Normal 25 2" xfId="77"/>
    <cellStyle name="Normal 26" xfId="78"/>
    <cellStyle name="Normal 26 2" xfId="79"/>
    <cellStyle name="Normal 27" xfId="80"/>
    <cellStyle name="Normal 27 2" xfId="81"/>
    <cellStyle name="Normal 28" xfId="82"/>
    <cellStyle name="Normal 28 2" xfId="83"/>
    <cellStyle name="Normal 29" xfId="84"/>
    <cellStyle name="Normal 29 2" xfId="85"/>
    <cellStyle name="Normal 3" xfId="86"/>
    <cellStyle name="Normal 3 2" xfId="87"/>
    <cellStyle name="Normal 30" xfId="88"/>
    <cellStyle name="Normal 30 2" xfId="89"/>
    <cellStyle name="Normal 31" xfId="90"/>
    <cellStyle name="Normal 31 2" xfId="91"/>
    <cellStyle name="Normal 32" xfId="92"/>
    <cellStyle name="Normal 32 2" xfId="93"/>
    <cellStyle name="Normal 33" xfId="94"/>
    <cellStyle name="Normal 33 2" xfId="95"/>
    <cellStyle name="Normal 34" xfId="96"/>
    <cellStyle name="Normal 34 2" xfId="97"/>
    <cellStyle name="Normal 35" xfId="98"/>
    <cellStyle name="Normal 35 2" xfId="99"/>
    <cellStyle name="Normal 36" xfId="100"/>
    <cellStyle name="Normal 36 2" xfId="101"/>
    <cellStyle name="Normal 37" xfId="102"/>
    <cellStyle name="Normal 37 2" xfId="103"/>
    <cellStyle name="Normal 38" xfId="104"/>
    <cellStyle name="Normal 38 2" xfId="105"/>
    <cellStyle name="Normal 39" xfId="106"/>
    <cellStyle name="Normal 39 2" xfId="107"/>
    <cellStyle name="Normal 4" xfId="108"/>
    <cellStyle name="Normal 4 2" xfId="109"/>
    <cellStyle name="Normal 40" xfId="110"/>
    <cellStyle name="Normal 40 2" xfId="111"/>
    <cellStyle name="Normal 41" xfId="112"/>
    <cellStyle name="Normal 41 2" xfId="113"/>
    <cellStyle name="Normal 42" xfId="114"/>
    <cellStyle name="Normal 43" xfId="115"/>
    <cellStyle name="Normal 43 2" xfId="116"/>
    <cellStyle name="Normal 44" xfId="117"/>
    <cellStyle name="Normal 44 2" xfId="118"/>
    <cellStyle name="Normal 45" xfId="119"/>
    <cellStyle name="Normal 45 2" xfId="120"/>
    <cellStyle name="Normal 46" xfId="121"/>
    <cellStyle name="Normal 46 2" xfId="122"/>
    <cellStyle name="Normal 47" xfId="123"/>
    <cellStyle name="Normal 47 2" xfId="124"/>
    <cellStyle name="Normal 48" xfId="125"/>
    <cellStyle name="Normal 48 2" xfId="126"/>
    <cellStyle name="Normal 49" xfId="127"/>
    <cellStyle name="Normal 49 2" xfId="128"/>
    <cellStyle name="Normal 5" xfId="129"/>
    <cellStyle name="Normal 5 2" xfId="130"/>
    <cellStyle name="Normal 50" xfId="131"/>
    <cellStyle name="Normal 50 2" xfId="132"/>
    <cellStyle name="Normal 51" xfId="133"/>
    <cellStyle name="Normal 51 2" xfId="134"/>
    <cellStyle name="Normal 52" xfId="135"/>
    <cellStyle name="Normal 52 2" xfId="136"/>
    <cellStyle name="Normal 53" xfId="137"/>
    <cellStyle name="Normal 53 2" xfId="138"/>
    <cellStyle name="Normal 54" xfId="139"/>
    <cellStyle name="Normal 54 2" xfId="140"/>
    <cellStyle name="Normal 55" xfId="141"/>
    <cellStyle name="Normal 55 2" xfId="142"/>
    <cellStyle name="Normal 56" xfId="143"/>
    <cellStyle name="Normal 56 2" xfId="144"/>
    <cellStyle name="Normal 57" xfId="145"/>
    <cellStyle name="Normal 57 2" xfId="146"/>
    <cellStyle name="Normal 58" xfId="147"/>
    <cellStyle name="Normal 58 2" xfId="148"/>
    <cellStyle name="Normal 59" xfId="149"/>
    <cellStyle name="Normal 59 2" xfId="150"/>
    <cellStyle name="Normal 6" xfId="151"/>
    <cellStyle name="Normal 6 2" xfId="152"/>
    <cellStyle name="Normal 60" xfId="153"/>
    <cellStyle name="Normal 60 2" xfId="154"/>
    <cellStyle name="Normal 61" xfId="155"/>
    <cellStyle name="Normal 61 2" xfId="156"/>
    <cellStyle name="Normal 62" xfId="157"/>
    <cellStyle name="Normal 62 2" xfId="158"/>
    <cellStyle name="Normal 63" xfId="159"/>
    <cellStyle name="Normal 63 2" xfId="160"/>
    <cellStyle name="Normal 64" xfId="161"/>
    <cellStyle name="Normal 64 2" xfId="162"/>
    <cellStyle name="Normal 65" xfId="163"/>
    <cellStyle name="Normal 65 2" xfId="164"/>
    <cellStyle name="Normal 66" xfId="165"/>
    <cellStyle name="Normal 66 2" xfId="166"/>
    <cellStyle name="Normal 67" xfId="167"/>
    <cellStyle name="Normal 67 2" xfId="168"/>
    <cellStyle name="Normal 68" xfId="169"/>
    <cellStyle name="Normal 68 2" xfId="170"/>
    <cellStyle name="Normal 69" xfId="171"/>
    <cellStyle name="Normal 69 2" xfId="172"/>
    <cellStyle name="Normal 7" xfId="173"/>
    <cellStyle name="Normal 7 2" xfId="174"/>
    <cellStyle name="Normal 70" xfId="175"/>
    <cellStyle name="Normal 71" xfId="176"/>
    <cellStyle name="Normal 71 2" xfId="177"/>
    <cellStyle name="Normal 71 3" xfId="178"/>
    <cellStyle name="Normal 72" xfId="179"/>
    <cellStyle name="Normal 72 2" xfId="180"/>
    <cellStyle name="Normal 72 3" xfId="181"/>
    <cellStyle name="Normal 73" xfId="182"/>
    <cellStyle name="Normal 73 2" xfId="183"/>
    <cellStyle name="Normal 74" xfId="184"/>
    <cellStyle name="Normal 74 2" xfId="185"/>
    <cellStyle name="Normal 75" xfId="186"/>
    <cellStyle name="Normal 76" xfId="187"/>
    <cellStyle name="Normal 77" xfId="188"/>
    <cellStyle name="Normal 78" xfId="189"/>
    <cellStyle name="Normal 79" xfId="190"/>
    <cellStyle name="Normal 8" xfId="191"/>
    <cellStyle name="Normal 8 2" xfId="192"/>
    <cellStyle name="Normal 80" xfId="193"/>
    <cellStyle name="Normal 81" xfId="194"/>
    <cellStyle name="Normal 82" xfId="195"/>
    <cellStyle name="Normal 83" xfId="196"/>
    <cellStyle name="Normal 84" xfId="197"/>
    <cellStyle name="Normal 85" xfId="198"/>
    <cellStyle name="Normal 86" xfId="199"/>
    <cellStyle name="Normal 87" xfId="220"/>
    <cellStyle name="Normal 9" xfId="200"/>
    <cellStyle name="Normal 9 2" xfId="201"/>
    <cellStyle name="Normal_WST_SC_H" xfId="202"/>
    <cellStyle name="Note 2" xfId="203"/>
    <cellStyle name="Note 3" xfId="204"/>
    <cellStyle name="Output 2" xfId="205"/>
    <cellStyle name="Percent 2" xfId="206"/>
    <cellStyle name="Percent 2 2" xfId="207"/>
    <cellStyle name="Percent 3" xfId="208"/>
    <cellStyle name="Percent 3 2" xfId="209"/>
    <cellStyle name="Percent 4" xfId="210"/>
    <cellStyle name="Percent 4 2" xfId="211"/>
    <cellStyle name="Percent 5" xfId="212"/>
    <cellStyle name="Percent 5 2" xfId="213"/>
    <cellStyle name="Percent 6" xfId="214"/>
    <cellStyle name="Percent 6 2" xfId="215"/>
    <cellStyle name="Percent 7" xfId="216"/>
    <cellStyle name="Percent 8" xfId="221"/>
    <cellStyle name="Title 2" xfId="217"/>
    <cellStyle name="Total 2" xfId="218"/>
    <cellStyle name="Warning Text 2" xfId="2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CY37"/>
  <sheetViews>
    <sheetView showGridLines="0" zoomScaleNormal="100" workbookViewId="0">
      <selection activeCell="C4" sqref="C4:AW8"/>
    </sheetView>
  </sheetViews>
  <sheetFormatPr defaultColWidth="0" defaultRowHeight="11.25" x14ac:dyDescent="0.2"/>
  <cols>
    <col min="1" max="1" width="9.7109375" style="148" bestFit="1" customWidth="1"/>
    <col min="2" max="2" width="4.5703125" style="148" customWidth="1"/>
    <col min="3" max="3" width="15.42578125" style="148" bestFit="1" customWidth="1"/>
    <col min="4" max="4" width="18.7109375" style="148" bestFit="1" customWidth="1"/>
    <col min="5" max="5" width="19.85546875" style="148" bestFit="1" customWidth="1"/>
    <col min="6" max="6" width="15.85546875" style="148" bestFit="1" customWidth="1"/>
    <col min="7" max="7" width="6.7109375" style="148" bestFit="1" customWidth="1"/>
    <col min="8" max="8" width="18.42578125" style="148" bestFit="1" customWidth="1"/>
    <col min="9" max="9" width="8.85546875" style="148" bestFit="1" customWidth="1"/>
    <col min="10" max="10" width="9.42578125" style="148" customWidth="1"/>
    <col min="11" max="11" width="10.85546875" style="148" bestFit="1" customWidth="1"/>
    <col min="12" max="12" width="7.140625" style="148" bestFit="1" customWidth="1"/>
    <col min="13" max="13" width="5.85546875" style="148" bestFit="1" customWidth="1"/>
    <col min="14" max="14" width="5.5703125" style="148" bestFit="1" customWidth="1"/>
    <col min="15" max="15" width="4.7109375" style="148" bestFit="1" customWidth="1"/>
    <col min="16" max="16" width="4.5703125" style="148" bestFit="1" customWidth="1"/>
    <col min="17" max="17" width="5.42578125" style="148" bestFit="1" customWidth="1"/>
    <col min="18" max="18" width="4" style="148" bestFit="1" customWidth="1"/>
    <col min="19" max="19" width="5.5703125" style="148" bestFit="1" customWidth="1"/>
    <col min="20" max="20" width="3.5703125" style="148" bestFit="1" customWidth="1"/>
    <col min="21" max="21" width="5.85546875" style="148" bestFit="1" customWidth="1"/>
    <col min="22" max="23" width="3.28515625" style="148" bestFit="1" customWidth="1"/>
    <col min="24" max="24" width="5" style="148" bestFit="1" customWidth="1"/>
    <col min="25" max="25" width="3.85546875" style="148" bestFit="1" customWidth="1"/>
    <col min="26" max="26" width="3.42578125" style="148" bestFit="1" customWidth="1"/>
    <col min="27" max="27" width="5.5703125" style="148" bestFit="1" customWidth="1"/>
    <col min="28" max="28" width="5.7109375" style="148" customWidth="1"/>
    <col min="29" max="29" width="4" style="148" bestFit="1" customWidth="1"/>
    <col min="30" max="30" width="3.28515625" style="148" bestFit="1" customWidth="1"/>
    <col min="31" max="31" width="5.42578125" style="148" bestFit="1" customWidth="1"/>
    <col min="32" max="34" width="4.42578125" style="148" bestFit="1" customWidth="1"/>
    <col min="35" max="35" width="13.140625" style="148" bestFit="1" customWidth="1"/>
    <col min="36" max="36" width="15.5703125" style="148" bestFit="1" customWidth="1"/>
    <col min="37" max="37" width="16.140625" style="185" bestFit="1" customWidth="1"/>
    <col min="38" max="38" width="15.28515625" style="185" bestFit="1" customWidth="1"/>
    <col min="39" max="39" width="15.7109375" style="185" bestFit="1" customWidth="1"/>
    <col min="40" max="40" width="16.140625" style="185" bestFit="1" customWidth="1"/>
    <col min="41" max="41" width="9.85546875" style="185" bestFit="1" customWidth="1"/>
    <col min="42" max="42" width="13.7109375" style="185" bestFit="1" customWidth="1"/>
    <col min="43" max="43" width="11" style="185" bestFit="1" customWidth="1"/>
    <col min="44" max="44" width="10.140625" style="185" bestFit="1" customWidth="1"/>
    <col min="45" max="45" width="12.42578125" style="150" bestFit="1" customWidth="1"/>
    <col min="46" max="47" width="12.140625" style="148" bestFit="1" customWidth="1"/>
    <col min="48" max="48" width="16.140625" style="148" bestFit="1" customWidth="1"/>
    <col min="49" max="50" width="16" style="148" bestFit="1" customWidth="1"/>
    <col min="51" max="51" width="1.7109375" style="148" customWidth="1"/>
    <col min="52" max="52" width="16.28515625" style="148" bestFit="1" customWidth="1"/>
    <col min="53" max="53" width="11.85546875" style="148" bestFit="1" customWidth="1"/>
    <col min="54" max="54" width="12.7109375" style="148" bestFit="1" customWidth="1"/>
    <col min="55" max="55" width="1.5703125" style="148" customWidth="1"/>
    <col min="56" max="56" width="12.5703125" style="148" bestFit="1" customWidth="1"/>
    <col min="57" max="57" width="13.28515625" style="148" bestFit="1" customWidth="1"/>
    <col min="58" max="58" width="20.28515625" style="148" bestFit="1" customWidth="1"/>
    <col min="59" max="59" width="9.42578125" style="148" bestFit="1" customWidth="1"/>
    <col min="60" max="60" width="14.7109375" style="148" bestFit="1" customWidth="1"/>
    <col min="61" max="61" width="10.5703125" style="148" bestFit="1" customWidth="1"/>
    <col min="62" max="62" width="1.7109375" style="148" customWidth="1"/>
    <col min="63" max="63" width="20.140625" style="148" bestFit="1" customWidth="1"/>
    <col min="64" max="64" width="25.28515625" style="148" bestFit="1" customWidth="1"/>
    <col min="65" max="65" width="14" style="148" bestFit="1" customWidth="1"/>
    <col min="66" max="66" width="18" style="148" bestFit="1" customWidth="1"/>
    <col min="67" max="67" width="1.7109375" style="148" customWidth="1"/>
    <col min="68" max="68" width="9.140625" style="148" bestFit="1" customWidth="1"/>
    <col min="69" max="69" width="12.85546875" style="148" bestFit="1" customWidth="1"/>
    <col min="70" max="70" width="14" style="148" bestFit="1" customWidth="1"/>
    <col min="71" max="71" width="13.7109375" style="148" bestFit="1" customWidth="1"/>
    <col min="72" max="72" width="7.85546875" style="148" bestFit="1" customWidth="1"/>
    <col min="73" max="73" width="1.85546875" style="148" customWidth="1"/>
    <col min="74" max="74" width="18.42578125" style="148" bestFit="1" customWidth="1"/>
    <col min="75" max="75" width="14.42578125" style="148" bestFit="1" customWidth="1"/>
    <col min="76" max="76" width="18.42578125" style="148" bestFit="1" customWidth="1"/>
    <col min="77" max="77" width="18.85546875" style="148" bestFit="1" customWidth="1"/>
    <col min="78" max="78" width="18" style="148" bestFit="1" customWidth="1"/>
    <col min="79" max="79" width="18.5703125" style="148" bestFit="1" customWidth="1"/>
    <col min="80" max="80" width="1.85546875" style="148" customWidth="1"/>
    <col min="81" max="82" width="6.5703125" style="148" bestFit="1" customWidth="1"/>
    <col min="83" max="83" width="5.85546875" style="148" bestFit="1" customWidth="1"/>
    <col min="84" max="84" width="6.5703125" style="148" bestFit="1" customWidth="1"/>
    <col min="85" max="85" width="8.42578125" style="148" bestFit="1" customWidth="1"/>
    <col min="86" max="103" width="0" style="148" hidden="1" customWidth="1"/>
    <col min="104" max="16384" width="10.7109375" style="148" hidden="1"/>
  </cols>
  <sheetData>
    <row r="1" spans="1:86" s="115" customFormat="1" ht="12.75" customHeight="1" thickBot="1" x14ac:dyDescent="0.25">
      <c r="A1" s="197" t="s">
        <v>0</v>
      </c>
      <c r="B1" s="198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4"/>
      <c r="AL1" s="184"/>
      <c r="AM1" s="184"/>
      <c r="AN1" s="184"/>
      <c r="AO1" s="184"/>
      <c r="AP1" s="184"/>
      <c r="AQ1" s="184"/>
      <c r="AR1" s="184"/>
      <c r="AS1" s="183"/>
      <c r="AT1" s="183"/>
      <c r="AU1" s="183"/>
      <c r="AV1" s="183"/>
      <c r="AW1" s="183"/>
      <c r="AX1" s="113"/>
      <c r="AY1" s="114"/>
      <c r="AZ1" s="246" t="s">
        <v>1</v>
      </c>
      <c r="BA1" s="247"/>
      <c r="BB1" s="248"/>
      <c r="BC1" s="114"/>
      <c r="BD1" s="249" t="s">
        <v>2</v>
      </c>
      <c r="BE1" s="250"/>
      <c r="BF1" s="250"/>
      <c r="BG1" s="250"/>
      <c r="BH1" s="250"/>
      <c r="BI1" s="251"/>
      <c r="BJ1" s="114"/>
      <c r="BK1" s="249" t="s">
        <v>3</v>
      </c>
      <c r="BL1" s="250"/>
      <c r="BM1" s="250"/>
      <c r="BN1" s="251"/>
      <c r="BO1" s="114"/>
      <c r="BP1" s="249" t="s">
        <v>4</v>
      </c>
      <c r="BQ1" s="250"/>
      <c r="BR1" s="250"/>
      <c r="BS1" s="250"/>
      <c r="BT1" s="251"/>
      <c r="BU1" s="114"/>
      <c r="BV1" s="249" t="s">
        <v>5</v>
      </c>
      <c r="BW1" s="250"/>
      <c r="BX1" s="250"/>
      <c r="BY1" s="250"/>
      <c r="BZ1" s="250"/>
      <c r="CA1" s="251"/>
      <c r="CB1" s="114"/>
      <c r="CC1" s="249" t="s">
        <v>6</v>
      </c>
      <c r="CD1" s="250"/>
      <c r="CE1" s="250"/>
      <c r="CF1" s="250"/>
      <c r="CG1" s="251"/>
      <c r="CH1" s="114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09" t="s">
        <v>29</v>
      </c>
      <c r="AM2" s="209" t="s">
        <v>30</v>
      </c>
      <c r="AN2" s="209" t="s">
        <v>31</v>
      </c>
      <c r="AO2" s="209" t="s">
        <v>32</v>
      </c>
      <c r="AP2" s="209" t="s">
        <v>33</v>
      </c>
      <c r="AQ2" s="209" t="s">
        <v>34</v>
      </c>
      <c r="AR2" s="209" t="s">
        <v>35</v>
      </c>
      <c r="AS2" s="209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14"/>
      <c r="AZ2" s="217" t="s">
        <v>40</v>
      </c>
      <c r="BA2" s="219" t="s">
        <v>41</v>
      </c>
      <c r="BB2" s="221" t="s">
        <v>42</v>
      </c>
      <c r="BC2" s="114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14"/>
      <c r="BK2" s="231" t="s">
        <v>49</v>
      </c>
      <c r="BL2" s="232" t="s">
        <v>50</v>
      </c>
      <c r="BM2" s="232" t="s">
        <v>51</v>
      </c>
      <c r="BN2" s="245" t="s">
        <v>52</v>
      </c>
      <c r="BO2" s="114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14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14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14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10"/>
      <c r="AM3" s="210"/>
      <c r="AN3" s="210"/>
      <c r="AO3" s="210"/>
      <c r="AP3" s="210"/>
      <c r="AQ3" s="210"/>
      <c r="AR3" s="210"/>
      <c r="AS3" s="210"/>
      <c r="AT3" s="208"/>
      <c r="AU3" s="212"/>
      <c r="AV3" s="212"/>
      <c r="AW3" s="214"/>
      <c r="AX3" s="216" t="s">
        <v>38</v>
      </c>
      <c r="AY3" s="114"/>
      <c r="AZ3" s="218"/>
      <c r="BA3" s="220"/>
      <c r="BB3" s="222"/>
      <c r="BC3" s="114"/>
      <c r="BD3" s="224"/>
      <c r="BE3" s="226"/>
      <c r="BF3" s="226"/>
      <c r="BG3" s="226"/>
      <c r="BH3" s="226"/>
      <c r="BI3" s="230"/>
      <c r="BJ3" s="114"/>
      <c r="BK3" s="224"/>
      <c r="BL3" s="226"/>
      <c r="BM3" s="226"/>
      <c r="BN3" s="230"/>
      <c r="BO3" s="114"/>
      <c r="BP3" s="224"/>
      <c r="BQ3" s="226"/>
      <c r="BR3" s="228"/>
      <c r="BS3" s="226"/>
      <c r="BT3" s="230"/>
      <c r="BU3" s="114"/>
      <c r="BV3" s="242"/>
      <c r="BW3" s="244"/>
      <c r="BX3" s="244"/>
      <c r="BY3" s="194"/>
      <c r="BZ3" s="244"/>
      <c r="CA3" s="238"/>
      <c r="CB3" s="114"/>
      <c r="CC3" s="240"/>
      <c r="CD3" s="228"/>
      <c r="CE3" s="228"/>
      <c r="CF3" s="228"/>
      <c r="CG3" s="234"/>
      <c r="CH3" s="114"/>
    </row>
    <row r="4" spans="1:86" s="115" customFormat="1" ht="12.4" customHeight="1" thickBot="1" x14ac:dyDescent="0.25">
      <c r="A4" s="96">
        <v>46296</v>
      </c>
      <c r="B4" s="97" t="str">
        <f>+TEXT(A4,"DDD")</f>
        <v>Thu</v>
      </c>
      <c r="C4" s="98"/>
      <c r="D4" s="98"/>
      <c r="E4" s="103"/>
      <c r="F4" s="98"/>
      <c r="G4" s="98"/>
      <c r="H4" s="104"/>
      <c r="I4" s="104"/>
      <c r="J4" s="105"/>
      <c r="K4" s="106"/>
      <c r="L4" s="98"/>
      <c r="M4" s="98"/>
      <c r="N4" s="98"/>
      <c r="O4" s="98"/>
      <c r="P4" s="103"/>
      <c r="Q4" s="98"/>
      <c r="R4" s="98"/>
      <c r="S4" s="98"/>
      <c r="T4" s="98"/>
      <c r="U4" s="98"/>
      <c r="V4" s="103"/>
      <c r="W4" s="103"/>
      <c r="X4" s="98"/>
      <c r="Y4" s="98"/>
      <c r="Z4" s="98"/>
      <c r="AA4" s="98"/>
      <c r="AB4" s="98"/>
      <c r="AC4" s="98"/>
      <c r="AD4" s="98"/>
      <c r="AE4" s="98"/>
      <c r="AF4" s="103"/>
      <c r="AG4" s="103"/>
      <c r="AH4" s="98"/>
      <c r="AI4" s="107"/>
      <c r="AJ4" s="108"/>
      <c r="AK4" s="10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60"/>
      <c r="AX4" s="102" t="str">
        <f t="shared" ref="AX4:AX25" si="0">IFERROR(AN4/AW4,"-")</f>
        <v>-</v>
      </c>
      <c r="AY4" s="114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76" t="str">
        <f t="shared" ref="BB4:BB36" si="3">+IF(E4&gt;0,AJ4/E4,"")</f>
        <v/>
      </c>
      <c r="BC4" s="114"/>
      <c r="BD4" s="118" t="str">
        <f t="shared" ref="BD4:BD13" si="4">+IF(G4&gt;0,I4/G4,"")</f>
        <v/>
      </c>
      <c r="BE4" s="177" t="str">
        <f t="shared" ref="BE4:BE16" si="5">+IF(G4&gt;0,J4/G4,"")</f>
        <v/>
      </c>
      <c r="BF4" s="119" t="str">
        <f t="shared" ref="BF4:BF13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14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14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14"/>
      <c r="BV4" s="127" t="str">
        <f t="shared" ref="BV4:BV36" si="14">IF(AN4&gt;0,(E4/AN4),"")</f>
        <v/>
      </c>
      <c r="BW4" s="127" t="str">
        <f t="shared" ref="BW4:BW36" si="15">IF(AN4&gt;0,(G4/AN4),"")</f>
        <v/>
      </c>
      <c r="BX4" s="127" t="str">
        <f t="shared" ref="BX4:BX36" si="16">IF(AN4&gt;0,(J4/AN4),"")</f>
        <v/>
      </c>
      <c r="BY4" s="127" t="str">
        <f t="shared" ref="BY4:BY36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14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14"/>
    </row>
    <row r="5" spans="1:86" s="115" customFormat="1" ht="12.4" customHeight="1" thickBot="1" x14ac:dyDescent="0.25">
      <c r="A5" s="96">
        <f>+A4+1</f>
        <v>46297</v>
      </c>
      <c r="B5" s="97" t="str">
        <f>+TEXT(A5,"DDD")</f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60"/>
      <c r="AX5" s="102" t="str">
        <f t="shared" si="0"/>
        <v>-</v>
      </c>
      <c r="AY5" s="114"/>
      <c r="AZ5" s="116" t="str">
        <f t="shared" si="1"/>
        <v/>
      </c>
      <c r="BA5" s="117" t="str">
        <f t="shared" si="2"/>
        <v/>
      </c>
      <c r="BB5" s="176" t="str">
        <f t="shared" si="3"/>
        <v/>
      </c>
      <c r="BC5" s="114"/>
      <c r="BD5" s="118" t="str">
        <f t="shared" si="4"/>
        <v/>
      </c>
      <c r="BE5" s="177" t="str">
        <f t="shared" si="5"/>
        <v/>
      </c>
      <c r="BF5" s="119" t="str">
        <f t="shared" si="6"/>
        <v/>
      </c>
      <c r="BG5" s="119" t="str">
        <f t="shared" ref="BG5:BG36" si="23">+IF(SUM(AO5:AR5)&gt;0,AO5/AN5,"")</f>
        <v/>
      </c>
      <c r="BH5" s="119" t="str">
        <f t="shared" si="7"/>
        <v/>
      </c>
      <c r="BI5" s="120" t="str">
        <f t="shared" ref="BI5:BI36" si="24">+IF(SUM(AO5:AR5)&gt;0,AQ5/AN5,"")</f>
        <v/>
      </c>
      <c r="BJ5" s="114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14"/>
      <c r="BP5" s="124" t="str">
        <f t="shared" si="12"/>
        <v/>
      </c>
      <c r="BQ5" s="125">
        <v>0</v>
      </c>
      <c r="BR5" s="125" t="str">
        <f t="shared" ref="BR5:BR36" si="25">IF(AJ5&gt;0,(AK5/AJ5),"")</f>
        <v/>
      </c>
      <c r="BS5" s="125" t="str">
        <f t="shared" ref="BS5:BS36" si="26">IF(AJ5&gt;0,(AK5/AJ5),"")</f>
        <v/>
      </c>
      <c r="BT5" s="126" t="str">
        <f t="shared" si="13"/>
        <v/>
      </c>
      <c r="BU5" s="114"/>
      <c r="BV5" s="127" t="str">
        <f t="shared" si="14"/>
        <v/>
      </c>
      <c r="BW5" s="127" t="str">
        <f t="shared" si="15"/>
        <v/>
      </c>
      <c r="BX5" s="127" t="str">
        <f t="shared" si="16"/>
        <v/>
      </c>
      <c r="BY5" s="127" t="str">
        <f t="shared" si="17"/>
        <v/>
      </c>
      <c r="BZ5" s="127" t="str">
        <f t="shared" ref="BZ5:BZ36" si="27">IF(AN5&gt;0,(AJ5/AN5),"")</f>
        <v/>
      </c>
      <c r="CA5" s="128" t="str">
        <f t="shared" ref="CA5:CA36" si="28">IF(AN5&gt;0,(AK5/AN5),"")</f>
        <v/>
      </c>
      <c r="CB5" s="114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14"/>
    </row>
    <row r="6" spans="1:86" s="115" customFormat="1" ht="12.4" customHeight="1" thickBot="1" x14ac:dyDescent="0.25">
      <c r="A6" s="96">
        <f t="shared" ref="A6:A34" si="29">+A5+1</f>
        <v>46298</v>
      </c>
      <c r="B6" s="97" t="str">
        <f t="shared" ref="B6:B34" si="30">+TEXT(A6,"DDD")</f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60"/>
      <c r="AX6" s="102" t="str">
        <f t="shared" si="0"/>
        <v>-</v>
      </c>
      <c r="AY6" s="114"/>
      <c r="AZ6" s="116" t="str">
        <f t="shared" si="1"/>
        <v/>
      </c>
      <c r="BA6" s="117" t="str">
        <f t="shared" si="2"/>
        <v/>
      </c>
      <c r="BB6" s="176" t="str">
        <f t="shared" si="3"/>
        <v/>
      </c>
      <c r="BC6" s="114"/>
      <c r="BD6" s="118" t="str">
        <f t="shared" si="4"/>
        <v/>
      </c>
      <c r="BE6" s="177" t="str">
        <f t="shared" si="5"/>
        <v/>
      </c>
      <c r="BF6" s="119" t="str">
        <f t="shared" si="6"/>
        <v/>
      </c>
      <c r="BG6" s="119" t="str">
        <f t="shared" si="23"/>
        <v/>
      </c>
      <c r="BH6" s="119" t="str">
        <f t="shared" si="7"/>
        <v/>
      </c>
      <c r="BI6" s="120" t="str">
        <f t="shared" si="24"/>
        <v/>
      </c>
      <c r="BJ6" s="114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14"/>
      <c r="BP6" s="124" t="str">
        <f t="shared" si="12"/>
        <v/>
      </c>
      <c r="BQ6" s="125">
        <v>0</v>
      </c>
      <c r="BR6" s="125" t="str">
        <f t="shared" si="25"/>
        <v/>
      </c>
      <c r="BS6" s="125" t="str">
        <f t="shared" si="26"/>
        <v/>
      </c>
      <c r="BT6" s="126" t="str">
        <f t="shared" si="13"/>
        <v/>
      </c>
      <c r="BU6" s="114"/>
      <c r="BV6" s="127" t="str">
        <f t="shared" si="14"/>
        <v/>
      </c>
      <c r="BW6" s="127" t="str">
        <f t="shared" si="15"/>
        <v/>
      </c>
      <c r="BX6" s="127" t="str">
        <f t="shared" si="16"/>
        <v/>
      </c>
      <c r="BY6" s="127" t="str">
        <f t="shared" si="17"/>
        <v/>
      </c>
      <c r="BZ6" s="127" t="str">
        <f t="shared" si="27"/>
        <v/>
      </c>
      <c r="CA6" s="128" t="str">
        <f t="shared" si="28"/>
        <v/>
      </c>
      <c r="CB6" s="114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14"/>
    </row>
    <row r="7" spans="1:86" s="115" customFormat="1" ht="12.4" customHeight="1" thickBot="1" x14ac:dyDescent="0.25">
      <c r="A7" s="96">
        <f t="shared" si="29"/>
        <v>46299</v>
      </c>
      <c r="B7" s="97" t="str">
        <f t="shared" si="3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60"/>
      <c r="AX7" s="102" t="str">
        <f t="shared" si="0"/>
        <v>-</v>
      </c>
      <c r="AY7" s="114"/>
      <c r="AZ7" s="116" t="str">
        <f t="shared" si="1"/>
        <v/>
      </c>
      <c r="BA7" s="117" t="str">
        <f t="shared" si="2"/>
        <v/>
      </c>
      <c r="BB7" s="176" t="str">
        <f t="shared" si="3"/>
        <v/>
      </c>
      <c r="BC7" s="114"/>
      <c r="BD7" s="118" t="str">
        <f t="shared" si="4"/>
        <v/>
      </c>
      <c r="BE7" s="177" t="str">
        <f t="shared" si="5"/>
        <v/>
      </c>
      <c r="BF7" s="119" t="str">
        <f t="shared" si="6"/>
        <v/>
      </c>
      <c r="BG7" s="119" t="str">
        <f t="shared" si="23"/>
        <v/>
      </c>
      <c r="BH7" s="119" t="str">
        <f t="shared" si="7"/>
        <v/>
      </c>
      <c r="BI7" s="120" t="str">
        <f t="shared" si="24"/>
        <v/>
      </c>
      <c r="BJ7" s="114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14"/>
      <c r="BP7" s="124" t="str">
        <f t="shared" si="12"/>
        <v/>
      </c>
      <c r="BQ7" s="125">
        <v>0</v>
      </c>
      <c r="BR7" s="125" t="str">
        <f t="shared" si="25"/>
        <v/>
      </c>
      <c r="BS7" s="125" t="str">
        <f t="shared" si="26"/>
        <v/>
      </c>
      <c r="BT7" s="126" t="str">
        <f t="shared" si="13"/>
        <v/>
      </c>
      <c r="BU7" s="114"/>
      <c r="BV7" s="127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si="27"/>
        <v/>
      </c>
      <c r="CA7" s="128" t="str">
        <f t="shared" si="28"/>
        <v/>
      </c>
      <c r="CB7" s="114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14"/>
    </row>
    <row r="8" spans="1:86" s="115" customFormat="1" ht="12.4" customHeight="1" thickBot="1" x14ac:dyDescent="0.25">
      <c r="A8" s="96">
        <f t="shared" si="29"/>
        <v>46300</v>
      </c>
      <c r="B8" s="97" t="str">
        <f t="shared" si="30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60"/>
      <c r="AX8" s="102" t="str">
        <f t="shared" si="0"/>
        <v>-</v>
      </c>
      <c r="AY8" s="114"/>
      <c r="AZ8" s="116" t="str">
        <f t="shared" si="1"/>
        <v/>
      </c>
      <c r="BA8" s="117" t="str">
        <f t="shared" si="2"/>
        <v/>
      </c>
      <c r="BB8" s="176" t="str">
        <f t="shared" si="3"/>
        <v/>
      </c>
      <c r="BC8" s="114"/>
      <c r="BD8" s="118" t="str">
        <f t="shared" si="4"/>
        <v/>
      </c>
      <c r="BE8" s="177" t="str">
        <f t="shared" si="5"/>
        <v/>
      </c>
      <c r="BF8" s="119" t="str">
        <f t="shared" si="6"/>
        <v/>
      </c>
      <c r="BG8" s="119" t="str">
        <f>+IF(SUM(AO8:AR8)&gt;0,AO8/AN8,"")</f>
        <v/>
      </c>
      <c r="BH8" s="119" t="str">
        <f t="shared" si="7"/>
        <v/>
      </c>
      <c r="BI8" s="120" t="str">
        <f>+IF(SUM(AO8:AR8)&gt;0,AQ8/AN8,"")</f>
        <v/>
      </c>
      <c r="BJ8" s="114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14"/>
      <c r="BP8" s="124" t="str">
        <f t="shared" si="12"/>
        <v/>
      </c>
      <c r="BQ8" s="125">
        <v>0</v>
      </c>
      <c r="BR8" s="125" t="str">
        <f>IF(AJ8&gt;0,(AK8/AJ8),"")</f>
        <v/>
      </c>
      <c r="BS8" s="125" t="str">
        <f>IF(AJ8&gt;0,(AK8/AJ8),"")</f>
        <v/>
      </c>
      <c r="BT8" s="126" t="str">
        <f t="shared" si="13"/>
        <v/>
      </c>
      <c r="BU8" s="114"/>
      <c r="BV8" s="127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>IF(AN8&gt;0,(AJ8/AN8),"")</f>
        <v/>
      </c>
      <c r="CA8" s="128" t="str">
        <f>IF(AN8&gt;0,(AK8/AN8),"")</f>
        <v/>
      </c>
      <c r="CB8" s="114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14"/>
    </row>
    <row r="9" spans="1:86" s="115" customFormat="1" ht="12.4" customHeight="1" thickBot="1" x14ac:dyDescent="0.25">
      <c r="A9" s="96">
        <f t="shared" si="29"/>
        <v>46301</v>
      </c>
      <c r="B9" s="97" t="str">
        <f t="shared" si="30"/>
        <v>Tue</v>
      </c>
      <c r="C9" s="98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60"/>
      <c r="AX9" s="102" t="str">
        <f t="shared" si="0"/>
        <v>-</v>
      </c>
      <c r="AY9" s="114"/>
      <c r="AZ9" s="116" t="str">
        <f t="shared" si="1"/>
        <v/>
      </c>
      <c r="BA9" s="117" t="str">
        <f t="shared" si="2"/>
        <v/>
      </c>
      <c r="BB9" s="176" t="str">
        <f t="shared" si="3"/>
        <v/>
      </c>
      <c r="BC9" s="114"/>
      <c r="BD9" s="118" t="str">
        <f t="shared" si="4"/>
        <v/>
      </c>
      <c r="BE9" s="177" t="str">
        <f t="shared" si="5"/>
        <v/>
      </c>
      <c r="BF9" s="119" t="str">
        <f t="shared" si="6"/>
        <v/>
      </c>
      <c r="BG9" s="119" t="str">
        <f>+IF(SUM(AO9:AR9)&gt;0,AO9/AN9,"")</f>
        <v/>
      </c>
      <c r="BH9" s="119" t="str">
        <f t="shared" si="7"/>
        <v/>
      </c>
      <c r="BI9" s="120" t="str">
        <f>+IF(SUM(AO9:AR9)&gt;0,AQ9/AN9,"")</f>
        <v/>
      </c>
      <c r="BJ9" s="114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14"/>
      <c r="BP9" s="124" t="str">
        <f t="shared" si="12"/>
        <v/>
      </c>
      <c r="BQ9" s="125">
        <v>0</v>
      </c>
      <c r="BR9" s="125" t="str">
        <f>IF(AJ9&gt;0,(AK9/AJ9),"")</f>
        <v/>
      </c>
      <c r="BS9" s="125" t="str">
        <f>IF(AJ9&gt;0,(AK9/AJ9),"")</f>
        <v/>
      </c>
      <c r="BT9" s="126" t="str">
        <f t="shared" si="13"/>
        <v/>
      </c>
      <c r="BU9" s="114"/>
      <c r="BV9" s="127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>IF(AN9&gt;0,(AJ9/AN9),"")</f>
        <v/>
      </c>
      <c r="CA9" s="128" t="str">
        <f>IF(AN9&gt;0,(AK9/AN9),"")</f>
        <v/>
      </c>
      <c r="CB9" s="114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14"/>
    </row>
    <row r="10" spans="1:86" s="115" customFormat="1" ht="12.4" customHeight="1" thickBot="1" x14ac:dyDescent="0.25">
      <c r="A10" s="96">
        <f t="shared" si="29"/>
        <v>46302</v>
      </c>
      <c r="B10" s="97" t="str">
        <f t="shared" si="30"/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60"/>
      <c r="AX10" s="102" t="str">
        <f t="shared" si="0"/>
        <v>-</v>
      </c>
      <c r="AY10" s="114"/>
      <c r="AZ10" s="116" t="str">
        <f t="shared" si="1"/>
        <v/>
      </c>
      <c r="BA10" s="117" t="str">
        <f t="shared" si="2"/>
        <v/>
      </c>
      <c r="BB10" s="176" t="str">
        <f t="shared" si="3"/>
        <v/>
      </c>
      <c r="BC10" s="114"/>
      <c r="BD10" s="118" t="str">
        <f t="shared" si="4"/>
        <v/>
      </c>
      <c r="BE10" s="177" t="str">
        <f t="shared" si="5"/>
        <v/>
      </c>
      <c r="BF10" s="119" t="str">
        <f t="shared" si="6"/>
        <v/>
      </c>
      <c r="BG10" s="119" t="str">
        <f t="shared" si="23"/>
        <v/>
      </c>
      <c r="BH10" s="119" t="str">
        <f t="shared" si="7"/>
        <v/>
      </c>
      <c r="BI10" s="120" t="str">
        <f t="shared" si="24"/>
        <v/>
      </c>
      <c r="BJ10" s="114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14"/>
      <c r="BP10" s="124" t="str">
        <f t="shared" si="12"/>
        <v/>
      </c>
      <c r="BQ10" s="125">
        <v>0</v>
      </c>
      <c r="BR10" s="125" t="str">
        <f t="shared" si="25"/>
        <v/>
      </c>
      <c r="BS10" s="125" t="str">
        <f t="shared" si="26"/>
        <v/>
      </c>
      <c r="BT10" s="126" t="str">
        <f t="shared" si="13"/>
        <v/>
      </c>
      <c r="BU10" s="114"/>
      <c r="BV10" s="127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7"/>
        <v/>
      </c>
      <c r="CA10" s="128" t="str">
        <f t="shared" si="28"/>
        <v/>
      </c>
      <c r="CB10" s="114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14"/>
    </row>
    <row r="11" spans="1:86" s="115" customFormat="1" ht="12.4" customHeight="1" thickBot="1" x14ac:dyDescent="0.25">
      <c r="A11" s="96">
        <f t="shared" si="29"/>
        <v>46303</v>
      </c>
      <c r="B11" s="97" t="str">
        <f t="shared" si="30"/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60"/>
      <c r="AX11" s="102" t="str">
        <f t="shared" si="0"/>
        <v>-</v>
      </c>
      <c r="AY11" s="114"/>
      <c r="AZ11" s="116" t="str">
        <f t="shared" si="1"/>
        <v/>
      </c>
      <c r="BA11" s="117" t="str">
        <f t="shared" si="2"/>
        <v/>
      </c>
      <c r="BB11" s="176" t="str">
        <f t="shared" si="3"/>
        <v/>
      </c>
      <c r="BC11" s="114"/>
      <c r="BD11" s="118" t="str">
        <f t="shared" si="4"/>
        <v/>
      </c>
      <c r="BE11" s="177" t="str">
        <f t="shared" si="5"/>
        <v/>
      </c>
      <c r="BF11" s="119" t="str">
        <f t="shared" si="6"/>
        <v/>
      </c>
      <c r="BG11" s="119" t="str">
        <f t="shared" si="23"/>
        <v/>
      </c>
      <c r="BH11" s="119" t="str">
        <f t="shared" si="7"/>
        <v/>
      </c>
      <c r="BI11" s="120" t="str">
        <f t="shared" si="24"/>
        <v/>
      </c>
      <c r="BJ11" s="114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14"/>
      <c r="BP11" s="124" t="str">
        <f t="shared" si="12"/>
        <v/>
      </c>
      <c r="BQ11" s="125">
        <v>0</v>
      </c>
      <c r="BR11" s="125" t="str">
        <f t="shared" si="25"/>
        <v/>
      </c>
      <c r="BS11" s="125" t="str">
        <f t="shared" si="26"/>
        <v/>
      </c>
      <c r="BT11" s="126" t="str">
        <f t="shared" si="13"/>
        <v/>
      </c>
      <c r="BU11" s="114"/>
      <c r="BV11" s="127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7"/>
        <v/>
      </c>
      <c r="CA11" s="128" t="str">
        <f t="shared" si="28"/>
        <v/>
      </c>
      <c r="CB11" s="114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14"/>
    </row>
    <row r="12" spans="1:86" s="115" customFormat="1" ht="12.4" customHeight="1" thickBot="1" x14ac:dyDescent="0.25">
      <c r="A12" s="96">
        <f t="shared" si="29"/>
        <v>46304</v>
      </c>
      <c r="B12" s="97" t="str">
        <f t="shared" si="30"/>
        <v>Fri</v>
      </c>
      <c r="C12" s="98"/>
      <c r="D12" s="98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60"/>
      <c r="AX12" s="102" t="str">
        <f t="shared" si="0"/>
        <v>-</v>
      </c>
      <c r="AY12" s="114"/>
      <c r="AZ12" s="116" t="str">
        <f t="shared" si="1"/>
        <v/>
      </c>
      <c r="BA12" s="117" t="str">
        <f t="shared" si="2"/>
        <v/>
      </c>
      <c r="BB12" s="176" t="str">
        <f t="shared" si="3"/>
        <v/>
      </c>
      <c r="BC12" s="114"/>
      <c r="BD12" s="118" t="str">
        <f t="shared" si="4"/>
        <v/>
      </c>
      <c r="BE12" s="177" t="str">
        <f t="shared" si="5"/>
        <v/>
      </c>
      <c r="BF12" s="119" t="str">
        <f t="shared" si="6"/>
        <v/>
      </c>
      <c r="BG12" s="119" t="str">
        <f t="shared" si="23"/>
        <v/>
      </c>
      <c r="BH12" s="119" t="str">
        <f t="shared" si="7"/>
        <v/>
      </c>
      <c r="BI12" s="120" t="str">
        <f t="shared" si="24"/>
        <v/>
      </c>
      <c r="BJ12" s="114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14"/>
      <c r="BP12" s="124" t="str">
        <f t="shared" si="12"/>
        <v/>
      </c>
      <c r="BQ12" s="125">
        <v>0</v>
      </c>
      <c r="BR12" s="125" t="str">
        <f t="shared" si="25"/>
        <v/>
      </c>
      <c r="BS12" s="125" t="str">
        <f t="shared" si="26"/>
        <v/>
      </c>
      <c r="BT12" s="126" t="str">
        <f t="shared" si="13"/>
        <v/>
      </c>
      <c r="BU12" s="114"/>
      <c r="BV12" s="127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7"/>
        <v/>
      </c>
      <c r="CA12" s="128" t="str">
        <f t="shared" si="28"/>
        <v/>
      </c>
      <c r="CB12" s="114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14"/>
    </row>
    <row r="13" spans="1:86" s="115" customFormat="1" ht="12.4" customHeight="1" thickBot="1" x14ac:dyDescent="0.25">
      <c r="A13" s="96">
        <f t="shared" si="29"/>
        <v>46305</v>
      </c>
      <c r="B13" s="97" t="str">
        <f t="shared" si="30"/>
        <v>Sat</v>
      </c>
      <c r="C13" s="98"/>
      <c r="D13" s="98"/>
      <c r="E13" s="103"/>
      <c r="F13" s="98"/>
      <c r="G13" s="98"/>
      <c r="H13" s="104"/>
      <c r="I13" s="104"/>
      <c r="J13" s="105"/>
      <c r="K13" s="106"/>
      <c r="L13" s="98"/>
      <c r="M13" s="98"/>
      <c r="N13" s="98"/>
      <c r="O13" s="98"/>
      <c r="P13" s="103"/>
      <c r="Q13" s="98"/>
      <c r="R13" s="98"/>
      <c r="S13" s="98"/>
      <c r="T13" s="98"/>
      <c r="U13" s="98"/>
      <c r="V13" s="103"/>
      <c r="W13" s="103"/>
      <c r="X13" s="98"/>
      <c r="Y13" s="98"/>
      <c r="Z13" s="98"/>
      <c r="AA13" s="98"/>
      <c r="AB13" s="98"/>
      <c r="AC13" s="98"/>
      <c r="AD13" s="98"/>
      <c r="AE13" s="98"/>
      <c r="AF13" s="103"/>
      <c r="AG13" s="103"/>
      <c r="AH13" s="98"/>
      <c r="AI13" s="107"/>
      <c r="AJ13" s="108"/>
      <c r="AK13" s="10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60"/>
      <c r="AX13" s="102" t="str">
        <f t="shared" si="0"/>
        <v>-</v>
      </c>
      <c r="AY13" s="114"/>
      <c r="AZ13" s="116" t="str">
        <f t="shared" si="1"/>
        <v/>
      </c>
      <c r="BA13" s="117" t="str">
        <f t="shared" si="2"/>
        <v/>
      </c>
      <c r="BB13" s="176" t="str">
        <f t="shared" si="3"/>
        <v/>
      </c>
      <c r="BC13" s="114"/>
      <c r="BD13" s="118" t="str">
        <f t="shared" si="4"/>
        <v/>
      </c>
      <c r="BE13" s="177" t="str">
        <f t="shared" si="5"/>
        <v/>
      </c>
      <c r="BF13" s="119" t="str">
        <f t="shared" si="6"/>
        <v/>
      </c>
      <c r="BG13" s="119" t="str">
        <f t="shared" si="23"/>
        <v/>
      </c>
      <c r="BH13" s="119" t="str">
        <f t="shared" si="7"/>
        <v/>
      </c>
      <c r="BI13" s="120" t="str">
        <f t="shared" si="24"/>
        <v/>
      </c>
      <c r="BJ13" s="114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14"/>
      <c r="BP13" s="124" t="str">
        <f t="shared" si="12"/>
        <v/>
      </c>
      <c r="BQ13" s="125">
        <v>0</v>
      </c>
      <c r="BR13" s="125" t="str">
        <f t="shared" si="25"/>
        <v/>
      </c>
      <c r="BS13" s="125" t="str">
        <f t="shared" si="26"/>
        <v/>
      </c>
      <c r="BT13" s="126" t="str">
        <f t="shared" si="13"/>
        <v/>
      </c>
      <c r="BU13" s="114"/>
      <c r="BV13" s="127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7"/>
        <v/>
      </c>
      <c r="CA13" s="128" t="str">
        <f t="shared" si="28"/>
        <v/>
      </c>
      <c r="CB13" s="114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14"/>
    </row>
    <row r="14" spans="1:86" s="115" customFormat="1" ht="12.4" customHeight="1" thickBot="1" x14ac:dyDescent="0.25">
      <c r="A14" s="96">
        <f t="shared" si="29"/>
        <v>46306</v>
      </c>
      <c r="B14" s="97" t="str">
        <f t="shared" si="3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98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60"/>
      <c r="AX14" s="102" t="str">
        <f t="shared" si="0"/>
        <v>-</v>
      </c>
      <c r="AY14" s="114"/>
      <c r="AZ14" s="116" t="str">
        <f t="shared" si="1"/>
        <v/>
      </c>
      <c r="BA14" s="117" t="str">
        <f t="shared" si="2"/>
        <v/>
      </c>
      <c r="BB14" s="176" t="str">
        <f t="shared" si="3"/>
        <v/>
      </c>
      <c r="BC14" s="114"/>
      <c r="BD14" s="118" t="str">
        <f>+IF(G14&gt;0,J17/G14,"")</f>
        <v/>
      </c>
      <c r="BE14" s="177" t="str">
        <f t="shared" si="5"/>
        <v/>
      </c>
      <c r="BF14" s="119" t="str">
        <f>+IF(J17&gt;0,L14/J17,"")</f>
        <v/>
      </c>
      <c r="BG14" s="119" t="str">
        <f t="shared" si="23"/>
        <v/>
      </c>
      <c r="BH14" s="119" t="str">
        <f t="shared" si="7"/>
        <v/>
      </c>
      <c r="BI14" s="120" t="str">
        <f t="shared" si="24"/>
        <v/>
      </c>
      <c r="BJ14" s="114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14"/>
      <c r="BP14" s="124" t="str">
        <f t="shared" si="12"/>
        <v/>
      </c>
      <c r="BQ14" s="125">
        <v>0</v>
      </c>
      <c r="BR14" s="125" t="str">
        <f t="shared" si="25"/>
        <v/>
      </c>
      <c r="BS14" s="125" t="str">
        <f t="shared" si="26"/>
        <v/>
      </c>
      <c r="BT14" s="126" t="str">
        <f t="shared" si="13"/>
        <v/>
      </c>
      <c r="BU14" s="114"/>
      <c r="BV14" s="127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7"/>
        <v/>
      </c>
      <c r="CA14" s="128" t="str">
        <f t="shared" si="28"/>
        <v/>
      </c>
      <c r="CB14" s="114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14"/>
    </row>
    <row r="15" spans="1:86" s="115" customFormat="1" ht="12.4" customHeight="1" thickBot="1" x14ac:dyDescent="0.25">
      <c r="A15" s="96">
        <f t="shared" si="29"/>
        <v>46307</v>
      </c>
      <c r="B15" s="97" t="str">
        <f t="shared" si="3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98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60"/>
      <c r="AX15" s="102" t="str">
        <f t="shared" si="0"/>
        <v>-</v>
      </c>
      <c r="AY15" s="114"/>
      <c r="AZ15" s="116" t="str">
        <f t="shared" si="1"/>
        <v/>
      </c>
      <c r="BA15" s="117" t="str">
        <f t="shared" si="2"/>
        <v/>
      </c>
      <c r="BB15" s="176" t="str">
        <f t="shared" si="3"/>
        <v/>
      </c>
      <c r="BC15" s="114"/>
      <c r="BD15" s="118" t="str">
        <f t="shared" ref="BD15:BD36" si="31">+IF(G15&gt;0,I15/G15,"")</f>
        <v/>
      </c>
      <c r="BE15" s="177" t="str">
        <f t="shared" si="5"/>
        <v/>
      </c>
      <c r="BF15" s="119" t="str">
        <f t="shared" ref="BF15:BF36" si="32">+IF(I15&gt;0,L15/I15,"")</f>
        <v/>
      </c>
      <c r="BG15" s="119" t="str">
        <f t="shared" si="23"/>
        <v/>
      </c>
      <c r="BH15" s="119" t="str">
        <f t="shared" si="7"/>
        <v/>
      </c>
      <c r="BI15" s="120" t="str">
        <f t="shared" si="24"/>
        <v/>
      </c>
      <c r="BJ15" s="114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14"/>
      <c r="BP15" s="124" t="str">
        <f t="shared" si="12"/>
        <v/>
      </c>
      <c r="BQ15" s="125">
        <v>0</v>
      </c>
      <c r="BR15" s="125" t="str">
        <f t="shared" si="25"/>
        <v/>
      </c>
      <c r="BS15" s="125" t="str">
        <f t="shared" si="26"/>
        <v/>
      </c>
      <c r="BT15" s="126" t="str">
        <f t="shared" si="13"/>
        <v/>
      </c>
      <c r="BU15" s="114"/>
      <c r="BV15" s="127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 t="shared" si="27"/>
        <v/>
      </c>
      <c r="CA15" s="128" t="str">
        <f t="shared" si="28"/>
        <v/>
      </c>
      <c r="CB15" s="114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14"/>
    </row>
    <row r="16" spans="1:86" s="115" customFormat="1" ht="12.4" customHeight="1" thickBot="1" x14ac:dyDescent="0.25">
      <c r="A16" s="96">
        <f t="shared" si="29"/>
        <v>46308</v>
      </c>
      <c r="B16" s="97" t="str">
        <f t="shared" si="30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60"/>
      <c r="AX16" s="102" t="str">
        <f t="shared" si="0"/>
        <v>-</v>
      </c>
      <c r="AY16" s="114"/>
      <c r="AZ16" s="116" t="str">
        <f t="shared" si="1"/>
        <v/>
      </c>
      <c r="BA16" s="117" t="str">
        <f t="shared" si="2"/>
        <v/>
      </c>
      <c r="BB16" s="176" t="str">
        <f t="shared" si="3"/>
        <v/>
      </c>
      <c r="BC16" s="114"/>
      <c r="BD16" s="118" t="str">
        <f t="shared" si="31"/>
        <v/>
      </c>
      <c r="BE16" s="177" t="str">
        <f t="shared" si="5"/>
        <v/>
      </c>
      <c r="BF16" s="119" t="str">
        <f t="shared" si="32"/>
        <v/>
      </c>
      <c r="BG16" s="119" t="str">
        <f t="shared" si="23"/>
        <v/>
      </c>
      <c r="BH16" s="119" t="str">
        <f t="shared" si="7"/>
        <v/>
      </c>
      <c r="BI16" s="120" t="str">
        <f t="shared" si="24"/>
        <v/>
      </c>
      <c r="BJ16" s="114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14"/>
      <c r="BP16" s="124" t="str">
        <f t="shared" si="12"/>
        <v/>
      </c>
      <c r="BQ16" s="125">
        <v>0</v>
      </c>
      <c r="BR16" s="125" t="str">
        <f t="shared" si="25"/>
        <v/>
      </c>
      <c r="BS16" s="125" t="str">
        <f t="shared" si="26"/>
        <v/>
      </c>
      <c r="BT16" s="126" t="str">
        <f t="shared" si="13"/>
        <v/>
      </c>
      <c r="BU16" s="114"/>
      <c r="BV16" s="127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 t="shared" si="27"/>
        <v/>
      </c>
      <c r="CA16" s="128" t="str">
        <f t="shared" si="28"/>
        <v/>
      </c>
      <c r="CB16" s="114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14"/>
    </row>
    <row r="17" spans="1:86" s="115" customFormat="1" ht="12.4" customHeight="1" thickBot="1" x14ac:dyDescent="0.25">
      <c r="A17" s="96">
        <f t="shared" si="29"/>
        <v>46309</v>
      </c>
      <c r="B17" s="97" t="str">
        <f t="shared" si="3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60"/>
      <c r="AX17" s="102" t="str">
        <f t="shared" si="0"/>
        <v>-</v>
      </c>
      <c r="AY17" s="114"/>
      <c r="AZ17" s="116" t="str">
        <f t="shared" si="1"/>
        <v/>
      </c>
      <c r="BA17" s="117" t="str">
        <f t="shared" si="2"/>
        <v/>
      </c>
      <c r="BB17" s="176" t="str">
        <f t="shared" si="3"/>
        <v/>
      </c>
      <c r="BC17" s="114"/>
      <c r="BD17" s="118" t="str">
        <f t="shared" si="31"/>
        <v/>
      </c>
      <c r="BE17" s="177" t="str">
        <f>+IF(G17&gt;0,#REF!/G17,"")</f>
        <v/>
      </c>
      <c r="BF17" s="119" t="str">
        <f t="shared" si="32"/>
        <v/>
      </c>
      <c r="BG17" s="119" t="str">
        <f t="shared" si="23"/>
        <v/>
      </c>
      <c r="BH17" s="119" t="str">
        <f t="shared" si="7"/>
        <v/>
      </c>
      <c r="BI17" s="120" t="str">
        <f t="shared" si="24"/>
        <v/>
      </c>
      <c r="BJ17" s="114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14"/>
      <c r="BP17" s="124" t="str">
        <f t="shared" si="12"/>
        <v/>
      </c>
      <c r="BQ17" s="125">
        <v>0</v>
      </c>
      <c r="BR17" s="125" t="str">
        <f t="shared" si="25"/>
        <v/>
      </c>
      <c r="BS17" s="125" t="str">
        <f t="shared" si="26"/>
        <v/>
      </c>
      <c r="BT17" s="126" t="str">
        <f t="shared" si="13"/>
        <v/>
      </c>
      <c r="BU17" s="114"/>
      <c r="BV17" s="127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7"/>
        <v/>
      </c>
      <c r="CA17" s="128" t="str">
        <f t="shared" si="28"/>
        <v/>
      </c>
      <c r="CB17" s="114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14"/>
    </row>
    <row r="18" spans="1:86" s="115" customFormat="1" ht="12.4" customHeight="1" thickBot="1" x14ac:dyDescent="0.25">
      <c r="A18" s="96">
        <f t="shared" si="29"/>
        <v>46310</v>
      </c>
      <c r="B18" s="97" t="str">
        <f t="shared" si="3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60"/>
      <c r="AX18" s="102" t="str">
        <f t="shared" si="0"/>
        <v>-</v>
      </c>
      <c r="AY18" s="114"/>
      <c r="AZ18" s="116" t="str">
        <f t="shared" si="1"/>
        <v/>
      </c>
      <c r="BA18" s="117" t="str">
        <f t="shared" si="2"/>
        <v/>
      </c>
      <c r="BB18" s="176" t="str">
        <f t="shared" si="3"/>
        <v/>
      </c>
      <c r="BC18" s="114"/>
      <c r="BD18" s="118" t="str">
        <f t="shared" si="31"/>
        <v/>
      </c>
      <c r="BE18" s="177" t="str">
        <f t="shared" ref="BE18:BE36" si="33">+IF(G18&gt;0,J18/G18,"")</f>
        <v/>
      </c>
      <c r="BF18" s="119" t="str">
        <f t="shared" si="32"/>
        <v/>
      </c>
      <c r="BG18" s="119" t="str">
        <f t="shared" si="23"/>
        <v/>
      </c>
      <c r="BH18" s="119" t="str">
        <f t="shared" si="7"/>
        <v/>
      </c>
      <c r="BI18" s="120" t="str">
        <f t="shared" si="24"/>
        <v/>
      </c>
      <c r="BJ18" s="114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14"/>
      <c r="BP18" s="124" t="str">
        <f t="shared" si="12"/>
        <v/>
      </c>
      <c r="BQ18" s="125">
        <v>0</v>
      </c>
      <c r="BR18" s="125" t="str">
        <f t="shared" si="25"/>
        <v/>
      </c>
      <c r="BS18" s="125" t="str">
        <f t="shared" si="26"/>
        <v/>
      </c>
      <c r="BT18" s="126" t="str">
        <f t="shared" si="13"/>
        <v/>
      </c>
      <c r="BU18" s="114"/>
      <c r="BV18" s="127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7"/>
        <v/>
      </c>
      <c r="CA18" s="128" t="str">
        <f t="shared" si="28"/>
        <v/>
      </c>
      <c r="CB18" s="114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14"/>
    </row>
    <row r="19" spans="1:86" s="115" customFormat="1" ht="12.4" customHeight="1" thickBot="1" x14ac:dyDescent="0.25">
      <c r="A19" s="96">
        <f t="shared" si="29"/>
        <v>46311</v>
      </c>
      <c r="B19" s="97" t="str">
        <f t="shared" si="3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60"/>
      <c r="AX19" s="102" t="str">
        <f t="shared" si="0"/>
        <v>-</v>
      </c>
      <c r="AY19" s="114"/>
      <c r="AZ19" s="116" t="str">
        <f t="shared" si="1"/>
        <v/>
      </c>
      <c r="BA19" s="117" t="str">
        <f t="shared" si="2"/>
        <v/>
      </c>
      <c r="BB19" s="176" t="str">
        <f t="shared" si="3"/>
        <v/>
      </c>
      <c r="BC19" s="114"/>
      <c r="BD19" s="118" t="str">
        <f t="shared" si="31"/>
        <v/>
      </c>
      <c r="BE19" s="177" t="str">
        <f t="shared" si="33"/>
        <v/>
      </c>
      <c r="BF19" s="119" t="str">
        <f t="shared" si="32"/>
        <v/>
      </c>
      <c r="BG19" s="119" t="str">
        <f t="shared" si="23"/>
        <v/>
      </c>
      <c r="BH19" s="119" t="str">
        <f t="shared" si="7"/>
        <v/>
      </c>
      <c r="BI19" s="120" t="str">
        <f t="shared" si="24"/>
        <v/>
      </c>
      <c r="BJ19" s="114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14"/>
      <c r="BP19" s="124" t="str">
        <f t="shared" si="12"/>
        <v/>
      </c>
      <c r="BQ19" s="125">
        <v>0</v>
      </c>
      <c r="BR19" s="125" t="str">
        <f t="shared" si="25"/>
        <v/>
      </c>
      <c r="BS19" s="125" t="str">
        <f t="shared" si="26"/>
        <v/>
      </c>
      <c r="BT19" s="126" t="str">
        <f t="shared" si="13"/>
        <v/>
      </c>
      <c r="BU19" s="114"/>
      <c r="BV19" s="127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7"/>
        <v/>
      </c>
      <c r="CA19" s="128" t="str">
        <f t="shared" si="28"/>
        <v/>
      </c>
      <c r="CB19" s="114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14"/>
    </row>
    <row r="20" spans="1:86" s="115" customFormat="1" ht="12.4" customHeight="1" thickBot="1" x14ac:dyDescent="0.25">
      <c r="A20" s="96">
        <f t="shared" si="29"/>
        <v>46312</v>
      </c>
      <c r="B20" s="97" t="str">
        <f t="shared" si="3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60"/>
      <c r="AX20" s="102" t="str">
        <f t="shared" si="0"/>
        <v>-</v>
      </c>
      <c r="AY20" s="114"/>
      <c r="AZ20" s="116" t="str">
        <f t="shared" si="1"/>
        <v/>
      </c>
      <c r="BA20" s="117" t="str">
        <f t="shared" si="2"/>
        <v/>
      </c>
      <c r="BB20" s="176" t="str">
        <f t="shared" si="3"/>
        <v/>
      </c>
      <c r="BC20" s="114"/>
      <c r="BD20" s="118" t="str">
        <f t="shared" si="31"/>
        <v/>
      </c>
      <c r="BE20" s="177" t="str">
        <f t="shared" si="33"/>
        <v/>
      </c>
      <c r="BF20" s="119" t="str">
        <f t="shared" si="32"/>
        <v/>
      </c>
      <c r="BG20" s="119" t="str">
        <f t="shared" si="23"/>
        <v/>
      </c>
      <c r="BH20" s="119" t="str">
        <f t="shared" si="7"/>
        <v/>
      </c>
      <c r="BI20" s="120" t="str">
        <f t="shared" si="24"/>
        <v/>
      </c>
      <c r="BJ20" s="114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14"/>
      <c r="BP20" s="124" t="str">
        <f t="shared" si="12"/>
        <v/>
      </c>
      <c r="BQ20" s="125">
        <v>0</v>
      </c>
      <c r="BR20" s="125" t="str">
        <f t="shared" si="25"/>
        <v/>
      </c>
      <c r="BS20" s="125" t="str">
        <f t="shared" si="26"/>
        <v/>
      </c>
      <c r="BT20" s="126" t="str">
        <f t="shared" si="13"/>
        <v/>
      </c>
      <c r="BU20" s="114"/>
      <c r="BV20" s="127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7"/>
        <v/>
      </c>
      <c r="CA20" s="128" t="str">
        <f t="shared" si="28"/>
        <v/>
      </c>
      <c r="CB20" s="114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14"/>
    </row>
    <row r="21" spans="1:86" s="115" customFormat="1" ht="12.4" customHeight="1" thickBot="1" x14ac:dyDescent="0.25">
      <c r="A21" s="96">
        <f t="shared" si="29"/>
        <v>46313</v>
      </c>
      <c r="B21" s="97" t="str">
        <f t="shared" si="3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60"/>
      <c r="AX21" s="102" t="str">
        <f t="shared" si="0"/>
        <v>-</v>
      </c>
      <c r="AY21" s="114"/>
      <c r="AZ21" s="116" t="str">
        <f t="shared" si="1"/>
        <v/>
      </c>
      <c r="BA21" s="117" t="str">
        <f t="shared" si="2"/>
        <v/>
      </c>
      <c r="BB21" s="176" t="str">
        <f t="shared" si="3"/>
        <v/>
      </c>
      <c r="BC21" s="114"/>
      <c r="BD21" s="118" t="str">
        <f t="shared" si="31"/>
        <v/>
      </c>
      <c r="BE21" s="177" t="str">
        <f t="shared" si="33"/>
        <v/>
      </c>
      <c r="BF21" s="119" t="str">
        <f t="shared" si="32"/>
        <v/>
      </c>
      <c r="BG21" s="119" t="str">
        <f t="shared" si="23"/>
        <v/>
      </c>
      <c r="BH21" s="119" t="str">
        <f t="shared" si="7"/>
        <v/>
      </c>
      <c r="BI21" s="120" t="str">
        <f t="shared" si="24"/>
        <v/>
      </c>
      <c r="BJ21" s="114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14"/>
      <c r="BP21" s="124" t="str">
        <f t="shared" si="12"/>
        <v/>
      </c>
      <c r="BQ21" s="125">
        <v>0</v>
      </c>
      <c r="BR21" s="125" t="str">
        <f t="shared" si="25"/>
        <v/>
      </c>
      <c r="BS21" s="125" t="str">
        <f t="shared" si="26"/>
        <v/>
      </c>
      <c r="BT21" s="126" t="str">
        <f t="shared" si="13"/>
        <v/>
      </c>
      <c r="BU21" s="114"/>
      <c r="BV21" s="127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7"/>
        <v/>
      </c>
      <c r="CA21" s="128" t="str">
        <f t="shared" si="28"/>
        <v/>
      </c>
      <c r="CB21" s="114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14"/>
    </row>
    <row r="22" spans="1:86" s="115" customFormat="1" ht="12.4" customHeight="1" thickBot="1" x14ac:dyDescent="0.25">
      <c r="A22" s="96">
        <f t="shared" si="29"/>
        <v>46314</v>
      </c>
      <c r="B22" s="97" t="str">
        <f t="shared" si="30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60"/>
      <c r="AX22" s="102" t="str">
        <f t="shared" si="0"/>
        <v>-</v>
      </c>
      <c r="AY22" s="114"/>
      <c r="AZ22" s="116" t="str">
        <f t="shared" si="1"/>
        <v/>
      </c>
      <c r="BA22" s="117" t="str">
        <f t="shared" si="2"/>
        <v/>
      </c>
      <c r="BB22" s="176" t="str">
        <f t="shared" si="3"/>
        <v/>
      </c>
      <c r="BC22" s="114"/>
      <c r="BD22" s="118" t="str">
        <f t="shared" si="31"/>
        <v/>
      </c>
      <c r="BE22" s="177" t="str">
        <f t="shared" si="33"/>
        <v/>
      </c>
      <c r="BF22" s="119" t="str">
        <f t="shared" si="32"/>
        <v/>
      </c>
      <c r="BG22" s="119" t="str">
        <f t="shared" si="23"/>
        <v/>
      </c>
      <c r="BH22" s="119" t="str">
        <f t="shared" si="7"/>
        <v/>
      </c>
      <c r="BI22" s="120" t="str">
        <f t="shared" si="24"/>
        <v/>
      </c>
      <c r="BJ22" s="114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14"/>
      <c r="BP22" s="124" t="str">
        <f t="shared" si="12"/>
        <v/>
      </c>
      <c r="BQ22" s="125">
        <v>0</v>
      </c>
      <c r="BR22" s="125" t="str">
        <f t="shared" si="25"/>
        <v/>
      </c>
      <c r="BS22" s="125" t="str">
        <f t="shared" si="26"/>
        <v/>
      </c>
      <c r="BT22" s="126" t="str">
        <f t="shared" si="13"/>
        <v/>
      </c>
      <c r="BU22" s="114"/>
      <c r="BV22" s="127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7"/>
        <v/>
      </c>
      <c r="CA22" s="128" t="str">
        <f t="shared" si="28"/>
        <v/>
      </c>
      <c r="CB22" s="114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14"/>
    </row>
    <row r="23" spans="1:86" s="115" customFormat="1" ht="12.4" customHeight="1" thickBot="1" x14ac:dyDescent="0.25">
      <c r="A23" s="96">
        <f t="shared" si="29"/>
        <v>46315</v>
      </c>
      <c r="B23" s="97" t="str">
        <f t="shared" si="30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60"/>
      <c r="AX23" s="102" t="str">
        <f t="shared" si="0"/>
        <v>-</v>
      </c>
      <c r="AY23" s="114"/>
      <c r="AZ23" s="116" t="str">
        <f t="shared" si="1"/>
        <v/>
      </c>
      <c r="BA23" s="117" t="str">
        <f t="shared" si="2"/>
        <v/>
      </c>
      <c r="BB23" s="176" t="str">
        <f t="shared" si="3"/>
        <v/>
      </c>
      <c r="BC23" s="114"/>
      <c r="BD23" s="118" t="str">
        <f t="shared" si="31"/>
        <v/>
      </c>
      <c r="BE23" s="177" t="str">
        <f t="shared" si="33"/>
        <v/>
      </c>
      <c r="BF23" s="119" t="str">
        <f t="shared" si="32"/>
        <v/>
      </c>
      <c r="BG23" s="119" t="str">
        <f t="shared" si="23"/>
        <v/>
      </c>
      <c r="BH23" s="119" t="str">
        <f t="shared" si="7"/>
        <v/>
      </c>
      <c r="BI23" s="120" t="str">
        <f t="shared" si="24"/>
        <v/>
      </c>
      <c r="BJ23" s="114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14"/>
      <c r="BP23" s="124" t="str">
        <f t="shared" si="12"/>
        <v/>
      </c>
      <c r="BQ23" s="125">
        <v>0</v>
      </c>
      <c r="BR23" s="125" t="str">
        <f t="shared" si="25"/>
        <v/>
      </c>
      <c r="BS23" s="125" t="str">
        <f t="shared" si="26"/>
        <v/>
      </c>
      <c r="BT23" s="126" t="str">
        <f t="shared" si="13"/>
        <v/>
      </c>
      <c r="BU23" s="114"/>
      <c r="BV23" s="127" t="str">
        <f t="shared" si="14"/>
        <v/>
      </c>
      <c r="BW23" s="127" t="str">
        <f t="shared" si="15"/>
        <v/>
      </c>
      <c r="BX23" s="127" t="str">
        <f t="shared" si="16"/>
        <v/>
      </c>
      <c r="BY23" s="127" t="str">
        <f t="shared" si="17"/>
        <v/>
      </c>
      <c r="BZ23" s="127" t="str">
        <f t="shared" si="27"/>
        <v/>
      </c>
      <c r="CA23" s="128" t="str">
        <f t="shared" si="28"/>
        <v/>
      </c>
      <c r="CB23" s="114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14"/>
    </row>
    <row r="24" spans="1:86" s="115" customFormat="1" ht="12.4" customHeight="1" thickBot="1" x14ac:dyDescent="0.25">
      <c r="A24" s="96">
        <f t="shared" si="29"/>
        <v>46316</v>
      </c>
      <c r="B24" s="97" t="str">
        <f t="shared" si="3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60"/>
      <c r="AX24" s="102" t="str">
        <f t="shared" si="0"/>
        <v>-</v>
      </c>
      <c r="AY24" s="114"/>
      <c r="AZ24" s="116" t="str">
        <f t="shared" si="1"/>
        <v/>
      </c>
      <c r="BA24" s="117" t="str">
        <f t="shared" si="2"/>
        <v/>
      </c>
      <c r="BB24" s="176" t="str">
        <f t="shared" si="3"/>
        <v/>
      </c>
      <c r="BC24" s="114"/>
      <c r="BD24" s="118" t="str">
        <f t="shared" si="31"/>
        <v/>
      </c>
      <c r="BE24" s="177" t="str">
        <f t="shared" si="33"/>
        <v/>
      </c>
      <c r="BF24" s="119" t="str">
        <f t="shared" si="32"/>
        <v/>
      </c>
      <c r="BG24" s="119" t="str">
        <f t="shared" si="23"/>
        <v/>
      </c>
      <c r="BH24" s="119" t="str">
        <f t="shared" si="7"/>
        <v/>
      </c>
      <c r="BI24" s="120" t="str">
        <f t="shared" si="24"/>
        <v/>
      </c>
      <c r="BJ24" s="114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14"/>
      <c r="BP24" s="124" t="str">
        <f t="shared" si="12"/>
        <v/>
      </c>
      <c r="BQ24" s="125">
        <v>0</v>
      </c>
      <c r="BR24" s="125" t="str">
        <f t="shared" si="25"/>
        <v/>
      </c>
      <c r="BS24" s="125" t="str">
        <f t="shared" si="26"/>
        <v/>
      </c>
      <c r="BT24" s="126" t="str">
        <f t="shared" si="13"/>
        <v/>
      </c>
      <c r="BU24" s="114"/>
      <c r="BV24" s="127" t="str">
        <f t="shared" si="14"/>
        <v/>
      </c>
      <c r="BW24" s="127" t="str">
        <f t="shared" si="15"/>
        <v/>
      </c>
      <c r="BX24" s="127" t="str">
        <f t="shared" si="16"/>
        <v/>
      </c>
      <c r="BY24" s="127" t="str">
        <f t="shared" si="17"/>
        <v/>
      </c>
      <c r="BZ24" s="127" t="str">
        <f t="shared" si="27"/>
        <v/>
      </c>
      <c r="CA24" s="128" t="str">
        <f t="shared" si="28"/>
        <v/>
      </c>
      <c r="CB24" s="114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14"/>
    </row>
    <row r="25" spans="1:86" s="115" customFormat="1" ht="12.4" customHeight="1" thickBot="1" x14ac:dyDescent="0.25">
      <c r="A25" s="96">
        <f t="shared" si="29"/>
        <v>46317</v>
      </c>
      <c r="B25" s="97" t="str">
        <f t="shared" si="30"/>
        <v>Thu</v>
      </c>
      <c r="C25" s="98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60"/>
      <c r="AX25" s="102" t="str">
        <f t="shared" si="0"/>
        <v>-</v>
      </c>
      <c r="AY25" s="114"/>
      <c r="AZ25" s="116" t="str">
        <f t="shared" si="1"/>
        <v/>
      </c>
      <c r="BA25" s="117" t="str">
        <f t="shared" si="2"/>
        <v/>
      </c>
      <c r="BB25" s="176" t="str">
        <f t="shared" si="3"/>
        <v/>
      </c>
      <c r="BC25" s="114"/>
      <c r="BD25" s="118" t="str">
        <f t="shared" si="31"/>
        <v/>
      </c>
      <c r="BE25" s="177" t="str">
        <f t="shared" si="33"/>
        <v/>
      </c>
      <c r="BF25" s="119" t="str">
        <f t="shared" si="32"/>
        <v/>
      </c>
      <c r="BG25" s="119" t="str">
        <f t="shared" si="23"/>
        <v/>
      </c>
      <c r="BH25" s="119" t="str">
        <f t="shared" si="7"/>
        <v/>
      </c>
      <c r="BI25" s="120" t="str">
        <f t="shared" si="24"/>
        <v/>
      </c>
      <c r="BJ25" s="114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14"/>
      <c r="BP25" s="124" t="str">
        <f t="shared" si="12"/>
        <v/>
      </c>
      <c r="BQ25" s="125">
        <v>0</v>
      </c>
      <c r="BR25" s="125" t="str">
        <f t="shared" si="25"/>
        <v/>
      </c>
      <c r="BS25" s="125" t="str">
        <f t="shared" si="26"/>
        <v/>
      </c>
      <c r="BT25" s="126" t="str">
        <f t="shared" si="13"/>
        <v/>
      </c>
      <c r="BU25" s="114"/>
      <c r="BV25" s="127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7"/>
        <v/>
      </c>
      <c r="CA25" s="128" t="str">
        <f t="shared" si="28"/>
        <v/>
      </c>
      <c r="CB25" s="114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14"/>
    </row>
    <row r="26" spans="1:86" s="115" customFormat="1" ht="12.4" customHeight="1" thickBot="1" x14ac:dyDescent="0.25">
      <c r="A26" s="96">
        <f t="shared" si="29"/>
        <v>46318</v>
      </c>
      <c r="B26" s="97" t="str">
        <f t="shared" si="30"/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60"/>
      <c r="AX26" s="102" t="str">
        <f t="shared" ref="AX26:AX36" si="34">IFERROR(AN26/AW26,"-")</f>
        <v>-</v>
      </c>
      <c r="AY26" s="114"/>
      <c r="AZ26" s="116" t="str">
        <f t="shared" si="1"/>
        <v/>
      </c>
      <c r="BA26" s="117" t="str">
        <f t="shared" si="2"/>
        <v/>
      </c>
      <c r="BB26" s="176" t="str">
        <f t="shared" si="3"/>
        <v/>
      </c>
      <c r="BC26" s="114"/>
      <c r="BD26" s="118" t="str">
        <f t="shared" si="31"/>
        <v/>
      </c>
      <c r="BE26" s="177" t="str">
        <f t="shared" si="33"/>
        <v/>
      </c>
      <c r="BF26" s="119" t="str">
        <f t="shared" si="32"/>
        <v/>
      </c>
      <c r="BG26" s="119" t="str">
        <f t="shared" si="23"/>
        <v/>
      </c>
      <c r="BH26" s="119" t="str">
        <f t="shared" si="7"/>
        <v/>
      </c>
      <c r="BI26" s="120" t="str">
        <f t="shared" si="24"/>
        <v/>
      </c>
      <c r="BJ26" s="114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14"/>
      <c r="BP26" s="124" t="str">
        <f t="shared" si="12"/>
        <v/>
      </c>
      <c r="BQ26" s="125">
        <v>0</v>
      </c>
      <c r="BR26" s="125" t="str">
        <f t="shared" si="25"/>
        <v/>
      </c>
      <c r="BS26" s="125" t="str">
        <f t="shared" si="26"/>
        <v/>
      </c>
      <c r="BT26" s="126" t="str">
        <f t="shared" si="13"/>
        <v/>
      </c>
      <c r="BU26" s="114"/>
      <c r="BV26" s="127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7"/>
        <v/>
      </c>
      <c r="CA26" s="128" t="str">
        <f t="shared" si="28"/>
        <v/>
      </c>
      <c r="CB26" s="114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14"/>
    </row>
    <row r="27" spans="1:86" s="115" customFormat="1" ht="12.4" customHeight="1" thickBot="1" x14ac:dyDescent="0.25">
      <c r="A27" s="96">
        <f t="shared" si="29"/>
        <v>46319</v>
      </c>
      <c r="B27" s="97" t="str">
        <f t="shared" si="3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60"/>
      <c r="AX27" s="102" t="str">
        <f t="shared" si="34"/>
        <v>-</v>
      </c>
      <c r="AY27" s="114"/>
      <c r="AZ27" s="116" t="str">
        <f t="shared" si="1"/>
        <v/>
      </c>
      <c r="BA27" s="117" t="str">
        <f t="shared" si="2"/>
        <v/>
      </c>
      <c r="BB27" s="176" t="str">
        <f t="shared" si="3"/>
        <v/>
      </c>
      <c r="BC27" s="114"/>
      <c r="BD27" s="118" t="str">
        <f t="shared" si="31"/>
        <v/>
      </c>
      <c r="BE27" s="177" t="str">
        <f t="shared" si="33"/>
        <v/>
      </c>
      <c r="BF27" s="119" t="str">
        <f t="shared" si="32"/>
        <v/>
      </c>
      <c r="BG27" s="119" t="str">
        <f t="shared" si="23"/>
        <v/>
      </c>
      <c r="BH27" s="119" t="str">
        <f t="shared" si="7"/>
        <v/>
      </c>
      <c r="BI27" s="120" t="str">
        <f t="shared" si="24"/>
        <v/>
      </c>
      <c r="BJ27" s="114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14"/>
      <c r="BP27" s="124" t="str">
        <f t="shared" si="12"/>
        <v/>
      </c>
      <c r="BQ27" s="125">
        <v>0</v>
      </c>
      <c r="BR27" s="125" t="str">
        <f t="shared" si="25"/>
        <v/>
      </c>
      <c r="BS27" s="125" t="str">
        <f t="shared" si="26"/>
        <v/>
      </c>
      <c r="BT27" s="126" t="str">
        <f t="shared" si="13"/>
        <v/>
      </c>
      <c r="BU27" s="114"/>
      <c r="BV27" s="127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7"/>
        <v/>
      </c>
      <c r="CA27" s="128" t="str">
        <f t="shared" si="28"/>
        <v/>
      </c>
      <c r="CB27" s="114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14"/>
    </row>
    <row r="28" spans="1:86" s="115" customFormat="1" ht="12.4" customHeight="1" thickBot="1" x14ac:dyDescent="0.25">
      <c r="A28" s="96">
        <f t="shared" si="29"/>
        <v>46320</v>
      </c>
      <c r="B28" s="97" t="str">
        <f t="shared" si="3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60"/>
      <c r="AX28" s="102" t="str">
        <f t="shared" si="34"/>
        <v>-</v>
      </c>
      <c r="AY28" s="114"/>
      <c r="AZ28" s="116" t="str">
        <f t="shared" si="1"/>
        <v/>
      </c>
      <c r="BA28" s="117" t="str">
        <f t="shared" si="2"/>
        <v/>
      </c>
      <c r="BB28" s="176" t="str">
        <f t="shared" si="3"/>
        <v/>
      </c>
      <c r="BC28" s="114"/>
      <c r="BD28" s="118" t="str">
        <f t="shared" si="31"/>
        <v/>
      </c>
      <c r="BE28" s="177" t="str">
        <f t="shared" si="33"/>
        <v/>
      </c>
      <c r="BF28" s="119" t="str">
        <f t="shared" si="32"/>
        <v/>
      </c>
      <c r="BG28" s="119" t="str">
        <f t="shared" si="23"/>
        <v/>
      </c>
      <c r="BH28" s="119" t="str">
        <f t="shared" si="7"/>
        <v/>
      </c>
      <c r="BI28" s="120" t="str">
        <f t="shared" si="24"/>
        <v/>
      </c>
      <c r="BJ28" s="114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14"/>
      <c r="BP28" s="124" t="str">
        <f t="shared" si="12"/>
        <v/>
      </c>
      <c r="BQ28" s="125">
        <v>0</v>
      </c>
      <c r="BR28" s="125" t="str">
        <f t="shared" si="25"/>
        <v/>
      </c>
      <c r="BS28" s="125" t="str">
        <f t="shared" si="26"/>
        <v/>
      </c>
      <c r="BT28" s="126" t="str">
        <f t="shared" si="13"/>
        <v/>
      </c>
      <c r="BU28" s="114"/>
      <c r="BV28" s="127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7"/>
        <v/>
      </c>
      <c r="CA28" s="128" t="str">
        <f t="shared" si="28"/>
        <v/>
      </c>
      <c r="CB28" s="114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14"/>
    </row>
    <row r="29" spans="1:86" s="115" customFormat="1" ht="12.4" customHeight="1" thickBot="1" x14ac:dyDescent="0.25">
      <c r="A29" s="96">
        <f t="shared" si="29"/>
        <v>46321</v>
      </c>
      <c r="B29" s="97" t="str">
        <f t="shared" si="3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60"/>
      <c r="AX29" s="102" t="str">
        <f t="shared" si="34"/>
        <v>-</v>
      </c>
      <c r="AY29" s="114"/>
      <c r="AZ29" s="116" t="str">
        <f t="shared" si="1"/>
        <v/>
      </c>
      <c r="BA29" s="117" t="str">
        <f t="shared" si="2"/>
        <v/>
      </c>
      <c r="BB29" s="176" t="str">
        <f t="shared" si="3"/>
        <v/>
      </c>
      <c r="BC29" s="114"/>
      <c r="BD29" s="118" t="str">
        <f t="shared" si="31"/>
        <v/>
      </c>
      <c r="BE29" s="177" t="str">
        <f t="shared" si="33"/>
        <v/>
      </c>
      <c r="BF29" s="119" t="str">
        <f t="shared" si="32"/>
        <v/>
      </c>
      <c r="BG29" s="119" t="str">
        <f t="shared" si="23"/>
        <v/>
      </c>
      <c r="BH29" s="119" t="str">
        <f t="shared" si="7"/>
        <v/>
      </c>
      <c r="BI29" s="120" t="str">
        <f t="shared" si="24"/>
        <v/>
      </c>
      <c r="BJ29" s="114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14"/>
      <c r="BP29" s="124" t="str">
        <f t="shared" si="12"/>
        <v/>
      </c>
      <c r="BQ29" s="125">
        <v>0</v>
      </c>
      <c r="BR29" s="125" t="str">
        <f t="shared" si="25"/>
        <v/>
      </c>
      <c r="BS29" s="125" t="str">
        <f t="shared" si="26"/>
        <v/>
      </c>
      <c r="BT29" s="126" t="str">
        <f t="shared" si="13"/>
        <v/>
      </c>
      <c r="BU29" s="114"/>
      <c r="BV29" s="127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7"/>
        <v/>
      </c>
      <c r="CA29" s="128" t="str">
        <f t="shared" si="28"/>
        <v/>
      </c>
      <c r="CB29" s="114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14"/>
    </row>
    <row r="30" spans="1:86" s="115" customFormat="1" ht="12.4" customHeight="1" thickBot="1" x14ac:dyDescent="0.25">
      <c r="A30" s="96">
        <f t="shared" si="29"/>
        <v>46322</v>
      </c>
      <c r="B30" s="97" t="str">
        <f t="shared" si="3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60"/>
      <c r="AX30" s="102" t="str">
        <f t="shared" si="34"/>
        <v>-</v>
      </c>
      <c r="AY30" s="114"/>
      <c r="AZ30" s="116" t="str">
        <f t="shared" si="1"/>
        <v/>
      </c>
      <c r="BA30" s="117" t="str">
        <f t="shared" si="2"/>
        <v/>
      </c>
      <c r="BB30" s="176" t="str">
        <f t="shared" si="3"/>
        <v/>
      </c>
      <c r="BC30" s="114"/>
      <c r="BD30" s="118" t="str">
        <f t="shared" si="31"/>
        <v/>
      </c>
      <c r="BE30" s="177" t="str">
        <f t="shared" si="33"/>
        <v/>
      </c>
      <c r="BF30" s="119" t="str">
        <f t="shared" si="32"/>
        <v/>
      </c>
      <c r="BG30" s="119" t="str">
        <f t="shared" si="23"/>
        <v/>
      </c>
      <c r="BH30" s="119" t="str">
        <f t="shared" si="7"/>
        <v/>
      </c>
      <c r="BI30" s="120" t="str">
        <f t="shared" si="24"/>
        <v/>
      </c>
      <c r="BJ30" s="114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14"/>
      <c r="BP30" s="124" t="str">
        <f t="shared" si="12"/>
        <v/>
      </c>
      <c r="BQ30" s="125">
        <v>0</v>
      </c>
      <c r="BR30" s="125" t="str">
        <f t="shared" si="25"/>
        <v/>
      </c>
      <c r="BS30" s="125" t="str">
        <f t="shared" si="26"/>
        <v/>
      </c>
      <c r="BT30" s="126" t="str">
        <f t="shared" si="13"/>
        <v/>
      </c>
      <c r="BU30" s="114"/>
      <c r="BV30" s="127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7"/>
        <v/>
      </c>
      <c r="CA30" s="128" t="str">
        <f t="shared" si="28"/>
        <v/>
      </c>
      <c r="CB30" s="114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14"/>
    </row>
    <row r="31" spans="1:86" s="115" customFormat="1" ht="12.4" customHeight="1" thickBot="1" x14ac:dyDescent="0.25">
      <c r="A31" s="96">
        <f t="shared" si="29"/>
        <v>46323</v>
      </c>
      <c r="B31" s="97" t="str">
        <f t="shared" si="30"/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60"/>
      <c r="AX31" s="102" t="str">
        <f t="shared" si="34"/>
        <v>-</v>
      </c>
      <c r="AY31" s="114"/>
      <c r="AZ31" s="116" t="str">
        <f t="shared" si="1"/>
        <v/>
      </c>
      <c r="BA31" s="117" t="str">
        <f t="shared" si="2"/>
        <v/>
      </c>
      <c r="BB31" s="176" t="str">
        <f t="shared" si="3"/>
        <v/>
      </c>
      <c r="BC31" s="114"/>
      <c r="BD31" s="118" t="str">
        <f t="shared" si="31"/>
        <v/>
      </c>
      <c r="BE31" s="177" t="str">
        <f t="shared" si="33"/>
        <v/>
      </c>
      <c r="BF31" s="119" t="str">
        <f t="shared" si="32"/>
        <v/>
      </c>
      <c r="BG31" s="119" t="str">
        <f t="shared" si="23"/>
        <v/>
      </c>
      <c r="BH31" s="119" t="str">
        <f t="shared" si="7"/>
        <v/>
      </c>
      <c r="BI31" s="120" t="str">
        <f t="shared" si="24"/>
        <v/>
      </c>
      <c r="BJ31" s="114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14"/>
      <c r="BP31" s="124" t="str">
        <f t="shared" si="12"/>
        <v/>
      </c>
      <c r="BQ31" s="125">
        <v>0</v>
      </c>
      <c r="BR31" s="125" t="str">
        <f t="shared" si="25"/>
        <v/>
      </c>
      <c r="BS31" s="125" t="str">
        <f t="shared" si="26"/>
        <v/>
      </c>
      <c r="BT31" s="126" t="str">
        <f t="shared" si="13"/>
        <v/>
      </c>
      <c r="BU31" s="114"/>
      <c r="BV31" s="127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7"/>
        <v/>
      </c>
      <c r="CA31" s="128" t="str">
        <f t="shared" si="28"/>
        <v/>
      </c>
      <c r="CB31" s="114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14"/>
    </row>
    <row r="32" spans="1:86" s="115" customFormat="1" ht="12.4" customHeight="1" thickBot="1" x14ac:dyDescent="0.25">
      <c r="A32" s="96">
        <f t="shared" si="29"/>
        <v>46324</v>
      </c>
      <c r="B32" s="97" t="str">
        <f t="shared" si="30"/>
        <v>Thu</v>
      </c>
      <c r="C32" s="98"/>
      <c r="D32" s="98"/>
      <c r="E32" s="103"/>
      <c r="F32" s="98"/>
      <c r="G32" s="98"/>
      <c r="H32" s="104"/>
      <c r="I32" s="104"/>
      <c r="J32" s="105"/>
      <c r="K32" s="106"/>
      <c r="L32" s="98"/>
      <c r="M32" s="98"/>
      <c r="N32" s="98"/>
      <c r="O32" s="98"/>
      <c r="P32" s="103"/>
      <c r="Q32" s="98"/>
      <c r="R32" s="98"/>
      <c r="S32" s="98"/>
      <c r="T32" s="98"/>
      <c r="U32" s="98"/>
      <c r="V32" s="103"/>
      <c r="W32" s="103"/>
      <c r="X32" s="98"/>
      <c r="Y32" s="98"/>
      <c r="Z32" s="98"/>
      <c r="AA32" s="98"/>
      <c r="AB32" s="98"/>
      <c r="AC32" s="98"/>
      <c r="AD32" s="98"/>
      <c r="AE32" s="98"/>
      <c r="AF32" s="103"/>
      <c r="AG32" s="103"/>
      <c r="AH32" s="98"/>
      <c r="AI32" s="107"/>
      <c r="AJ32" s="108"/>
      <c r="AK32" s="10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60"/>
      <c r="AX32" s="102" t="str">
        <f t="shared" si="34"/>
        <v>-</v>
      </c>
      <c r="AY32" s="114"/>
      <c r="AZ32" s="116" t="str">
        <f t="shared" si="1"/>
        <v/>
      </c>
      <c r="BA32" s="117" t="str">
        <f t="shared" si="2"/>
        <v/>
      </c>
      <c r="BB32" s="176" t="str">
        <f t="shared" si="3"/>
        <v/>
      </c>
      <c r="BC32" s="114"/>
      <c r="BD32" s="118" t="str">
        <f t="shared" si="31"/>
        <v/>
      </c>
      <c r="BE32" s="177" t="str">
        <f t="shared" si="33"/>
        <v/>
      </c>
      <c r="BF32" s="119" t="str">
        <f t="shared" si="32"/>
        <v/>
      </c>
      <c r="BG32" s="119" t="str">
        <f>+IF(SUM(AO32:AR32)&gt;0,AO32/AN32,"")</f>
        <v/>
      </c>
      <c r="BH32" s="119" t="str">
        <f t="shared" si="7"/>
        <v/>
      </c>
      <c r="BI32" s="120" t="str">
        <f>+IF(SUM(AO32:AR32)&gt;0,AQ32/AN32,"")</f>
        <v/>
      </c>
      <c r="BJ32" s="114"/>
      <c r="BK32" s="121" t="str">
        <f t="shared" si="8"/>
        <v/>
      </c>
      <c r="BL32" s="122" t="str">
        <f t="shared" si="9"/>
        <v/>
      </c>
      <c r="BM32" s="122" t="str">
        <f t="shared" si="10"/>
        <v/>
      </c>
      <c r="BN32" s="123" t="str">
        <f t="shared" si="11"/>
        <v/>
      </c>
      <c r="BO32" s="114"/>
      <c r="BP32" s="124" t="str">
        <f t="shared" si="12"/>
        <v/>
      </c>
      <c r="BQ32" s="125">
        <v>0</v>
      </c>
      <c r="BR32" s="125" t="str">
        <f>IF(AJ32&gt;0,(AK32/AJ32),"")</f>
        <v/>
      </c>
      <c r="BS32" s="125" t="str">
        <f>IF(AJ32&gt;0,(AK32/AJ32),"")</f>
        <v/>
      </c>
      <c r="BT32" s="126" t="str">
        <f t="shared" si="13"/>
        <v/>
      </c>
      <c r="BU32" s="114"/>
      <c r="BV32" s="127" t="str">
        <f t="shared" si="14"/>
        <v/>
      </c>
      <c r="BW32" s="127" t="str">
        <f t="shared" si="15"/>
        <v/>
      </c>
      <c r="BX32" s="127" t="str">
        <f t="shared" si="16"/>
        <v/>
      </c>
      <c r="BY32" s="127" t="str">
        <f t="shared" si="17"/>
        <v/>
      </c>
      <c r="BZ32" s="127" t="str">
        <f>IF(AN32&gt;0,(AJ32/AN32),"")</f>
        <v/>
      </c>
      <c r="CA32" s="128" t="str">
        <f>IF(AN32&gt;0,(AK32/AN32),"")</f>
        <v/>
      </c>
      <c r="CB32" s="114"/>
      <c r="CC32" s="129" t="str">
        <f t="shared" si="18"/>
        <v>-</v>
      </c>
      <c r="CD32" s="130" t="str">
        <f t="shared" si="19"/>
        <v>-</v>
      </c>
      <c r="CE32" s="130" t="str">
        <f t="shared" si="20"/>
        <v>-</v>
      </c>
      <c r="CF32" s="130" t="str">
        <f t="shared" si="21"/>
        <v>-</v>
      </c>
      <c r="CG32" s="131" t="str">
        <f t="shared" si="22"/>
        <v>-</v>
      </c>
      <c r="CH32" s="114"/>
    </row>
    <row r="33" spans="1:86" s="115" customFormat="1" ht="12.4" customHeight="1" thickBot="1" x14ac:dyDescent="0.25">
      <c r="A33" s="96">
        <f t="shared" si="29"/>
        <v>46325</v>
      </c>
      <c r="B33" s="97" t="str">
        <f t="shared" si="30"/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60"/>
      <c r="AX33" s="102" t="str">
        <f>IFERROR(AN33/AW33,"-")</f>
        <v>-</v>
      </c>
      <c r="AY33" s="114"/>
      <c r="AZ33" s="116" t="str">
        <f>IF(E33&gt;0,F33/E33,"")</f>
        <v/>
      </c>
      <c r="BA33" s="117" t="str">
        <f>+IF(E33&gt;0,G33/E33,"")</f>
        <v/>
      </c>
      <c r="BB33" s="176" t="str">
        <f>+IF(E33&gt;0,AJ33/E33,"")</f>
        <v/>
      </c>
      <c r="BC33" s="114"/>
      <c r="BD33" s="118" t="str">
        <f>+IF(G33&gt;0,I33/G33,"")</f>
        <v/>
      </c>
      <c r="BE33" s="177" t="str">
        <f>+IF(G33&gt;0,J33/G33,"")</f>
        <v/>
      </c>
      <c r="BF33" s="119" t="str">
        <f>+IF(I33&gt;0,L33/I33,"")</f>
        <v/>
      </c>
      <c r="BG33" s="119" t="str">
        <f>+IF(SUM(AO33:AR33)&gt;0,AO33/AN33,"")</f>
        <v/>
      </c>
      <c r="BH33" s="119" t="str">
        <f>+IF(G33&gt;0,K33/G33,"")</f>
        <v/>
      </c>
      <c r="BI33" s="120" t="str">
        <f>+IF(SUM(AO33:AR33)&gt;0,AQ33/AN33,"")</f>
        <v/>
      </c>
      <c r="BJ33" s="114"/>
      <c r="BK33" s="121" t="str">
        <f>+IF(E33&gt;0,(AJ33/E33),"")</f>
        <v/>
      </c>
      <c r="BL33" s="122" t="str">
        <f>+IF(E33&gt;0,(AJ33/F33),"")</f>
        <v/>
      </c>
      <c r="BM33" s="122" t="str">
        <f>+IF(E33&gt;0,(AJ33/G33),"")</f>
        <v/>
      </c>
      <c r="BN33" s="123" t="str">
        <f>+IF(E33&gt;0,(AJ33/J33),"")</f>
        <v/>
      </c>
      <c r="BO33" s="114"/>
      <c r="BP33" s="124" t="str">
        <f>IF(AJ33&gt;0,(N33/AJ33),"")</f>
        <v/>
      </c>
      <c r="BQ33" s="125">
        <v>0</v>
      </c>
      <c r="BR33" s="125" t="str">
        <f>IF(AJ33&gt;0,(AK33/AJ33),"")</f>
        <v/>
      </c>
      <c r="BS33" s="125" t="str">
        <f>IF(AJ33&gt;0,(AK33/AJ33),"")</f>
        <v/>
      </c>
      <c r="BT33" s="126" t="str">
        <f>IF(J33&gt;0,AD33/J33,"")</f>
        <v/>
      </c>
      <c r="BU33" s="114"/>
      <c r="BV33" s="127" t="str">
        <f>IF(AN33&gt;0,(E33/AN33),"")</f>
        <v/>
      </c>
      <c r="BW33" s="127" t="str">
        <f>IF(AN33&gt;0,(G33/AN33),"")</f>
        <v/>
      </c>
      <c r="BX33" s="127" t="str">
        <f>IF(AN33&gt;0,(J33/AN33),"")</f>
        <v/>
      </c>
      <c r="BY33" s="127" t="str">
        <f>IF(AN33&gt;0,(K33/AN33),"")</f>
        <v/>
      </c>
      <c r="BZ33" s="127" t="str">
        <f>IF(AN33&gt;0,(AJ33/AN33),"")</f>
        <v/>
      </c>
      <c r="CA33" s="128" t="str">
        <f>IF(AN33&gt;0,(AK33/AN33),"")</f>
        <v/>
      </c>
      <c r="CB33" s="114"/>
      <c r="CC33" s="129" t="str">
        <f>IFERROR(((AN33-AO33)*3600)/J33,"-")</f>
        <v>-</v>
      </c>
      <c r="CD33" s="130" t="str">
        <f>IFERROR((AR33*3600)/J33,"-")</f>
        <v>-</v>
      </c>
      <c r="CE33" s="130" t="str">
        <f>IFERROR((AQ33*3600)/J33,"-")</f>
        <v>-</v>
      </c>
      <c r="CF33" s="130" t="str">
        <f>IFERROR((AO33*3600)/J33,"-")</f>
        <v>-</v>
      </c>
      <c r="CG33" s="131" t="str">
        <f>IFERROR((AP33*3600)/J33,"-")</f>
        <v>-</v>
      </c>
      <c r="CH33" s="114"/>
    </row>
    <row r="34" spans="1:86" s="115" customFormat="1" ht="12.4" customHeight="1" thickBot="1" x14ac:dyDescent="0.25">
      <c r="A34" s="96">
        <f t="shared" si="29"/>
        <v>46326</v>
      </c>
      <c r="B34" s="97" t="str">
        <f t="shared" si="30"/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60"/>
      <c r="AX34" s="102" t="str">
        <f t="shared" si="34"/>
        <v>-</v>
      </c>
      <c r="AY34" s="114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14"/>
      <c r="BD34" s="118" t="str">
        <f t="shared" si="31"/>
        <v/>
      </c>
      <c r="BE34" s="119" t="str">
        <f t="shared" si="33"/>
        <v/>
      </c>
      <c r="BF34" s="119" t="str">
        <f t="shared" si="32"/>
        <v/>
      </c>
      <c r="BG34" s="119" t="str">
        <f>+IF(SUM(AO34:AR34)&gt;0,AO34/AN34,"")</f>
        <v/>
      </c>
      <c r="BH34" s="119" t="str">
        <f t="shared" si="7"/>
        <v/>
      </c>
      <c r="BI34" s="120" t="str">
        <f>+IF(SUM(AO34:AR34)&gt;0,AQ34/AN34,"")</f>
        <v/>
      </c>
      <c r="BJ34" s="114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14"/>
      <c r="BP34" s="124" t="str">
        <f t="shared" si="12"/>
        <v/>
      </c>
      <c r="BQ34" s="125">
        <v>0</v>
      </c>
      <c r="BR34" s="125" t="str">
        <f>IF(AJ34&gt;0,(AK34/AJ34),"")</f>
        <v/>
      </c>
      <c r="BS34" s="125" t="str">
        <f>IF(AJ34&gt;0,(AK34/AJ34),"")</f>
        <v/>
      </c>
      <c r="BT34" s="126" t="str">
        <f t="shared" si="13"/>
        <v/>
      </c>
      <c r="BU34" s="114"/>
      <c r="BV34" s="132" t="str">
        <f t="shared" si="14"/>
        <v/>
      </c>
      <c r="BW34" s="127" t="str">
        <f t="shared" si="15"/>
        <v/>
      </c>
      <c r="BX34" s="127" t="str">
        <f t="shared" si="16"/>
        <v/>
      </c>
      <c r="BY34" s="127" t="str">
        <f t="shared" si="17"/>
        <v/>
      </c>
      <c r="BZ34" s="127" t="str">
        <f>IF(AN34&gt;0,(AJ34/AN34),"")</f>
        <v/>
      </c>
      <c r="CA34" s="128" t="str">
        <f>IF(AN34&gt;0,(AK34/AN34),"")</f>
        <v/>
      </c>
      <c r="CB34" s="114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14"/>
    </row>
    <row r="35" spans="1:86" s="115" customFormat="1" ht="13.15" customHeight="1" thickBot="1" x14ac:dyDescent="0.25">
      <c r="A35" s="235" t="s">
        <v>68</v>
      </c>
      <c r="B35" s="236"/>
      <c r="C35" s="109" t="e">
        <f t="shared" ref="C35:AW35" si="35">AVERAGE(C4:C34)</f>
        <v>#DIV/0!</v>
      </c>
      <c r="D35" s="109" t="e">
        <f t="shared" si="35"/>
        <v>#DIV/0!</v>
      </c>
      <c r="E35" s="109" t="e">
        <f t="shared" si="35"/>
        <v>#DIV/0!</v>
      </c>
      <c r="F35" s="109" t="e">
        <f t="shared" si="35"/>
        <v>#DIV/0!</v>
      </c>
      <c r="G35" s="109" t="e">
        <f t="shared" si="35"/>
        <v>#DIV/0!</v>
      </c>
      <c r="H35" s="109" t="e">
        <f t="shared" si="35"/>
        <v>#DIV/0!</v>
      </c>
      <c r="I35" s="109" t="e">
        <f t="shared" si="35"/>
        <v>#DIV/0!</v>
      </c>
      <c r="J35" s="109" t="e">
        <f t="shared" si="35"/>
        <v>#DIV/0!</v>
      </c>
      <c r="K35" s="109" t="e">
        <f t="shared" si="35"/>
        <v>#DIV/0!</v>
      </c>
      <c r="L35" s="109" t="e">
        <f t="shared" si="35"/>
        <v>#DIV/0!</v>
      </c>
      <c r="M35" s="109" t="e">
        <f t="shared" si="35"/>
        <v>#DIV/0!</v>
      </c>
      <c r="N35" s="109" t="e">
        <f t="shared" si="35"/>
        <v>#DIV/0!</v>
      </c>
      <c r="O35" s="109" t="e">
        <f t="shared" si="35"/>
        <v>#DIV/0!</v>
      </c>
      <c r="P35" s="109" t="e">
        <f t="shared" si="35"/>
        <v>#DIV/0!</v>
      </c>
      <c r="Q35" s="109" t="e">
        <f t="shared" si="35"/>
        <v>#DIV/0!</v>
      </c>
      <c r="R35" s="109" t="e">
        <f t="shared" si="35"/>
        <v>#DIV/0!</v>
      </c>
      <c r="S35" s="109" t="e">
        <f t="shared" si="35"/>
        <v>#DIV/0!</v>
      </c>
      <c r="T35" s="109" t="e">
        <f t="shared" si="35"/>
        <v>#DIV/0!</v>
      </c>
      <c r="U35" s="109" t="e">
        <f t="shared" si="35"/>
        <v>#DIV/0!</v>
      </c>
      <c r="V35" s="109" t="e">
        <f t="shared" si="35"/>
        <v>#DIV/0!</v>
      </c>
      <c r="W35" s="109" t="e">
        <f t="shared" si="35"/>
        <v>#DIV/0!</v>
      </c>
      <c r="X35" s="109" t="e">
        <f t="shared" si="35"/>
        <v>#DIV/0!</v>
      </c>
      <c r="Y35" s="109" t="e">
        <f t="shared" si="35"/>
        <v>#DIV/0!</v>
      </c>
      <c r="Z35" s="109" t="e">
        <f t="shared" si="35"/>
        <v>#DIV/0!</v>
      </c>
      <c r="AA35" s="109" t="e">
        <f t="shared" si="35"/>
        <v>#DIV/0!</v>
      </c>
      <c r="AB35" s="109" t="e">
        <f t="shared" si="35"/>
        <v>#DIV/0!</v>
      </c>
      <c r="AC35" s="109" t="e">
        <f t="shared" si="35"/>
        <v>#DIV/0!</v>
      </c>
      <c r="AD35" s="109" t="e">
        <f t="shared" si="35"/>
        <v>#DIV/0!</v>
      </c>
      <c r="AE35" s="109" t="e">
        <f t="shared" si="35"/>
        <v>#DIV/0!</v>
      </c>
      <c r="AF35" s="109" t="e">
        <f t="shared" si="35"/>
        <v>#DIV/0!</v>
      </c>
      <c r="AG35" s="109" t="e">
        <f t="shared" si="35"/>
        <v>#DIV/0!</v>
      </c>
      <c r="AH35" s="109" t="e">
        <f t="shared" si="35"/>
        <v>#DIV/0!</v>
      </c>
      <c r="AI35" s="109" t="e">
        <f t="shared" si="35"/>
        <v>#DIV/0!</v>
      </c>
      <c r="AJ35" s="109" t="e">
        <f t="shared" si="35"/>
        <v>#DIV/0!</v>
      </c>
      <c r="AK35" s="109" t="e">
        <f t="shared" si="35"/>
        <v>#DIV/0!</v>
      </c>
      <c r="AL35" s="109" t="e">
        <f t="shared" si="35"/>
        <v>#DIV/0!</v>
      </c>
      <c r="AM35" s="109" t="e">
        <f t="shared" si="35"/>
        <v>#DIV/0!</v>
      </c>
      <c r="AN35" s="109" t="e">
        <f t="shared" si="35"/>
        <v>#DIV/0!</v>
      </c>
      <c r="AO35" s="109" t="e">
        <f t="shared" si="35"/>
        <v>#DIV/0!</v>
      </c>
      <c r="AP35" s="109" t="e">
        <f t="shared" si="35"/>
        <v>#DIV/0!</v>
      </c>
      <c r="AQ35" s="109" t="e">
        <f t="shared" si="35"/>
        <v>#DIV/0!</v>
      </c>
      <c r="AR35" s="109" t="e">
        <f t="shared" si="35"/>
        <v>#DIV/0!</v>
      </c>
      <c r="AS35" s="109" t="e">
        <f t="shared" si="35"/>
        <v>#DIV/0!</v>
      </c>
      <c r="AT35" s="109" t="e">
        <f t="shared" si="35"/>
        <v>#DIV/0!</v>
      </c>
      <c r="AU35" s="109" t="e">
        <f t="shared" si="35"/>
        <v>#DIV/0!</v>
      </c>
      <c r="AV35" s="109" t="e">
        <f t="shared" si="35"/>
        <v>#DIV/0!</v>
      </c>
      <c r="AW35" s="109" t="e">
        <f t="shared" si="35"/>
        <v>#DIV/0!</v>
      </c>
      <c r="AX35" s="110" t="str">
        <f t="shared" si="34"/>
        <v>-</v>
      </c>
      <c r="AY35" s="114"/>
      <c r="AZ35" s="133" t="e">
        <f t="shared" si="1"/>
        <v>#DIV/0!</v>
      </c>
      <c r="BA35" s="134" t="e">
        <f t="shared" si="2"/>
        <v>#DIV/0!</v>
      </c>
      <c r="BB35" s="135" t="e">
        <f t="shared" si="3"/>
        <v>#DIV/0!</v>
      </c>
      <c r="BC35" s="114"/>
      <c r="BD35" s="133" t="e">
        <f t="shared" si="31"/>
        <v>#DIV/0!</v>
      </c>
      <c r="BE35" s="136" t="e">
        <f t="shared" si="33"/>
        <v>#DIV/0!</v>
      </c>
      <c r="BF35" s="136" t="e">
        <f t="shared" si="32"/>
        <v>#DIV/0!</v>
      </c>
      <c r="BG35" s="136" t="e">
        <f t="shared" si="23"/>
        <v>#DIV/0!</v>
      </c>
      <c r="BH35" s="136" t="e">
        <f t="shared" si="7"/>
        <v>#DIV/0!</v>
      </c>
      <c r="BI35" s="135" t="e">
        <f t="shared" si="24"/>
        <v>#DIV/0!</v>
      </c>
      <c r="BJ35" s="114"/>
      <c r="BK35" s="133" t="e">
        <f t="shared" si="8"/>
        <v>#DIV/0!</v>
      </c>
      <c r="BL35" s="136" t="e">
        <f t="shared" si="9"/>
        <v>#DIV/0!</v>
      </c>
      <c r="BM35" s="136" t="e">
        <f t="shared" si="10"/>
        <v>#DIV/0!</v>
      </c>
      <c r="BN35" s="135" t="e">
        <f t="shared" si="11"/>
        <v>#DIV/0!</v>
      </c>
      <c r="BO35" s="114"/>
      <c r="BP35" s="133" t="e">
        <f t="shared" si="12"/>
        <v>#DIV/0!</v>
      </c>
      <c r="BQ35" s="136">
        <v>0</v>
      </c>
      <c r="BR35" s="136" t="e">
        <f t="shared" si="25"/>
        <v>#DIV/0!</v>
      </c>
      <c r="BS35" s="136" t="e">
        <f t="shared" si="26"/>
        <v>#DIV/0!</v>
      </c>
      <c r="BT35" s="135" t="e">
        <f t="shared" si="13"/>
        <v>#DIV/0!</v>
      </c>
      <c r="BU35" s="114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7"/>
        <v>#DIV/0!</v>
      </c>
      <c r="CA35" s="139" t="e">
        <f t="shared" si="28"/>
        <v>#DIV/0!</v>
      </c>
      <c r="CB35" s="114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14"/>
    </row>
    <row r="36" spans="1:86" s="115" customFormat="1" ht="13.15" customHeight="1" thickBot="1" x14ac:dyDescent="0.25">
      <c r="A36" s="235" t="s">
        <v>69</v>
      </c>
      <c r="B36" s="236"/>
      <c r="C36" s="111">
        <f t="shared" ref="C36:AW36" si="36">SUM(C4:C34)</f>
        <v>0</v>
      </c>
      <c r="D36" s="111">
        <f t="shared" si="36"/>
        <v>0</v>
      </c>
      <c r="E36" s="111">
        <f t="shared" si="36"/>
        <v>0</v>
      </c>
      <c r="F36" s="111">
        <f t="shared" si="36"/>
        <v>0</v>
      </c>
      <c r="G36" s="111">
        <f t="shared" si="36"/>
        <v>0</v>
      </c>
      <c r="H36" s="111">
        <f t="shared" si="36"/>
        <v>0</v>
      </c>
      <c r="I36" s="111">
        <f t="shared" si="36"/>
        <v>0</v>
      </c>
      <c r="J36" s="111">
        <f t="shared" si="36"/>
        <v>0</v>
      </c>
      <c r="K36" s="111">
        <f t="shared" si="36"/>
        <v>0</v>
      </c>
      <c r="L36" s="111">
        <f t="shared" si="36"/>
        <v>0</v>
      </c>
      <c r="M36" s="111">
        <f t="shared" si="36"/>
        <v>0</v>
      </c>
      <c r="N36" s="111">
        <f t="shared" si="36"/>
        <v>0</v>
      </c>
      <c r="O36" s="111">
        <f t="shared" si="36"/>
        <v>0</v>
      </c>
      <c r="P36" s="111">
        <f t="shared" si="36"/>
        <v>0</v>
      </c>
      <c r="Q36" s="111">
        <f t="shared" si="36"/>
        <v>0</v>
      </c>
      <c r="R36" s="111">
        <f t="shared" si="36"/>
        <v>0</v>
      </c>
      <c r="S36" s="111">
        <f t="shared" si="36"/>
        <v>0</v>
      </c>
      <c r="T36" s="111">
        <f t="shared" si="36"/>
        <v>0</v>
      </c>
      <c r="U36" s="111">
        <f t="shared" si="36"/>
        <v>0</v>
      </c>
      <c r="V36" s="111">
        <f t="shared" si="36"/>
        <v>0</v>
      </c>
      <c r="W36" s="111">
        <f t="shared" si="36"/>
        <v>0</v>
      </c>
      <c r="X36" s="111">
        <f t="shared" si="36"/>
        <v>0</v>
      </c>
      <c r="Y36" s="111">
        <f t="shared" si="36"/>
        <v>0</v>
      </c>
      <c r="Z36" s="111">
        <f t="shared" si="36"/>
        <v>0</v>
      </c>
      <c r="AA36" s="111">
        <f t="shared" si="36"/>
        <v>0</v>
      </c>
      <c r="AB36" s="111">
        <f t="shared" si="36"/>
        <v>0</v>
      </c>
      <c r="AC36" s="111">
        <f t="shared" si="36"/>
        <v>0</v>
      </c>
      <c r="AD36" s="111">
        <f t="shared" si="36"/>
        <v>0</v>
      </c>
      <c r="AE36" s="111">
        <f t="shared" si="36"/>
        <v>0</v>
      </c>
      <c r="AF36" s="111">
        <f t="shared" si="36"/>
        <v>0</v>
      </c>
      <c r="AG36" s="111">
        <f t="shared" si="36"/>
        <v>0</v>
      </c>
      <c r="AH36" s="111">
        <f t="shared" si="36"/>
        <v>0</v>
      </c>
      <c r="AI36" s="111">
        <f t="shared" si="36"/>
        <v>0</v>
      </c>
      <c r="AJ36" s="111">
        <f t="shared" si="36"/>
        <v>0</v>
      </c>
      <c r="AK36" s="111">
        <f t="shared" si="36"/>
        <v>0</v>
      </c>
      <c r="AL36" s="111">
        <f t="shared" si="36"/>
        <v>0</v>
      </c>
      <c r="AM36" s="111">
        <f t="shared" si="36"/>
        <v>0</v>
      </c>
      <c r="AN36" s="111">
        <f t="shared" si="36"/>
        <v>0</v>
      </c>
      <c r="AO36" s="111">
        <f t="shared" si="36"/>
        <v>0</v>
      </c>
      <c r="AP36" s="111">
        <f t="shared" si="36"/>
        <v>0</v>
      </c>
      <c r="AQ36" s="111">
        <f t="shared" si="36"/>
        <v>0</v>
      </c>
      <c r="AR36" s="111">
        <f t="shared" si="36"/>
        <v>0</v>
      </c>
      <c r="AS36" s="111">
        <f t="shared" si="36"/>
        <v>0</v>
      </c>
      <c r="AT36" s="111">
        <f t="shared" si="36"/>
        <v>0</v>
      </c>
      <c r="AU36" s="111">
        <f t="shared" si="36"/>
        <v>0</v>
      </c>
      <c r="AV36" s="111">
        <f t="shared" si="36"/>
        <v>0</v>
      </c>
      <c r="AW36" s="111">
        <f t="shared" si="36"/>
        <v>0</v>
      </c>
      <c r="AX36" s="112" t="str">
        <f t="shared" si="34"/>
        <v>-</v>
      </c>
      <c r="AY36" s="140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40"/>
      <c r="BD36" s="141" t="str">
        <f t="shared" si="31"/>
        <v/>
      </c>
      <c r="BE36" s="144" t="str">
        <f t="shared" si="33"/>
        <v/>
      </c>
      <c r="BF36" s="144" t="str">
        <f t="shared" si="32"/>
        <v/>
      </c>
      <c r="BG36" s="144" t="str">
        <f t="shared" si="23"/>
        <v/>
      </c>
      <c r="BH36" s="144" t="str">
        <f t="shared" si="7"/>
        <v/>
      </c>
      <c r="BI36" s="143" t="str">
        <f t="shared" si="24"/>
        <v/>
      </c>
      <c r="BJ36" s="140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40"/>
      <c r="BP36" s="141" t="str">
        <f t="shared" si="12"/>
        <v/>
      </c>
      <c r="BQ36" s="144">
        <v>0</v>
      </c>
      <c r="BR36" s="144" t="str">
        <f t="shared" si="25"/>
        <v/>
      </c>
      <c r="BS36" s="144" t="str">
        <f t="shared" si="26"/>
        <v/>
      </c>
      <c r="BT36" s="143" t="str">
        <f t="shared" si="13"/>
        <v/>
      </c>
      <c r="BU36" s="140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7"/>
        <v/>
      </c>
      <c r="CA36" s="147" t="str">
        <f t="shared" si="28"/>
        <v/>
      </c>
      <c r="CB36" s="140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40"/>
    </row>
    <row r="37" spans="1:86" x14ac:dyDescent="0.2"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</row>
  </sheetData>
  <mergeCells count="88">
    <mergeCell ref="AZ1:BB1"/>
    <mergeCell ref="BD1:BI1"/>
    <mergeCell ref="BK1:BN1"/>
    <mergeCell ref="BP1:BT1"/>
    <mergeCell ref="CC1:CG1"/>
    <mergeCell ref="BV1:CA1"/>
    <mergeCell ref="CG2:CG3"/>
    <mergeCell ref="A35:B35"/>
    <mergeCell ref="A36:B36"/>
    <mergeCell ref="CA2:CA3"/>
    <mergeCell ref="CC2:CC3"/>
    <mergeCell ref="CD2:CD3"/>
    <mergeCell ref="CE2:CE3"/>
    <mergeCell ref="CF2:CF3"/>
    <mergeCell ref="BT2:BT3"/>
    <mergeCell ref="BV2:BV3"/>
    <mergeCell ref="BW2:BW3"/>
    <mergeCell ref="BX2:BX3"/>
    <mergeCell ref="BY2:BY3"/>
    <mergeCell ref="BZ2:BZ3"/>
    <mergeCell ref="BM2:BM3"/>
    <mergeCell ref="BN2:BN3"/>
    <mergeCell ref="BP2:BP3"/>
    <mergeCell ref="BR2:BR3"/>
    <mergeCell ref="BS2:BS3"/>
    <mergeCell ref="BG2:BG3"/>
    <mergeCell ref="BH2:BH3"/>
    <mergeCell ref="BI2:BI3"/>
    <mergeCell ref="BK2:BK3"/>
    <mergeCell ref="BL2:BL3"/>
    <mergeCell ref="BQ2:BQ3"/>
    <mergeCell ref="BA2:BA3"/>
    <mergeCell ref="BB2:BB3"/>
    <mergeCell ref="BD2:BD3"/>
    <mergeCell ref="BE2:BE3"/>
    <mergeCell ref="BF2:BF3"/>
    <mergeCell ref="AU2:AU3"/>
    <mergeCell ref="AV2:AV3"/>
    <mergeCell ref="AW2:AW3"/>
    <mergeCell ref="AX2:AX3"/>
    <mergeCell ref="AZ2:AZ3"/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H2:AH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E2:E3"/>
    <mergeCell ref="V2:V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B1"/>
    <mergeCell ref="A2:A3"/>
    <mergeCell ref="B2:B3"/>
    <mergeCell ref="C2:C3"/>
    <mergeCell ref="D2:D3"/>
    <mergeCell ref="W2:W3"/>
    <mergeCell ref="X2:X3"/>
    <mergeCell ref="F2:F3"/>
    <mergeCell ref="G2:G3"/>
    <mergeCell ref="H2:H3"/>
    <mergeCell ref="I2:I3"/>
    <mergeCell ref="U2:U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CY37"/>
  <sheetViews>
    <sheetView showGridLines="0" zoomScaleNormal="100" workbookViewId="0">
      <selection activeCell="B2" sqref="B2:B3"/>
    </sheetView>
  </sheetViews>
  <sheetFormatPr defaultColWidth="0" defaultRowHeight="11.25" x14ac:dyDescent="0.2"/>
  <cols>
    <col min="1" max="1" width="9.7109375" style="154" bestFit="1" customWidth="1"/>
    <col min="2" max="2" width="4.5703125" style="154" customWidth="1"/>
    <col min="3" max="3" width="15.42578125" style="154" bestFit="1" customWidth="1"/>
    <col min="4" max="4" width="18.7109375" style="154" bestFit="1" customWidth="1"/>
    <col min="5" max="5" width="19.85546875" style="154" bestFit="1" customWidth="1"/>
    <col min="6" max="6" width="15.85546875" style="154" bestFit="1" customWidth="1"/>
    <col min="7" max="7" width="6.7109375" style="154" bestFit="1" customWidth="1"/>
    <col min="8" max="8" width="18.42578125" style="154" bestFit="1" customWidth="1"/>
    <col min="9" max="9" width="8.85546875" style="154" bestFit="1" customWidth="1"/>
    <col min="10" max="10" width="9.42578125" style="154" customWidth="1"/>
    <col min="11" max="11" width="10.85546875" style="154" bestFit="1" customWidth="1"/>
    <col min="12" max="12" width="7.140625" style="154" bestFit="1" customWidth="1"/>
    <col min="13" max="13" width="5.85546875" style="154" bestFit="1" customWidth="1"/>
    <col min="14" max="14" width="5.5703125" style="154" bestFit="1" customWidth="1"/>
    <col min="15" max="15" width="4.7109375" style="154" bestFit="1" customWidth="1"/>
    <col min="16" max="16" width="4.5703125" style="154" bestFit="1" customWidth="1"/>
    <col min="17" max="17" width="5.42578125" style="154" bestFit="1" customWidth="1"/>
    <col min="18" max="18" width="4" style="154" bestFit="1" customWidth="1"/>
    <col min="19" max="19" width="5.5703125" style="154" bestFit="1" customWidth="1"/>
    <col min="20" max="20" width="3.5703125" style="154" bestFit="1" customWidth="1"/>
    <col min="21" max="21" width="5.85546875" style="154" bestFit="1" customWidth="1"/>
    <col min="22" max="23" width="3.28515625" style="154" bestFit="1" customWidth="1"/>
    <col min="24" max="24" width="5" style="154" bestFit="1" customWidth="1"/>
    <col min="25" max="25" width="3.85546875" style="154" bestFit="1" customWidth="1"/>
    <col min="26" max="26" width="3.42578125" style="154" bestFit="1" customWidth="1"/>
    <col min="27" max="27" width="5.5703125" style="154" bestFit="1" customWidth="1"/>
    <col min="28" max="28" width="5.7109375" style="154" customWidth="1"/>
    <col min="29" max="29" width="4" style="154" bestFit="1" customWidth="1"/>
    <col min="30" max="30" width="3.28515625" style="154" bestFit="1" customWidth="1"/>
    <col min="31" max="31" width="5.42578125" style="154" bestFit="1" customWidth="1"/>
    <col min="32" max="34" width="4.42578125" style="154" bestFit="1" customWidth="1"/>
    <col min="35" max="35" width="13.140625" style="154" bestFit="1" customWidth="1"/>
    <col min="36" max="36" width="15.5703125" style="154" bestFit="1" customWidth="1"/>
    <col min="37" max="37" width="16.140625" style="154" bestFit="1" customWidth="1"/>
    <col min="38" max="38" width="15.28515625" style="154" bestFit="1" customWidth="1"/>
    <col min="39" max="39" width="15.7109375" style="154" bestFit="1" customWidth="1"/>
    <col min="40" max="40" width="16.140625" style="154" bestFit="1" customWidth="1"/>
    <col min="41" max="41" width="9.85546875" style="154" bestFit="1" customWidth="1"/>
    <col min="42" max="42" width="13.7109375" style="154" bestFit="1" customWidth="1"/>
    <col min="43" max="43" width="11" style="154" bestFit="1" customWidth="1"/>
    <col min="44" max="44" width="10.140625" style="154" bestFit="1" customWidth="1"/>
    <col min="45" max="45" width="12.42578125" style="158" bestFit="1" customWidth="1"/>
    <col min="46" max="47" width="12.140625" style="154" bestFit="1" customWidth="1"/>
    <col min="48" max="48" width="16.140625" style="154" bestFit="1" customWidth="1"/>
    <col min="49" max="50" width="16" style="154" bestFit="1" customWidth="1"/>
    <col min="51" max="51" width="1.5703125" style="154" customWidth="1"/>
    <col min="52" max="52" width="16.28515625" style="154" bestFit="1" customWidth="1"/>
    <col min="53" max="53" width="11.85546875" style="154" bestFit="1" customWidth="1"/>
    <col min="54" max="54" width="12.7109375" style="154" bestFit="1" customWidth="1"/>
    <col min="55" max="55" width="1.85546875" style="154" customWidth="1"/>
    <col min="56" max="56" width="12.5703125" style="154" bestFit="1" customWidth="1"/>
    <col min="57" max="57" width="13.28515625" style="154" bestFit="1" customWidth="1"/>
    <col min="58" max="58" width="20.28515625" style="154" bestFit="1" customWidth="1"/>
    <col min="59" max="59" width="9.42578125" style="154" bestFit="1" customWidth="1"/>
    <col min="60" max="60" width="14.7109375" style="154" bestFit="1" customWidth="1"/>
    <col min="61" max="61" width="10.5703125" style="154" bestFit="1" customWidth="1"/>
    <col min="62" max="62" width="1.5703125" style="154" customWidth="1"/>
    <col min="63" max="63" width="20.140625" style="154" bestFit="1" customWidth="1"/>
    <col min="64" max="64" width="25.28515625" style="154" bestFit="1" customWidth="1"/>
    <col min="65" max="65" width="14" style="154" bestFit="1" customWidth="1"/>
    <col min="66" max="66" width="18" style="154" bestFit="1" customWidth="1"/>
    <col min="67" max="67" width="1.42578125" style="154" customWidth="1"/>
    <col min="68" max="68" width="9.140625" style="154" bestFit="1" customWidth="1"/>
    <col min="69" max="69" width="12.85546875" style="154" bestFit="1" customWidth="1"/>
    <col min="70" max="70" width="14" style="154" bestFit="1" customWidth="1"/>
    <col min="71" max="71" width="13.7109375" style="154" bestFit="1" customWidth="1"/>
    <col min="72" max="72" width="7.85546875" style="154" bestFit="1" customWidth="1"/>
    <col min="73" max="73" width="1.5703125" style="154" customWidth="1"/>
    <col min="74" max="74" width="18.42578125" style="154" bestFit="1" customWidth="1"/>
    <col min="75" max="75" width="14.42578125" style="154" bestFit="1" customWidth="1"/>
    <col min="76" max="76" width="18.42578125" style="154" bestFit="1" customWidth="1"/>
    <col min="77" max="77" width="18.85546875" style="154" bestFit="1" customWidth="1"/>
    <col min="78" max="78" width="18" style="154" bestFit="1" customWidth="1"/>
    <col min="79" max="79" width="18.5703125" style="154" bestFit="1" customWidth="1"/>
    <col min="80" max="80" width="1.7109375" style="154" customWidth="1"/>
    <col min="81" max="82" width="6.5703125" style="154" bestFit="1" customWidth="1"/>
    <col min="83" max="83" width="5.85546875" style="154" bestFit="1" customWidth="1"/>
    <col min="84" max="84" width="6.5703125" style="154" bestFit="1" customWidth="1"/>
    <col min="85" max="85" width="8.42578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>+TEXT(A4,"DDD")</f>
        <v>Thu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98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60"/>
      <c r="AX4" s="102" t="str">
        <f t="shared" ref="AX4:AX31" si="0">IFERROR(AN4/AW4,"-")</f>
        <v>-</v>
      </c>
      <c r="AY4" s="151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51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51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51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51"/>
      <c r="BV4" s="127" t="str">
        <f t="shared" ref="BV4:BV36" si="14">IF(AN4&gt;0,(E4/AN4),"")</f>
        <v/>
      </c>
      <c r="BW4" s="127" t="str">
        <f t="shared" ref="BW4:BW36" si="15">IF(AN4&gt;0,(G4/AN4),"")</f>
        <v/>
      </c>
      <c r="BX4" s="127" t="str">
        <f t="shared" ref="BX4:BX36" si="16">IF(AN4&gt;0,(J4/AN4),"")</f>
        <v/>
      </c>
      <c r="BY4" s="127" t="str">
        <f t="shared" ref="BY4:BY36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51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51"/>
    </row>
    <row r="5" spans="1:86" s="115" customFormat="1" ht="12.4" customHeight="1" thickBot="1" x14ac:dyDescent="0.25">
      <c r="A5" s="96">
        <f>EL_DEL_CD2_JO_!A5</f>
        <v>46297</v>
      </c>
      <c r="B5" s="97" t="str">
        <f t="shared" ref="B5:B34" si="23">+TEXT(A5,"DDD")</f>
        <v>Fri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98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60"/>
      <c r="AX5" s="102" t="str">
        <f t="shared" si="0"/>
        <v>-</v>
      </c>
      <c r="AY5" s="151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51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ref="BG5:BG36" si="24">+IF(SUM(AO5:AR5)&gt;0,AO5/AN5,"")</f>
        <v/>
      </c>
      <c r="BH5" s="119" t="str">
        <f t="shared" si="7"/>
        <v/>
      </c>
      <c r="BI5" s="120" t="str">
        <f t="shared" ref="BI5:BI36" si="25">+IF(SUM(AO5:AR5)&gt;0,AQ5/AN5,"")</f>
        <v/>
      </c>
      <c r="BJ5" s="151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51"/>
      <c r="BP5" s="124" t="str">
        <f t="shared" si="12"/>
        <v/>
      </c>
      <c r="BQ5" s="125">
        <v>0</v>
      </c>
      <c r="BR5" s="125" t="str">
        <f t="shared" ref="BR5:BR36" si="26">IF(AJ5&gt;0,(AK5/AJ5),"")</f>
        <v/>
      </c>
      <c r="BS5" s="125" t="str">
        <f t="shared" ref="BS5:BS36" si="27">IF(AJ5&gt;0,(AK5/AJ5),"")</f>
        <v/>
      </c>
      <c r="BT5" s="126" t="str">
        <f t="shared" si="13"/>
        <v/>
      </c>
      <c r="BU5" s="151"/>
      <c r="BV5" s="127" t="str">
        <f t="shared" si="14"/>
        <v/>
      </c>
      <c r="BW5" s="127" t="str">
        <f t="shared" si="15"/>
        <v/>
      </c>
      <c r="BX5" s="127" t="str">
        <f t="shared" si="16"/>
        <v/>
      </c>
      <c r="BY5" s="127" t="str">
        <f t="shared" si="17"/>
        <v/>
      </c>
      <c r="BZ5" s="127" t="str">
        <f t="shared" ref="BZ5:BZ36" si="28">IF(AN5&gt;0,(AJ5/AN5),"")</f>
        <v/>
      </c>
      <c r="CA5" s="128" t="str">
        <f t="shared" ref="CA5:CA36" si="29">IF(AN5&gt;0,(AK5/AN5),"")</f>
        <v/>
      </c>
      <c r="CB5" s="151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51"/>
    </row>
    <row r="6" spans="1:86" s="115" customFormat="1" ht="12.4" customHeight="1" thickBot="1" x14ac:dyDescent="0.25">
      <c r="A6" s="96">
        <f>EL_DEL_CD2_JO_!A6</f>
        <v>46298</v>
      </c>
      <c r="B6" s="97" t="str">
        <f t="shared" si="23"/>
        <v>Sat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98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60"/>
      <c r="AX6" s="102" t="str">
        <f t="shared" si="0"/>
        <v>-</v>
      </c>
      <c r="AY6" s="151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51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24"/>
        <v/>
      </c>
      <c r="BH6" s="119" t="str">
        <f t="shared" si="7"/>
        <v/>
      </c>
      <c r="BI6" s="120" t="str">
        <f t="shared" si="25"/>
        <v/>
      </c>
      <c r="BJ6" s="151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51"/>
      <c r="BP6" s="124" t="str">
        <f t="shared" si="12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3"/>
        <v/>
      </c>
      <c r="BU6" s="151"/>
      <c r="BV6" s="127" t="str">
        <f t="shared" si="14"/>
        <v/>
      </c>
      <c r="BW6" s="127" t="str">
        <f t="shared" si="15"/>
        <v/>
      </c>
      <c r="BX6" s="127" t="str">
        <f t="shared" si="16"/>
        <v/>
      </c>
      <c r="BY6" s="127" t="str">
        <f t="shared" si="17"/>
        <v/>
      </c>
      <c r="BZ6" s="127" t="str">
        <f t="shared" si="28"/>
        <v/>
      </c>
      <c r="CA6" s="128" t="str">
        <f t="shared" si="29"/>
        <v/>
      </c>
      <c r="CB6" s="151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51"/>
    </row>
    <row r="7" spans="1:86" s="115" customFormat="1" ht="12.4" customHeight="1" thickBot="1" x14ac:dyDescent="0.25">
      <c r="A7" s="96">
        <f>EL_DEL_CD2_JO_!A7</f>
        <v>46299</v>
      </c>
      <c r="B7" s="97" t="str">
        <f t="shared" si="23"/>
        <v>Sun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98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60"/>
      <c r="AX7" s="102" t="str">
        <f t="shared" si="0"/>
        <v>-</v>
      </c>
      <c r="AY7" s="151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51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24"/>
        <v/>
      </c>
      <c r="BH7" s="119" t="str">
        <f t="shared" si="7"/>
        <v/>
      </c>
      <c r="BI7" s="120" t="str">
        <f t="shared" si="25"/>
        <v/>
      </c>
      <c r="BJ7" s="151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51"/>
      <c r="BP7" s="124" t="str">
        <f t="shared" si="12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3"/>
        <v/>
      </c>
      <c r="BU7" s="151"/>
      <c r="BV7" s="127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si="28"/>
        <v/>
      </c>
      <c r="CA7" s="128" t="str">
        <f t="shared" si="29"/>
        <v/>
      </c>
      <c r="CB7" s="151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51"/>
    </row>
    <row r="8" spans="1:86" s="115" customFormat="1" ht="12.4" customHeight="1" thickBot="1" x14ac:dyDescent="0.25">
      <c r="A8" s="96">
        <f>EL_DEL_CD2_JO_!A8</f>
        <v>46300</v>
      </c>
      <c r="B8" s="97" t="str">
        <f t="shared" si="23"/>
        <v>Mon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98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60"/>
      <c r="AX8" s="102" t="str">
        <f t="shared" si="0"/>
        <v>-</v>
      </c>
      <c r="AY8" s="151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51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>+IF(SUM(AO8:AR8)&gt;0,AO8/AN8,"")</f>
        <v/>
      </c>
      <c r="BH8" s="119" t="str">
        <f t="shared" si="7"/>
        <v/>
      </c>
      <c r="BI8" s="120" t="str">
        <f>+IF(SUM(AO8:AR8)&gt;0,AQ8/AN8,"")</f>
        <v/>
      </c>
      <c r="BJ8" s="151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51"/>
      <c r="BP8" s="124" t="str">
        <f t="shared" si="12"/>
        <v/>
      </c>
      <c r="BQ8" s="125">
        <v>0</v>
      </c>
      <c r="BR8" s="125" t="str">
        <f>IF(AJ8&gt;0,(AK8/AJ8),"")</f>
        <v/>
      </c>
      <c r="BS8" s="125" t="str">
        <f>IF(AJ8&gt;0,(AK8/AJ8),"")</f>
        <v/>
      </c>
      <c r="BT8" s="126" t="str">
        <f t="shared" si="13"/>
        <v/>
      </c>
      <c r="BU8" s="151"/>
      <c r="BV8" s="127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>IF(AN8&gt;0,(AJ8/AN8),"")</f>
        <v/>
      </c>
      <c r="CA8" s="128" t="str">
        <f>IF(AN8&gt;0,(AK8/AN8),"")</f>
        <v/>
      </c>
      <c r="CB8" s="151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51"/>
    </row>
    <row r="9" spans="1:86" s="115" customFormat="1" ht="12.4" customHeight="1" thickBot="1" x14ac:dyDescent="0.25">
      <c r="A9" s="96">
        <f>EL_DEL_CD2_JO_!A9</f>
        <v>46301</v>
      </c>
      <c r="B9" s="97" t="str">
        <f t="shared" si="23"/>
        <v>Tue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98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60"/>
      <c r="AX9" s="102" t="str">
        <f t="shared" si="0"/>
        <v>-</v>
      </c>
      <c r="AY9" s="151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51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>+IF(SUM(AO9:AR9)&gt;0,AO9/AN9,"")</f>
        <v/>
      </c>
      <c r="BH9" s="119" t="str">
        <f t="shared" si="7"/>
        <v/>
      </c>
      <c r="BI9" s="120" t="str">
        <f>+IF(SUM(AO9:AR9)&gt;0,AQ9/AN9,"")</f>
        <v/>
      </c>
      <c r="BJ9" s="151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51"/>
      <c r="BP9" s="124" t="str">
        <f t="shared" si="12"/>
        <v/>
      </c>
      <c r="BQ9" s="125">
        <v>0</v>
      </c>
      <c r="BR9" s="125" t="str">
        <f>IF(AJ9&gt;0,(AK9/AJ9),"")</f>
        <v/>
      </c>
      <c r="BS9" s="125" t="str">
        <f>IF(AJ9&gt;0,(AK9/AJ9),"")</f>
        <v/>
      </c>
      <c r="BT9" s="126" t="str">
        <f t="shared" si="13"/>
        <v/>
      </c>
      <c r="BU9" s="151"/>
      <c r="BV9" s="127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>IF(AN9&gt;0,(AJ9/AN9),"")</f>
        <v/>
      </c>
      <c r="CA9" s="128" t="str">
        <f>IF(AN9&gt;0,(AK9/AN9),"")</f>
        <v/>
      </c>
      <c r="CB9" s="151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51"/>
    </row>
    <row r="10" spans="1:86" s="115" customFormat="1" ht="12.4" customHeight="1" thickBot="1" x14ac:dyDescent="0.25">
      <c r="A10" s="96">
        <f>EL_DEL_CD2_JO_!A10</f>
        <v>46302</v>
      </c>
      <c r="B10" s="97" t="str">
        <f t="shared" si="23"/>
        <v>Wed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98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60"/>
      <c r="AX10" s="102" t="str">
        <f t="shared" si="0"/>
        <v>-</v>
      </c>
      <c r="AY10" s="151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51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4"/>
        <v/>
      </c>
      <c r="BH10" s="119" t="str">
        <f t="shared" si="7"/>
        <v/>
      </c>
      <c r="BI10" s="120" t="str">
        <f t="shared" si="25"/>
        <v/>
      </c>
      <c r="BJ10" s="151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51"/>
      <c r="BP10" s="124" t="str">
        <f t="shared" si="12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3"/>
        <v/>
      </c>
      <c r="BU10" s="151"/>
      <c r="BV10" s="127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8"/>
        <v/>
      </c>
      <c r="CA10" s="128" t="str">
        <f t="shared" si="29"/>
        <v/>
      </c>
      <c r="CB10" s="151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51"/>
    </row>
    <row r="11" spans="1:86" s="115" customFormat="1" ht="12.4" customHeight="1" thickBot="1" x14ac:dyDescent="0.25">
      <c r="A11" s="96">
        <f>EL_DEL_CD2_JO_!A11</f>
        <v>46303</v>
      </c>
      <c r="B11" s="97" t="str">
        <f t="shared" si="23"/>
        <v>Thu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98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60"/>
      <c r="AX11" s="102" t="str">
        <f t="shared" si="0"/>
        <v>-</v>
      </c>
      <c r="AY11" s="151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51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4"/>
        <v/>
      </c>
      <c r="BH11" s="119" t="str">
        <f t="shared" si="7"/>
        <v/>
      </c>
      <c r="BI11" s="120" t="str">
        <f t="shared" si="25"/>
        <v/>
      </c>
      <c r="BJ11" s="151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51"/>
      <c r="BP11" s="124" t="str">
        <f t="shared" si="12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3"/>
        <v/>
      </c>
      <c r="BU11" s="151"/>
      <c r="BV11" s="127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8"/>
        <v/>
      </c>
      <c r="CA11" s="128" t="str">
        <f t="shared" si="29"/>
        <v/>
      </c>
      <c r="CB11" s="151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51"/>
    </row>
    <row r="12" spans="1:86" s="115" customFormat="1" ht="12.4" customHeight="1" thickBot="1" x14ac:dyDescent="0.25">
      <c r="A12" s="96">
        <f>EL_DEL_CD2_JO_!A12</f>
        <v>46304</v>
      </c>
      <c r="B12" s="97" t="str">
        <f t="shared" si="23"/>
        <v>Fri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98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60"/>
      <c r="AX12" s="102" t="str">
        <f t="shared" si="0"/>
        <v>-</v>
      </c>
      <c r="AY12" s="151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51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4"/>
        <v/>
      </c>
      <c r="BH12" s="119" t="str">
        <f t="shared" si="7"/>
        <v/>
      </c>
      <c r="BI12" s="120" t="str">
        <f t="shared" si="25"/>
        <v/>
      </c>
      <c r="BJ12" s="151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51"/>
      <c r="BP12" s="124" t="str">
        <f t="shared" si="12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3"/>
        <v/>
      </c>
      <c r="BU12" s="151"/>
      <c r="BV12" s="127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8"/>
        <v/>
      </c>
      <c r="CA12" s="128" t="str">
        <f t="shared" si="29"/>
        <v/>
      </c>
      <c r="CB12" s="151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51"/>
    </row>
    <row r="13" spans="1:86" s="115" customFormat="1" ht="12.4" customHeight="1" thickBot="1" x14ac:dyDescent="0.25">
      <c r="A13" s="96">
        <f>EL_DEL_CD2_JO_!A13</f>
        <v>46305</v>
      </c>
      <c r="B13" s="97" t="str">
        <f t="shared" si="23"/>
        <v>Sat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98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60"/>
      <c r="AX13" s="102" t="str">
        <f t="shared" si="0"/>
        <v>-</v>
      </c>
      <c r="AY13" s="151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51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4"/>
        <v/>
      </c>
      <c r="BH13" s="119" t="str">
        <f t="shared" si="7"/>
        <v/>
      </c>
      <c r="BI13" s="120" t="str">
        <f t="shared" si="25"/>
        <v/>
      </c>
      <c r="BJ13" s="151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51"/>
      <c r="BP13" s="124" t="str">
        <f t="shared" si="12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3"/>
        <v/>
      </c>
      <c r="BU13" s="151"/>
      <c r="BV13" s="127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8"/>
        <v/>
      </c>
      <c r="CA13" s="128" t="str">
        <f t="shared" si="29"/>
        <v/>
      </c>
      <c r="CB13" s="151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51"/>
    </row>
    <row r="14" spans="1:86" s="115" customFormat="1" ht="12.4" customHeight="1" thickBot="1" x14ac:dyDescent="0.25">
      <c r="A14" s="96">
        <f>EL_DEL_CD2_JO_!A14</f>
        <v>46306</v>
      </c>
      <c r="B14" s="97" t="str">
        <f t="shared" si="23"/>
        <v>Sun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98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60"/>
      <c r="AX14" s="102" t="str">
        <f t="shared" si="0"/>
        <v>-</v>
      </c>
      <c r="AY14" s="151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51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4"/>
        <v/>
      </c>
      <c r="BH14" s="119" t="str">
        <f t="shared" si="7"/>
        <v/>
      </c>
      <c r="BI14" s="120" t="str">
        <f t="shared" si="25"/>
        <v/>
      </c>
      <c r="BJ14" s="151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51"/>
      <c r="BP14" s="124" t="str">
        <f t="shared" si="12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3"/>
        <v/>
      </c>
      <c r="BU14" s="151"/>
      <c r="BV14" s="127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8"/>
        <v/>
      </c>
      <c r="CA14" s="128" t="str">
        <f t="shared" si="29"/>
        <v/>
      </c>
      <c r="CB14" s="151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51"/>
    </row>
    <row r="15" spans="1:86" s="115" customFormat="1" ht="12.4" customHeight="1" thickBot="1" x14ac:dyDescent="0.25">
      <c r="A15" s="96">
        <f>EL_DEL_CD2_JO_!A15</f>
        <v>46307</v>
      </c>
      <c r="B15" s="97" t="str">
        <f t="shared" si="23"/>
        <v>Mon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98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60"/>
      <c r="AX15" s="102" t="str">
        <f t="shared" si="0"/>
        <v>-</v>
      </c>
      <c r="AY15" s="151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51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>+IF(SUM(AO15:AR15)&gt;0,AO15/AN15,"")</f>
        <v/>
      </c>
      <c r="BH15" s="119" t="str">
        <f t="shared" si="7"/>
        <v/>
      </c>
      <c r="BI15" s="120" t="str">
        <f>+IF(SUM(AO15:AR15)&gt;0,AQ15/AN15,"")</f>
        <v/>
      </c>
      <c r="BJ15" s="151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51"/>
      <c r="BP15" s="124" t="str">
        <f t="shared" si="12"/>
        <v/>
      </c>
      <c r="BQ15" s="125">
        <v>0</v>
      </c>
      <c r="BR15" s="125" t="str">
        <f>IF(AJ15&gt;0,(AK15/AJ15),"")</f>
        <v/>
      </c>
      <c r="BS15" s="125" t="str">
        <f>IF(AJ15&gt;0,(AK15/AJ15),"")</f>
        <v/>
      </c>
      <c r="BT15" s="126" t="str">
        <f t="shared" si="13"/>
        <v/>
      </c>
      <c r="BU15" s="151"/>
      <c r="BV15" s="127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>IF(AN15&gt;0,(AJ15/AN15),"")</f>
        <v/>
      </c>
      <c r="CA15" s="128" t="str">
        <f>IF(AN15&gt;0,(AK15/AN15),"")</f>
        <v/>
      </c>
      <c r="CB15" s="151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51"/>
    </row>
    <row r="16" spans="1:86" s="115" customFormat="1" ht="12.4" customHeight="1" thickBot="1" x14ac:dyDescent="0.25">
      <c r="A16" s="96">
        <f>EL_DEL_CD2_JO_!A16</f>
        <v>46308</v>
      </c>
      <c r="B16" s="97" t="str">
        <f t="shared" si="23"/>
        <v>Tue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98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60"/>
      <c r="AX16" s="102" t="str">
        <f t="shared" si="0"/>
        <v>-</v>
      </c>
      <c r="AY16" s="151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51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>+IF(SUM(AO16:AR16)&gt;0,AO16/AN16,"")</f>
        <v/>
      </c>
      <c r="BH16" s="119" t="str">
        <f t="shared" si="7"/>
        <v/>
      </c>
      <c r="BI16" s="120" t="str">
        <f>+IF(SUM(AO16:AR16)&gt;0,AQ16/AN16,"")</f>
        <v/>
      </c>
      <c r="BJ16" s="151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51"/>
      <c r="BP16" s="124" t="str">
        <f t="shared" si="12"/>
        <v/>
      </c>
      <c r="BQ16" s="125">
        <v>0</v>
      </c>
      <c r="BR16" s="125" t="str">
        <f>IF(AJ16&gt;0,(AK16/AJ16),"")</f>
        <v/>
      </c>
      <c r="BS16" s="125" t="str">
        <f>IF(AJ16&gt;0,(AK16/AJ16),"")</f>
        <v/>
      </c>
      <c r="BT16" s="126" t="str">
        <f t="shared" si="13"/>
        <v/>
      </c>
      <c r="BU16" s="151"/>
      <c r="BV16" s="127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>IF(AN16&gt;0,(AJ16/AN16),"")</f>
        <v/>
      </c>
      <c r="CA16" s="128" t="str">
        <f>IF(AN16&gt;0,(AK16/AN16),"")</f>
        <v/>
      </c>
      <c r="CB16" s="151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51"/>
    </row>
    <row r="17" spans="1:86" s="115" customFormat="1" ht="12.4" customHeight="1" thickBot="1" x14ac:dyDescent="0.25">
      <c r="A17" s="96">
        <f>EL_DEL_CD2_JO_!A17</f>
        <v>46309</v>
      </c>
      <c r="B17" s="97" t="str">
        <f t="shared" si="23"/>
        <v>Wed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98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60"/>
      <c r="AX17" s="102" t="str">
        <f t="shared" si="0"/>
        <v>-</v>
      </c>
      <c r="AY17" s="151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51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4"/>
        <v/>
      </c>
      <c r="BH17" s="119" t="str">
        <f t="shared" si="7"/>
        <v/>
      </c>
      <c r="BI17" s="120" t="str">
        <f t="shared" si="25"/>
        <v/>
      </c>
      <c r="BJ17" s="151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51"/>
      <c r="BP17" s="124" t="str">
        <f t="shared" si="12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3"/>
        <v/>
      </c>
      <c r="BU17" s="151"/>
      <c r="BV17" s="127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8"/>
        <v/>
      </c>
      <c r="CA17" s="128" t="str">
        <f t="shared" si="29"/>
        <v/>
      </c>
      <c r="CB17" s="151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51"/>
    </row>
    <row r="18" spans="1:86" s="115" customFormat="1" ht="12.4" customHeight="1" thickBot="1" x14ac:dyDescent="0.25">
      <c r="A18" s="96">
        <f>EL_DEL_CD2_JO_!A18</f>
        <v>46310</v>
      </c>
      <c r="B18" s="97" t="str">
        <f t="shared" si="23"/>
        <v>Thu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98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60"/>
      <c r="AX18" s="102" t="str">
        <f t="shared" si="0"/>
        <v>-</v>
      </c>
      <c r="AY18" s="151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51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4"/>
        <v/>
      </c>
      <c r="BH18" s="119" t="str">
        <f t="shared" si="7"/>
        <v/>
      </c>
      <c r="BI18" s="120" t="str">
        <f t="shared" si="25"/>
        <v/>
      </c>
      <c r="BJ18" s="151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51"/>
      <c r="BP18" s="124" t="str">
        <f t="shared" si="12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3"/>
        <v/>
      </c>
      <c r="BU18" s="151"/>
      <c r="BV18" s="127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8"/>
        <v/>
      </c>
      <c r="CA18" s="128" t="str">
        <f t="shared" si="29"/>
        <v/>
      </c>
      <c r="CB18" s="151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51"/>
    </row>
    <row r="19" spans="1:86" s="115" customFormat="1" ht="12.4" customHeight="1" thickBot="1" x14ac:dyDescent="0.25">
      <c r="A19" s="96">
        <f>EL_DEL_CD2_JO_!A19</f>
        <v>46311</v>
      </c>
      <c r="B19" s="97" t="str">
        <f t="shared" si="23"/>
        <v>Fri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98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60"/>
      <c r="AX19" s="102" t="str">
        <f t="shared" si="0"/>
        <v>-</v>
      </c>
      <c r="AY19" s="151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51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4"/>
        <v/>
      </c>
      <c r="BH19" s="119" t="str">
        <f t="shared" si="7"/>
        <v/>
      </c>
      <c r="BI19" s="120" t="str">
        <f t="shared" si="25"/>
        <v/>
      </c>
      <c r="BJ19" s="151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51"/>
      <c r="BP19" s="124" t="str">
        <f t="shared" si="12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3"/>
        <v/>
      </c>
      <c r="BU19" s="151"/>
      <c r="BV19" s="127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8"/>
        <v/>
      </c>
      <c r="CA19" s="128" t="str">
        <f t="shared" si="29"/>
        <v/>
      </c>
      <c r="CB19" s="151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51"/>
    </row>
    <row r="20" spans="1:86" s="115" customFormat="1" ht="12.4" customHeight="1" thickBot="1" x14ac:dyDescent="0.25">
      <c r="A20" s="96">
        <f>EL_DEL_CD2_JO_!A20</f>
        <v>46312</v>
      </c>
      <c r="B20" s="97" t="str">
        <f t="shared" si="23"/>
        <v>Sat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98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60"/>
      <c r="AX20" s="102" t="str">
        <f t="shared" si="0"/>
        <v>-</v>
      </c>
      <c r="AY20" s="151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51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4"/>
        <v/>
      </c>
      <c r="BH20" s="119" t="str">
        <f t="shared" si="7"/>
        <v/>
      </c>
      <c r="BI20" s="120" t="str">
        <f t="shared" si="25"/>
        <v/>
      </c>
      <c r="BJ20" s="151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51"/>
      <c r="BP20" s="124" t="str">
        <f t="shared" si="12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3"/>
        <v/>
      </c>
      <c r="BU20" s="151"/>
      <c r="BV20" s="127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8"/>
        <v/>
      </c>
      <c r="CA20" s="128" t="str">
        <f t="shared" si="29"/>
        <v/>
      </c>
      <c r="CB20" s="151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51"/>
    </row>
    <row r="21" spans="1:86" s="115" customFormat="1" ht="12.4" customHeight="1" thickBot="1" x14ac:dyDescent="0.25">
      <c r="A21" s="96">
        <f>EL_DEL_CD2_JO_!A21</f>
        <v>46313</v>
      </c>
      <c r="B21" s="97" t="str">
        <f t="shared" si="23"/>
        <v>Sun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98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60"/>
      <c r="AX21" s="102" t="str">
        <f t="shared" si="0"/>
        <v>-</v>
      </c>
      <c r="AY21" s="151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51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4"/>
        <v/>
      </c>
      <c r="BH21" s="119" t="str">
        <f t="shared" si="7"/>
        <v/>
      </c>
      <c r="BI21" s="120" t="str">
        <f t="shared" si="25"/>
        <v/>
      </c>
      <c r="BJ21" s="151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51"/>
      <c r="BP21" s="124" t="str">
        <f t="shared" si="12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3"/>
        <v/>
      </c>
      <c r="BU21" s="151"/>
      <c r="BV21" s="127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8"/>
        <v/>
      </c>
      <c r="CA21" s="128" t="str">
        <f t="shared" si="29"/>
        <v/>
      </c>
      <c r="CB21" s="151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51"/>
    </row>
    <row r="22" spans="1:86" s="115" customFormat="1" ht="12.4" customHeight="1" thickBot="1" x14ac:dyDescent="0.25">
      <c r="A22" s="96">
        <f>EL_DEL_CD2_JO_!A22</f>
        <v>46314</v>
      </c>
      <c r="B22" s="97" t="str">
        <f t="shared" si="23"/>
        <v>Mon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98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60"/>
      <c r="AX22" s="102" t="str">
        <f t="shared" si="0"/>
        <v>-</v>
      </c>
      <c r="AY22" s="151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51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4"/>
        <v/>
      </c>
      <c r="BH22" s="119" t="str">
        <f t="shared" si="7"/>
        <v/>
      </c>
      <c r="BI22" s="120" t="str">
        <f t="shared" si="25"/>
        <v/>
      </c>
      <c r="BJ22" s="151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51"/>
      <c r="BP22" s="124" t="str">
        <f t="shared" si="12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3"/>
        <v/>
      </c>
      <c r="BU22" s="151"/>
      <c r="BV22" s="127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8"/>
        <v/>
      </c>
      <c r="CA22" s="128" t="str">
        <f t="shared" si="29"/>
        <v/>
      </c>
      <c r="CB22" s="151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51"/>
    </row>
    <row r="23" spans="1:86" s="115" customFormat="1" ht="12.4" customHeight="1" thickBot="1" x14ac:dyDescent="0.25">
      <c r="A23" s="96">
        <f>EL_DEL_CD2_JO_!A23</f>
        <v>46315</v>
      </c>
      <c r="B23" s="97" t="str">
        <f t="shared" si="23"/>
        <v>Tue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98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60"/>
      <c r="AX23" s="102" t="str">
        <f t="shared" si="0"/>
        <v>-</v>
      </c>
      <c r="AY23" s="151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51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24"/>
        <v/>
      </c>
      <c r="BH23" s="119" t="str">
        <f t="shared" si="7"/>
        <v/>
      </c>
      <c r="BI23" s="120" t="str">
        <f t="shared" si="25"/>
        <v/>
      </c>
      <c r="BJ23" s="151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51"/>
      <c r="BP23" s="124" t="str">
        <f t="shared" si="12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3"/>
        <v/>
      </c>
      <c r="BU23" s="151"/>
      <c r="BV23" s="127" t="str">
        <f t="shared" si="14"/>
        <v/>
      </c>
      <c r="BW23" s="127" t="str">
        <f t="shared" si="15"/>
        <v/>
      </c>
      <c r="BX23" s="127" t="str">
        <f t="shared" si="16"/>
        <v/>
      </c>
      <c r="BY23" s="127" t="str">
        <f t="shared" si="17"/>
        <v/>
      </c>
      <c r="BZ23" s="127" t="str">
        <f t="shared" si="28"/>
        <v/>
      </c>
      <c r="CA23" s="128" t="str">
        <f t="shared" si="29"/>
        <v/>
      </c>
      <c r="CB23" s="151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51"/>
    </row>
    <row r="24" spans="1:86" s="115" customFormat="1" ht="12.4" customHeight="1" thickBot="1" x14ac:dyDescent="0.25">
      <c r="A24" s="96">
        <f>EL_DEL_CD2_JO_!A24</f>
        <v>46316</v>
      </c>
      <c r="B24" s="97" t="str">
        <f t="shared" si="23"/>
        <v>Wed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98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60"/>
      <c r="AX24" s="102" t="str">
        <f t="shared" si="0"/>
        <v>-</v>
      </c>
      <c r="AY24" s="151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51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24"/>
        <v/>
      </c>
      <c r="BH24" s="119" t="str">
        <f t="shared" si="7"/>
        <v/>
      </c>
      <c r="BI24" s="120" t="str">
        <f t="shared" si="25"/>
        <v/>
      </c>
      <c r="BJ24" s="151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51"/>
      <c r="BP24" s="124" t="str">
        <f t="shared" si="12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3"/>
        <v/>
      </c>
      <c r="BU24" s="151"/>
      <c r="BV24" s="127" t="str">
        <f t="shared" si="14"/>
        <v/>
      </c>
      <c r="BW24" s="127" t="str">
        <f t="shared" si="15"/>
        <v/>
      </c>
      <c r="BX24" s="127" t="str">
        <f t="shared" si="16"/>
        <v/>
      </c>
      <c r="BY24" s="127" t="str">
        <f t="shared" si="17"/>
        <v/>
      </c>
      <c r="BZ24" s="127" t="str">
        <f t="shared" si="28"/>
        <v/>
      </c>
      <c r="CA24" s="128" t="str">
        <f t="shared" si="29"/>
        <v/>
      </c>
      <c r="CB24" s="151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51"/>
    </row>
    <row r="25" spans="1:86" s="115" customFormat="1" ht="12.4" customHeight="1" thickBot="1" x14ac:dyDescent="0.25">
      <c r="A25" s="96">
        <f>EL_DEL_CD2_JO_!A25</f>
        <v>46317</v>
      </c>
      <c r="B25" s="97" t="str">
        <f t="shared" si="23"/>
        <v>Thu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98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60"/>
      <c r="AX25" s="102" t="str">
        <f t="shared" si="0"/>
        <v>-</v>
      </c>
      <c r="AY25" s="151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51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4"/>
        <v/>
      </c>
      <c r="BH25" s="119" t="str">
        <f t="shared" si="7"/>
        <v/>
      </c>
      <c r="BI25" s="120" t="str">
        <f t="shared" si="25"/>
        <v/>
      </c>
      <c r="BJ25" s="151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51"/>
      <c r="BP25" s="124" t="str">
        <f t="shared" si="12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3"/>
        <v/>
      </c>
      <c r="BU25" s="151"/>
      <c r="BV25" s="127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8"/>
        <v/>
      </c>
      <c r="CA25" s="128" t="str">
        <f t="shared" si="29"/>
        <v/>
      </c>
      <c r="CB25" s="151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51"/>
    </row>
    <row r="26" spans="1:86" s="115" customFormat="1" ht="12.4" customHeight="1" thickBot="1" x14ac:dyDescent="0.25">
      <c r="A26" s="96">
        <f>EL_DEL_CD2_JO_!A26</f>
        <v>46318</v>
      </c>
      <c r="B26" s="97" t="str">
        <f t="shared" si="23"/>
        <v>Fri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98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60"/>
      <c r="AX26" s="102" t="str">
        <f t="shared" si="0"/>
        <v>-</v>
      </c>
      <c r="AY26" s="151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51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4"/>
        <v/>
      </c>
      <c r="BH26" s="119" t="str">
        <f t="shared" si="7"/>
        <v/>
      </c>
      <c r="BI26" s="120" t="str">
        <f t="shared" si="25"/>
        <v/>
      </c>
      <c r="BJ26" s="151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51"/>
      <c r="BP26" s="124" t="str">
        <f t="shared" si="12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3"/>
        <v/>
      </c>
      <c r="BU26" s="151"/>
      <c r="BV26" s="127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8"/>
        <v/>
      </c>
      <c r="CA26" s="128" t="str">
        <f t="shared" si="29"/>
        <v/>
      </c>
      <c r="CB26" s="151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51"/>
    </row>
    <row r="27" spans="1:86" s="115" customFormat="1" ht="12.4" customHeight="1" thickBot="1" x14ac:dyDescent="0.25">
      <c r="A27" s="96">
        <f>EL_DEL_CD2_JO_!A27</f>
        <v>46319</v>
      </c>
      <c r="B27" s="97" t="str">
        <f t="shared" si="23"/>
        <v>Sat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98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60"/>
      <c r="AX27" s="102" t="str">
        <f t="shared" si="0"/>
        <v>-</v>
      </c>
      <c r="AY27" s="151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51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4"/>
        <v/>
      </c>
      <c r="BH27" s="119" t="str">
        <f t="shared" si="7"/>
        <v/>
      </c>
      <c r="BI27" s="120" t="str">
        <f t="shared" si="25"/>
        <v/>
      </c>
      <c r="BJ27" s="151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51"/>
      <c r="BP27" s="124" t="str">
        <f t="shared" si="12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3"/>
        <v/>
      </c>
      <c r="BU27" s="151"/>
      <c r="BV27" s="127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8"/>
        <v/>
      </c>
      <c r="CA27" s="128" t="str">
        <f t="shared" si="29"/>
        <v/>
      </c>
      <c r="CB27" s="151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51"/>
    </row>
    <row r="28" spans="1:86" s="115" customFormat="1" ht="12.4" customHeight="1" thickBot="1" x14ac:dyDescent="0.25">
      <c r="A28" s="96">
        <f>EL_DEL_CD2_JO_!A28</f>
        <v>46320</v>
      </c>
      <c r="B28" s="97" t="str">
        <f t="shared" si="23"/>
        <v>Sun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98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60"/>
      <c r="AX28" s="102" t="str">
        <f t="shared" si="0"/>
        <v>-</v>
      </c>
      <c r="AY28" s="151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51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4"/>
        <v/>
      </c>
      <c r="BH28" s="119" t="str">
        <f t="shared" si="7"/>
        <v/>
      </c>
      <c r="BI28" s="120" t="str">
        <f t="shared" si="25"/>
        <v/>
      </c>
      <c r="BJ28" s="151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51"/>
      <c r="BP28" s="124" t="str">
        <f t="shared" si="12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3"/>
        <v/>
      </c>
      <c r="BU28" s="151"/>
      <c r="BV28" s="127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8"/>
        <v/>
      </c>
      <c r="CA28" s="128" t="str">
        <f t="shared" si="29"/>
        <v/>
      </c>
      <c r="CB28" s="151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51"/>
    </row>
    <row r="29" spans="1:86" s="115" customFormat="1" ht="12.4" customHeight="1" thickBot="1" x14ac:dyDescent="0.25">
      <c r="A29" s="96">
        <f>EL_DEL_CD2_JO_!A29</f>
        <v>46321</v>
      </c>
      <c r="B29" s="97" t="str">
        <f t="shared" si="23"/>
        <v>Mon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98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60"/>
      <c r="AX29" s="102" t="str">
        <f t="shared" si="0"/>
        <v>-</v>
      </c>
      <c r="AY29" s="151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51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4"/>
        <v/>
      </c>
      <c r="BH29" s="119" t="str">
        <f t="shared" si="7"/>
        <v/>
      </c>
      <c r="BI29" s="120" t="str">
        <f t="shared" si="25"/>
        <v/>
      </c>
      <c r="BJ29" s="151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51"/>
      <c r="BP29" s="124" t="str">
        <f t="shared" si="12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3"/>
        <v/>
      </c>
      <c r="BU29" s="151"/>
      <c r="BV29" s="127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8"/>
        <v/>
      </c>
      <c r="CA29" s="128" t="str">
        <f t="shared" si="29"/>
        <v/>
      </c>
      <c r="CB29" s="151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51"/>
    </row>
    <row r="30" spans="1:86" s="115" customFormat="1" ht="12.4" customHeight="1" thickBot="1" x14ac:dyDescent="0.25">
      <c r="A30" s="96">
        <f>EL_DEL_CD2_JO_!A30</f>
        <v>46322</v>
      </c>
      <c r="B30" s="97" t="str">
        <f t="shared" si="23"/>
        <v>Tue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98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60"/>
      <c r="AX30" s="102" t="str">
        <f t="shared" si="0"/>
        <v>-</v>
      </c>
      <c r="AY30" s="151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51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4"/>
        <v/>
      </c>
      <c r="BH30" s="119" t="str">
        <f t="shared" si="7"/>
        <v/>
      </c>
      <c r="BI30" s="120" t="str">
        <f t="shared" si="25"/>
        <v/>
      </c>
      <c r="BJ30" s="151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51"/>
      <c r="BP30" s="124" t="str">
        <f t="shared" si="12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3"/>
        <v/>
      </c>
      <c r="BU30" s="151"/>
      <c r="BV30" s="127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8"/>
        <v/>
      </c>
      <c r="CA30" s="128" t="str">
        <f t="shared" si="29"/>
        <v/>
      </c>
      <c r="CB30" s="151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51"/>
    </row>
    <row r="31" spans="1:86" s="115" customFormat="1" ht="12.4" customHeight="1" thickBot="1" x14ac:dyDescent="0.25">
      <c r="A31" s="96">
        <f>EL_DEL_CD2_JO_!A31</f>
        <v>46323</v>
      </c>
      <c r="B31" s="97" t="str">
        <f t="shared" si="23"/>
        <v>Wed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98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60"/>
      <c r="AX31" s="102" t="str">
        <f t="shared" si="0"/>
        <v>-</v>
      </c>
      <c r="AY31" s="151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51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4"/>
        <v/>
      </c>
      <c r="BH31" s="119" t="str">
        <f t="shared" si="7"/>
        <v/>
      </c>
      <c r="BI31" s="120" t="str">
        <f t="shared" si="25"/>
        <v/>
      </c>
      <c r="BJ31" s="151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51"/>
      <c r="BP31" s="124" t="str">
        <f t="shared" si="12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3"/>
        <v/>
      </c>
      <c r="BU31" s="151"/>
      <c r="BV31" s="127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8"/>
        <v/>
      </c>
      <c r="CA31" s="128" t="str">
        <f t="shared" si="29"/>
        <v/>
      </c>
      <c r="CB31" s="151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51"/>
    </row>
    <row r="32" spans="1:86" s="115" customFormat="1" ht="12.4" customHeight="1" thickBot="1" x14ac:dyDescent="0.25">
      <c r="A32" s="96">
        <f>EL_DEL_CD2_JO_!A32</f>
        <v>46324</v>
      </c>
      <c r="B32" s="97" t="str">
        <f t="shared" si="23"/>
        <v>Thu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98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60"/>
      <c r="AX32" s="102" t="str">
        <f>IFERROR(AN32/AW32,"-")</f>
        <v>-</v>
      </c>
      <c r="AY32" s="151"/>
      <c r="AZ32" s="116" t="str">
        <f t="shared" si="1"/>
        <v/>
      </c>
      <c r="BA32" s="117" t="str">
        <f t="shared" si="2"/>
        <v/>
      </c>
      <c r="BB32" s="116" t="str">
        <f t="shared" si="3"/>
        <v/>
      </c>
      <c r="BC32" s="151"/>
      <c r="BD32" s="118" t="str">
        <f t="shared" si="4"/>
        <v/>
      </c>
      <c r="BE32" s="119" t="str">
        <f t="shared" si="5"/>
        <v/>
      </c>
      <c r="BF32" s="119" t="str">
        <f t="shared" si="6"/>
        <v/>
      </c>
      <c r="BG32" s="119" t="str">
        <f>+IF(SUM(AO32:AR32)&gt;0,AO32/AN32,"")</f>
        <v/>
      </c>
      <c r="BH32" s="119" t="str">
        <f t="shared" si="7"/>
        <v/>
      </c>
      <c r="BI32" s="120" t="str">
        <f>+IF(SUM(AO32:AR32)&gt;0,AQ32/AN32,"")</f>
        <v/>
      </c>
      <c r="BJ32" s="151"/>
      <c r="BK32" s="121" t="str">
        <f t="shared" si="8"/>
        <v/>
      </c>
      <c r="BL32" s="122" t="str">
        <f t="shared" si="9"/>
        <v/>
      </c>
      <c r="BM32" s="122" t="str">
        <f t="shared" si="10"/>
        <v/>
      </c>
      <c r="BN32" s="123" t="str">
        <f t="shared" si="11"/>
        <v/>
      </c>
      <c r="BO32" s="151"/>
      <c r="BP32" s="124" t="str">
        <f t="shared" si="12"/>
        <v/>
      </c>
      <c r="BQ32" s="125">
        <v>0</v>
      </c>
      <c r="BR32" s="125" t="str">
        <f>IF(AJ32&gt;0,(AK32/AJ32),"")</f>
        <v/>
      </c>
      <c r="BS32" s="125" t="str">
        <f>IF(AJ32&gt;0,(AK32/AJ32),"")</f>
        <v/>
      </c>
      <c r="BT32" s="126" t="str">
        <f t="shared" si="13"/>
        <v/>
      </c>
      <c r="BU32" s="151"/>
      <c r="BV32" s="127" t="str">
        <f t="shared" si="14"/>
        <v/>
      </c>
      <c r="BW32" s="127" t="str">
        <f t="shared" si="15"/>
        <v/>
      </c>
      <c r="BX32" s="127" t="str">
        <f t="shared" si="16"/>
        <v/>
      </c>
      <c r="BY32" s="127" t="str">
        <f t="shared" si="17"/>
        <v/>
      </c>
      <c r="BZ32" s="127" t="str">
        <f>IF(AN32&gt;0,(AJ32/AN32),"")</f>
        <v/>
      </c>
      <c r="CA32" s="128" t="str">
        <f>IF(AN32&gt;0,(AK32/AN32),"")</f>
        <v/>
      </c>
      <c r="CB32" s="151"/>
      <c r="CC32" s="129" t="str">
        <f t="shared" si="18"/>
        <v>-</v>
      </c>
      <c r="CD32" s="130" t="str">
        <f t="shared" si="19"/>
        <v>-</v>
      </c>
      <c r="CE32" s="130" t="str">
        <f t="shared" si="20"/>
        <v>-</v>
      </c>
      <c r="CF32" s="130" t="str">
        <f t="shared" si="21"/>
        <v>-</v>
      </c>
      <c r="CG32" s="131" t="str">
        <f t="shared" si="22"/>
        <v>-</v>
      </c>
      <c r="CH32" s="151"/>
    </row>
    <row r="33" spans="1:86" s="115" customFormat="1" ht="12.4" customHeight="1" thickBot="1" x14ac:dyDescent="0.25">
      <c r="A33" s="96">
        <f>EL_DEL_CD2_JO_!A33</f>
        <v>46325</v>
      </c>
      <c r="B33" s="97" t="str">
        <f>+TEXT(A33,"DDD")</f>
        <v>Fri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98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60"/>
      <c r="AX33" s="102" t="str">
        <f>IFERROR(AN33/AW33,"-")</f>
        <v>-</v>
      </c>
      <c r="AY33" s="151"/>
      <c r="AZ33" s="116" t="str">
        <f>IF(E33&gt;0,F33/E33,"")</f>
        <v/>
      </c>
      <c r="BA33" s="117" t="str">
        <f>+IF(E33&gt;0,G33/E33,"")</f>
        <v/>
      </c>
      <c r="BB33" s="116" t="str">
        <f>+IF(E33&gt;0,AJ33/E33,"")</f>
        <v/>
      </c>
      <c r="BC33" s="151"/>
      <c r="BD33" s="118" t="str">
        <f>+IF(G33&gt;0,I33/G33,"")</f>
        <v/>
      </c>
      <c r="BE33" s="119" t="str">
        <f>+IF(G33&gt;0,J33/G33,"")</f>
        <v/>
      </c>
      <c r="BF33" s="119" t="str">
        <f>+IF(I33&gt;0,L33/I33,"")</f>
        <v/>
      </c>
      <c r="BG33" s="119" t="str">
        <f>+IF(SUM(AO33:AR33)&gt;0,AO33/AN33,"")</f>
        <v/>
      </c>
      <c r="BH33" s="119" t="str">
        <f>+IF(G33&gt;0,K33/G33,"")</f>
        <v/>
      </c>
      <c r="BI33" s="120" t="str">
        <f>+IF(SUM(AO33:AR33)&gt;0,AQ33/AN33,"")</f>
        <v/>
      </c>
      <c r="BJ33" s="151"/>
      <c r="BK33" s="121" t="str">
        <f>+IF(E33&gt;0,(AJ33/E33),"")</f>
        <v/>
      </c>
      <c r="BL33" s="122" t="str">
        <f>+IF(E33&gt;0,(AJ33/F33),"")</f>
        <v/>
      </c>
      <c r="BM33" s="122" t="str">
        <f>+IF(E33&gt;0,(AJ33/G33),"")</f>
        <v/>
      </c>
      <c r="BN33" s="123" t="str">
        <f>+IF(E33&gt;0,(AJ33/J33),"")</f>
        <v/>
      </c>
      <c r="BO33" s="151"/>
      <c r="BP33" s="124" t="str">
        <f>IF(AJ33&gt;0,(N33/AJ33),"")</f>
        <v/>
      </c>
      <c r="BQ33" s="125">
        <v>0</v>
      </c>
      <c r="BR33" s="125" t="str">
        <f>IF(AJ33&gt;0,(AK33/AJ33),"")</f>
        <v/>
      </c>
      <c r="BS33" s="125" t="str">
        <f>IF(AJ33&gt;0,(AK33/AJ33),"")</f>
        <v/>
      </c>
      <c r="BT33" s="126" t="str">
        <f>IF(J33&gt;0,AD33/J33,"")</f>
        <v/>
      </c>
      <c r="BU33" s="151"/>
      <c r="BV33" s="127" t="str">
        <f>IF(AN33&gt;0,(E33/AN33),"")</f>
        <v/>
      </c>
      <c r="BW33" s="127" t="str">
        <f>IF(AN33&gt;0,(G33/AN33),"")</f>
        <v/>
      </c>
      <c r="BX33" s="127" t="str">
        <f>IF(AN33&gt;0,(J33/AN33),"")</f>
        <v/>
      </c>
      <c r="BY33" s="127" t="str">
        <f>IF(AN33&gt;0,(K33/AN33),"")</f>
        <v/>
      </c>
      <c r="BZ33" s="127" t="str">
        <f>IF(AN33&gt;0,(AJ33/AN33),"")</f>
        <v/>
      </c>
      <c r="CA33" s="128" t="str">
        <f>IF(AN33&gt;0,(AK33/AN33),"")</f>
        <v/>
      </c>
      <c r="CB33" s="151"/>
      <c r="CC33" s="129" t="str">
        <f>IFERROR(((AN33-AO33)*3600)/J33,"-")</f>
        <v>-</v>
      </c>
      <c r="CD33" s="130" t="str">
        <f>IFERROR((AR33*3600)/J33,"-")</f>
        <v>-</v>
      </c>
      <c r="CE33" s="130" t="str">
        <f>IFERROR((AQ33*3600)/J33,"-")</f>
        <v>-</v>
      </c>
      <c r="CF33" s="130" t="str">
        <f>IFERROR((AO33*3600)/J33,"-")</f>
        <v>-</v>
      </c>
      <c r="CG33" s="131" t="str">
        <f>IFERROR((AP33*3600)/J33,"-")</f>
        <v>-</v>
      </c>
      <c r="CH33" s="151"/>
    </row>
    <row r="34" spans="1:86" s="115" customFormat="1" ht="12.4" customHeight="1" thickBot="1" x14ac:dyDescent="0.25">
      <c r="A34" s="96">
        <f>EL_DEL_CD2_JO_!A34</f>
        <v>46326</v>
      </c>
      <c r="B34" s="97" t="str">
        <f t="shared" si="23"/>
        <v>Sat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98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60"/>
      <c r="AX34" s="102" t="str">
        <f>IFERROR(AN34/AW34,"-")</f>
        <v>-</v>
      </c>
      <c r="AY34" s="151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51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>+IF(SUM(AO34:AR34)&gt;0,AO34/AN34,"")</f>
        <v/>
      </c>
      <c r="BH34" s="119" t="str">
        <f t="shared" si="7"/>
        <v/>
      </c>
      <c r="BI34" s="120" t="str">
        <f>+IF(SUM(AO34:AR34)&gt;0,AQ34/AN34,"")</f>
        <v/>
      </c>
      <c r="BJ34" s="151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51"/>
      <c r="BP34" s="124" t="str">
        <f t="shared" si="12"/>
        <v/>
      </c>
      <c r="BQ34" s="125">
        <v>0</v>
      </c>
      <c r="BR34" s="125" t="str">
        <f>IF(AJ34&gt;0,(AK34/AJ34),"")</f>
        <v/>
      </c>
      <c r="BS34" s="125" t="str">
        <f>IF(AJ34&gt;0,(AK34/AJ34),"")</f>
        <v/>
      </c>
      <c r="BT34" s="126" t="str">
        <f t="shared" si="13"/>
        <v/>
      </c>
      <c r="BU34" s="151"/>
      <c r="BV34" s="127" t="str">
        <f t="shared" si="14"/>
        <v/>
      </c>
      <c r="BW34" s="127" t="str">
        <f t="shared" si="15"/>
        <v/>
      </c>
      <c r="BX34" s="127" t="str">
        <f t="shared" si="16"/>
        <v/>
      </c>
      <c r="BY34" s="127" t="str">
        <f t="shared" si="17"/>
        <v/>
      </c>
      <c r="BZ34" s="127" t="str">
        <f>IF(AN34&gt;0,(AJ34/AN34),"")</f>
        <v/>
      </c>
      <c r="CA34" s="128" t="str">
        <f>IF(AN34&gt;0,(AK34/AN34),"")</f>
        <v/>
      </c>
      <c r="CB34" s="151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51"/>
    </row>
    <row r="35" spans="1:86" s="115" customFormat="1" ht="13.15" customHeight="1" thickBot="1" x14ac:dyDescent="0.25">
      <c r="A35" s="235" t="s">
        <v>68</v>
      </c>
      <c r="B35" s="236"/>
      <c r="C35" s="109" t="e">
        <f t="shared" ref="C35:AW35" si="30">AVERAGE(C4:C34)</f>
        <v>#DIV/0!</v>
      </c>
      <c r="D35" s="109" t="e">
        <f t="shared" si="30"/>
        <v>#DIV/0!</v>
      </c>
      <c r="E35" s="109" t="e">
        <f t="shared" si="30"/>
        <v>#DIV/0!</v>
      </c>
      <c r="F35" s="109" t="e">
        <f t="shared" si="30"/>
        <v>#DIV/0!</v>
      </c>
      <c r="G35" s="109" t="e">
        <f t="shared" si="30"/>
        <v>#DIV/0!</v>
      </c>
      <c r="H35" s="109" t="e">
        <f t="shared" si="30"/>
        <v>#DIV/0!</v>
      </c>
      <c r="I35" s="109" t="e">
        <f t="shared" si="30"/>
        <v>#DIV/0!</v>
      </c>
      <c r="J35" s="109" t="e">
        <f t="shared" si="30"/>
        <v>#DIV/0!</v>
      </c>
      <c r="K35" s="109" t="e">
        <f t="shared" si="30"/>
        <v>#DIV/0!</v>
      </c>
      <c r="L35" s="109" t="e">
        <f t="shared" si="30"/>
        <v>#DIV/0!</v>
      </c>
      <c r="M35" s="109" t="e">
        <f t="shared" si="30"/>
        <v>#DIV/0!</v>
      </c>
      <c r="N35" s="109" t="e">
        <f t="shared" si="30"/>
        <v>#DIV/0!</v>
      </c>
      <c r="O35" s="109" t="e">
        <f t="shared" si="30"/>
        <v>#DIV/0!</v>
      </c>
      <c r="P35" s="109" t="e">
        <f t="shared" si="30"/>
        <v>#DIV/0!</v>
      </c>
      <c r="Q35" s="109" t="e">
        <f t="shared" si="30"/>
        <v>#DIV/0!</v>
      </c>
      <c r="R35" s="109" t="e">
        <f t="shared" si="30"/>
        <v>#DIV/0!</v>
      </c>
      <c r="S35" s="109" t="e">
        <f t="shared" si="30"/>
        <v>#DIV/0!</v>
      </c>
      <c r="T35" s="109" t="e">
        <f t="shared" si="30"/>
        <v>#DIV/0!</v>
      </c>
      <c r="U35" s="109" t="e">
        <f t="shared" si="30"/>
        <v>#DIV/0!</v>
      </c>
      <c r="V35" s="109" t="e">
        <f t="shared" si="30"/>
        <v>#DIV/0!</v>
      </c>
      <c r="W35" s="109" t="e">
        <f t="shared" si="30"/>
        <v>#DIV/0!</v>
      </c>
      <c r="X35" s="109" t="e">
        <f t="shared" si="30"/>
        <v>#DIV/0!</v>
      </c>
      <c r="Y35" s="109" t="e">
        <f t="shared" si="30"/>
        <v>#DIV/0!</v>
      </c>
      <c r="Z35" s="109" t="e">
        <f t="shared" si="30"/>
        <v>#DIV/0!</v>
      </c>
      <c r="AA35" s="109" t="e">
        <f t="shared" si="30"/>
        <v>#DIV/0!</v>
      </c>
      <c r="AB35" s="109" t="e">
        <f t="shared" si="30"/>
        <v>#DIV/0!</v>
      </c>
      <c r="AC35" s="109" t="e">
        <f t="shared" si="30"/>
        <v>#DIV/0!</v>
      </c>
      <c r="AD35" s="109" t="e">
        <f t="shared" si="30"/>
        <v>#DIV/0!</v>
      </c>
      <c r="AE35" s="109" t="e">
        <f t="shared" si="30"/>
        <v>#DIV/0!</v>
      </c>
      <c r="AF35" s="109" t="e">
        <f t="shared" si="30"/>
        <v>#DIV/0!</v>
      </c>
      <c r="AG35" s="109" t="e">
        <f t="shared" si="30"/>
        <v>#DIV/0!</v>
      </c>
      <c r="AH35" s="109" t="e">
        <f t="shared" si="30"/>
        <v>#DIV/0!</v>
      </c>
      <c r="AI35" s="109" t="e">
        <f t="shared" si="30"/>
        <v>#DIV/0!</v>
      </c>
      <c r="AJ35" s="109" t="e">
        <f t="shared" si="30"/>
        <v>#DIV/0!</v>
      </c>
      <c r="AK35" s="109" t="e">
        <f t="shared" si="30"/>
        <v>#DIV/0!</v>
      </c>
      <c r="AL35" s="109" t="e">
        <f t="shared" si="30"/>
        <v>#DIV/0!</v>
      </c>
      <c r="AM35" s="109" t="e">
        <f t="shared" si="30"/>
        <v>#DIV/0!</v>
      </c>
      <c r="AN35" s="109" t="e">
        <f t="shared" si="30"/>
        <v>#DIV/0!</v>
      </c>
      <c r="AO35" s="109" t="e">
        <f t="shared" si="30"/>
        <v>#DIV/0!</v>
      </c>
      <c r="AP35" s="109" t="e">
        <f t="shared" si="30"/>
        <v>#DIV/0!</v>
      </c>
      <c r="AQ35" s="109" t="e">
        <f t="shared" si="30"/>
        <v>#DIV/0!</v>
      </c>
      <c r="AR35" s="109" t="e">
        <f t="shared" si="30"/>
        <v>#DIV/0!</v>
      </c>
      <c r="AS35" s="109" t="e">
        <f t="shared" si="30"/>
        <v>#DIV/0!</v>
      </c>
      <c r="AT35" s="109" t="e">
        <f t="shared" si="30"/>
        <v>#DIV/0!</v>
      </c>
      <c r="AU35" s="109" t="e">
        <f t="shared" si="30"/>
        <v>#DIV/0!</v>
      </c>
      <c r="AV35" s="109" t="e">
        <f t="shared" si="30"/>
        <v>#DIV/0!</v>
      </c>
      <c r="AW35" s="109" t="e">
        <f t="shared" si="30"/>
        <v>#DIV/0!</v>
      </c>
      <c r="AX35" s="110" t="str">
        <f>IFERROR(AN35/AW35,"-")</f>
        <v>-</v>
      </c>
      <c r="AY35" s="151"/>
      <c r="AZ35" s="133" t="e">
        <f t="shared" si="1"/>
        <v>#DIV/0!</v>
      </c>
      <c r="BA35" s="134" t="e">
        <f t="shared" si="2"/>
        <v>#DIV/0!</v>
      </c>
      <c r="BB35" s="135" t="e">
        <f t="shared" si="3"/>
        <v>#DIV/0!</v>
      </c>
      <c r="BC35" s="151"/>
      <c r="BD35" s="133" t="e">
        <f t="shared" si="4"/>
        <v>#DIV/0!</v>
      </c>
      <c r="BE35" s="136" t="e">
        <f t="shared" si="5"/>
        <v>#DIV/0!</v>
      </c>
      <c r="BF35" s="136" t="e">
        <f t="shared" si="6"/>
        <v>#DIV/0!</v>
      </c>
      <c r="BG35" s="136" t="e">
        <f t="shared" si="24"/>
        <v>#DIV/0!</v>
      </c>
      <c r="BH35" s="136" t="e">
        <f t="shared" si="7"/>
        <v>#DIV/0!</v>
      </c>
      <c r="BI35" s="135" t="e">
        <f t="shared" si="25"/>
        <v>#DIV/0!</v>
      </c>
      <c r="BJ35" s="151"/>
      <c r="BK35" s="133" t="e">
        <f t="shared" si="8"/>
        <v>#DIV/0!</v>
      </c>
      <c r="BL35" s="136" t="e">
        <f t="shared" si="9"/>
        <v>#DIV/0!</v>
      </c>
      <c r="BM35" s="136" t="e">
        <f t="shared" si="10"/>
        <v>#DIV/0!</v>
      </c>
      <c r="BN35" s="135" t="e">
        <f t="shared" si="11"/>
        <v>#DIV/0!</v>
      </c>
      <c r="BO35" s="151"/>
      <c r="BP35" s="133" t="e">
        <f t="shared" si="12"/>
        <v>#DIV/0!</v>
      </c>
      <c r="BQ35" s="136">
        <v>0</v>
      </c>
      <c r="BR35" s="136" t="e">
        <f t="shared" si="26"/>
        <v>#DIV/0!</v>
      </c>
      <c r="BS35" s="136" t="e">
        <f t="shared" si="27"/>
        <v>#DIV/0!</v>
      </c>
      <c r="BT35" s="135" t="e">
        <f t="shared" si="13"/>
        <v>#DIV/0!</v>
      </c>
      <c r="BU35" s="151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8"/>
        <v>#DIV/0!</v>
      </c>
      <c r="CA35" s="139" t="e">
        <f t="shared" si="29"/>
        <v>#DIV/0!</v>
      </c>
      <c r="CB35" s="151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51"/>
    </row>
    <row r="36" spans="1:86" s="115" customFormat="1" ht="13.15" customHeight="1" thickBot="1" x14ac:dyDescent="0.25">
      <c r="A36" s="235" t="s">
        <v>69</v>
      </c>
      <c r="B36" s="236"/>
      <c r="C36" s="111">
        <f t="shared" ref="C36:AW36" si="31">SUM(C4:C34)</f>
        <v>0</v>
      </c>
      <c r="D36" s="111">
        <f t="shared" si="31"/>
        <v>0</v>
      </c>
      <c r="E36" s="111">
        <f t="shared" si="31"/>
        <v>0</v>
      </c>
      <c r="F36" s="111">
        <f t="shared" si="31"/>
        <v>0</v>
      </c>
      <c r="G36" s="111">
        <f t="shared" si="31"/>
        <v>0</v>
      </c>
      <c r="H36" s="111">
        <f t="shared" si="31"/>
        <v>0</v>
      </c>
      <c r="I36" s="111">
        <f t="shared" si="31"/>
        <v>0</v>
      </c>
      <c r="J36" s="111">
        <f t="shared" si="31"/>
        <v>0</v>
      </c>
      <c r="K36" s="111">
        <f t="shared" si="31"/>
        <v>0</v>
      </c>
      <c r="L36" s="111">
        <f t="shared" si="31"/>
        <v>0</v>
      </c>
      <c r="M36" s="111">
        <f t="shared" si="31"/>
        <v>0</v>
      </c>
      <c r="N36" s="111">
        <f t="shared" si="31"/>
        <v>0</v>
      </c>
      <c r="O36" s="111">
        <f t="shared" si="31"/>
        <v>0</v>
      </c>
      <c r="P36" s="111">
        <f t="shared" si="31"/>
        <v>0</v>
      </c>
      <c r="Q36" s="111">
        <f t="shared" si="31"/>
        <v>0</v>
      </c>
      <c r="R36" s="111">
        <f t="shared" si="31"/>
        <v>0</v>
      </c>
      <c r="S36" s="111">
        <f t="shared" si="31"/>
        <v>0</v>
      </c>
      <c r="T36" s="111">
        <f t="shared" si="31"/>
        <v>0</v>
      </c>
      <c r="U36" s="111">
        <f t="shared" si="31"/>
        <v>0</v>
      </c>
      <c r="V36" s="111">
        <f t="shared" si="31"/>
        <v>0</v>
      </c>
      <c r="W36" s="111">
        <f t="shared" si="31"/>
        <v>0</v>
      </c>
      <c r="X36" s="111">
        <f t="shared" si="31"/>
        <v>0</v>
      </c>
      <c r="Y36" s="111">
        <f t="shared" si="31"/>
        <v>0</v>
      </c>
      <c r="Z36" s="111">
        <f t="shared" si="31"/>
        <v>0</v>
      </c>
      <c r="AA36" s="111">
        <f t="shared" si="31"/>
        <v>0</v>
      </c>
      <c r="AB36" s="111">
        <f t="shared" si="31"/>
        <v>0</v>
      </c>
      <c r="AC36" s="111">
        <f t="shared" si="31"/>
        <v>0</v>
      </c>
      <c r="AD36" s="111">
        <f t="shared" si="31"/>
        <v>0</v>
      </c>
      <c r="AE36" s="111">
        <f t="shared" si="31"/>
        <v>0</v>
      </c>
      <c r="AF36" s="111">
        <f t="shared" si="31"/>
        <v>0</v>
      </c>
      <c r="AG36" s="111">
        <f t="shared" si="31"/>
        <v>0</v>
      </c>
      <c r="AH36" s="111">
        <f t="shared" si="31"/>
        <v>0</v>
      </c>
      <c r="AI36" s="111">
        <f t="shared" si="31"/>
        <v>0</v>
      </c>
      <c r="AJ36" s="111">
        <f t="shared" si="31"/>
        <v>0</v>
      </c>
      <c r="AK36" s="111">
        <f t="shared" si="31"/>
        <v>0</v>
      </c>
      <c r="AL36" s="111">
        <f t="shared" si="31"/>
        <v>0</v>
      </c>
      <c r="AM36" s="111">
        <f t="shared" si="31"/>
        <v>0</v>
      </c>
      <c r="AN36" s="111">
        <f t="shared" si="31"/>
        <v>0</v>
      </c>
      <c r="AO36" s="111">
        <f t="shared" si="31"/>
        <v>0</v>
      </c>
      <c r="AP36" s="111">
        <f t="shared" si="31"/>
        <v>0</v>
      </c>
      <c r="AQ36" s="111">
        <f t="shared" si="31"/>
        <v>0</v>
      </c>
      <c r="AR36" s="111">
        <f t="shared" si="31"/>
        <v>0</v>
      </c>
      <c r="AS36" s="111">
        <f t="shared" si="31"/>
        <v>0</v>
      </c>
      <c r="AT36" s="111">
        <f t="shared" si="31"/>
        <v>0</v>
      </c>
      <c r="AU36" s="111">
        <f t="shared" si="31"/>
        <v>0</v>
      </c>
      <c r="AV36" s="111">
        <f t="shared" si="31"/>
        <v>0</v>
      </c>
      <c r="AW36" s="111">
        <f t="shared" si="31"/>
        <v>0</v>
      </c>
      <c r="AX36" s="112" t="str">
        <f>IFERROR(AN36/AW36,"-")</f>
        <v>-</v>
      </c>
      <c r="AY36" s="156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56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 t="shared" si="24"/>
        <v/>
      </c>
      <c r="BH36" s="144" t="str">
        <f t="shared" si="7"/>
        <v/>
      </c>
      <c r="BI36" s="143" t="str">
        <f t="shared" si="25"/>
        <v/>
      </c>
      <c r="BJ36" s="156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56"/>
      <c r="BP36" s="141" t="str">
        <f t="shared" si="12"/>
        <v/>
      </c>
      <c r="BQ36" s="144">
        <v>0</v>
      </c>
      <c r="BR36" s="144" t="str">
        <f t="shared" si="26"/>
        <v/>
      </c>
      <c r="BS36" s="144" t="str">
        <f t="shared" si="27"/>
        <v/>
      </c>
      <c r="BT36" s="143" t="str">
        <f t="shared" si="13"/>
        <v/>
      </c>
      <c r="BU36" s="156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8"/>
        <v/>
      </c>
      <c r="CA36" s="147" t="str">
        <f t="shared" si="29"/>
        <v/>
      </c>
      <c r="CB36" s="156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56"/>
    </row>
    <row r="37" spans="1:86" x14ac:dyDescent="0.2"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</sheetData>
  <mergeCells count="88">
    <mergeCell ref="AZ1:BB1"/>
    <mergeCell ref="BD1:BI1"/>
    <mergeCell ref="BK1:BN1"/>
    <mergeCell ref="BP1:BT1"/>
    <mergeCell ref="CC1:CG1"/>
    <mergeCell ref="BV1:CA1"/>
    <mergeCell ref="CG2:CG3"/>
    <mergeCell ref="A35:B35"/>
    <mergeCell ref="A36:B36"/>
    <mergeCell ref="CA2:CA3"/>
    <mergeCell ref="CC2:CC3"/>
    <mergeCell ref="CD2:CD3"/>
    <mergeCell ref="CE2:CE3"/>
    <mergeCell ref="CF2:CF3"/>
    <mergeCell ref="BT2:BT3"/>
    <mergeCell ref="BV2:BV3"/>
    <mergeCell ref="BW2:BW3"/>
    <mergeCell ref="BX2:BX3"/>
    <mergeCell ref="BY2:BY3"/>
    <mergeCell ref="BZ2:BZ3"/>
    <mergeCell ref="BM2:BM3"/>
    <mergeCell ref="BN2:BN3"/>
    <mergeCell ref="BP2:BP3"/>
    <mergeCell ref="BR2:BR3"/>
    <mergeCell ref="BS2:BS3"/>
    <mergeCell ref="BG2:BG3"/>
    <mergeCell ref="BH2:BH3"/>
    <mergeCell ref="BI2:BI3"/>
    <mergeCell ref="BK2:BK3"/>
    <mergeCell ref="BL2:BL3"/>
    <mergeCell ref="BQ2:BQ3"/>
    <mergeCell ref="BA2:BA3"/>
    <mergeCell ref="BB2:BB3"/>
    <mergeCell ref="BD2:BD3"/>
    <mergeCell ref="BE2:BE3"/>
    <mergeCell ref="BF2:BF3"/>
    <mergeCell ref="AU2:AU3"/>
    <mergeCell ref="AV2:AV3"/>
    <mergeCell ref="AW2:AW3"/>
    <mergeCell ref="AX2:AX3"/>
    <mergeCell ref="AZ2:AZ3"/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H2:AH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E2:E3"/>
    <mergeCell ref="V2:V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B1"/>
    <mergeCell ref="A2:A3"/>
    <mergeCell ref="B2:B3"/>
    <mergeCell ref="C2:C3"/>
    <mergeCell ref="D2:D3"/>
    <mergeCell ref="W2:W3"/>
    <mergeCell ref="X2:X3"/>
    <mergeCell ref="F2:F3"/>
    <mergeCell ref="G2:G3"/>
    <mergeCell ref="H2:H3"/>
    <mergeCell ref="I2:I3"/>
    <mergeCell ref="U2:U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CY37"/>
  <sheetViews>
    <sheetView showGridLines="0" topLeftCell="AK1" zoomScaleNormal="100" workbookViewId="0">
      <selection activeCell="AX4" sqref="AX4"/>
    </sheetView>
  </sheetViews>
  <sheetFormatPr defaultColWidth="0" defaultRowHeight="11.25" x14ac:dyDescent="0.2"/>
  <cols>
    <col min="1" max="1" width="9.42578125" style="154" bestFit="1" customWidth="1"/>
    <col min="2" max="2" width="4.5703125" style="154" customWidth="1"/>
    <col min="3" max="3" width="15.42578125" style="154" bestFit="1" customWidth="1"/>
    <col min="4" max="4" width="18.7109375" style="154" bestFit="1" customWidth="1"/>
    <col min="5" max="5" width="19.85546875" style="154" bestFit="1" customWidth="1"/>
    <col min="6" max="6" width="15.85546875" style="154" bestFit="1" customWidth="1"/>
    <col min="7" max="7" width="6.7109375" style="154" bestFit="1" customWidth="1"/>
    <col min="8" max="8" width="18.42578125" style="154" bestFit="1" customWidth="1"/>
    <col min="9" max="9" width="8.85546875" style="154" bestFit="1" customWidth="1"/>
    <col min="10" max="10" width="9.42578125" style="154" customWidth="1"/>
    <col min="11" max="11" width="10.85546875" style="154" bestFit="1" customWidth="1"/>
    <col min="12" max="12" width="7.140625" style="154" bestFit="1" customWidth="1"/>
    <col min="13" max="13" width="5.85546875" style="154" bestFit="1" customWidth="1"/>
    <col min="14" max="14" width="5.5703125" style="154" bestFit="1" customWidth="1"/>
    <col min="15" max="15" width="4.7109375" style="154" bestFit="1" customWidth="1"/>
    <col min="16" max="16" width="4.5703125" style="154" bestFit="1" customWidth="1"/>
    <col min="17" max="17" width="5.42578125" style="154" bestFit="1" customWidth="1"/>
    <col min="18" max="18" width="4" style="154" bestFit="1" customWidth="1"/>
    <col min="19" max="19" width="5.5703125" style="154" bestFit="1" customWidth="1"/>
    <col min="20" max="20" width="3.5703125" style="154" bestFit="1" customWidth="1"/>
    <col min="21" max="21" width="5.85546875" style="154" bestFit="1" customWidth="1"/>
    <col min="22" max="23" width="3.28515625" style="154" bestFit="1" customWidth="1"/>
    <col min="24" max="24" width="5" style="154" bestFit="1" customWidth="1"/>
    <col min="25" max="25" width="3.85546875" style="154" bestFit="1" customWidth="1"/>
    <col min="26" max="26" width="3.42578125" style="154" bestFit="1" customWidth="1"/>
    <col min="27" max="27" width="5.5703125" style="154" bestFit="1" customWidth="1"/>
    <col min="28" max="28" width="5.7109375" style="154" customWidth="1"/>
    <col min="29" max="29" width="4" style="154" bestFit="1" customWidth="1"/>
    <col min="30" max="30" width="3.140625" style="154" bestFit="1" customWidth="1"/>
    <col min="31" max="31" width="5.42578125" style="154" bestFit="1" customWidth="1"/>
    <col min="32" max="33" width="4.42578125" style="154" bestFit="1" customWidth="1"/>
    <col min="34" max="34" width="5.5703125" style="154" bestFit="1" customWidth="1"/>
    <col min="35" max="35" width="13.140625" style="154" bestFit="1" customWidth="1"/>
    <col min="36" max="36" width="15.5703125" style="154" bestFit="1" customWidth="1"/>
    <col min="37" max="37" width="16.140625" style="154" bestFit="1" customWidth="1"/>
    <col min="38" max="38" width="15.28515625" style="154" bestFit="1" customWidth="1"/>
    <col min="39" max="39" width="15.7109375" style="154" bestFit="1" customWidth="1"/>
    <col min="40" max="40" width="16.140625" style="154" bestFit="1" customWidth="1"/>
    <col min="41" max="41" width="9.85546875" style="154" bestFit="1" customWidth="1"/>
    <col min="42" max="42" width="13.7109375" style="154" bestFit="1" customWidth="1"/>
    <col min="43" max="43" width="11" style="154" bestFit="1" customWidth="1"/>
    <col min="44" max="44" width="10.140625" style="154" bestFit="1" customWidth="1"/>
    <col min="45" max="45" width="12.42578125" style="158" bestFit="1" customWidth="1"/>
    <col min="46" max="47" width="13.42578125" style="154" bestFit="1" customWidth="1"/>
    <col min="48" max="48" width="16.140625" style="154" bestFit="1" customWidth="1"/>
    <col min="49" max="50" width="16" style="154" bestFit="1" customWidth="1"/>
    <col min="51" max="51" width="1.42578125" style="154" customWidth="1"/>
    <col min="52" max="52" width="16.28515625" style="154" bestFit="1" customWidth="1"/>
    <col min="53" max="53" width="11.85546875" style="154" bestFit="1" customWidth="1"/>
    <col min="54" max="54" width="12.7109375" style="154" bestFit="1" customWidth="1"/>
    <col min="55" max="55" width="1.42578125" style="154" customWidth="1"/>
    <col min="56" max="56" width="12.5703125" style="154" bestFit="1" customWidth="1"/>
    <col min="57" max="57" width="13.28515625" style="154" bestFit="1" customWidth="1"/>
    <col min="58" max="58" width="20.28515625" style="154" bestFit="1" customWidth="1"/>
    <col min="59" max="59" width="9.42578125" style="154" bestFit="1" customWidth="1"/>
    <col min="60" max="60" width="14.7109375" style="154" bestFit="1" customWidth="1"/>
    <col min="61" max="61" width="10.5703125" style="154" bestFit="1" customWidth="1"/>
    <col min="62" max="62" width="1.5703125" style="154" customWidth="1"/>
    <col min="63" max="63" width="20.140625" style="154" bestFit="1" customWidth="1"/>
    <col min="64" max="64" width="25.28515625" style="154" bestFit="1" customWidth="1"/>
    <col min="65" max="65" width="14" style="154" bestFit="1" customWidth="1"/>
    <col min="66" max="66" width="18" style="154" bestFit="1" customWidth="1"/>
    <col min="67" max="67" width="1.28515625" style="154" customWidth="1"/>
    <col min="68" max="68" width="9.140625" style="154" bestFit="1" customWidth="1"/>
    <col min="69" max="69" width="12.85546875" style="154" bestFit="1" customWidth="1"/>
    <col min="70" max="70" width="14" style="154" bestFit="1" customWidth="1"/>
    <col min="71" max="71" width="13.7109375" style="154" bestFit="1" customWidth="1"/>
    <col min="72" max="72" width="7.85546875" style="154" bestFit="1" customWidth="1"/>
    <col min="73" max="73" width="1.85546875" style="154" customWidth="1"/>
    <col min="74" max="74" width="18.42578125" style="154" bestFit="1" customWidth="1"/>
    <col min="75" max="75" width="14.42578125" style="154" bestFit="1" customWidth="1"/>
    <col min="76" max="76" width="18.42578125" style="154" bestFit="1" customWidth="1"/>
    <col min="77" max="77" width="18.85546875" style="154" bestFit="1" customWidth="1"/>
    <col min="78" max="78" width="18" style="154" bestFit="1" customWidth="1"/>
    <col min="79" max="79" width="18.5703125" style="154" bestFit="1" customWidth="1"/>
    <col min="80" max="80" width="1.5703125" style="154" customWidth="1"/>
    <col min="81" max="82" width="6.5703125" style="154" bestFit="1" customWidth="1"/>
    <col min="83" max="83" width="5.85546875" style="154" bestFit="1" customWidth="1"/>
    <col min="84" max="84" width="6.5703125" style="154" bestFit="1" customWidth="1"/>
    <col min="85" max="85" width="8.42578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4" si="0">+TEXT(A4,"DDD")</f>
        <v>Thu</v>
      </c>
      <c r="C4" s="98"/>
      <c r="D4" s="98"/>
      <c r="E4" s="103"/>
      <c r="F4" s="98"/>
      <c r="G4" s="98"/>
      <c r="H4" s="104"/>
      <c r="I4" s="104"/>
      <c r="J4" s="105"/>
      <c r="K4" s="106"/>
      <c r="L4" s="98"/>
      <c r="M4" s="98"/>
      <c r="N4" s="98"/>
      <c r="O4" s="98"/>
      <c r="P4" s="103"/>
      <c r="Q4" s="98"/>
      <c r="R4" s="98"/>
      <c r="S4" s="98"/>
      <c r="T4" s="98"/>
      <c r="U4" s="98"/>
      <c r="V4" s="103"/>
      <c r="W4" s="103"/>
      <c r="X4" s="98"/>
      <c r="Y4" s="98"/>
      <c r="Z4" s="98"/>
      <c r="AA4" s="98"/>
      <c r="AB4" s="98"/>
      <c r="AC4" s="98"/>
      <c r="AD4" s="98"/>
      <c r="AE4" s="98"/>
      <c r="AF4" s="103"/>
      <c r="AG4" s="103"/>
      <c r="AH4" s="98"/>
      <c r="AI4" s="107"/>
      <c r="AJ4" s="108"/>
      <c r="AK4" s="107"/>
      <c r="AL4" s="178"/>
      <c r="AM4" s="178"/>
      <c r="AN4" s="178"/>
      <c r="AO4" s="178"/>
      <c r="AP4" s="178"/>
      <c r="AQ4" s="178"/>
      <c r="AR4" s="178"/>
      <c r="AS4" s="178"/>
      <c r="AT4" s="179"/>
      <c r="AU4" s="179"/>
      <c r="AV4" s="180"/>
      <c r="AW4" s="181"/>
      <c r="AX4" s="102" t="str">
        <f t="shared" ref="AX4:AX31" si="1">IFERROR(AN4/AW4,"-")</f>
        <v>-</v>
      </c>
      <c r="AY4" s="151"/>
      <c r="AZ4" s="116" t="str">
        <f t="shared" ref="AZ4:AZ36" si="2">IF(E4&gt;0,F4/E4,"")</f>
        <v/>
      </c>
      <c r="BA4" s="117" t="str">
        <f t="shared" ref="BA4:BA36" si="3">+IF(E4&gt;0,G4/E4,"")</f>
        <v/>
      </c>
      <c r="BB4" s="116" t="str">
        <f t="shared" ref="BB4:BB36" si="4">+IF(E4&gt;0,AJ4/E4,"")</f>
        <v/>
      </c>
      <c r="BC4" s="151"/>
      <c r="BD4" s="118" t="str">
        <f t="shared" ref="BD4:BD36" si="5">+IF(G4&gt;0,I4/G4,"")</f>
        <v/>
      </c>
      <c r="BE4" s="119" t="str">
        <f t="shared" ref="BE4:BE36" si="6">+IF(G4&gt;0,J4/G4,"")</f>
        <v/>
      </c>
      <c r="BF4" s="119" t="str">
        <f t="shared" ref="BF4:BF36" si="7">+IF(I4&gt;0,L4/I4,"")</f>
        <v/>
      </c>
      <c r="BG4" s="119" t="str">
        <f>+IF(SUM(AO4:AR4)&gt;0,AO4/AN4,"")</f>
        <v/>
      </c>
      <c r="BH4" s="119" t="str">
        <f t="shared" ref="BH4:BH36" si="8">+IF(G4&gt;0,K4/G4,"")</f>
        <v/>
      </c>
      <c r="BI4" s="120" t="str">
        <f>+IF(SUM(AO4:AR4)&gt;0,AQ4/AN4,"")</f>
        <v/>
      </c>
      <c r="BJ4" s="151"/>
      <c r="BK4" s="121" t="str">
        <f t="shared" ref="BK4:BK36" si="9">+IF(E4&gt;0,(AJ4/E4),"")</f>
        <v/>
      </c>
      <c r="BL4" s="122" t="str">
        <f t="shared" ref="BL4:BL36" si="10">+IF(E4&gt;0,(AJ4/F4),"")</f>
        <v/>
      </c>
      <c r="BM4" s="122" t="str">
        <f t="shared" ref="BM4:BM36" si="11">+IF(E4&gt;0,(AJ4/G4),"")</f>
        <v/>
      </c>
      <c r="BN4" s="123" t="str">
        <f t="shared" ref="BN4:BN36" si="12">+IF(E4&gt;0,(AJ4/J4),"")</f>
        <v/>
      </c>
      <c r="BO4" s="151"/>
      <c r="BP4" s="124" t="str">
        <f t="shared" ref="BP4:BP36" si="13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4">IF(J4&gt;0,AD4/J4,"")</f>
        <v/>
      </c>
      <c r="BU4" s="151"/>
      <c r="BV4" s="127" t="str">
        <f t="shared" ref="BV4:BV36" si="15">IF(AN4&gt;0,(E4/AN4),"")</f>
        <v/>
      </c>
      <c r="BW4" s="127" t="str">
        <f t="shared" ref="BW4:BW36" si="16">IF(AN4&gt;0,(G4/AN4),"")</f>
        <v/>
      </c>
      <c r="BX4" s="127" t="str">
        <f t="shared" ref="BX4:BX36" si="17">IF(AN4&gt;0,(J4/AN4),"")</f>
        <v/>
      </c>
      <c r="BY4" s="127" t="str">
        <f t="shared" ref="BY4:BY36" si="18">IF(AN4&gt;0,(K4/AN4),"")</f>
        <v/>
      </c>
      <c r="BZ4" s="127" t="str">
        <f>IF(AN4&gt;0,(AJ4/AN4),"")</f>
        <v/>
      </c>
      <c r="CA4" s="128" t="str">
        <f>IF(AN4&gt;0,(AK4/AN4),"")</f>
        <v/>
      </c>
      <c r="CB4" s="151"/>
      <c r="CC4" s="129" t="str">
        <f t="shared" ref="CC4:CC36" si="19">IFERROR(((AN4-AO4)*3600)/J4,"-")</f>
        <v>-</v>
      </c>
      <c r="CD4" s="130" t="str">
        <f t="shared" ref="CD4:CD36" si="20">IFERROR((AR4*3600)/J4,"-")</f>
        <v>-</v>
      </c>
      <c r="CE4" s="130" t="str">
        <f t="shared" ref="CE4:CE36" si="21">IFERROR((AQ4*3600)/J4,"-")</f>
        <v>-</v>
      </c>
      <c r="CF4" s="130" t="str">
        <f t="shared" ref="CF4:CF36" si="22">IFERROR((AO4*3600)/J4,"-")</f>
        <v>-</v>
      </c>
      <c r="CG4" s="131" t="str">
        <f t="shared" ref="CG4:CG36" si="23">IFERROR((AP4*3600)/J4,"-")</f>
        <v>-</v>
      </c>
      <c r="CH4" s="151"/>
    </row>
    <row r="5" spans="1:86" s="115" customFormat="1" ht="12.4" customHeight="1" thickBot="1" x14ac:dyDescent="0.25">
      <c r="A5" s="96">
        <f>EL_DEL_CD2_JO_!A5</f>
        <v>46297</v>
      </c>
      <c r="B5" s="97" t="str">
        <f t="shared" si="0"/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178"/>
      <c r="AM5" s="178"/>
      <c r="AN5" s="178"/>
      <c r="AO5" s="178"/>
      <c r="AP5" s="178"/>
      <c r="AQ5" s="178"/>
      <c r="AR5" s="178"/>
      <c r="AS5" s="178"/>
      <c r="AT5" s="179"/>
      <c r="AU5" s="179"/>
      <c r="AV5" s="180"/>
      <c r="AW5" s="181"/>
      <c r="AX5" s="102" t="str">
        <f t="shared" si="1"/>
        <v>-</v>
      </c>
      <c r="AY5" s="151"/>
      <c r="AZ5" s="116" t="str">
        <f t="shared" si="2"/>
        <v/>
      </c>
      <c r="BA5" s="117" t="str">
        <f t="shared" si="3"/>
        <v/>
      </c>
      <c r="BB5" s="116" t="str">
        <f t="shared" si="4"/>
        <v/>
      </c>
      <c r="BC5" s="151"/>
      <c r="BD5" s="118" t="str">
        <f t="shared" si="5"/>
        <v/>
      </c>
      <c r="BE5" s="119" t="str">
        <f t="shared" si="6"/>
        <v/>
      </c>
      <c r="BF5" s="119" t="str">
        <f t="shared" si="7"/>
        <v/>
      </c>
      <c r="BG5" s="119" t="str">
        <f t="shared" ref="BG5:BG36" si="24">+IF(SUM(AO5:AR5)&gt;0,AO5/AN5,"")</f>
        <v/>
      </c>
      <c r="BH5" s="119" t="str">
        <f t="shared" si="8"/>
        <v/>
      </c>
      <c r="BI5" s="120" t="str">
        <f t="shared" ref="BI5:BI36" si="25">+IF(SUM(AO5:AR5)&gt;0,AQ5/AN5,"")</f>
        <v/>
      </c>
      <c r="BJ5" s="151"/>
      <c r="BK5" s="121" t="str">
        <f t="shared" si="9"/>
        <v/>
      </c>
      <c r="BL5" s="122" t="str">
        <f t="shared" si="10"/>
        <v/>
      </c>
      <c r="BM5" s="122" t="str">
        <f t="shared" si="11"/>
        <v/>
      </c>
      <c r="BN5" s="123" t="str">
        <f t="shared" si="12"/>
        <v/>
      </c>
      <c r="BO5" s="151"/>
      <c r="BP5" s="124" t="str">
        <f t="shared" si="13"/>
        <v/>
      </c>
      <c r="BQ5" s="125">
        <v>0</v>
      </c>
      <c r="BR5" s="125" t="str">
        <f t="shared" ref="BR5:BR36" si="26">IF(AJ5&gt;0,(AK5/AJ5),"")</f>
        <v/>
      </c>
      <c r="BS5" s="125" t="str">
        <f t="shared" ref="BS5:BS36" si="27">IF(AJ5&gt;0,(AK5/AJ5),"")</f>
        <v/>
      </c>
      <c r="BT5" s="126" t="str">
        <f t="shared" si="14"/>
        <v/>
      </c>
      <c r="BU5" s="151"/>
      <c r="BV5" s="132" t="str">
        <f t="shared" si="15"/>
        <v/>
      </c>
      <c r="BW5" s="127" t="str">
        <f t="shared" si="16"/>
        <v/>
      </c>
      <c r="BX5" s="127" t="str">
        <f t="shared" si="17"/>
        <v/>
      </c>
      <c r="BY5" s="127" t="str">
        <f t="shared" si="18"/>
        <v/>
      </c>
      <c r="BZ5" s="127" t="str">
        <f t="shared" ref="BZ5:BZ36" si="28">IF(AN5&gt;0,(AJ5/AN5),"")</f>
        <v/>
      </c>
      <c r="CA5" s="128" t="str">
        <f t="shared" ref="CA5:CA36" si="29">IF(AN5&gt;0,(AK5/AN5),"")</f>
        <v/>
      </c>
      <c r="CB5" s="151"/>
      <c r="CC5" s="129" t="str">
        <f t="shared" si="19"/>
        <v>-</v>
      </c>
      <c r="CD5" s="130" t="str">
        <f t="shared" si="20"/>
        <v>-</v>
      </c>
      <c r="CE5" s="130" t="str">
        <f t="shared" si="21"/>
        <v>-</v>
      </c>
      <c r="CF5" s="130" t="str">
        <f t="shared" si="22"/>
        <v>-</v>
      </c>
      <c r="CG5" s="131" t="str">
        <f t="shared" si="23"/>
        <v>-</v>
      </c>
      <c r="CH5" s="151"/>
    </row>
    <row r="6" spans="1:86" s="115" customFormat="1" ht="12.4" customHeight="1" thickBot="1" x14ac:dyDescent="0.25">
      <c r="A6" s="96">
        <f>EL_DEL_CD2_JO_!A6</f>
        <v>46298</v>
      </c>
      <c r="B6" s="97" t="str">
        <f t="shared" si="0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178"/>
      <c r="AM6" s="178"/>
      <c r="AN6" s="178"/>
      <c r="AO6" s="178"/>
      <c r="AP6" s="178"/>
      <c r="AQ6" s="178"/>
      <c r="AR6" s="178"/>
      <c r="AS6" s="178"/>
      <c r="AT6" s="179"/>
      <c r="AU6" s="179"/>
      <c r="AV6" s="180"/>
      <c r="AW6" s="181"/>
      <c r="AX6" s="102" t="str">
        <f t="shared" si="1"/>
        <v>-</v>
      </c>
      <c r="AY6" s="151"/>
      <c r="AZ6" s="116" t="str">
        <f t="shared" si="2"/>
        <v/>
      </c>
      <c r="BA6" s="117" t="str">
        <f t="shared" si="3"/>
        <v/>
      </c>
      <c r="BB6" s="116" t="str">
        <f t="shared" si="4"/>
        <v/>
      </c>
      <c r="BC6" s="151"/>
      <c r="BD6" s="118" t="str">
        <f t="shared" si="5"/>
        <v/>
      </c>
      <c r="BE6" s="119" t="str">
        <f t="shared" si="6"/>
        <v/>
      </c>
      <c r="BF6" s="119" t="str">
        <f t="shared" si="7"/>
        <v/>
      </c>
      <c r="BG6" s="119" t="str">
        <f t="shared" si="24"/>
        <v/>
      </c>
      <c r="BH6" s="119" t="str">
        <f t="shared" si="8"/>
        <v/>
      </c>
      <c r="BI6" s="120" t="str">
        <f t="shared" si="25"/>
        <v/>
      </c>
      <c r="BJ6" s="151"/>
      <c r="BK6" s="121" t="str">
        <f t="shared" si="9"/>
        <v/>
      </c>
      <c r="BL6" s="122" t="str">
        <f t="shared" si="10"/>
        <v/>
      </c>
      <c r="BM6" s="122" t="str">
        <f t="shared" si="11"/>
        <v/>
      </c>
      <c r="BN6" s="123" t="str">
        <f t="shared" si="12"/>
        <v/>
      </c>
      <c r="BO6" s="151"/>
      <c r="BP6" s="124" t="str">
        <f t="shared" si="13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4"/>
        <v/>
      </c>
      <c r="BU6" s="151"/>
      <c r="BV6" s="132" t="str">
        <f t="shared" si="15"/>
        <v/>
      </c>
      <c r="BW6" s="127" t="str">
        <f t="shared" si="16"/>
        <v/>
      </c>
      <c r="BX6" s="127" t="str">
        <f t="shared" si="17"/>
        <v/>
      </c>
      <c r="BY6" s="127" t="str">
        <f t="shared" si="18"/>
        <v/>
      </c>
      <c r="BZ6" s="127" t="str">
        <f t="shared" si="28"/>
        <v/>
      </c>
      <c r="CA6" s="128" t="str">
        <f t="shared" si="29"/>
        <v/>
      </c>
      <c r="CB6" s="151"/>
      <c r="CC6" s="129" t="str">
        <f t="shared" si="19"/>
        <v>-</v>
      </c>
      <c r="CD6" s="130" t="str">
        <f t="shared" si="20"/>
        <v>-</v>
      </c>
      <c r="CE6" s="130" t="str">
        <f t="shared" si="21"/>
        <v>-</v>
      </c>
      <c r="CF6" s="130" t="str">
        <f t="shared" si="22"/>
        <v>-</v>
      </c>
      <c r="CG6" s="131" t="str">
        <f t="shared" si="23"/>
        <v>-</v>
      </c>
      <c r="CH6" s="151"/>
    </row>
    <row r="7" spans="1:86" s="115" customFormat="1" ht="12.4" customHeight="1" thickBot="1" x14ac:dyDescent="0.25">
      <c r="A7" s="96">
        <f>EL_DEL_CD2_JO_!A7</f>
        <v>46299</v>
      </c>
      <c r="B7" s="97" t="str">
        <f t="shared" si="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178"/>
      <c r="AM7" s="178"/>
      <c r="AN7" s="178"/>
      <c r="AO7" s="178"/>
      <c r="AP7" s="178"/>
      <c r="AQ7" s="178"/>
      <c r="AR7" s="178"/>
      <c r="AS7" s="178"/>
      <c r="AT7" s="179"/>
      <c r="AU7" s="179"/>
      <c r="AV7" s="180"/>
      <c r="AW7" s="181"/>
      <c r="AX7" s="102" t="str">
        <f t="shared" si="1"/>
        <v>-</v>
      </c>
      <c r="AY7" s="151"/>
      <c r="AZ7" s="116" t="str">
        <f t="shared" si="2"/>
        <v/>
      </c>
      <c r="BA7" s="117" t="str">
        <f t="shared" si="3"/>
        <v/>
      </c>
      <c r="BB7" s="116" t="str">
        <f t="shared" si="4"/>
        <v/>
      </c>
      <c r="BC7" s="151"/>
      <c r="BD7" s="118" t="str">
        <f t="shared" si="5"/>
        <v/>
      </c>
      <c r="BE7" s="119" t="str">
        <f t="shared" si="6"/>
        <v/>
      </c>
      <c r="BF7" s="119" t="str">
        <f t="shared" si="7"/>
        <v/>
      </c>
      <c r="BG7" s="119" t="str">
        <f t="shared" si="24"/>
        <v/>
      </c>
      <c r="BH7" s="119" t="str">
        <f t="shared" si="8"/>
        <v/>
      </c>
      <c r="BI7" s="120" t="str">
        <f t="shared" si="25"/>
        <v/>
      </c>
      <c r="BJ7" s="151"/>
      <c r="BK7" s="121" t="str">
        <f t="shared" si="9"/>
        <v/>
      </c>
      <c r="BL7" s="122" t="str">
        <f t="shared" si="10"/>
        <v/>
      </c>
      <c r="BM7" s="122" t="str">
        <f t="shared" si="11"/>
        <v/>
      </c>
      <c r="BN7" s="123" t="str">
        <f t="shared" si="12"/>
        <v/>
      </c>
      <c r="BO7" s="151"/>
      <c r="BP7" s="124" t="str">
        <f t="shared" si="13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4"/>
        <v/>
      </c>
      <c r="BU7" s="151"/>
      <c r="BV7" s="132" t="str">
        <f t="shared" si="15"/>
        <v/>
      </c>
      <c r="BW7" s="127" t="str">
        <f t="shared" si="16"/>
        <v/>
      </c>
      <c r="BX7" s="127" t="str">
        <f t="shared" si="17"/>
        <v/>
      </c>
      <c r="BY7" s="127" t="str">
        <f t="shared" si="18"/>
        <v/>
      </c>
      <c r="BZ7" s="127" t="str">
        <f t="shared" si="28"/>
        <v/>
      </c>
      <c r="CA7" s="128" t="str">
        <f t="shared" si="29"/>
        <v/>
      </c>
      <c r="CB7" s="151"/>
      <c r="CC7" s="129" t="str">
        <f t="shared" si="19"/>
        <v>-</v>
      </c>
      <c r="CD7" s="130" t="str">
        <f t="shared" si="20"/>
        <v>-</v>
      </c>
      <c r="CE7" s="130" t="str">
        <f t="shared" si="21"/>
        <v>-</v>
      </c>
      <c r="CF7" s="130" t="str">
        <f t="shared" si="22"/>
        <v>-</v>
      </c>
      <c r="CG7" s="131" t="str">
        <f t="shared" si="23"/>
        <v>-</v>
      </c>
      <c r="CH7" s="151"/>
    </row>
    <row r="8" spans="1:86" s="115" customFormat="1" ht="12.4" customHeight="1" thickBot="1" x14ac:dyDescent="0.25">
      <c r="A8" s="96">
        <f>EL_DEL_CD2_JO_!A8</f>
        <v>46300</v>
      </c>
      <c r="B8" s="97" t="str">
        <f t="shared" si="0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178"/>
      <c r="AM8" s="178"/>
      <c r="AN8" s="178"/>
      <c r="AO8" s="178"/>
      <c r="AP8" s="178"/>
      <c r="AQ8" s="178"/>
      <c r="AR8" s="178"/>
      <c r="AS8" s="178"/>
      <c r="AT8" s="179"/>
      <c r="AU8" s="179"/>
      <c r="AV8" s="180"/>
      <c r="AW8" s="181"/>
      <c r="AX8" s="102" t="str">
        <f t="shared" si="1"/>
        <v>-</v>
      </c>
      <c r="AY8" s="151"/>
      <c r="AZ8" s="116" t="str">
        <f t="shared" si="2"/>
        <v/>
      </c>
      <c r="BA8" s="117" t="str">
        <f t="shared" si="3"/>
        <v/>
      </c>
      <c r="BB8" s="116" t="str">
        <f t="shared" si="4"/>
        <v/>
      </c>
      <c r="BC8" s="151"/>
      <c r="BD8" s="118" t="str">
        <f t="shared" si="5"/>
        <v/>
      </c>
      <c r="BE8" s="119" t="str">
        <f t="shared" si="6"/>
        <v/>
      </c>
      <c r="BF8" s="119" t="str">
        <f t="shared" si="7"/>
        <v/>
      </c>
      <c r="BG8" s="119" t="str">
        <f t="shared" si="24"/>
        <v/>
      </c>
      <c r="BH8" s="119" t="str">
        <f t="shared" si="8"/>
        <v/>
      </c>
      <c r="BI8" s="120" t="str">
        <f t="shared" si="25"/>
        <v/>
      </c>
      <c r="BJ8" s="151"/>
      <c r="BK8" s="121" t="str">
        <f t="shared" si="9"/>
        <v/>
      </c>
      <c r="BL8" s="122" t="str">
        <f t="shared" si="10"/>
        <v/>
      </c>
      <c r="BM8" s="122" t="str">
        <f t="shared" si="11"/>
        <v/>
      </c>
      <c r="BN8" s="123" t="str">
        <f t="shared" si="12"/>
        <v/>
      </c>
      <c r="BO8" s="151"/>
      <c r="BP8" s="124" t="str">
        <f t="shared" si="13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4"/>
        <v/>
      </c>
      <c r="BU8" s="151"/>
      <c r="BV8" s="132" t="str">
        <f t="shared" si="15"/>
        <v/>
      </c>
      <c r="BW8" s="127" t="str">
        <f t="shared" si="16"/>
        <v/>
      </c>
      <c r="BX8" s="127" t="str">
        <f t="shared" si="17"/>
        <v/>
      </c>
      <c r="BY8" s="127" t="str">
        <f t="shared" si="18"/>
        <v/>
      </c>
      <c r="BZ8" s="127" t="str">
        <f t="shared" si="28"/>
        <v/>
      </c>
      <c r="CA8" s="128" t="str">
        <f t="shared" si="29"/>
        <v/>
      </c>
      <c r="CB8" s="151"/>
      <c r="CC8" s="129" t="str">
        <f t="shared" si="19"/>
        <v>-</v>
      </c>
      <c r="CD8" s="130" t="str">
        <f t="shared" si="20"/>
        <v>-</v>
      </c>
      <c r="CE8" s="130" t="str">
        <f t="shared" si="21"/>
        <v>-</v>
      </c>
      <c r="CF8" s="130" t="str">
        <f t="shared" si="22"/>
        <v>-</v>
      </c>
      <c r="CG8" s="131" t="str">
        <f t="shared" si="23"/>
        <v>-</v>
      </c>
      <c r="CH8" s="151"/>
    </row>
    <row r="9" spans="1:86" s="115" customFormat="1" ht="12.4" customHeight="1" thickBot="1" x14ac:dyDescent="0.25">
      <c r="A9" s="96">
        <f>EL_DEL_CD2_JO_!A9</f>
        <v>46301</v>
      </c>
      <c r="B9" s="97" t="str">
        <f t="shared" si="0"/>
        <v>Tue</v>
      </c>
      <c r="C9" s="98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178"/>
      <c r="AM9" s="178"/>
      <c r="AN9" s="178"/>
      <c r="AO9" s="178"/>
      <c r="AP9" s="178"/>
      <c r="AQ9" s="178"/>
      <c r="AR9" s="178"/>
      <c r="AS9" s="178"/>
      <c r="AT9" s="179"/>
      <c r="AU9" s="179"/>
      <c r="AV9" s="180"/>
      <c r="AW9" s="181"/>
      <c r="AX9" s="102" t="str">
        <f t="shared" si="1"/>
        <v>-</v>
      </c>
      <c r="AY9" s="151"/>
      <c r="AZ9" s="116" t="str">
        <f t="shared" si="2"/>
        <v/>
      </c>
      <c r="BA9" s="117" t="str">
        <f t="shared" si="3"/>
        <v/>
      </c>
      <c r="BB9" s="116" t="str">
        <f t="shared" si="4"/>
        <v/>
      </c>
      <c r="BC9" s="151"/>
      <c r="BD9" s="118" t="str">
        <f t="shared" si="5"/>
        <v/>
      </c>
      <c r="BE9" s="119" t="str">
        <f t="shared" si="6"/>
        <v/>
      </c>
      <c r="BF9" s="119" t="str">
        <f t="shared" si="7"/>
        <v/>
      </c>
      <c r="BG9" s="119" t="str">
        <f t="shared" si="24"/>
        <v/>
      </c>
      <c r="BH9" s="119" t="str">
        <f t="shared" si="8"/>
        <v/>
      </c>
      <c r="BI9" s="120" t="str">
        <f t="shared" si="25"/>
        <v/>
      </c>
      <c r="BJ9" s="151"/>
      <c r="BK9" s="121" t="str">
        <f t="shared" si="9"/>
        <v/>
      </c>
      <c r="BL9" s="122" t="str">
        <f t="shared" si="10"/>
        <v/>
      </c>
      <c r="BM9" s="122" t="str">
        <f t="shared" si="11"/>
        <v/>
      </c>
      <c r="BN9" s="123" t="str">
        <f t="shared" si="12"/>
        <v/>
      </c>
      <c r="BO9" s="151"/>
      <c r="BP9" s="124" t="str">
        <f t="shared" si="13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4"/>
        <v/>
      </c>
      <c r="BU9" s="151"/>
      <c r="BV9" s="132" t="str">
        <f t="shared" si="15"/>
        <v/>
      </c>
      <c r="BW9" s="127" t="str">
        <f t="shared" si="16"/>
        <v/>
      </c>
      <c r="BX9" s="127" t="str">
        <f t="shared" si="17"/>
        <v/>
      </c>
      <c r="BY9" s="127" t="str">
        <f t="shared" si="18"/>
        <v/>
      </c>
      <c r="BZ9" s="127" t="str">
        <f t="shared" si="28"/>
        <v/>
      </c>
      <c r="CA9" s="128" t="str">
        <f t="shared" si="29"/>
        <v/>
      </c>
      <c r="CB9" s="151"/>
      <c r="CC9" s="129" t="str">
        <f t="shared" si="19"/>
        <v>-</v>
      </c>
      <c r="CD9" s="130" t="str">
        <f t="shared" si="20"/>
        <v>-</v>
      </c>
      <c r="CE9" s="130" t="str">
        <f t="shared" si="21"/>
        <v>-</v>
      </c>
      <c r="CF9" s="130" t="str">
        <f t="shared" si="22"/>
        <v>-</v>
      </c>
      <c r="CG9" s="131" t="str">
        <f t="shared" si="23"/>
        <v>-</v>
      </c>
      <c r="CH9" s="151"/>
    </row>
    <row r="10" spans="1:86" s="115" customFormat="1" ht="12.4" customHeight="1" thickBot="1" x14ac:dyDescent="0.25">
      <c r="A10" s="96">
        <f>EL_DEL_CD2_JO_!A10</f>
        <v>46302</v>
      </c>
      <c r="B10" s="97" t="str">
        <f t="shared" si="0"/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178"/>
      <c r="AM10" s="178"/>
      <c r="AN10" s="178"/>
      <c r="AO10" s="178"/>
      <c r="AP10" s="178"/>
      <c r="AQ10" s="178"/>
      <c r="AR10" s="178"/>
      <c r="AS10" s="178"/>
      <c r="AT10" s="179"/>
      <c r="AU10" s="179"/>
      <c r="AV10" s="180"/>
      <c r="AW10" s="181"/>
      <c r="AX10" s="102" t="str">
        <f t="shared" si="1"/>
        <v>-</v>
      </c>
      <c r="AY10" s="151"/>
      <c r="AZ10" s="116" t="str">
        <f t="shared" si="2"/>
        <v/>
      </c>
      <c r="BA10" s="117" t="str">
        <f t="shared" si="3"/>
        <v/>
      </c>
      <c r="BB10" s="116" t="str">
        <f t="shared" si="4"/>
        <v/>
      </c>
      <c r="BC10" s="151"/>
      <c r="BD10" s="118" t="str">
        <f t="shared" si="5"/>
        <v/>
      </c>
      <c r="BE10" s="119" t="str">
        <f t="shared" si="6"/>
        <v/>
      </c>
      <c r="BF10" s="119" t="str">
        <f t="shared" si="7"/>
        <v/>
      </c>
      <c r="BG10" s="119" t="str">
        <f t="shared" si="24"/>
        <v/>
      </c>
      <c r="BH10" s="119" t="str">
        <f t="shared" si="8"/>
        <v/>
      </c>
      <c r="BI10" s="120" t="str">
        <f t="shared" si="25"/>
        <v/>
      </c>
      <c r="BJ10" s="151"/>
      <c r="BK10" s="121" t="str">
        <f t="shared" si="9"/>
        <v/>
      </c>
      <c r="BL10" s="122" t="str">
        <f t="shared" si="10"/>
        <v/>
      </c>
      <c r="BM10" s="122" t="str">
        <f t="shared" si="11"/>
        <v/>
      </c>
      <c r="BN10" s="123" t="str">
        <f t="shared" si="12"/>
        <v/>
      </c>
      <c r="BO10" s="151"/>
      <c r="BP10" s="124" t="str">
        <f t="shared" si="13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4"/>
        <v/>
      </c>
      <c r="BU10" s="151"/>
      <c r="BV10" s="132" t="str">
        <f t="shared" si="15"/>
        <v/>
      </c>
      <c r="BW10" s="127" t="str">
        <f t="shared" si="16"/>
        <v/>
      </c>
      <c r="BX10" s="127" t="str">
        <f t="shared" si="17"/>
        <v/>
      </c>
      <c r="BY10" s="127" t="str">
        <f t="shared" si="18"/>
        <v/>
      </c>
      <c r="BZ10" s="127" t="str">
        <f t="shared" si="28"/>
        <v/>
      </c>
      <c r="CA10" s="128" t="str">
        <f t="shared" si="29"/>
        <v/>
      </c>
      <c r="CB10" s="151"/>
      <c r="CC10" s="129" t="str">
        <f t="shared" si="19"/>
        <v>-</v>
      </c>
      <c r="CD10" s="130" t="str">
        <f t="shared" si="20"/>
        <v>-</v>
      </c>
      <c r="CE10" s="130" t="str">
        <f t="shared" si="21"/>
        <v>-</v>
      </c>
      <c r="CF10" s="130" t="str">
        <f t="shared" si="22"/>
        <v>-</v>
      </c>
      <c r="CG10" s="131" t="str">
        <f t="shared" si="23"/>
        <v>-</v>
      </c>
      <c r="CH10" s="151"/>
    </row>
    <row r="11" spans="1:86" s="115" customFormat="1" ht="12.4" customHeight="1" thickBot="1" x14ac:dyDescent="0.25">
      <c r="A11" s="96">
        <f>EL_DEL_CD2_JO_!A11</f>
        <v>46303</v>
      </c>
      <c r="B11" s="97" t="str">
        <f t="shared" si="0"/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178"/>
      <c r="AM11" s="178"/>
      <c r="AN11" s="178"/>
      <c r="AO11" s="178"/>
      <c r="AP11" s="178"/>
      <c r="AQ11" s="178"/>
      <c r="AR11" s="178"/>
      <c r="AS11" s="178"/>
      <c r="AT11" s="179"/>
      <c r="AU11" s="179"/>
      <c r="AV11" s="180"/>
      <c r="AW11" s="181"/>
      <c r="AX11" s="102" t="str">
        <f t="shared" si="1"/>
        <v>-</v>
      </c>
      <c r="AY11" s="151"/>
      <c r="AZ11" s="116" t="str">
        <f t="shared" si="2"/>
        <v/>
      </c>
      <c r="BA11" s="117" t="str">
        <f t="shared" si="3"/>
        <v/>
      </c>
      <c r="BB11" s="116" t="str">
        <f t="shared" si="4"/>
        <v/>
      </c>
      <c r="BC11" s="151"/>
      <c r="BD11" s="118" t="str">
        <f t="shared" si="5"/>
        <v/>
      </c>
      <c r="BE11" s="119" t="str">
        <f t="shared" si="6"/>
        <v/>
      </c>
      <c r="BF11" s="119" t="str">
        <f t="shared" si="7"/>
        <v/>
      </c>
      <c r="BG11" s="119" t="str">
        <f t="shared" si="24"/>
        <v/>
      </c>
      <c r="BH11" s="119" t="str">
        <f t="shared" si="8"/>
        <v/>
      </c>
      <c r="BI11" s="120" t="str">
        <f t="shared" si="25"/>
        <v/>
      </c>
      <c r="BJ11" s="151"/>
      <c r="BK11" s="121" t="str">
        <f t="shared" si="9"/>
        <v/>
      </c>
      <c r="BL11" s="122" t="str">
        <f t="shared" si="10"/>
        <v/>
      </c>
      <c r="BM11" s="122" t="str">
        <f t="shared" si="11"/>
        <v/>
      </c>
      <c r="BN11" s="123" t="str">
        <f t="shared" si="12"/>
        <v/>
      </c>
      <c r="BO11" s="151"/>
      <c r="BP11" s="124" t="str">
        <f t="shared" si="13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4"/>
        <v/>
      </c>
      <c r="BU11" s="151"/>
      <c r="BV11" s="132" t="str">
        <f t="shared" si="15"/>
        <v/>
      </c>
      <c r="BW11" s="127" t="str">
        <f t="shared" si="16"/>
        <v/>
      </c>
      <c r="BX11" s="127" t="str">
        <f t="shared" si="17"/>
        <v/>
      </c>
      <c r="BY11" s="127" t="str">
        <f t="shared" si="18"/>
        <v/>
      </c>
      <c r="BZ11" s="127" t="str">
        <f t="shared" si="28"/>
        <v/>
      </c>
      <c r="CA11" s="128" t="str">
        <f t="shared" si="29"/>
        <v/>
      </c>
      <c r="CB11" s="151"/>
      <c r="CC11" s="129" t="str">
        <f t="shared" si="19"/>
        <v>-</v>
      </c>
      <c r="CD11" s="130" t="str">
        <f t="shared" si="20"/>
        <v>-</v>
      </c>
      <c r="CE11" s="130" t="str">
        <f t="shared" si="21"/>
        <v>-</v>
      </c>
      <c r="CF11" s="130" t="str">
        <f t="shared" si="22"/>
        <v>-</v>
      </c>
      <c r="CG11" s="131" t="str">
        <f t="shared" si="23"/>
        <v>-</v>
      </c>
      <c r="CH11" s="151"/>
    </row>
    <row r="12" spans="1:86" s="115" customFormat="1" ht="12.4" customHeight="1" thickBot="1" x14ac:dyDescent="0.25">
      <c r="A12" s="96">
        <f>EL_DEL_CD2_JO_!A12</f>
        <v>46304</v>
      </c>
      <c r="B12" s="97" t="str">
        <f t="shared" si="0"/>
        <v>Fri</v>
      </c>
      <c r="C12" s="98"/>
      <c r="D12" s="98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178"/>
      <c r="AM12" s="178"/>
      <c r="AN12" s="178"/>
      <c r="AO12" s="178"/>
      <c r="AP12" s="178"/>
      <c r="AQ12" s="178"/>
      <c r="AR12" s="178"/>
      <c r="AS12" s="178"/>
      <c r="AT12" s="179"/>
      <c r="AU12" s="179"/>
      <c r="AV12" s="180"/>
      <c r="AW12" s="181"/>
      <c r="AX12" s="102" t="str">
        <f t="shared" si="1"/>
        <v>-</v>
      </c>
      <c r="AY12" s="151"/>
      <c r="AZ12" s="116" t="str">
        <f t="shared" si="2"/>
        <v/>
      </c>
      <c r="BA12" s="117" t="str">
        <f t="shared" si="3"/>
        <v/>
      </c>
      <c r="BB12" s="116" t="str">
        <f t="shared" si="4"/>
        <v/>
      </c>
      <c r="BC12" s="151"/>
      <c r="BD12" s="118" t="str">
        <f t="shared" si="5"/>
        <v/>
      </c>
      <c r="BE12" s="119" t="str">
        <f t="shared" si="6"/>
        <v/>
      </c>
      <c r="BF12" s="119" t="str">
        <f t="shared" si="7"/>
        <v/>
      </c>
      <c r="BG12" s="119" t="str">
        <f t="shared" si="24"/>
        <v/>
      </c>
      <c r="BH12" s="119" t="str">
        <f t="shared" si="8"/>
        <v/>
      </c>
      <c r="BI12" s="120" t="str">
        <f t="shared" si="25"/>
        <v/>
      </c>
      <c r="BJ12" s="151"/>
      <c r="BK12" s="121" t="str">
        <f t="shared" si="9"/>
        <v/>
      </c>
      <c r="BL12" s="122" t="str">
        <f t="shared" si="10"/>
        <v/>
      </c>
      <c r="BM12" s="122" t="str">
        <f t="shared" si="11"/>
        <v/>
      </c>
      <c r="BN12" s="123" t="str">
        <f t="shared" si="12"/>
        <v/>
      </c>
      <c r="BO12" s="151"/>
      <c r="BP12" s="124" t="str">
        <f t="shared" si="13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4"/>
        <v/>
      </c>
      <c r="BU12" s="151"/>
      <c r="BV12" s="132" t="str">
        <f t="shared" si="15"/>
        <v/>
      </c>
      <c r="BW12" s="127" t="str">
        <f t="shared" si="16"/>
        <v/>
      </c>
      <c r="BX12" s="127" t="str">
        <f t="shared" si="17"/>
        <v/>
      </c>
      <c r="BY12" s="127" t="str">
        <f t="shared" si="18"/>
        <v/>
      </c>
      <c r="BZ12" s="127" t="str">
        <f t="shared" si="28"/>
        <v/>
      </c>
      <c r="CA12" s="128" t="str">
        <f t="shared" si="29"/>
        <v/>
      </c>
      <c r="CB12" s="151"/>
      <c r="CC12" s="129" t="str">
        <f t="shared" si="19"/>
        <v>-</v>
      </c>
      <c r="CD12" s="130" t="str">
        <f t="shared" si="20"/>
        <v>-</v>
      </c>
      <c r="CE12" s="130" t="str">
        <f t="shared" si="21"/>
        <v>-</v>
      </c>
      <c r="CF12" s="130" t="str">
        <f t="shared" si="22"/>
        <v>-</v>
      </c>
      <c r="CG12" s="131" t="str">
        <f t="shared" si="23"/>
        <v>-</v>
      </c>
      <c r="CH12" s="151"/>
    </row>
    <row r="13" spans="1:86" s="115" customFormat="1" ht="12.4" customHeight="1" thickBot="1" x14ac:dyDescent="0.25">
      <c r="A13" s="96">
        <f>EL_DEL_CD2_JO_!A13</f>
        <v>46305</v>
      </c>
      <c r="B13" s="97" t="str">
        <f t="shared" si="0"/>
        <v>Sat</v>
      </c>
      <c r="C13" s="98"/>
      <c r="D13" s="98"/>
      <c r="E13" s="103"/>
      <c r="F13" s="98"/>
      <c r="G13" s="98"/>
      <c r="H13" s="104"/>
      <c r="I13" s="104"/>
      <c r="J13" s="105"/>
      <c r="K13" s="106"/>
      <c r="L13" s="98"/>
      <c r="M13" s="98"/>
      <c r="N13" s="98"/>
      <c r="O13" s="98"/>
      <c r="P13" s="103"/>
      <c r="Q13" s="98"/>
      <c r="R13" s="98"/>
      <c r="S13" s="98"/>
      <c r="T13" s="98"/>
      <c r="U13" s="98"/>
      <c r="V13" s="103"/>
      <c r="W13" s="103"/>
      <c r="X13" s="98"/>
      <c r="Y13" s="98"/>
      <c r="Z13" s="98"/>
      <c r="AA13" s="98"/>
      <c r="AB13" s="98"/>
      <c r="AC13" s="98"/>
      <c r="AD13" s="98"/>
      <c r="AE13" s="98"/>
      <c r="AF13" s="103"/>
      <c r="AG13" s="103"/>
      <c r="AH13" s="98"/>
      <c r="AI13" s="107"/>
      <c r="AJ13" s="108"/>
      <c r="AK13" s="107"/>
      <c r="AL13" s="178"/>
      <c r="AM13" s="178"/>
      <c r="AN13" s="178"/>
      <c r="AO13" s="178"/>
      <c r="AP13" s="178"/>
      <c r="AQ13" s="178"/>
      <c r="AR13" s="178"/>
      <c r="AS13" s="178"/>
      <c r="AT13" s="179"/>
      <c r="AU13" s="179"/>
      <c r="AV13" s="180"/>
      <c r="AW13" s="181"/>
      <c r="AX13" s="102" t="str">
        <f t="shared" si="1"/>
        <v>-</v>
      </c>
      <c r="AY13" s="151"/>
      <c r="AZ13" s="116" t="str">
        <f t="shared" si="2"/>
        <v/>
      </c>
      <c r="BA13" s="117" t="str">
        <f t="shared" si="3"/>
        <v/>
      </c>
      <c r="BB13" s="116" t="str">
        <f t="shared" si="4"/>
        <v/>
      </c>
      <c r="BC13" s="151"/>
      <c r="BD13" s="118" t="str">
        <f t="shared" si="5"/>
        <v/>
      </c>
      <c r="BE13" s="119" t="str">
        <f t="shared" si="6"/>
        <v/>
      </c>
      <c r="BF13" s="119" t="str">
        <f t="shared" si="7"/>
        <v/>
      </c>
      <c r="BG13" s="119" t="str">
        <f t="shared" si="24"/>
        <v/>
      </c>
      <c r="BH13" s="119" t="str">
        <f t="shared" si="8"/>
        <v/>
      </c>
      <c r="BI13" s="120" t="str">
        <f t="shared" si="25"/>
        <v/>
      </c>
      <c r="BJ13" s="151"/>
      <c r="BK13" s="121" t="str">
        <f t="shared" si="9"/>
        <v/>
      </c>
      <c r="BL13" s="122" t="str">
        <f t="shared" si="10"/>
        <v/>
      </c>
      <c r="BM13" s="122" t="str">
        <f t="shared" si="11"/>
        <v/>
      </c>
      <c r="BN13" s="123" t="str">
        <f t="shared" si="12"/>
        <v/>
      </c>
      <c r="BO13" s="151"/>
      <c r="BP13" s="124" t="str">
        <f t="shared" si="13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4"/>
        <v/>
      </c>
      <c r="BU13" s="151"/>
      <c r="BV13" s="132" t="str">
        <f t="shared" si="15"/>
        <v/>
      </c>
      <c r="BW13" s="127" t="str">
        <f t="shared" si="16"/>
        <v/>
      </c>
      <c r="BX13" s="127" t="str">
        <f t="shared" si="17"/>
        <v/>
      </c>
      <c r="BY13" s="127" t="str">
        <f t="shared" si="18"/>
        <v/>
      </c>
      <c r="BZ13" s="127" t="str">
        <f t="shared" si="28"/>
        <v/>
      </c>
      <c r="CA13" s="128" t="str">
        <f t="shared" si="29"/>
        <v/>
      </c>
      <c r="CB13" s="151"/>
      <c r="CC13" s="129" t="str">
        <f t="shared" si="19"/>
        <v>-</v>
      </c>
      <c r="CD13" s="130" t="str">
        <f t="shared" si="20"/>
        <v>-</v>
      </c>
      <c r="CE13" s="130" t="str">
        <f t="shared" si="21"/>
        <v>-</v>
      </c>
      <c r="CF13" s="130" t="str">
        <f t="shared" si="22"/>
        <v>-</v>
      </c>
      <c r="CG13" s="131" t="str">
        <f t="shared" si="23"/>
        <v>-</v>
      </c>
      <c r="CH13" s="151"/>
    </row>
    <row r="14" spans="1:86" s="115" customFormat="1" ht="12.4" customHeight="1" thickBot="1" x14ac:dyDescent="0.25">
      <c r="A14" s="96">
        <f>EL_DEL_CD2_JO_!A14</f>
        <v>46306</v>
      </c>
      <c r="B14" s="97" t="str">
        <f t="shared" si="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98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178"/>
      <c r="AM14" s="178"/>
      <c r="AN14" s="178"/>
      <c r="AO14" s="178"/>
      <c r="AP14" s="178"/>
      <c r="AQ14" s="178"/>
      <c r="AR14" s="178"/>
      <c r="AS14" s="178"/>
      <c r="AT14" s="179"/>
      <c r="AU14" s="179"/>
      <c r="AV14" s="180"/>
      <c r="AW14" s="181"/>
      <c r="AX14" s="102" t="str">
        <f t="shared" si="1"/>
        <v>-</v>
      </c>
      <c r="AY14" s="151"/>
      <c r="AZ14" s="116" t="str">
        <f t="shared" si="2"/>
        <v/>
      </c>
      <c r="BA14" s="117" t="str">
        <f t="shared" si="3"/>
        <v/>
      </c>
      <c r="BB14" s="116" t="str">
        <f t="shared" si="4"/>
        <v/>
      </c>
      <c r="BC14" s="151"/>
      <c r="BD14" s="118" t="str">
        <f t="shared" si="5"/>
        <v/>
      </c>
      <c r="BE14" s="119" t="str">
        <f t="shared" si="6"/>
        <v/>
      </c>
      <c r="BF14" s="119" t="str">
        <f t="shared" si="7"/>
        <v/>
      </c>
      <c r="BG14" s="119" t="str">
        <f t="shared" si="24"/>
        <v/>
      </c>
      <c r="BH14" s="119" t="str">
        <f t="shared" si="8"/>
        <v/>
      </c>
      <c r="BI14" s="120" t="str">
        <f t="shared" si="25"/>
        <v/>
      </c>
      <c r="BJ14" s="151"/>
      <c r="BK14" s="121" t="str">
        <f t="shared" si="9"/>
        <v/>
      </c>
      <c r="BL14" s="122" t="str">
        <f t="shared" si="10"/>
        <v/>
      </c>
      <c r="BM14" s="122" t="str">
        <f t="shared" si="11"/>
        <v/>
      </c>
      <c r="BN14" s="123" t="str">
        <f t="shared" si="12"/>
        <v/>
      </c>
      <c r="BO14" s="151"/>
      <c r="BP14" s="124" t="str">
        <f t="shared" si="13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4"/>
        <v/>
      </c>
      <c r="BU14" s="151"/>
      <c r="BV14" s="132" t="str">
        <f t="shared" si="15"/>
        <v/>
      </c>
      <c r="BW14" s="127" t="str">
        <f t="shared" si="16"/>
        <v/>
      </c>
      <c r="BX14" s="127" t="str">
        <f t="shared" si="17"/>
        <v/>
      </c>
      <c r="BY14" s="127" t="str">
        <f t="shared" si="18"/>
        <v/>
      </c>
      <c r="BZ14" s="127" t="str">
        <f t="shared" si="28"/>
        <v/>
      </c>
      <c r="CA14" s="128" t="str">
        <f t="shared" si="29"/>
        <v/>
      </c>
      <c r="CB14" s="151"/>
      <c r="CC14" s="129" t="str">
        <f t="shared" si="19"/>
        <v>-</v>
      </c>
      <c r="CD14" s="130" t="str">
        <f t="shared" si="20"/>
        <v>-</v>
      </c>
      <c r="CE14" s="130" t="str">
        <f t="shared" si="21"/>
        <v>-</v>
      </c>
      <c r="CF14" s="130" t="str">
        <f t="shared" si="22"/>
        <v>-</v>
      </c>
      <c r="CG14" s="131" t="str">
        <f t="shared" si="23"/>
        <v>-</v>
      </c>
      <c r="CH14" s="151"/>
    </row>
    <row r="15" spans="1:86" s="115" customFormat="1" ht="12.4" customHeight="1" thickBot="1" x14ac:dyDescent="0.25">
      <c r="A15" s="96">
        <f>EL_DEL_CD2_JO_!A15</f>
        <v>46307</v>
      </c>
      <c r="B15" s="97" t="str">
        <f t="shared" si="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98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178"/>
      <c r="AM15" s="178"/>
      <c r="AN15" s="178"/>
      <c r="AO15" s="178"/>
      <c r="AP15" s="178"/>
      <c r="AQ15" s="178"/>
      <c r="AR15" s="178"/>
      <c r="AS15" s="178"/>
      <c r="AT15" s="179"/>
      <c r="AU15" s="179"/>
      <c r="AV15" s="180"/>
      <c r="AW15" s="181"/>
      <c r="AX15" s="102" t="str">
        <f t="shared" si="1"/>
        <v>-</v>
      </c>
      <c r="AY15" s="151"/>
      <c r="AZ15" s="116" t="str">
        <f t="shared" si="2"/>
        <v/>
      </c>
      <c r="BA15" s="117" t="str">
        <f t="shared" si="3"/>
        <v/>
      </c>
      <c r="BB15" s="116" t="str">
        <f t="shared" si="4"/>
        <v/>
      </c>
      <c r="BC15" s="151"/>
      <c r="BD15" s="118" t="str">
        <f t="shared" si="5"/>
        <v/>
      </c>
      <c r="BE15" s="119" t="str">
        <f t="shared" si="6"/>
        <v/>
      </c>
      <c r="BF15" s="119" t="str">
        <f t="shared" si="7"/>
        <v/>
      </c>
      <c r="BG15" s="119" t="str">
        <f t="shared" si="24"/>
        <v/>
      </c>
      <c r="BH15" s="119" t="str">
        <f t="shared" si="8"/>
        <v/>
      </c>
      <c r="BI15" s="120" t="str">
        <f t="shared" si="25"/>
        <v/>
      </c>
      <c r="BJ15" s="151"/>
      <c r="BK15" s="121" t="str">
        <f t="shared" si="9"/>
        <v/>
      </c>
      <c r="BL15" s="122" t="str">
        <f t="shared" si="10"/>
        <v/>
      </c>
      <c r="BM15" s="122" t="str">
        <f t="shared" si="11"/>
        <v/>
      </c>
      <c r="BN15" s="123" t="str">
        <f t="shared" si="12"/>
        <v/>
      </c>
      <c r="BO15" s="151"/>
      <c r="BP15" s="124" t="str">
        <f t="shared" si="13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4"/>
        <v/>
      </c>
      <c r="BU15" s="151"/>
      <c r="BV15" s="132" t="str">
        <f t="shared" si="15"/>
        <v/>
      </c>
      <c r="BW15" s="127" t="str">
        <f t="shared" si="16"/>
        <v/>
      </c>
      <c r="BX15" s="127" t="str">
        <f t="shared" si="17"/>
        <v/>
      </c>
      <c r="BY15" s="127" t="str">
        <f t="shared" si="18"/>
        <v/>
      </c>
      <c r="BZ15" s="127" t="str">
        <f t="shared" si="28"/>
        <v/>
      </c>
      <c r="CA15" s="128" t="str">
        <f t="shared" si="29"/>
        <v/>
      </c>
      <c r="CB15" s="151"/>
      <c r="CC15" s="129" t="str">
        <f t="shared" si="19"/>
        <v>-</v>
      </c>
      <c r="CD15" s="130" t="str">
        <f t="shared" si="20"/>
        <v>-</v>
      </c>
      <c r="CE15" s="130" t="str">
        <f t="shared" si="21"/>
        <v>-</v>
      </c>
      <c r="CF15" s="130" t="str">
        <f t="shared" si="22"/>
        <v>-</v>
      </c>
      <c r="CG15" s="131" t="str">
        <f t="shared" si="23"/>
        <v>-</v>
      </c>
      <c r="CH15" s="151"/>
    </row>
    <row r="16" spans="1:86" s="115" customFormat="1" ht="12.4" customHeight="1" thickBot="1" x14ac:dyDescent="0.25">
      <c r="A16" s="96">
        <f>EL_DEL_CD2_JO_!A16</f>
        <v>46308</v>
      </c>
      <c r="B16" s="97" t="str">
        <f t="shared" si="0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178"/>
      <c r="AM16" s="178"/>
      <c r="AN16" s="178"/>
      <c r="AO16" s="178"/>
      <c r="AP16" s="178"/>
      <c r="AQ16" s="178"/>
      <c r="AR16" s="178"/>
      <c r="AS16" s="178"/>
      <c r="AT16" s="179"/>
      <c r="AU16" s="179"/>
      <c r="AV16" s="180"/>
      <c r="AW16" s="181"/>
      <c r="AX16" s="102" t="str">
        <f t="shared" si="1"/>
        <v>-</v>
      </c>
      <c r="AY16" s="151"/>
      <c r="AZ16" s="116" t="str">
        <f t="shared" si="2"/>
        <v/>
      </c>
      <c r="BA16" s="117" t="str">
        <f t="shared" si="3"/>
        <v/>
      </c>
      <c r="BB16" s="116" t="str">
        <f t="shared" si="4"/>
        <v/>
      </c>
      <c r="BC16" s="151"/>
      <c r="BD16" s="118" t="str">
        <f t="shared" si="5"/>
        <v/>
      </c>
      <c r="BE16" s="119" t="str">
        <f t="shared" si="6"/>
        <v/>
      </c>
      <c r="BF16" s="119" t="str">
        <f t="shared" si="7"/>
        <v/>
      </c>
      <c r="BG16" s="119" t="str">
        <f t="shared" si="24"/>
        <v/>
      </c>
      <c r="BH16" s="119" t="str">
        <f t="shared" si="8"/>
        <v/>
      </c>
      <c r="BI16" s="120" t="str">
        <f t="shared" si="25"/>
        <v/>
      </c>
      <c r="BJ16" s="151"/>
      <c r="BK16" s="121" t="str">
        <f t="shared" si="9"/>
        <v/>
      </c>
      <c r="BL16" s="122" t="str">
        <f t="shared" si="10"/>
        <v/>
      </c>
      <c r="BM16" s="122" t="str">
        <f t="shared" si="11"/>
        <v/>
      </c>
      <c r="BN16" s="123" t="str">
        <f t="shared" si="12"/>
        <v/>
      </c>
      <c r="BO16" s="151"/>
      <c r="BP16" s="124" t="str">
        <f t="shared" si="13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4"/>
        <v/>
      </c>
      <c r="BU16" s="151"/>
      <c r="BV16" s="132" t="str">
        <f t="shared" si="15"/>
        <v/>
      </c>
      <c r="BW16" s="127" t="str">
        <f t="shared" si="16"/>
        <v/>
      </c>
      <c r="BX16" s="127" t="str">
        <f t="shared" si="17"/>
        <v/>
      </c>
      <c r="BY16" s="127" t="str">
        <f t="shared" si="18"/>
        <v/>
      </c>
      <c r="BZ16" s="127" t="str">
        <f t="shared" si="28"/>
        <v/>
      </c>
      <c r="CA16" s="128" t="str">
        <f t="shared" si="29"/>
        <v/>
      </c>
      <c r="CB16" s="151"/>
      <c r="CC16" s="129" t="str">
        <f t="shared" si="19"/>
        <v>-</v>
      </c>
      <c r="CD16" s="130" t="str">
        <f t="shared" si="20"/>
        <v>-</v>
      </c>
      <c r="CE16" s="130" t="str">
        <f t="shared" si="21"/>
        <v>-</v>
      </c>
      <c r="CF16" s="130" t="str">
        <f t="shared" si="22"/>
        <v>-</v>
      </c>
      <c r="CG16" s="131" t="str">
        <f t="shared" si="23"/>
        <v>-</v>
      </c>
      <c r="CH16" s="151"/>
    </row>
    <row r="17" spans="1:86" s="115" customFormat="1" ht="12.4" customHeight="1" thickBot="1" x14ac:dyDescent="0.25">
      <c r="A17" s="96">
        <f>EL_DEL_CD2_JO_!A17</f>
        <v>46309</v>
      </c>
      <c r="B17" s="97" t="str">
        <f t="shared" si="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178"/>
      <c r="AM17" s="178"/>
      <c r="AN17" s="178"/>
      <c r="AO17" s="178"/>
      <c r="AP17" s="178"/>
      <c r="AQ17" s="178"/>
      <c r="AR17" s="178"/>
      <c r="AS17" s="178"/>
      <c r="AT17" s="179"/>
      <c r="AU17" s="179"/>
      <c r="AV17" s="180"/>
      <c r="AW17" s="181"/>
      <c r="AX17" s="102" t="str">
        <f t="shared" si="1"/>
        <v>-</v>
      </c>
      <c r="AY17" s="151"/>
      <c r="AZ17" s="116" t="str">
        <f t="shared" si="2"/>
        <v/>
      </c>
      <c r="BA17" s="117" t="str">
        <f t="shared" si="3"/>
        <v/>
      </c>
      <c r="BB17" s="116" t="str">
        <f t="shared" si="4"/>
        <v/>
      </c>
      <c r="BC17" s="151"/>
      <c r="BD17" s="118" t="str">
        <f t="shared" si="5"/>
        <v/>
      </c>
      <c r="BE17" s="119" t="str">
        <f t="shared" si="6"/>
        <v/>
      </c>
      <c r="BF17" s="119" t="str">
        <f t="shared" si="7"/>
        <v/>
      </c>
      <c r="BG17" s="119" t="str">
        <f t="shared" si="24"/>
        <v/>
      </c>
      <c r="BH17" s="119" t="str">
        <f t="shared" si="8"/>
        <v/>
      </c>
      <c r="BI17" s="120" t="str">
        <f t="shared" si="25"/>
        <v/>
      </c>
      <c r="BJ17" s="151"/>
      <c r="BK17" s="121" t="str">
        <f t="shared" si="9"/>
        <v/>
      </c>
      <c r="BL17" s="122" t="str">
        <f t="shared" si="10"/>
        <v/>
      </c>
      <c r="BM17" s="122" t="str">
        <f t="shared" si="11"/>
        <v/>
      </c>
      <c r="BN17" s="123" t="str">
        <f t="shared" si="12"/>
        <v/>
      </c>
      <c r="BO17" s="151"/>
      <c r="BP17" s="124" t="str">
        <f t="shared" si="13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4"/>
        <v/>
      </c>
      <c r="BU17" s="151"/>
      <c r="BV17" s="132" t="str">
        <f t="shared" si="15"/>
        <v/>
      </c>
      <c r="BW17" s="127" t="str">
        <f t="shared" si="16"/>
        <v/>
      </c>
      <c r="BX17" s="127" t="str">
        <f t="shared" si="17"/>
        <v/>
      </c>
      <c r="BY17" s="127" t="str">
        <f t="shared" si="18"/>
        <v/>
      </c>
      <c r="BZ17" s="127" t="str">
        <f t="shared" si="28"/>
        <v/>
      </c>
      <c r="CA17" s="128" t="str">
        <f t="shared" si="29"/>
        <v/>
      </c>
      <c r="CB17" s="151"/>
      <c r="CC17" s="129" t="str">
        <f t="shared" si="19"/>
        <v>-</v>
      </c>
      <c r="CD17" s="130" t="str">
        <f t="shared" si="20"/>
        <v>-</v>
      </c>
      <c r="CE17" s="130" t="str">
        <f t="shared" si="21"/>
        <v>-</v>
      </c>
      <c r="CF17" s="130" t="str">
        <f t="shared" si="22"/>
        <v>-</v>
      </c>
      <c r="CG17" s="131" t="str">
        <f t="shared" si="23"/>
        <v>-</v>
      </c>
      <c r="CH17" s="151"/>
    </row>
    <row r="18" spans="1:86" s="115" customFormat="1" ht="12.4" customHeight="1" thickBot="1" x14ac:dyDescent="0.25">
      <c r="A18" s="96">
        <f>EL_DEL_CD2_JO_!A18</f>
        <v>46310</v>
      </c>
      <c r="B18" s="97" t="str">
        <f t="shared" si="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178"/>
      <c r="AM18" s="178"/>
      <c r="AN18" s="178"/>
      <c r="AO18" s="178"/>
      <c r="AP18" s="178"/>
      <c r="AQ18" s="178"/>
      <c r="AR18" s="178"/>
      <c r="AS18" s="178"/>
      <c r="AT18" s="179"/>
      <c r="AU18" s="179"/>
      <c r="AV18" s="180"/>
      <c r="AW18" s="181"/>
      <c r="AX18" s="102" t="str">
        <f t="shared" si="1"/>
        <v>-</v>
      </c>
      <c r="AY18" s="151"/>
      <c r="AZ18" s="116" t="str">
        <f t="shared" si="2"/>
        <v/>
      </c>
      <c r="BA18" s="117" t="str">
        <f t="shared" si="3"/>
        <v/>
      </c>
      <c r="BB18" s="116" t="str">
        <f t="shared" si="4"/>
        <v/>
      </c>
      <c r="BC18" s="151"/>
      <c r="BD18" s="118" t="str">
        <f t="shared" si="5"/>
        <v/>
      </c>
      <c r="BE18" s="119" t="str">
        <f t="shared" si="6"/>
        <v/>
      </c>
      <c r="BF18" s="119" t="str">
        <f t="shared" si="7"/>
        <v/>
      </c>
      <c r="BG18" s="119" t="str">
        <f t="shared" si="24"/>
        <v/>
      </c>
      <c r="BH18" s="119" t="str">
        <f t="shared" si="8"/>
        <v/>
      </c>
      <c r="BI18" s="120" t="str">
        <f t="shared" si="25"/>
        <v/>
      </c>
      <c r="BJ18" s="151"/>
      <c r="BK18" s="121" t="str">
        <f t="shared" si="9"/>
        <v/>
      </c>
      <c r="BL18" s="122" t="str">
        <f t="shared" si="10"/>
        <v/>
      </c>
      <c r="BM18" s="122" t="str">
        <f t="shared" si="11"/>
        <v/>
      </c>
      <c r="BN18" s="123" t="str">
        <f t="shared" si="12"/>
        <v/>
      </c>
      <c r="BO18" s="151"/>
      <c r="BP18" s="124" t="str">
        <f t="shared" si="13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4"/>
        <v/>
      </c>
      <c r="BU18" s="151"/>
      <c r="BV18" s="132" t="str">
        <f t="shared" si="15"/>
        <v/>
      </c>
      <c r="BW18" s="127" t="str">
        <f t="shared" si="16"/>
        <v/>
      </c>
      <c r="BX18" s="127" t="str">
        <f t="shared" si="17"/>
        <v/>
      </c>
      <c r="BY18" s="127" t="str">
        <f t="shared" si="18"/>
        <v/>
      </c>
      <c r="BZ18" s="127" t="str">
        <f t="shared" si="28"/>
        <v/>
      </c>
      <c r="CA18" s="128" t="str">
        <f t="shared" si="29"/>
        <v/>
      </c>
      <c r="CB18" s="151"/>
      <c r="CC18" s="129" t="str">
        <f t="shared" si="19"/>
        <v>-</v>
      </c>
      <c r="CD18" s="130" t="str">
        <f t="shared" si="20"/>
        <v>-</v>
      </c>
      <c r="CE18" s="130" t="str">
        <f t="shared" si="21"/>
        <v>-</v>
      </c>
      <c r="CF18" s="130" t="str">
        <f t="shared" si="22"/>
        <v>-</v>
      </c>
      <c r="CG18" s="131" t="str">
        <f t="shared" si="23"/>
        <v>-</v>
      </c>
      <c r="CH18" s="151"/>
    </row>
    <row r="19" spans="1:86" s="115" customFormat="1" ht="12.4" customHeight="1" thickBot="1" x14ac:dyDescent="0.25">
      <c r="A19" s="96">
        <f>EL_DEL_CD2_JO_!A19</f>
        <v>46311</v>
      </c>
      <c r="B19" s="97" t="str">
        <f t="shared" si="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178"/>
      <c r="AM19" s="178"/>
      <c r="AN19" s="178"/>
      <c r="AO19" s="178"/>
      <c r="AP19" s="178"/>
      <c r="AQ19" s="178"/>
      <c r="AR19" s="178"/>
      <c r="AS19" s="178"/>
      <c r="AT19" s="179"/>
      <c r="AU19" s="179"/>
      <c r="AV19" s="180"/>
      <c r="AW19" s="181"/>
      <c r="AX19" s="102" t="str">
        <f t="shared" si="1"/>
        <v>-</v>
      </c>
      <c r="AY19" s="151"/>
      <c r="AZ19" s="116" t="str">
        <f t="shared" si="2"/>
        <v/>
      </c>
      <c r="BA19" s="117" t="str">
        <f t="shared" si="3"/>
        <v/>
      </c>
      <c r="BB19" s="116" t="str">
        <f t="shared" si="4"/>
        <v/>
      </c>
      <c r="BC19" s="151"/>
      <c r="BD19" s="118" t="str">
        <f t="shared" si="5"/>
        <v/>
      </c>
      <c r="BE19" s="119" t="str">
        <f t="shared" si="6"/>
        <v/>
      </c>
      <c r="BF19" s="119" t="str">
        <f t="shared" si="7"/>
        <v/>
      </c>
      <c r="BG19" s="119" t="str">
        <f t="shared" si="24"/>
        <v/>
      </c>
      <c r="BH19" s="119" t="str">
        <f t="shared" si="8"/>
        <v/>
      </c>
      <c r="BI19" s="120" t="str">
        <f t="shared" si="25"/>
        <v/>
      </c>
      <c r="BJ19" s="151"/>
      <c r="BK19" s="121" t="str">
        <f t="shared" si="9"/>
        <v/>
      </c>
      <c r="BL19" s="122" t="str">
        <f t="shared" si="10"/>
        <v/>
      </c>
      <c r="BM19" s="122" t="str">
        <f t="shared" si="11"/>
        <v/>
      </c>
      <c r="BN19" s="123" t="str">
        <f t="shared" si="12"/>
        <v/>
      </c>
      <c r="BO19" s="151"/>
      <c r="BP19" s="124" t="str">
        <f t="shared" si="13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4"/>
        <v/>
      </c>
      <c r="BU19" s="151"/>
      <c r="BV19" s="132" t="str">
        <f t="shared" si="15"/>
        <v/>
      </c>
      <c r="BW19" s="127" t="str">
        <f t="shared" si="16"/>
        <v/>
      </c>
      <c r="BX19" s="127" t="str">
        <f t="shared" si="17"/>
        <v/>
      </c>
      <c r="BY19" s="127" t="str">
        <f t="shared" si="18"/>
        <v/>
      </c>
      <c r="BZ19" s="127" t="str">
        <f t="shared" si="28"/>
        <v/>
      </c>
      <c r="CA19" s="128" t="str">
        <f t="shared" si="29"/>
        <v/>
      </c>
      <c r="CB19" s="151"/>
      <c r="CC19" s="129" t="str">
        <f t="shared" si="19"/>
        <v>-</v>
      </c>
      <c r="CD19" s="130" t="str">
        <f t="shared" si="20"/>
        <v>-</v>
      </c>
      <c r="CE19" s="130" t="str">
        <f t="shared" si="21"/>
        <v>-</v>
      </c>
      <c r="CF19" s="130" t="str">
        <f t="shared" si="22"/>
        <v>-</v>
      </c>
      <c r="CG19" s="131" t="str">
        <f t="shared" si="23"/>
        <v>-</v>
      </c>
      <c r="CH19" s="151"/>
    </row>
    <row r="20" spans="1:86" s="115" customFormat="1" ht="12.4" customHeight="1" thickBot="1" x14ac:dyDescent="0.25">
      <c r="A20" s="96">
        <f>EL_DEL_CD2_JO_!A20</f>
        <v>46312</v>
      </c>
      <c r="B20" s="97" t="str">
        <f t="shared" si="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178"/>
      <c r="AM20" s="178"/>
      <c r="AN20" s="178"/>
      <c r="AO20" s="178"/>
      <c r="AP20" s="178"/>
      <c r="AQ20" s="178"/>
      <c r="AR20" s="178"/>
      <c r="AS20" s="178"/>
      <c r="AT20" s="179"/>
      <c r="AU20" s="179"/>
      <c r="AV20" s="180"/>
      <c r="AW20" s="181"/>
      <c r="AX20" s="102" t="str">
        <f t="shared" si="1"/>
        <v>-</v>
      </c>
      <c r="AY20" s="151"/>
      <c r="AZ20" s="116" t="str">
        <f t="shared" si="2"/>
        <v/>
      </c>
      <c r="BA20" s="117" t="str">
        <f t="shared" si="3"/>
        <v/>
      </c>
      <c r="BB20" s="116" t="str">
        <f t="shared" si="4"/>
        <v/>
      </c>
      <c r="BC20" s="151"/>
      <c r="BD20" s="118" t="str">
        <f t="shared" si="5"/>
        <v/>
      </c>
      <c r="BE20" s="119" t="str">
        <f t="shared" si="6"/>
        <v/>
      </c>
      <c r="BF20" s="119" t="str">
        <f t="shared" si="7"/>
        <v/>
      </c>
      <c r="BG20" s="119" t="str">
        <f t="shared" si="24"/>
        <v/>
      </c>
      <c r="BH20" s="119" t="str">
        <f t="shared" si="8"/>
        <v/>
      </c>
      <c r="BI20" s="120" t="str">
        <f t="shared" si="25"/>
        <v/>
      </c>
      <c r="BJ20" s="151"/>
      <c r="BK20" s="121" t="str">
        <f t="shared" si="9"/>
        <v/>
      </c>
      <c r="BL20" s="122" t="str">
        <f t="shared" si="10"/>
        <v/>
      </c>
      <c r="BM20" s="122" t="str">
        <f t="shared" si="11"/>
        <v/>
      </c>
      <c r="BN20" s="123" t="str">
        <f t="shared" si="12"/>
        <v/>
      </c>
      <c r="BO20" s="151"/>
      <c r="BP20" s="124" t="str">
        <f t="shared" si="13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4"/>
        <v/>
      </c>
      <c r="BU20" s="151"/>
      <c r="BV20" s="132" t="str">
        <f t="shared" si="15"/>
        <v/>
      </c>
      <c r="BW20" s="127" t="str">
        <f t="shared" si="16"/>
        <v/>
      </c>
      <c r="BX20" s="127" t="str">
        <f t="shared" si="17"/>
        <v/>
      </c>
      <c r="BY20" s="127" t="str">
        <f t="shared" si="18"/>
        <v/>
      </c>
      <c r="BZ20" s="127" t="str">
        <f t="shared" si="28"/>
        <v/>
      </c>
      <c r="CA20" s="128" t="str">
        <f t="shared" si="29"/>
        <v/>
      </c>
      <c r="CB20" s="151"/>
      <c r="CC20" s="129" t="str">
        <f t="shared" si="19"/>
        <v>-</v>
      </c>
      <c r="CD20" s="130" t="str">
        <f t="shared" si="20"/>
        <v>-</v>
      </c>
      <c r="CE20" s="130" t="str">
        <f t="shared" si="21"/>
        <v>-</v>
      </c>
      <c r="CF20" s="130" t="str">
        <f t="shared" si="22"/>
        <v>-</v>
      </c>
      <c r="CG20" s="131" t="str">
        <f t="shared" si="23"/>
        <v>-</v>
      </c>
      <c r="CH20" s="151"/>
    </row>
    <row r="21" spans="1:86" s="115" customFormat="1" ht="12.4" customHeight="1" thickBot="1" x14ac:dyDescent="0.25">
      <c r="A21" s="96">
        <f>EL_DEL_CD2_JO_!A21</f>
        <v>46313</v>
      </c>
      <c r="B21" s="97" t="str">
        <f t="shared" si="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178"/>
      <c r="AM21" s="178"/>
      <c r="AN21" s="178"/>
      <c r="AO21" s="178"/>
      <c r="AP21" s="178"/>
      <c r="AQ21" s="178"/>
      <c r="AR21" s="178"/>
      <c r="AS21" s="178"/>
      <c r="AT21" s="179"/>
      <c r="AU21" s="179"/>
      <c r="AV21" s="180"/>
      <c r="AW21" s="181"/>
      <c r="AX21" s="102" t="str">
        <f t="shared" si="1"/>
        <v>-</v>
      </c>
      <c r="AY21" s="151"/>
      <c r="AZ21" s="116" t="str">
        <f t="shared" si="2"/>
        <v/>
      </c>
      <c r="BA21" s="117" t="str">
        <f t="shared" si="3"/>
        <v/>
      </c>
      <c r="BB21" s="116" t="str">
        <f t="shared" si="4"/>
        <v/>
      </c>
      <c r="BC21" s="151"/>
      <c r="BD21" s="118" t="str">
        <f t="shared" si="5"/>
        <v/>
      </c>
      <c r="BE21" s="119" t="str">
        <f t="shared" si="6"/>
        <v/>
      </c>
      <c r="BF21" s="119" t="str">
        <f t="shared" si="7"/>
        <v/>
      </c>
      <c r="BG21" s="119" t="str">
        <f t="shared" si="24"/>
        <v/>
      </c>
      <c r="BH21" s="119" t="str">
        <f t="shared" si="8"/>
        <v/>
      </c>
      <c r="BI21" s="120" t="str">
        <f t="shared" si="25"/>
        <v/>
      </c>
      <c r="BJ21" s="151"/>
      <c r="BK21" s="121" t="str">
        <f t="shared" si="9"/>
        <v/>
      </c>
      <c r="BL21" s="122" t="str">
        <f t="shared" si="10"/>
        <v/>
      </c>
      <c r="BM21" s="122" t="str">
        <f t="shared" si="11"/>
        <v/>
      </c>
      <c r="BN21" s="123" t="str">
        <f t="shared" si="12"/>
        <v/>
      </c>
      <c r="BO21" s="151"/>
      <c r="BP21" s="124" t="str">
        <f t="shared" si="13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4"/>
        <v/>
      </c>
      <c r="BU21" s="151"/>
      <c r="BV21" s="132" t="str">
        <f t="shared" si="15"/>
        <v/>
      </c>
      <c r="BW21" s="127" t="str">
        <f t="shared" si="16"/>
        <v/>
      </c>
      <c r="BX21" s="127" t="str">
        <f t="shared" si="17"/>
        <v/>
      </c>
      <c r="BY21" s="127" t="str">
        <f t="shared" si="18"/>
        <v/>
      </c>
      <c r="BZ21" s="127" t="str">
        <f t="shared" si="28"/>
        <v/>
      </c>
      <c r="CA21" s="128" t="str">
        <f t="shared" si="29"/>
        <v/>
      </c>
      <c r="CB21" s="151"/>
      <c r="CC21" s="129" t="str">
        <f t="shared" si="19"/>
        <v>-</v>
      </c>
      <c r="CD21" s="130" t="str">
        <f t="shared" si="20"/>
        <v>-</v>
      </c>
      <c r="CE21" s="130" t="str">
        <f t="shared" si="21"/>
        <v>-</v>
      </c>
      <c r="CF21" s="130" t="str">
        <f t="shared" si="22"/>
        <v>-</v>
      </c>
      <c r="CG21" s="131" t="str">
        <f t="shared" si="23"/>
        <v>-</v>
      </c>
      <c r="CH21" s="151"/>
    </row>
    <row r="22" spans="1:86" s="115" customFormat="1" ht="12.4" customHeight="1" thickBot="1" x14ac:dyDescent="0.25">
      <c r="A22" s="96">
        <f>EL_DEL_CD2_JO_!A22</f>
        <v>46314</v>
      </c>
      <c r="B22" s="97" t="str">
        <f t="shared" si="0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178"/>
      <c r="AM22" s="178"/>
      <c r="AN22" s="178"/>
      <c r="AO22" s="178"/>
      <c r="AP22" s="178"/>
      <c r="AQ22" s="178"/>
      <c r="AR22" s="178"/>
      <c r="AS22" s="178"/>
      <c r="AT22" s="179"/>
      <c r="AU22" s="179"/>
      <c r="AV22" s="180"/>
      <c r="AW22" s="181"/>
      <c r="AX22" s="102" t="str">
        <f t="shared" si="1"/>
        <v>-</v>
      </c>
      <c r="AY22" s="151"/>
      <c r="AZ22" s="116" t="str">
        <f t="shared" si="2"/>
        <v/>
      </c>
      <c r="BA22" s="117" t="str">
        <f t="shared" si="3"/>
        <v/>
      </c>
      <c r="BB22" s="116" t="str">
        <f t="shared" si="4"/>
        <v/>
      </c>
      <c r="BC22" s="151"/>
      <c r="BD22" s="118" t="str">
        <f t="shared" si="5"/>
        <v/>
      </c>
      <c r="BE22" s="119" t="str">
        <f t="shared" si="6"/>
        <v/>
      </c>
      <c r="BF22" s="119" t="str">
        <f t="shared" si="7"/>
        <v/>
      </c>
      <c r="BG22" s="119" t="str">
        <f t="shared" si="24"/>
        <v/>
      </c>
      <c r="BH22" s="119" t="str">
        <f t="shared" si="8"/>
        <v/>
      </c>
      <c r="BI22" s="120" t="str">
        <f t="shared" si="25"/>
        <v/>
      </c>
      <c r="BJ22" s="151"/>
      <c r="BK22" s="121" t="str">
        <f t="shared" si="9"/>
        <v/>
      </c>
      <c r="BL22" s="122" t="str">
        <f t="shared" si="10"/>
        <v/>
      </c>
      <c r="BM22" s="122" t="str">
        <f t="shared" si="11"/>
        <v/>
      </c>
      <c r="BN22" s="123" t="str">
        <f t="shared" si="12"/>
        <v/>
      </c>
      <c r="BO22" s="151"/>
      <c r="BP22" s="124" t="str">
        <f t="shared" si="13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4"/>
        <v/>
      </c>
      <c r="BU22" s="151"/>
      <c r="BV22" s="132" t="str">
        <f t="shared" si="15"/>
        <v/>
      </c>
      <c r="BW22" s="127" t="str">
        <f t="shared" si="16"/>
        <v/>
      </c>
      <c r="BX22" s="127" t="str">
        <f t="shared" si="17"/>
        <v/>
      </c>
      <c r="BY22" s="127" t="str">
        <f t="shared" si="18"/>
        <v/>
      </c>
      <c r="BZ22" s="127" t="str">
        <f t="shared" si="28"/>
        <v/>
      </c>
      <c r="CA22" s="128" t="str">
        <f t="shared" si="29"/>
        <v/>
      </c>
      <c r="CB22" s="151"/>
      <c r="CC22" s="129" t="str">
        <f t="shared" si="19"/>
        <v>-</v>
      </c>
      <c r="CD22" s="130" t="str">
        <f t="shared" si="20"/>
        <v>-</v>
      </c>
      <c r="CE22" s="130" t="str">
        <f t="shared" si="21"/>
        <v>-</v>
      </c>
      <c r="CF22" s="130" t="str">
        <f t="shared" si="22"/>
        <v>-</v>
      </c>
      <c r="CG22" s="131" t="str">
        <f t="shared" si="23"/>
        <v>-</v>
      </c>
      <c r="CH22" s="151"/>
    </row>
    <row r="23" spans="1:86" s="115" customFormat="1" ht="12.4" customHeight="1" thickBot="1" x14ac:dyDescent="0.25">
      <c r="A23" s="96">
        <f>EL_DEL_CD2_JO_!A23</f>
        <v>46315</v>
      </c>
      <c r="B23" s="97" t="str">
        <f t="shared" si="0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178"/>
      <c r="AM23" s="178"/>
      <c r="AN23" s="178"/>
      <c r="AO23" s="178"/>
      <c r="AP23" s="178"/>
      <c r="AQ23" s="178"/>
      <c r="AR23" s="178"/>
      <c r="AS23" s="178"/>
      <c r="AT23" s="179"/>
      <c r="AU23" s="179"/>
      <c r="AV23" s="180"/>
      <c r="AW23" s="181"/>
      <c r="AX23" s="102" t="str">
        <f t="shared" si="1"/>
        <v>-</v>
      </c>
      <c r="AY23" s="151"/>
      <c r="AZ23" s="116" t="str">
        <f t="shared" si="2"/>
        <v/>
      </c>
      <c r="BA23" s="117" t="str">
        <f t="shared" si="3"/>
        <v/>
      </c>
      <c r="BB23" s="116" t="str">
        <f t="shared" si="4"/>
        <v/>
      </c>
      <c r="BC23" s="151"/>
      <c r="BD23" s="118" t="str">
        <f t="shared" si="5"/>
        <v/>
      </c>
      <c r="BE23" s="119" t="str">
        <f t="shared" si="6"/>
        <v/>
      </c>
      <c r="BF23" s="119" t="str">
        <f t="shared" si="7"/>
        <v/>
      </c>
      <c r="BG23" s="119" t="str">
        <f t="shared" si="24"/>
        <v/>
      </c>
      <c r="BH23" s="119" t="str">
        <f t="shared" si="8"/>
        <v/>
      </c>
      <c r="BI23" s="120" t="str">
        <f t="shared" si="25"/>
        <v/>
      </c>
      <c r="BJ23" s="151"/>
      <c r="BK23" s="121" t="str">
        <f t="shared" si="9"/>
        <v/>
      </c>
      <c r="BL23" s="122" t="str">
        <f t="shared" si="10"/>
        <v/>
      </c>
      <c r="BM23" s="122" t="str">
        <f t="shared" si="11"/>
        <v/>
      </c>
      <c r="BN23" s="123" t="str">
        <f t="shared" si="12"/>
        <v/>
      </c>
      <c r="BO23" s="151"/>
      <c r="BP23" s="124" t="str">
        <f t="shared" si="13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4"/>
        <v/>
      </c>
      <c r="BU23" s="151"/>
      <c r="BV23" s="132" t="str">
        <f t="shared" si="15"/>
        <v/>
      </c>
      <c r="BW23" s="127" t="str">
        <f t="shared" si="16"/>
        <v/>
      </c>
      <c r="BX23" s="127" t="str">
        <f t="shared" si="17"/>
        <v/>
      </c>
      <c r="BY23" s="127" t="str">
        <f t="shared" si="18"/>
        <v/>
      </c>
      <c r="BZ23" s="127" t="str">
        <f t="shared" si="28"/>
        <v/>
      </c>
      <c r="CA23" s="128" t="str">
        <f t="shared" si="29"/>
        <v/>
      </c>
      <c r="CB23" s="151"/>
      <c r="CC23" s="129" t="str">
        <f t="shared" si="19"/>
        <v>-</v>
      </c>
      <c r="CD23" s="130" t="str">
        <f t="shared" si="20"/>
        <v>-</v>
      </c>
      <c r="CE23" s="130" t="str">
        <f t="shared" si="21"/>
        <v>-</v>
      </c>
      <c r="CF23" s="130" t="str">
        <f t="shared" si="22"/>
        <v>-</v>
      </c>
      <c r="CG23" s="131" t="str">
        <f t="shared" si="23"/>
        <v>-</v>
      </c>
      <c r="CH23" s="151"/>
    </row>
    <row r="24" spans="1:86" s="115" customFormat="1" ht="12.4" customHeight="1" thickBot="1" x14ac:dyDescent="0.25">
      <c r="A24" s="96">
        <f>EL_DEL_CD2_JO_!A24</f>
        <v>46316</v>
      </c>
      <c r="B24" s="97" t="str">
        <f t="shared" si="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178"/>
      <c r="AM24" s="178"/>
      <c r="AN24" s="178"/>
      <c r="AO24" s="178"/>
      <c r="AP24" s="178"/>
      <c r="AQ24" s="178"/>
      <c r="AR24" s="178"/>
      <c r="AS24" s="178"/>
      <c r="AT24" s="179"/>
      <c r="AU24" s="179"/>
      <c r="AV24" s="180"/>
      <c r="AW24" s="181"/>
      <c r="AX24" s="102" t="str">
        <f t="shared" si="1"/>
        <v>-</v>
      </c>
      <c r="AY24" s="151"/>
      <c r="AZ24" s="116" t="str">
        <f t="shared" si="2"/>
        <v/>
      </c>
      <c r="BA24" s="117" t="str">
        <f t="shared" si="3"/>
        <v/>
      </c>
      <c r="BB24" s="116" t="str">
        <f t="shared" si="4"/>
        <v/>
      </c>
      <c r="BC24" s="151"/>
      <c r="BD24" s="118" t="str">
        <f t="shared" si="5"/>
        <v/>
      </c>
      <c r="BE24" s="119" t="str">
        <f t="shared" si="6"/>
        <v/>
      </c>
      <c r="BF24" s="119" t="str">
        <f t="shared" si="7"/>
        <v/>
      </c>
      <c r="BG24" s="119" t="str">
        <f t="shared" si="24"/>
        <v/>
      </c>
      <c r="BH24" s="119" t="str">
        <f t="shared" si="8"/>
        <v/>
      </c>
      <c r="BI24" s="120" t="str">
        <f t="shared" si="25"/>
        <v/>
      </c>
      <c r="BJ24" s="151"/>
      <c r="BK24" s="121" t="str">
        <f t="shared" si="9"/>
        <v/>
      </c>
      <c r="BL24" s="122" t="str">
        <f t="shared" si="10"/>
        <v/>
      </c>
      <c r="BM24" s="122" t="str">
        <f t="shared" si="11"/>
        <v/>
      </c>
      <c r="BN24" s="123" t="str">
        <f t="shared" si="12"/>
        <v/>
      </c>
      <c r="BO24" s="151"/>
      <c r="BP24" s="124" t="str">
        <f t="shared" si="13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4"/>
        <v/>
      </c>
      <c r="BU24" s="151"/>
      <c r="BV24" s="132" t="str">
        <f t="shared" si="15"/>
        <v/>
      </c>
      <c r="BW24" s="127" t="str">
        <f t="shared" si="16"/>
        <v/>
      </c>
      <c r="BX24" s="127" t="str">
        <f t="shared" si="17"/>
        <v/>
      </c>
      <c r="BY24" s="127" t="str">
        <f t="shared" si="18"/>
        <v/>
      </c>
      <c r="BZ24" s="127" t="str">
        <f t="shared" si="28"/>
        <v/>
      </c>
      <c r="CA24" s="128" t="str">
        <f t="shared" si="29"/>
        <v/>
      </c>
      <c r="CB24" s="151"/>
      <c r="CC24" s="129" t="str">
        <f t="shared" si="19"/>
        <v>-</v>
      </c>
      <c r="CD24" s="130" t="str">
        <f t="shared" si="20"/>
        <v>-</v>
      </c>
      <c r="CE24" s="130" t="str">
        <f t="shared" si="21"/>
        <v>-</v>
      </c>
      <c r="CF24" s="130" t="str">
        <f t="shared" si="22"/>
        <v>-</v>
      </c>
      <c r="CG24" s="131" t="str">
        <f t="shared" si="23"/>
        <v>-</v>
      </c>
      <c r="CH24" s="151"/>
    </row>
    <row r="25" spans="1:86" s="115" customFormat="1" ht="12.4" customHeight="1" thickBot="1" x14ac:dyDescent="0.25">
      <c r="A25" s="96">
        <f>EL_DEL_CD2_JO_!A25</f>
        <v>46317</v>
      </c>
      <c r="B25" s="97" t="str">
        <f t="shared" si="0"/>
        <v>Thu</v>
      </c>
      <c r="C25" s="98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178"/>
      <c r="AM25" s="178"/>
      <c r="AN25" s="178"/>
      <c r="AO25" s="178"/>
      <c r="AP25" s="178"/>
      <c r="AQ25" s="178"/>
      <c r="AR25" s="178"/>
      <c r="AS25" s="178"/>
      <c r="AT25" s="179"/>
      <c r="AU25" s="179"/>
      <c r="AV25" s="180"/>
      <c r="AW25" s="181"/>
      <c r="AX25" s="102" t="str">
        <f t="shared" si="1"/>
        <v>-</v>
      </c>
      <c r="AY25" s="151"/>
      <c r="AZ25" s="116" t="str">
        <f t="shared" si="2"/>
        <v/>
      </c>
      <c r="BA25" s="117" t="str">
        <f t="shared" si="3"/>
        <v/>
      </c>
      <c r="BB25" s="116" t="str">
        <f t="shared" si="4"/>
        <v/>
      </c>
      <c r="BC25" s="151"/>
      <c r="BD25" s="118" t="str">
        <f t="shared" si="5"/>
        <v/>
      </c>
      <c r="BE25" s="119" t="str">
        <f t="shared" si="6"/>
        <v/>
      </c>
      <c r="BF25" s="119" t="str">
        <f t="shared" si="7"/>
        <v/>
      </c>
      <c r="BG25" s="119" t="str">
        <f t="shared" si="24"/>
        <v/>
      </c>
      <c r="BH25" s="119" t="str">
        <f t="shared" si="8"/>
        <v/>
      </c>
      <c r="BI25" s="120" t="str">
        <f t="shared" si="25"/>
        <v/>
      </c>
      <c r="BJ25" s="151"/>
      <c r="BK25" s="121" t="str">
        <f t="shared" si="9"/>
        <v/>
      </c>
      <c r="BL25" s="122" t="str">
        <f t="shared" si="10"/>
        <v/>
      </c>
      <c r="BM25" s="122" t="str">
        <f t="shared" si="11"/>
        <v/>
      </c>
      <c r="BN25" s="123" t="str">
        <f t="shared" si="12"/>
        <v/>
      </c>
      <c r="BO25" s="151"/>
      <c r="BP25" s="124" t="str">
        <f t="shared" si="13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4"/>
        <v/>
      </c>
      <c r="BU25" s="151"/>
      <c r="BV25" s="132" t="str">
        <f t="shared" si="15"/>
        <v/>
      </c>
      <c r="BW25" s="127" t="str">
        <f t="shared" si="16"/>
        <v/>
      </c>
      <c r="BX25" s="127" t="str">
        <f t="shared" si="17"/>
        <v/>
      </c>
      <c r="BY25" s="127" t="str">
        <f t="shared" si="18"/>
        <v/>
      </c>
      <c r="BZ25" s="127" t="str">
        <f t="shared" si="28"/>
        <v/>
      </c>
      <c r="CA25" s="128" t="str">
        <f t="shared" si="29"/>
        <v/>
      </c>
      <c r="CB25" s="151"/>
      <c r="CC25" s="129" t="str">
        <f t="shared" si="19"/>
        <v>-</v>
      </c>
      <c r="CD25" s="130" t="str">
        <f t="shared" si="20"/>
        <v>-</v>
      </c>
      <c r="CE25" s="130" t="str">
        <f t="shared" si="21"/>
        <v>-</v>
      </c>
      <c r="CF25" s="130" t="str">
        <f t="shared" si="22"/>
        <v>-</v>
      </c>
      <c r="CG25" s="131" t="str">
        <f t="shared" si="23"/>
        <v>-</v>
      </c>
      <c r="CH25" s="151"/>
    </row>
    <row r="26" spans="1:86" s="115" customFormat="1" ht="12.4" customHeight="1" thickBot="1" x14ac:dyDescent="0.25">
      <c r="A26" s="96">
        <f>EL_DEL_CD2_JO_!A26</f>
        <v>46318</v>
      </c>
      <c r="B26" s="97" t="str">
        <f t="shared" si="0"/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178"/>
      <c r="AM26" s="178"/>
      <c r="AN26" s="178"/>
      <c r="AO26" s="178"/>
      <c r="AP26" s="178"/>
      <c r="AQ26" s="178"/>
      <c r="AR26" s="178"/>
      <c r="AS26" s="178"/>
      <c r="AT26" s="179"/>
      <c r="AU26" s="179"/>
      <c r="AV26" s="180"/>
      <c r="AW26" s="181"/>
      <c r="AX26" s="102" t="str">
        <f t="shared" si="1"/>
        <v>-</v>
      </c>
      <c r="AY26" s="151"/>
      <c r="AZ26" s="116" t="str">
        <f t="shared" si="2"/>
        <v/>
      </c>
      <c r="BA26" s="117" t="str">
        <f t="shared" si="3"/>
        <v/>
      </c>
      <c r="BB26" s="116" t="str">
        <f t="shared" si="4"/>
        <v/>
      </c>
      <c r="BC26" s="151"/>
      <c r="BD26" s="118" t="str">
        <f t="shared" si="5"/>
        <v/>
      </c>
      <c r="BE26" s="119" t="str">
        <f t="shared" si="6"/>
        <v/>
      </c>
      <c r="BF26" s="119" t="str">
        <f t="shared" si="7"/>
        <v/>
      </c>
      <c r="BG26" s="119" t="str">
        <f t="shared" si="24"/>
        <v/>
      </c>
      <c r="BH26" s="119" t="str">
        <f t="shared" si="8"/>
        <v/>
      </c>
      <c r="BI26" s="120" t="str">
        <f t="shared" si="25"/>
        <v/>
      </c>
      <c r="BJ26" s="151"/>
      <c r="BK26" s="121" t="str">
        <f t="shared" si="9"/>
        <v/>
      </c>
      <c r="BL26" s="122" t="str">
        <f t="shared" si="10"/>
        <v/>
      </c>
      <c r="BM26" s="122" t="str">
        <f t="shared" si="11"/>
        <v/>
      </c>
      <c r="BN26" s="123" t="str">
        <f t="shared" si="12"/>
        <v/>
      </c>
      <c r="BO26" s="151"/>
      <c r="BP26" s="124" t="str">
        <f t="shared" si="13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4"/>
        <v/>
      </c>
      <c r="BU26" s="151"/>
      <c r="BV26" s="132" t="str">
        <f t="shared" si="15"/>
        <v/>
      </c>
      <c r="BW26" s="127" t="str">
        <f t="shared" si="16"/>
        <v/>
      </c>
      <c r="BX26" s="127" t="str">
        <f t="shared" si="17"/>
        <v/>
      </c>
      <c r="BY26" s="127" t="str">
        <f t="shared" si="18"/>
        <v/>
      </c>
      <c r="BZ26" s="127" t="str">
        <f t="shared" si="28"/>
        <v/>
      </c>
      <c r="CA26" s="128" t="str">
        <f t="shared" si="29"/>
        <v/>
      </c>
      <c r="CB26" s="151"/>
      <c r="CC26" s="129" t="str">
        <f t="shared" si="19"/>
        <v>-</v>
      </c>
      <c r="CD26" s="130" t="str">
        <f t="shared" si="20"/>
        <v>-</v>
      </c>
      <c r="CE26" s="130" t="str">
        <f t="shared" si="21"/>
        <v>-</v>
      </c>
      <c r="CF26" s="130" t="str">
        <f t="shared" si="22"/>
        <v>-</v>
      </c>
      <c r="CG26" s="131" t="str">
        <f t="shared" si="23"/>
        <v>-</v>
      </c>
      <c r="CH26" s="151"/>
    </row>
    <row r="27" spans="1:86" s="115" customFormat="1" ht="12.4" customHeight="1" thickBot="1" x14ac:dyDescent="0.25">
      <c r="A27" s="96">
        <f>EL_DEL_CD2_JO_!A27</f>
        <v>46319</v>
      </c>
      <c r="B27" s="97" t="str">
        <f t="shared" si="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178"/>
      <c r="AM27" s="178"/>
      <c r="AN27" s="178"/>
      <c r="AO27" s="178"/>
      <c r="AP27" s="178"/>
      <c r="AQ27" s="178"/>
      <c r="AR27" s="178"/>
      <c r="AS27" s="178"/>
      <c r="AT27" s="179"/>
      <c r="AU27" s="179"/>
      <c r="AV27" s="180"/>
      <c r="AW27" s="181"/>
      <c r="AX27" s="102" t="str">
        <f t="shared" si="1"/>
        <v>-</v>
      </c>
      <c r="AY27" s="151"/>
      <c r="AZ27" s="116" t="str">
        <f t="shared" si="2"/>
        <v/>
      </c>
      <c r="BA27" s="117" t="str">
        <f t="shared" si="3"/>
        <v/>
      </c>
      <c r="BB27" s="116" t="str">
        <f t="shared" si="4"/>
        <v/>
      </c>
      <c r="BC27" s="151"/>
      <c r="BD27" s="118" t="str">
        <f t="shared" si="5"/>
        <v/>
      </c>
      <c r="BE27" s="119" t="str">
        <f t="shared" si="6"/>
        <v/>
      </c>
      <c r="BF27" s="119" t="str">
        <f t="shared" si="7"/>
        <v/>
      </c>
      <c r="BG27" s="119" t="str">
        <f t="shared" si="24"/>
        <v/>
      </c>
      <c r="BH27" s="119" t="str">
        <f t="shared" si="8"/>
        <v/>
      </c>
      <c r="BI27" s="120" t="str">
        <f t="shared" si="25"/>
        <v/>
      </c>
      <c r="BJ27" s="151"/>
      <c r="BK27" s="121" t="str">
        <f t="shared" si="9"/>
        <v/>
      </c>
      <c r="BL27" s="122" t="str">
        <f t="shared" si="10"/>
        <v/>
      </c>
      <c r="BM27" s="122" t="str">
        <f t="shared" si="11"/>
        <v/>
      </c>
      <c r="BN27" s="123" t="str">
        <f t="shared" si="12"/>
        <v/>
      </c>
      <c r="BO27" s="151"/>
      <c r="BP27" s="124" t="str">
        <f t="shared" si="13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4"/>
        <v/>
      </c>
      <c r="BU27" s="151"/>
      <c r="BV27" s="132" t="str">
        <f t="shared" si="15"/>
        <v/>
      </c>
      <c r="BW27" s="127" t="str">
        <f t="shared" si="16"/>
        <v/>
      </c>
      <c r="BX27" s="127" t="str">
        <f t="shared" si="17"/>
        <v/>
      </c>
      <c r="BY27" s="127" t="str">
        <f t="shared" si="18"/>
        <v/>
      </c>
      <c r="BZ27" s="127" t="str">
        <f t="shared" si="28"/>
        <v/>
      </c>
      <c r="CA27" s="128" t="str">
        <f t="shared" si="29"/>
        <v/>
      </c>
      <c r="CB27" s="151"/>
      <c r="CC27" s="129" t="str">
        <f t="shared" si="19"/>
        <v>-</v>
      </c>
      <c r="CD27" s="130" t="str">
        <f t="shared" si="20"/>
        <v>-</v>
      </c>
      <c r="CE27" s="130" t="str">
        <f t="shared" si="21"/>
        <v>-</v>
      </c>
      <c r="CF27" s="130" t="str">
        <f t="shared" si="22"/>
        <v>-</v>
      </c>
      <c r="CG27" s="131" t="str">
        <f t="shared" si="23"/>
        <v>-</v>
      </c>
      <c r="CH27" s="151"/>
    </row>
    <row r="28" spans="1:86" s="115" customFormat="1" ht="12.4" customHeight="1" thickBot="1" x14ac:dyDescent="0.25">
      <c r="A28" s="96">
        <f>EL_DEL_CD2_JO_!A28</f>
        <v>46320</v>
      </c>
      <c r="B28" s="97" t="str">
        <f t="shared" si="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178"/>
      <c r="AM28" s="178"/>
      <c r="AN28" s="178"/>
      <c r="AO28" s="178"/>
      <c r="AP28" s="178"/>
      <c r="AQ28" s="178"/>
      <c r="AR28" s="178"/>
      <c r="AS28" s="178"/>
      <c r="AT28" s="179"/>
      <c r="AU28" s="179"/>
      <c r="AV28" s="180"/>
      <c r="AW28" s="181"/>
      <c r="AX28" s="102" t="str">
        <f t="shared" si="1"/>
        <v>-</v>
      </c>
      <c r="AY28" s="151"/>
      <c r="AZ28" s="116" t="str">
        <f t="shared" si="2"/>
        <v/>
      </c>
      <c r="BA28" s="117" t="str">
        <f t="shared" si="3"/>
        <v/>
      </c>
      <c r="BB28" s="116" t="str">
        <f t="shared" si="4"/>
        <v/>
      </c>
      <c r="BC28" s="151"/>
      <c r="BD28" s="118" t="str">
        <f t="shared" si="5"/>
        <v/>
      </c>
      <c r="BE28" s="119" t="str">
        <f t="shared" si="6"/>
        <v/>
      </c>
      <c r="BF28" s="119" t="str">
        <f t="shared" si="7"/>
        <v/>
      </c>
      <c r="BG28" s="119" t="str">
        <f t="shared" si="24"/>
        <v/>
      </c>
      <c r="BH28" s="119" t="str">
        <f t="shared" si="8"/>
        <v/>
      </c>
      <c r="BI28" s="120" t="str">
        <f t="shared" si="25"/>
        <v/>
      </c>
      <c r="BJ28" s="151"/>
      <c r="BK28" s="121" t="str">
        <f t="shared" si="9"/>
        <v/>
      </c>
      <c r="BL28" s="122" t="str">
        <f t="shared" si="10"/>
        <v/>
      </c>
      <c r="BM28" s="122" t="str">
        <f t="shared" si="11"/>
        <v/>
      </c>
      <c r="BN28" s="123" t="str">
        <f t="shared" si="12"/>
        <v/>
      </c>
      <c r="BO28" s="151"/>
      <c r="BP28" s="124" t="str">
        <f t="shared" si="13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4"/>
        <v/>
      </c>
      <c r="BU28" s="151"/>
      <c r="BV28" s="132" t="str">
        <f t="shared" si="15"/>
        <v/>
      </c>
      <c r="BW28" s="127" t="str">
        <f t="shared" si="16"/>
        <v/>
      </c>
      <c r="BX28" s="127" t="str">
        <f t="shared" si="17"/>
        <v/>
      </c>
      <c r="BY28" s="127" t="str">
        <f t="shared" si="18"/>
        <v/>
      </c>
      <c r="BZ28" s="127" t="str">
        <f t="shared" si="28"/>
        <v/>
      </c>
      <c r="CA28" s="128" t="str">
        <f t="shared" si="29"/>
        <v/>
      </c>
      <c r="CB28" s="151"/>
      <c r="CC28" s="129" t="str">
        <f t="shared" si="19"/>
        <v>-</v>
      </c>
      <c r="CD28" s="130" t="str">
        <f t="shared" si="20"/>
        <v>-</v>
      </c>
      <c r="CE28" s="130" t="str">
        <f t="shared" si="21"/>
        <v>-</v>
      </c>
      <c r="CF28" s="130" t="str">
        <f t="shared" si="22"/>
        <v>-</v>
      </c>
      <c r="CG28" s="131" t="str">
        <f t="shared" si="23"/>
        <v>-</v>
      </c>
      <c r="CH28" s="151"/>
    </row>
    <row r="29" spans="1:86" s="115" customFormat="1" ht="12.4" customHeight="1" thickBot="1" x14ac:dyDescent="0.25">
      <c r="A29" s="96">
        <f>EL_DEL_CD2_JO_!A29</f>
        <v>46321</v>
      </c>
      <c r="B29" s="97" t="str">
        <f t="shared" si="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178"/>
      <c r="AM29" s="178"/>
      <c r="AN29" s="178"/>
      <c r="AO29" s="178"/>
      <c r="AP29" s="178"/>
      <c r="AQ29" s="178"/>
      <c r="AR29" s="178"/>
      <c r="AS29" s="178"/>
      <c r="AT29" s="179"/>
      <c r="AU29" s="179"/>
      <c r="AV29" s="180"/>
      <c r="AW29" s="181"/>
      <c r="AX29" s="102" t="str">
        <f t="shared" si="1"/>
        <v>-</v>
      </c>
      <c r="AY29" s="151"/>
      <c r="AZ29" s="116" t="str">
        <f t="shared" si="2"/>
        <v/>
      </c>
      <c r="BA29" s="117" t="str">
        <f t="shared" si="3"/>
        <v/>
      </c>
      <c r="BB29" s="116" t="str">
        <f t="shared" si="4"/>
        <v/>
      </c>
      <c r="BC29" s="151"/>
      <c r="BD29" s="118" t="str">
        <f t="shared" si="5"/>
        <v/>
      </c>
      <c r="BE29" s="119" t="str">
        <f t="shared" si="6"/>
        <v/>
      </c>
      <c r="BF29" s="119" t="str">
        <f t="shared" si="7"/>
        <v/>
      </c>
      <c r="BG29" s="119" t="str">
        <f t="shared" si="24"/>
        <v/>
      </c>
      <c r="BH29" s="119" t="str">
        <f t="shared" si="8"/>
        <v/>
      </c>
      <c r="BI29" s="120" t="str">
        <f t="shared" si="25"/>
        <v/>
      </c>
      <c r="BJ29" s="151"/>
      <c r="BK29" s="121" t="str">
        <f t="shared" si="9"/>
        <v/>
      </c>
      <c r="BL29" s="122" t="str">
        <f t="shared" si="10"/>
        <v/>
      </c>
      <c r="BM29" s="122" t="str">
        <f t="shared" si="11"/>
        <v/>
      </c>
      <c r="BN29" s="123" t="str">
        <f t="shared" si="12"/>
        <v/>
      </c>
      <c r="BO29" s="151"/>
      <c r="BP29" s="124" t="str">
        <f t="shared" si="13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4"/>
        <v/>
      </c>
      <c r="BU29" s="151"/>
      <c r="BV29" s="132" t="str">
        <f t="shared" si="15"/>
        <v/>
      </c>
      <c r="BW29" s="127" t="str">
        <f t="shared" si="16"/>
        <v/>
      </c>
      <c r="BX29" s="127" t="str">
        <f t="shared" si="17"/>
        <v/>
      </c>
      <c r="BY29" s="127" t="str">
        <f t="shared" si="18"/>
        <v/>
      </c>
      <c r="BZ29" s="127" t="str">
        <f t="shared" si="28"/>
        <v/>
      </c>
      <c r="CA29" s="128" t="str">
        <f t="shared" si="29"/>
        <v/>
      </c>
      <c r="CB29" s="151"/>
      <c r="CC29" s="129" t="str">
        <f t="shared" si="19"/>
        <v>-</v>
      </c>
      <c r="CD29" s="130" t="str">
        <f t="shared" si="20"/>
        <v>-</v>
      </c>
      <c r="CE29" s="130" t="str">
        <f t="shared" si="21"/>
        <v>-</v>
      </c>
      <c r="CF29" s="130" t="str">
        <f t="shared" si="22"/>
        <v>-</v>
      </c>
      <c r="CG29" s="131" t="str">
        <f t="shared" si="23"/>
        <v>-</v>
      </c>
      <c r="CH29" s="151"/>
    </row>
    <row r="30" spans="1:86" s="115" customFormat="1" ht="12.4" customHeight="1" thickBot="1" x14ac:dyDescent="0.25">
      <c r="A30" s="96">
        <f>EL_DEL_CD2_JO_!A30</f>
        <v>46322</v>
      </c>
      <c r="B30" s="97" t="str">
        <f t="shared" si="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178"/>
      <c r="AM30" s="178"/>
      <c r="AN30" s="178"/>
      <c r="AO30" s="178"/>
      <c r="AP30" s="178"/>
      <c r="AQ30" s="178"/>
      <c r="AR30" s="178"/>
      <c r="AS30" s="178"/>
      <c r="AT30" s="179"/>
      <c r="AU30" s="179"/>
      <c r="AV30" s="180"/>
      <c r="AW30" s="181"/>
      <c r="AX30" s="102" t="str">
        <f t="shared" si="1"/>
        <v>-</v>
      </c>
      <c r="AY30" s="151"/>
      <c r="AZ30" s="116" t="str">
        <f t="shared" si="2"/>
        <v/>
      </c>
      <c r="BA30" s="117" t="str">
        <f t="shared" si="3"/>
        <v/>
      </c>
      <c r="BB30" s="116" t="str">
        <f t="shared" si="4"/>
        <v/>
      </c>
      <c r="BC30" s="151"/>
      <c r="BD30" s="118" t="str">
        <f t="shared" si="5"/>
        <v/>
      </c>
      <c r="BE30" s="119" t="str">
        <f t="shared" si="6"/>
        <v/>
      </c>
      <c r="BF30" s="119" t="str">
        <f t="shared" si="7"/>
        <v/>
      </c>
      <c r="BG30" s="119" t="str">
        <f t="shared" si="24"/>
        <v/>
      </c>
      <c r="BH30" s="119" t="str">
        <f t="shared" si="8"/>
        <v/>
      </c>
      <c r="BI30" s="120" t="str">
        <f t="shared" si="25"/>
        <v/>
      </c>
      <c r="BJ30" s="151"/>
      <c r="BK30" s="121" t="str">
        <f t="shared" si="9"/>
        <v/>
      </c>
      <c r="BL30" s="122" t="str">
        <f t="shared" si="10"/>
        <v/>
      </c>
      <c r="BM30" s="122" t="str">
        <f t="shared" si="11"/>
        <v/>
      </c>
      <c r="BN30" s="123" t="str">
        <f t="shared" si="12"/>
        <v/>
      </c>
      <c r="BO30" s="151"/>
      <c r="BP30" s="124" t="str">
        <f t="shared" si="13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4"/>
        <v/>
      </c>
      <c r="BU30" s="151"/>
      <c r="BV30" s="132" t="str">
        <f t="shared" si="15"/>
        <v/>
      </c>
      <c r="BW30" s="127" t="str">
        <f t="shared" si="16"/>
        <v/>
      </c>
      <c r="BX30" s="127" t="str">
        <f t="shared" si="17"/>
        <v/>
      </c>
      <c r="BY30" s="127" t="str">
        <f t="shared" si="18"/>
        <v/>
      </c>
      <c r="BZ30" s="127" t="str">
        <f t="shared" si="28"/>
        <v/>
      </c>
      <c r="CA30" s="128" t="str">
        <f t="shared" si="29"/>
        <v/>
      </c>
      <c r="CB30" s="151"/>
      <c r="CC30" s="129" t="str">
        <f t="shared" si="19"/>
        <v>-</v>
      </c>
      <c r="CD30" s="130" t="str">
        <f t="shared" si="20"/>
        <v>-</v>
      </c>
      <c r="CE30" s="130" t="str">
        <f t="shared" si="21"/>
        <v>-</v>
      </c>
      <c r="CF30" s="130" t="str">
        <f t="shared" si="22"/>
        <v>-</v>
      </c>
      <c r="CG30" s="131" t="str">
        <f t="shared" si="23"/>
        <v>-</v>
      </c>
      <c r="CH30" s="151"/>
    </row>
    <row r="31" spans="1:86" s="115" customFormat="1" ht="12.4" customHeight="1" thickBot="1" x14ac:dyDescent="0.25">
      <c r="A31" s="96">
        <f>EL_DEL_CD2_JO_!A31</f>
        <v>46323</v>
      </c>
      <c r="B31" s="97" t="str">
        <f t="shared" si="0"/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178"/>
      <c r="AM31" s="178"/>
      <c r="AN31" s="178"/>
      <c r="AO31" s="178"/>
      <c r="AP31" s="178"/>
      <c r="AQ31" s="178"/>
      <c r="AR31" s="178"/>
      <c r="AS31" s="178"/>
      <c r="AT31" s="179"/>
      <c r="AU31" s="179"/>
      <c r="AV31" s="180"/>
      <c r="AW31" s="181"/>
      <c r="AX31" s="102" t="str">
        <f t="shared" si="1"/>
        <v>-</v>
      </c>
      <c r="AY31" s="151"/>
      <c r="AZ31" s="116" t="str">
        <f t="shared" si="2"/>
        <v/>
      </c>
      <c r="BA31" s="117" t="str">
        <f t="shared" si="3"/>
        <v/>
      </c>
      <c r="BB31" s="116" t="str">
        <f t="shared" si="4"/>
        <v/>
      </c>
      <c r="BC31" s="151"/>
      <c r="BD31" s="118" t="str">
        <f t="shared" si="5"/>
        <v/>
      </c>
      <c r="BE31" s="119" t="str">
        <f t="shared" si="6"/>
        <v/>
      </c>
      <c r="BF31" s="119" t="str">
        <f t="shared" si="7"/>
        <v/>
      </c>
      <c r="BG31" s="119" t="str">
        <f t="shared" si="24"/>
        <v/>
      </c>
      <c r="BH31" s="119" t="str">
        <f t="shared" si="8"/>
        <v/>
      </c>
      <c r="BI31" s="120" t="str">
        <f t="shared" si="25"/>
        <v/>
      </c>
      <c r="BJ31" s="151"/>
      <c r="BK31" s="121" t="str">
        <f t="shared" si="9"/>
        <v/>
      </c>
      <c r="BL31" s="122" t="str">
        <f t="shared" si="10"/>
        <v/>
      </c>
      <c r="BM31" s="122" t="str">
        <f t="shared" si="11"/>
        <v/>
      </c>
      <c r="BN31" s="123" t="str">
        <f t="shared" si="12"/>
        <v/>
      </c>
      <c r="BO31" s="151"/>
      <c r="BP31" s="124" t="str">
        <f t="shared" si="13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4"/>
        <v/>
      </c>
      <c r="BU31" s="151"/>
      <c r="BV31" s="132" t="str">
        <f t="shared" si="15"/>
        <v/>
      </c>
      <c r="BW31" s="127" t="str">
        <f t="shared" si="16"/>
        <v/>
      </c>
      <c r="BX31" s="127" t="str">
        <f t="shared" si="17"/>
        <v/>
      </c>
      <c r="BY31" s="127" t="str">
        <f t="shared" si="18"/>
        <v/>
      </c>
      <c r="BZ31" s="127" t="str">
        <f t="shared" si="28"/>
        <v/>
      </c>
      <c r="CA31" s="128" t="str">
        <f t="shared" si="29"/>
        <v/>
      </c>
      <c r="CB31" s="151"/>
      <c r="CC31" s="129" t="str">
        <f t="shared" si="19"/>
        <v>-</v>
      </c>
      <c r="CD31" s="130" t="str">
        <f t="shared" si="20"/>
        <v>-</v>
      </c>
      <c r="CE31" s="130" t="str">
        <f t="shared" si="21"/>
        <v>-</v>
      </c>
      <c r="CF31" s="130" t="str">
        <f t="shared" si="22"/>
        <v>-</v>
      </c>
      <c r="CG31" s="131" t="str">
        <f t="shared" si="23"/>
        <v>-</v>
      </c>
      <c r="CH31" s="151"/>
    </row>
    <row r="32" spans="1:86" s="115" customFormat="1" ht="12.4" customHeight="1" thickBot="1" x14ac:dyDescent="0.25">
      <c r="A32" s="96">
        <f>EL_DEL_CD2_JO_!A32</f>
        <v>46324</v>
      </c>
      <c r="B32" s="97" t="str">
        <f t="shared" si="0"/>
        <v>Thu</v>
      </c>
      <c r="C32" s="98"/>
      <c r="D32" s="98"/>
      <c r="E32" s="103"/>
      <c r="F32" s="98"/>
      <c r="G32" s="98"/>
      <c r="H32" s="104"/>
      <c r="I32" s="104"/>
      <c r="J32" s="105"/>
      <c r="K32" s="106"/>
      <c r="L32" s="98"/>
      <c r="M32" s="98"/>
      <c r="N32" s="98"/>
      <c r="O32" s="98"/>
      <c r="P32" s="103"/>
      <c r="Q32" s="98"/>
      <c r="R32" s="98"/>
      <c r="S32" s="98"/>
      <c r="T32" s="98"/>
      <c r="U32" s="98"/>
      <c r="V32" s="103"/>
      <c r="W32" s="103"/>
      <c r="X32" s="98"/>
      <c r="Y32" s="98"/>
      <c r="Z32" s="98"/>
      <c r="AA32" s="98"/>
      <c r="AB32" s="98"/>
      <c r="AC32" s="98"/>
      <c r="AD32" s="98"/>
      <c r="AE32" s="98"/>
      <c r="AF32" s="103"/>
      <c r="AG32" s="103"/>
      <c r="AH32" s="98"/>
      <c r="AI32" s="107"/>
      <c r="AJ32" s="108"/>
      <c r="AK32" s="107"/>
      <c r="AL32" s="178"/>
      <c r="AM32" s="178"/>
      <c r="AN32" s="178"/>
      <c r="AO32" s="178"/>
      <c r="AP32" s="178"/>
      <c r="AQ32" s="178"/>
      <c r="AR32" s="178"/>
      <c r="AS32" s="178"/>
      <c r="AT32" s="179"/>
      <c r="AU32" s="179"/>
      <c r="AV32" s="180"/>
      <c r="AW32" s="181"/>
      <c r="AX32" s="102" t="str">
        <f>IFERROR(AN32/AW32,"-")</f>
        <v>-</v>
      </c>
      <c r="AY32" s="151"/>
      <c r="AZ32" s="116" t="str">
        <f t="shared" si="2"/>
        <v/>
      </c>
      <c r="BA32" s="117" t="str">
        <f t="shared" si="3"/>
        <v/>
      </c>
      <c r="BB32" s="116" t="str">
        <f t="shared" si="4"/>
        <v/>
      </c>
      <c r="BC32" s="151"/>
      <c r="BD32" s="118" t="str">
        <f t="shared" si="5"/>
        <v/>
      </c>
      <c r="BE32" s="119" t="str">
        <f t="shared" si="6"/>
        <v/>
      </c>
      <c r="BF32" s="119" t="str">
        <f t="shared" si="7"/>
        <v/>
      </c>
      <c r="BG32" s="119" t="str">
        <f>+IF(SUM(AO32:AR32)&gt;0,AO32/AN32,"")</f>
        <v/>
      </c>
      <c r="BH32" s="119" t="str">
        <f t="shared" si="8"/>
        <v/>
      </c>
      <c r="BI32" s="120" t="str">
        <f>+IF(SUM(AO32:AR32)&gt;0,AQ32/AN32,"")</f>
        <v/>
      </c>
      <c r="BJ32" s="151"/>
      <c r="BK32" s="121" t="str">
        <f t="shared" si="9"/>
        <v/>
      </c>
      <c r="BL32" s="122" t="str">
        <f t="shared" si="10"/>
        <v/>
      </c>
      <c r="BM32" s="122" t="str">
        <f t="shared" si="11"/>
        <v/>
      </c>
      <c r="BN32" s="123" t="str">
        <f t="shared" si="12"/>
        <v/>
      </c>
      <c r="BO32" s="151"/>
      <c r="BP32" s="124" t="str">
        <f t="shared" si="13"/>
        <v/>
      </c>
      <c r="BQ32" s="125">
        <v>0</v>
      </c>
      <c r="BR32" s="125" t="str">
        <f>IF(AJ32&gt;0,(AK32/AJ32),"")</f>
        <v/>
      </c>
      <c r="BS32" s="125" t="str">
        <f>IF(AJ32&gt;0,(AK32/AJ32),"")</f>
        <v/>
      </c>
      <c r="BT32" s="126" t="str">
        <f t="shared" si="14"/>
        <v/>
      </c>
      <c r="BU32" s="151"/>
      <c r="BV32" s="132" t="str">
        <f t="shared" si="15"/>
        <v/>
      </c>
      <c r="BW32" s="127" t="str">
        <f t="shared" si="16"/>
        <v/>
      </c>
      <c r="BX32" s="127" t="str">
        <f t="shared" si="17"/>
        <v/>
      </c>
      <c r="BY32" s="127" t="str">
        <f t="shared" si="18"/>
        <v/>
      </c>
      <c r="BZ32" s="127" t="str">
        <f>IF(AN32&gt;0,(AJ32/AN32),"")</f>
        <v/>
      </c>
      <c r="CA32" s="128" t="str">
        <f>IF(AN32&gt;0,(AK32/AN32),"")</f>
        <v/>
      </c>
      <c r="CB32" s="151"/>
      <c r="CC32" s="129" t="str">
        <f t="shared" si="19"/>
        <v>-</v>
      </c>
      <c r="CD32" s="130" t="str">
        <f t="shared" si="20"/>
        <v>-</v>
      </c>
      <c r="CE32" s="130" t="str">
        <f t="shared" si="21"/>
        <v>-</v>
      </c>
      <c r="CF32" s="130" t="str">
        <f t="shared" si="22"/>
        <v>-</v>
      </c>
      <c r="CG32" s="131" t="str">
        <f t="shared" si="23"/>
        <v>-</v>
      </c>
      <c r="CH32" s="151"/>
    </row>
    <row r="33" spans="1:86" s="115" customFormat="1" ht="12.4" customHeight="1" thickBot="1" x14ac:dyDescent="0.25">
      <c r="A33" s="96">
        <f>EL_DEL_CD2_JO_!A33</f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178"/>
      <c r="AM33" s="178"/>
      <c r="AN33" s="178"/>
      <c r="AO33" s="178"/>
      <c r="AP33" s="178"/>
      <c r="AQ33" s="178"/>
      <c r="AR33" s="178"/>
      <c r="AS33" s="178"/>
      <c r="AT33" s="179"/>
      <c r="AU33" s="179"/>
      <c r="AV33" s="180"/>
      <c r="AW33" s="181"/>
      <c r="AX33" s="102" t="str">
        <f>IFERROR(AN33/AW33,"-")</f>
        <v>-</v>
      </c>
      <c r="AY33" s="151"/>
      <c r="AZ33" s="116" t="str">
        <f>IF(E33&gt;0,F33/E33,"")</f>
        <v/>
      </c>
      <c r="BA33" s="117" t="str">
        <f>+IF(E33&gt;0,G33/E33,"")</f>
        <v/>
      </c>
      <c r="BB33" s="116" t="str">
        <f>+IF(E33&gt;0,AJ33/E33,"")</f>
        <v/>
      </c>
      <c r="BC33" s="151"/>
      <c r="BD33" s="118" t="str">
        <f>+IF(G33&gt;0,I33/G33,"")</f>
        <v/>
      </c>
      <c r="BE33" s="119" t="str">
        <f>+IF(G33&gt;0,J33/G33,"")</f>
        <v/>
      </c>
      <c r="BF33" s="119" t="str">
        <f>+IF(I33&gt;0,L33/I33,"")</f>
        <v/>
      </c>
      <c r="BG33" s="119" t="str">
        <f>+IF(SUM(AO33:AR33)&gt;0,AO33/AN33,"")</f>
        <v/>
      </c>
      <c r="BH33" s="119" t="str">
        <f>+IF(G33&gt;0,K33/G33,"")</f>
        <v/>
      </c>
      <c r="BI33" s="120" t="str">
        <f>+IF(SUM(AO33:AR33)&gt;0,AQ33/AN33,"")</f>
        <v/>
      </c>
      <c r="BJ33" s="151"/>
      <c r="BK33" s="121" t="str">
        <f>+IF(E33&gt;0,(AJ33/E33),"")</f>
        <v/>
      </c>
      <c r="BL33" s="122" t="str">
        <f>+IF(E33&gt;0,(AJ33/F33),"")</f>
        <v/>
      </c>
      <c r="BM33" s="122" t="str">
        <f>+IF(E33&gt;0,(AJ33/G33),"")</f>
        <v/>
      </c>
      <c r="BN33" s="123" t="str">
        <f>+IF(E33&gt;0,(AJ33/J33),"")</f>
        <v/>
      </c>
      <c r="BO33" s="151"/>
      <c r="BP33" s="124" t="str">
        <f>IF(AJ33&gt;0,(N33/AJ33),"")</f>
        <v/>
      </c>
      <c r="BQ33" s="125">
        <v>0</v>
      </c>
      <c r="BR33" s="125" t="str">
        <f>IF(AJ33&gt;0,(AK33/AJ33),"")</f>
        <v/>
      </c>
      <c r="BS33" s="125" t="str">
        <f>IF(AJ33&gt;0,(AK33/AJ33),"")</f>
        <v/>
      </c>
      <c r="BT33" s="126" t="str">
        <f>IF(J33&gt;0,AD33/J33,"")</f>
        <v/>
      </c>
      <c r="BU33" s="151"/>
      <c r="BV33" s="132" t="str">
        <f>IF(AN33&gt;0,(E33/AN33),"")</f>
        <v/>
      </c>
      <c r="BW33" s="127" t="str">
        <f>IF(AN33&gt;0,(G33/AN33),"")</f>
        <v/>
      </c>
      <c r="BX33" s="127" t="str">
        <f>IF(AN33&gt;0,(J33/AN33),"")</f>
        <v/>
      </c>
      <c r="BY33" s="127" t="str">
        <f>IF(AN33&gt;0,(K33/AN33),"")</f>
        <v/>
      </c>
      <c r="BZ33" s="127" t="str">
        <f>IF(AN33&gt;0,(AJ33/AN33),"")</f>
        <v/>
      </c>
      <c r="CA33" s="128" t="str">
        <f>IF(AN33&gt;0,(AK33/AN33),"")</f>
        <v/>
      </c>
      <c r="CB33" s="151"/>
      <c r="CC33" s="129" t="str">
        <f>IFERROR(((AN33-AO33)*3600)/J33,"-")</f>
        <v>-</v>
      </c>
      <c r="CD33" s="130" t="str">
        <f>IFERROR((AR33*3600)/J33,"-")</f>
        <v>-</v>
      </c>
      <c r="CE33" s="130" t="str">
        <f>IFERROR((AQ33*3600)/J33,"-")</f>
        <v>-</v>
      </c>
      <c r="CF33" s="130" t="str">
        <f>IFERROR((AO33*3600)/J33,"-")</f>
        <v>-</v>
      </c>
      <c r="CG33" s="131" t="str">
        <f>IFERROR((AP33*3600)/J33,"-")</f>
        <v>-</v>
      </c>
      <c r="CH33" s="151"/>
    </row>
    <row r="34" spans="1:86" s="115" customFormat="1" ht="12.4" customHeight="1" thickBot="1" x14ac:dyDescent="0.25">
      <c r="A34" s="96">
        <f>EL_DEL_CD2_JO_!A34</f>
        <v>46326</v>
      </c>
      <c r="B34" s="97" t="str">
        <f t="shared" si="0"/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178"/>
      <c r="AM34" s="178"/>
      <c r="AN34" s="178"/>
      <c r="AO34" s="178"/>
      <c r="AP34" s="178"/>
      <c r="AQ34" s="178"/>
      <c r="AR34" s="178"/>
      <c r="AS34" s="178"/>
      <c r="AT34" s="179"/>
      <c r="AU34" s="179"/>
      <c r="AV34" s="180"/>
      <c r="AW34" s="181"/>
      <c r="AX34" s="102" t="str">
        <f>IFERROR(AN34/AW34,"-")</f>
        <v>-</v>
      </c>
      <c r="AY34" s="151"/>
      <c r="AZ34" s="116" t="str">
        <f t="shared" si="2"/>
        <v/>
      </c>
      <c r="BA34" s="117" t="str">
        <f t="shared" si="3"/>
        <v/>
      </c>
      <c r="BB34" s="116" t="str">
        <f t="shared" si="4"/>
        <v/>
      </c>
      <c r="BC34" s="151"/>
      <c r="BD34" s="118" t="str">
        <f t="shared" si="5"/>
        <v/>
      </c>
      <c r="BE34" s="119" t="str">
        <f t="shared" si="6"/>
        <v/>
      </c>
      <c r="BF34" s="119" t="str">
        <f t="shared" si="7"/>
        <v/>
      </c>
      <c r="BG34" s="119" t="str">
        <f>+IF(SUM(AO34:AR34)&gt;0,AO34/AN34,"")</f>
        <v/>
      </c>
      <c r="BH34" s="119" t="str">
        <f t="shared" si="8"/>
        <v/>
      </c>
      <c r="BI34" s="120" t="str">
        <f>+IF(SUM(AO34:AR34)&gt;0,AQ34/AN34,"")</f>
        <v/>
      </c>
      <c r="BJ34" s="151"/>
      <c r="BK34" s="121" t="str">
        <f t="shared" si="9"/>
        <v/>
      </c>
      <c r="BL34" s="122" t="str">
        <f t="shared" si="10"/>
        <v/>
      </c>
      <c r="BM34" s="122" t="str">
        <f t="shared" si="11"/>
        <v/>
      </c>
      <c r="BN34" s="123" t="str">
        <f t="shared" si="12"/>
        <v/>
      </c>
      <c r="BO34" s="151"/>
      <c r="BP34" s="124" t="str">
        <f t="shared" si="13"/>
        <v/>
      </c>
      <c r="BQ34" s="125">
        <v>0</v>
      </c>
      <c r="BR34" s="125" t="str">
        <f>IF(AJ34&gt;0,(AK34/AJ34),"")</f>
        <v/>
      </c>
      <c r="BS34" s="125" t="str">
        <f>IF(AJ34&gt;0,(AK34/AJ34),"")</f>
        <v/>
      </c>
      <c r="BT34" s="126" t="str">
        <f t="shared" si="14"/>
        <v/>
      </c>
      <c r="BU34" s="151"/>
      <c r="BV34" s="132" t="str">
        <f t="shared" si="15"/>
        <v/>
      </c>
      <c r="BW34" s="127" t="str">
        <f t="shared" si="16"/>
        <v/>
      </c>
      <c r="BX34" s="127" t="str">
        <f t="shared" si="17"/>
        <v/>
      </c>
      <c r="BY34" s="127" t="str">
        <f t="shared" si="18"/>
        <v/>
      </c>
      <c r="BZ34" s="127" t="str">
        <f>IF(AN34&gt;0,(AJ34/AN34),"")</f>
        <v/>
      </c>
      <c r="CA34" s="128" t="str">
        <f>IF(AN34&gt;0,(AK34/AN34),"")</f>
        <v/>
      </c>
      <c r="CB34" s="151"/>
      <c r="CC34" s="129" t="str">
        <f t="shared" si="19"/>
        <v>-</v>
      </c>
      <c r="CD34" s="130" t="str">
        <f t="shared" si="20"/>
        <v>-</v>
      </c>
      <c r="CE34" s="130" t="str">
        <f t="shared" si="21"/>
        <v>-</v>
      </c>
      <c r="CF34" s="130" t="str">
        <f t="shared" si="22"/>
        <v>-</v>
      </c>
      <c r="CG34" s="131" t="str">
        <f t="shared" si="23"/>
        <v>-</v>
      </c>
      <c r="CH34" s="151"/>
    </row>
    <row r="35" spans="1:86" s="115" customFormat="1" ht="13.15" customHeight="1" thickBot="1" x14ac:dyDescent="0.25">
      <c r="A35" s="235" t="s">
        <v>68</v>
      </c>
      <c r="B35" s="236"/>
      <c r="C35" s="109" t="e">
        <f t="shared" ref="C35:AW35" si="30">AVERAGE(C4:C34)</f>
        <v>#DIV/0!</v>
      </c>
      <c r="D35" s="109" t="e">
        <f t="shared" si="30"/>
        <v>#DIV/0!</v>
      </c>
      <c r="E35" s="109" t="e">
        <f t="shared" si="30"/>
        <v>#DIV/0!</v>
      </c>
      <c r="F35" s="109" t="e">
        <f t="shared" si="30"/>
        <v>#DIV/0!</v>
      </c>
      <c r="G35" s="109" t="e">
        <f t="shared" si="30"/>
        <v>#DIV/0!</v>
      </c>
      <c r="H35" s="109" t="e">
        <f t="shared" si="30"/>
        <v>#DIV/0!</v>
      </c>
      <c r="I35" s="109" t="e">
        <f t="shared" si="30"/>
        <v>#DIV/0!</v>
      </c>
      <c r="J35" s="109" t="e">
        <f t="shared" si="30"/>
        <v>#DIV/0!</v>
      </c>
      <c r="K35" s="109" t="e">
        <f t="shared" si="30"/>
        <v>#DIV/0!</v>
      </c>
      <c r="L35" s="109" t="e">
        <f t="shared" si="30"/>
        <v>#DIV/0!</v>
      </c>
      <c r="M35" s="109" t="e">
        <f t="shared" si="30"/>
        <v>#DIV/0!</v>
      </c>
      <c r="N35" s="109" t="e">
        <f t="shared" si="30"/>
        <v>#DIV/0!</v>
      </c>
      <c r="O35" s="109" t="e">
        <f t="shared" si="30"/>
        <v>#DIV/0!</v>
      </c>
      <c r="P35" s="109" t="e">
        <f t="shared" si="30"/>
        <v>#DIV/0!</v>
      </c>
      <c r="Q35" s="109" t="e">
        <f t="shared" si="30"/>
        <v>#DIV/0!</v>
      </c>
      <c r="R35" s="109" t="e">
        <f t="shared" si="30"/>
        <v>#DIV/0!</v>
      </c>
      <c r="S35" s="109" t="e">
        <f t="shared" si="30"/>
        <v>#DIV/0!</v>
      </c>
      <c r="T35" s="109" t="e">
        <f t="shared" si="30"/>
        <v>#DIV/0!</v>
      </c>
      <c r="U35" s="109" t="e">
        <f t="shared" si="30"/>
        <v>#DIV/0!</v>
      </c>
      <c r="V35" s="109" t="e">
        <f t="shared" si="30"/>
        <v>#DIV/0!</v>
      </c>
      <c r="W35" s="109" t="e">
        <f t="shared" si="30"/>
        <v>#DIV/0!</v>
      </c>
      <c r="X35" s="109" t="e">
        <f t="shared" si="30"/>
        <v>#DIV/0!</v>
      </c>
      <c r="Y35" s="109" t="e">
        <f t="shared" si="30"/>
        <v>#DIV/0!</v>
      </c>
      <c r="Z35" s="109" t="e">
        <f t="shared" si="30"/>
        <v>#DIV/0!</v>
      </c>
      <c r="AA35" s="109" t="e">
        <f t="shared" si="30"/>
        <v>#DIV/0!</v>
      </c>
      <c r="AB35" s="109" t="e">
        <f t="shared" si="30"/>
        <v>#DIV/0!</v>
      </c>
      <c r="AC35" s="109" t="e">
        <f t="shared" si="30"/>
        <v>#DIV/0!</v>
      </c>
      <c r="AD35" s="109" t="e">
        <f t="shared" si="30"/>
        <v>#DIV/0!</v>
      </c>
      <c r="AE35" s="109" t="e">
        <f t="shared" si="30"/>
        <v>#DIV/0!</v>
      </c>
      <c r="AF35" s="109" t="e">
        <f t="shared" si="30"/>
        <v>#DIV/0!</v>
      </c>
      <c r="AG35" s="109" t="e">
        <f t="shared" si="30"/>
        <v>#DIV/0!</v>
      </c>
      <c r="AH35" s="109" t="e">
        <f t="shared" si="30"/>
        <v>#DIV/0!</v>
      </c>
      <c r="AI35" s="109" t="e">
        <f t="shared" si="30"/>
        <v>#DIV/0!</v>
      </c>
      <c r="AJ35" s="109" t="e">
        <f t="shared" si="30"/>
        <v>#DIV/0!</v>
      </c>
      <c r="AK35" s="109" t="e">
        <f t="shared" si="30"/>
        <v>#DIV/0!</v>
      </c>
      <c r="AL35" s="109" t="e">
        <f t="shared" si="30"/>
        <v>#DIV/0!</v>
      </c>
      <c r="AM35" s="109" t="e">
        <f t="shared" si="30"/>
        <v>#DIV/0!</v>
      </c>
      <c r="AN35" s="109" t="e">
        <f t="shared" si="30"/>
        <v>#DIV/0!</v>
      </c>
      <c r="AO35" s="109" t="e">
        <f t="shared" si="30"/>
        <v>#DIV/0!</v>
      </c>
      <c r="AP35" s="109" t="e">
        <f t="shared" si="30"/>
        <v>#DIV/0!</v>
      </c>
      <c r="AQ35" s="109" t="e">
        <f t="shared" si="30"/>
        <v>#DIV/0!</v>
      </c>
      <c r="AR35" s="109" t="e">
        <f t="shared" si="30"/>
        <v>#DIV/0!</v>
      </c>
      <c r="AS35" s="109" t="e">
        <f t="shared" si="30"/>
        <v>#DIV/0!</v>
      </c>
      <c r="AT35" s="109" t="e">
        <f t="shared" si="30"/>
        <v>#DIV/0!</v>
      </c>
      <c r="AU35" s="109" t="e">
        <f t="shared" si="30"/>
        <v>#DIV/0!</v>
      </c>
      <c r="AV35" s="109" t="e">
        <f t="shared" si="30"/>
        <v>#DIV/0!</v>
      </c>
      <c r="AW35" s="109" t="e">
        <f t="shared" si="30"/>
        <v>#DIV/0!</v>
      </c>
      <c r="AX35" s="110" t="str">
        <f>IFERROR(AN35/AW35,"-")</f>
        <v>-</v>
      </c>
      <c r="AY35" s="151"/>
      <c r="AZ35" s="133" t="e">
        <f t="shared" si="2"/>
        <v>#DIV/0!</v>
      </c>
      <c r="BA35" s="134" t="e">
        <f t="shared" si="3"/>
        <v>#DIV/0!</v>
      </c>
      <c r="BB35" s="135" t="e">
        <f t="shared" si="4"/>
        <v>#DIV/0!</v>
      </c>
      <c r="BC35" s="151"/>
      <c r="BD35" s="133" t="e">
        <f t="shared" si="5"/>
        <v>#DIV/0!</v>
      </c>
      <c r="BE35" s="136" t="e">
        <f t="shared" si="6"/>
        <v>#DIV/0!</v>
      </c>
      <c r="BF35" s="136" t="e">
        <f t="shared" si="7"/>
        <v>#DIV/0!</v>
      </c>
      <c r="BG35" s="136" t="e">
        <f t="shared" si="24"/>
        <v>#DIV/0!</v>
      </c>
      <c r="BH35" s="136" t="e">
        <f t="shared" si="8"/>
        <v>#DIV/0!</v>
      </c>
      <c r="BI35" s="135" t="e">
        <f t="shared" si="25"/>
        <v>#DIV/0!</v>
      </c>
      <c r="BJ35" s="151"/>
      <c r="BK35" s="133" t="e">
        <f t="shared" si="9"/>
        <v>#DIV/0!</v>
      </c>
      <c r="BL35" s="136" t="e">
        <f t="shared" si="10"/>
        <v>#DIV/0!</v>
      </c>
      <c r="BM35" s="136" t="e">
        <f t="shared" si="11"/>
        <v>#DIV/0!</v>
      </c>
      <c r="BN35" s="135" t="e">
        <f t="shared" si="12"/>
        <v>#DIV/0!</v>
      </c>
      <c r="BO35" s="151"/>
      <c r="BP35" s="133" t="e">
        <f t="shared" si="13"/>
        <v>#DIV/0!</v>
      </c>
      <c r="BQ35" s="136">
        <v>0</v>
      </c>
      <c r="BR35" s="136" t="e">
        <f t="shared" si="26"/>
        <v>#DIV/0!</v>
      </c>
      <c r="BS35" s="136" t="e">
        <f t="shared" si="27"/>
        <v>#DIV/0!</v>
      </c>
      <c r="BT35" s="135" t="e">
        <f t="shared" si="14"/>
        <v>#DIV/0!</v>
      </c>
      <c r="BU35" s="151"/>
      <c r="BV35" s="137" t="e">
        <f t="shared" si="15"/>
        <v>#DIV/0!</v>
      </c>
      <c r="BW35" s="138" t="e">
        <f t="shared" si="16"/>
        <v>#DIV/0!</v>
      </c>
      <c r="BX35" s="138" t="e">
        <f t="shared" si="17"/>
        <v>#DIV/0!</v>
      </c>
      <c r="BY35" s="138" t="e">
        <f t="shared" si="18"/>
        <v>#DIV/0!</v>
      </c>
      <c r="BZ35" s="138" t="e">
        <f t="shared" si="28"/>
        <v>#DIV/0!</v>
      </c>
      <c r="CA35" s="139" t="e">
        <f t="shared" si="29"/>
        <v>#DIV/0!</v>
      </c>
      <c r="CB35" s="151"/>
      <c r="CC35" s="137" t="str">
        <f t="shared" si="19"/>
        <v>-</v>
      </c>
      <c r="CD35" s="138" t="str">
        <f t="shared" si="20"/>
        <v>-</v>
      </c>
      <c r="CE35" s="138" t="str">
        <f t="shared" si="21"/>
        <v>-</v>
      </c>
      <c r="CF35" s="138" t="str">
        <f t="shared" si="22"/>
        <v>-</v>
      </c>
      <c r="CG35" s="139" t="str">
        <f t="shared" si="23"/>
        <v>-</v>
      </c>
      <c r="CH35" s="151"/>
    </row>
    <row r="36" spans="1:86" s="115" customFormat="1" ht="13.15" customHeight="1" thickBot="1" x14ac:dyDescent="0.25">
      <c r="A36" s="235" t="s">
        <v>69</v>
      </c>
      <c r="B36" s="236"/>
      <c r="C36" s="111">
        <f t="shared" ref="C36:AW36" si="31">SUM(C4:C34)</f>
        <v>0</v>
      </c>
      <c r="D36" s="111">
        <f t="shared" si="31"/>
        <v>0</v>
      </c>
      <c r="E36" s="111">
        <f t="shared" si="31"/>
        <v>0</v>
      </c>
      <c r="F36" s="111">
        <f t="shared" si="31"/>
        <v>0</v>
      </c>
      <c r="G36" s="111">
        <f t="shared" si="31"/>
        <v>0</v>
      </c>
      <c r="H36" s="111">
        <f t="shared" si="31"/>
        <v>0</v>
      </c>
      <c r="I36" s="111">
        <f t="shared" si="31"/>
        <v>0</v>
      </c>
      <c r="J36" s="111">
        <f t="shared" si="31"/>
        <v>0</v>
      </c>
      <c r="K36" s="111">
        <f t="shared" si="31"/>
        <v>0</v>
      </c>
      <c r="L36" s="111">
        <f t="shared" si="31"/>
        <v>0</v>
      </c>
      <c r="M36" s="111">
        <f t="shared" si="31"/>
        <v>0</v>
      </c>
      <c r="N36" s="111">
        <f t="shared" si="31"/>
        <v>0</v>
      </c>
      <c r="O36" s="111">
        <f t="shared" si="31"/>
        <v>0</v>
      </c>
      <c r="P36" s="111">
        <f t="shared" si="31"/>
        <v>0</v>
      </c>
      <c r="Q36" s="111">
        <f t="shared" si="31"/>
        <v>0</v>
      </c>
      <c r="R36" s="111">
        <f t="shared" si="31"/>
        <v>0</v>
      </c>
      <c r="S36" s="111">
        <f t="shared" si="31"/>
        <v>0</v>
      </c>
      <c r="T36" s="111">
        <f t="shared" si="31"/>
        <v>0</v>
      </c>
      <c r="U36" s="111">
        <f t="shared" si="31"/>
        <v>0</v>
      </c>
      <c r="V36" s="111">
        <f t="shared" si="31"/>
        <v>0</v>
      </c>
      <c r="W36" s="111">
        <f t="shared" si="31"/>
        <v>0</v>
      </c>
      <c r="X36" s="111">
        <f t="shared" si="31"/>
        <v>0</v>
      </c>
      <c r="Y36" s="111">
        <f t="shared" si="31"/>
        <v>0</v>
      </c>
      <c r="Z36" s="111">
        <f t="shared" si="31"/>
        <v>0</v>
      </c>
      <c r="AA36" s="111">
        <f t="shared" si="31"/>
        <v>0</v>
      </c>
      <c r="AB36" s="111">
        <f t="shared" si="31"/>
        <v>0</v>
      </c>
      <c r="AC36" s="111">
        <f t="shared" si="31"/>
        <v>0</v>
      </c>
      <c r="AD36" s="111">
        <f t="shared" si="31"/>
        <v>0</v>
      </c>
      <c r="AE36" s="111">
        <f t="shared" si="31"/>
        <v>0</v>
      </c>
      <c r="AF36" s="111">
        <f t="shared" si="31"/>
        <v>0</v>
      </c>
      <c r="AG36" s="111">
        <f t="shared" si="31"/>
        <v>0</v>
      </c>
      <c r="AH36" s="111">
        <f t="shared" si="31"/>
        <v>0</v>
      </c>
      <c r="AI36" s="111">
        <f t="shared" si="31"/>
        <v>0</v>
      </c>
      <c r="AJ36" s="111">
        <f t="shared" si="31"/>
        <v>0</v>
      </c>
      <c r="AK36" s="111">
        <f t="shared" si="31"/>
        <v>0</v>
      </c>
      <c r="AL36" s="111">
        <f t="shared" si="31"/>
        <v>0</v>
      </c>
      <c r="AM36" s="111">
        <f t="shared" si="31"/>
        <v>0</v>
      </c>
      <c r="AN36" s="111">
        <f t="shared" si="31"/>
        <v>0</v>
      </c>
      <c r="AO36" s="111">
        <f t="shared" si="31"/>
        <v>0</v>
      </c>
      <c r="AP36" s="111">
        <f t="shared" si="31"/>
        <v>0</v>
      </c>
      <c r="AQ36" s="111">
        <f t="shared" si="31"/>
        <v>0</v>
      </c>
      <c r="AR36" s="111">
        <f t="shared" si="31"/>
        <v>0</v>
      </c>
      <c r="AS36" s="111">
        <f t="shared" si="31"/>
        <v>0</v>
      </c>
      <c r="AT36" s="111">
        <f t="shared" si="31"/>
        <v>0</v>
      </c>
      <c r="AU36" s="111">
        <f t="shared" si="31"/>
        <v>0</v>
      </c>
      <c r="AV36" s="111">
        <f t="shared" si="31"/>
        <v>0</v>
      </c>
      <c r="AW36" s="111">
        <f t="shared" si="31"/>
        <v>0</v>
      </c>
      <c r="AX36" s="112" t="str">
        <f>IFERROR(AN36/AW36,"-")</f>
        <v>-</v>
      </c>
      <c r="AY36" s="156"/>
      <c r="AZ36" s="141" t="str">
        <f t="shared" si="2"/>
        <v/>
      </c>
      <c r="BA36" s="142" t="str">
        <f t="shared" si="3"/>
        <v/>
      </c>
      <c r="BB36" s="143" t="str">
        <f t="shared" si="4"/>
        <v/>
      </c>
      <c r="BC36" s="156"/>
      <c r="BD36" s="141" t="str">
        <f t="shared" si="5"/>
        <v/>
      </c>
      <c r="BE36" s="144" t="str">
        <f t="shared" si="6"/>
        <v/>
      </c>
      <c r="BF36" s="144" t="str">
        <f t="shared" si="7"/>
        <v/>
      </c>
      <c r="BG36" s="144" t="str">
        <f t="shared" si="24"/>
        <v/>
      </c>
      <c r="BH36" s="144" t="str">
        <f t="shared" si="8"/>
        <v/>
      </c>
      <c r="BI36" s="143" t="str">
        <f t="shared" si="25"/>
        <v/>
      </c>
      <c r="BJ36" s="156"/>
      <c r="BK36" s="141" t="str">
        <f t="shared" si="9"/>
        <v/>
      </c>
      <c r="BL36" s="144" t="str">
        <f t="shared" si="10"/>
        <v/>
      </c>
      <c r="BM36" s="144" t="str">
        <f t="shared" si="11"/>
        <v/>
      </c>
      <c r="BN36" s="143" t="str">
        <f t="shared" si="12"/>
        <v/>
      </c>
      <c r="BO36" s="156"/>
      <c r="BP36" s="141" t="str">
        <f t="shared" si="13"/>
        <v/>
      </c>
      <c r="BQ36" s="144">
        <v>0</v>
      </c>
      <c r="BR36" s="144" t="str">
        <f t="shared" si="26"/>
        <v/>
      </c>
      <c r="BS36" s="144" t="str">
        <f t="shared" si="27"/>
        <v/>
      </c>
      <c r="BT36" s="143" t="str">
        <f t="shared" si="14"/>
        <v/>
      </c>
      <c r="BU36" s="156"/>
      <c r="BV36" s="145" t="str">
        <f t="shared" si="15"/>
        <v/>
      </c>
      <c r="BW36" s="146" t="str">
        <f t="shared" si="16"/>
        <v/>
      </c>
      <c r="BX36" s="146" t="str">
        <f t="shared" si="17"/>
        <v/>
      </c>
      <c r="BY36" s="146" t="str">
        <f t="shared" si="18"/>
        <v/>
      </c>
      <c r="BZ36" s="146" t="str">
        <f t="shared" si="28"/>
        <v/>
      </c>
      <c r="CA36" s="147" t="str">
        <f t="shared" si="29"/>
        <v/>
      </c>
      <c r="CB36" s="156"/>
      <c r="CC36" s="145" t="str">
        <f t="shared" si="19"/>
        <v>-</v>
      </c>
      <c r="CD36" s="146" t="str">
        <f t="shared" si="20"/>
        <v>-</v>
      </c>
      <c r="CE36" s="146" t="str">
        <f t="shared" si="21"/>
        <v>-</v>
      </c>
      <c r="CF36" s="146" t="str">
        <f t="shared" si="22"/>
        <v>-</v>
      </c>
      <c r="CG36" s="147" t="str">
        <f t="shared" si="23"/>
        <v>-</v>
      </c>
      <c r="CH36" s="156"/>
    </row>
    <row r="37" spans="1:86" x14ac:dyDescent="0.2"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</sheetData>
  <mergeCells count="88">
    <mergeCell ref="AZ1:BB1"/>
    <mergeCell ref="BD1:BI1"/>
    <mergeCell ref="BK1:BN1"/>
    <mergeCell ref="BP1:BT1"/>
    <mergeCell ref="CC1:CG1"/>
    <mergeCell ref="BV1:CA1"/>
    <mergeCell ref="CG2:CG3"/>
    <mergeCell ref="A35:B35"/>
    <mergeCell ref="A36:B36"/>
    <mergeCell ref="CA2:CA3"/>
    <mergeCell ref="CC2:CC3"/>
    <mergeCell ref="CD2:CD3"/>
    <mergeCell ref="CE2:CE3"/>
    <mergeCell ref="CF2:CF3"/>
    <mergeCell ref="BT2:BT3"/>
    <mergeCell ref="BV2:BV3"/>
    <mergeCell ref="BW2:BW3"/>
    <mergeCell ref="BX2:BX3"/>
    <mergeCell ref="BY2:BY3"/>
    <mergeCell ref="BZ2:BZ3"/>
    <mergeCell ref="BM2:BM3"/>
    <mergeCell ref="BN2:BN3"/>
    <mergeCell ref="BP2:BP3"/>
    <mergeCell ref="BR2:BR3"/>
    <mergeCell ref="BS2:BS3"/>
    <mergeCell ref="BG2:BG3"/>
    <mergeCell ref="BH2:BH3"/>
    <mergeCell ref="BI2:BI3"/>
    <mergeCell ref="BK2:BK3"/>
    <mergeCell ref="BL2:BL3"/>
    <mergeCell ref="BQ2:BQ3"/>
    <mergeCell ref="BA2:BA3"/>
    <mergeCell ref="BB2:BB3"/>
    <mergeCell ref="BD2:BD3"/>
    <mergeCell ref="BE2:BE3"/>
    <mergeCell ref="BF2:BF3"/>
    <mergeCell ref="AU2:AU3"/>
    <mergeCell ref="AV2:AV3"/>
    <mergeCell ref="AW2:AW3"/>
    <mergeCell ref="AX2:AX3"/>
    <mergeCell ref="AZ2:AZ3"/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H2:AH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E2:E3"/>
    <mergeCell ref="V2:V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B1"/>
    <mergeCell ref="A2:A3"/>
    <mergeCell ref="B2:B3"/>
    <mergeCell ref="C2:C3"/>
    <mergeCell ref="D2:D3"/>
    <mergeCell ref="W2:W3"/>
    <mergeCell ref="X2:X3"/>
    <mergeCell ref="F2:F3"/>
    <mergeCell ref="G2:G3"/>
    <mergeCell ref="H2:H3"/>
    <mergeCell ref="I2:I3"/>
    <mergeCell ref="U2:U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CY37"/>
  <sheetViews>
    <sheetView showGridLines="0" zoomScaleNormal="100" workbookViewId="0">
      <selection sqref="A1:B1"/>
    </sheetView>
  </sheetViews>
  <sheetFormatPr defaultColWidth="0" defaultRowHeight="11.25" x14ac:dyDescent="0.2"/>
  <cols>
    <col min="1" max="1" width="7.7109375" style="154" bestFit="1" customWidth="1"/>
    <col min="2" max="2" width="4.140625" style="154" customWidth="1"/>
    <col min="3" max="3" width="11" style="154" customWidth="1"/>
    <col min="4" max="4" width="13.5703125" style="154" customWidth="1"/>
    <col min="5" max="5" width="14.5703125" style="154" customWidth="1"/>
    <col min="6" max="6" width="11.5703125" style="154" customWidth="1"/>
    <col min="7" max="7" width="6.28515625" style="154" bestFit="1" customWidth="1"/>
    <col min="8" max="8" width="13.140625" style="154" customWidth="1"/>
    <col min="9" max="9" width="6.5703125" style="154" customWidth="1"/>
    <col min="10" max="10" width="7.140625" style="154" customWidth="1"/>
    <col min="11" max="11" width="8" style="154" customWidth="1"/>
    <col min="12" max="34" width="6.28515625" style="154" bestFit="1" customWidth="1"/>
    <col min="35" max="35" width="9.42578125" style="154" customWidth="1"/>
    <col min="36" max="36" width="11.140625" style="154" customWidth="1"/>
    <col min="37" max="37" width="11.42578125" style="154" customWidth="1"/>
    <col min="38" max="38" width="10.85546875" style="154" customWidth="1"/>
    <col min="39" max="39" width="11.28515625" style="154" customWidth="1"/>
    <col min="40" max="40" width="11.42578125" style="154" customWidth="1"/>
    <col min="41" max="41" width="7.140625" style="154" customWidth="1"/>
    <col min="42" max="42" width="10" style="154" customWidth="1"/>
    <col min="43" max="43" width="8.140625" style="154" customWidth="1"/>
    <col min="44" max="44" width="7.140625" style="154" customWidth="1"/>
    <col min="45" max="45" width="9.140625" style="158" customWidth="1"/>
    <col min="46" max="46" width="6.28515625" style="154" bestFit="1" customWidth="1"/>
    <col min="47" max="47" width="7.85546875" style="154" bestFit="1" customWidth="1"/>
    <col min="48" max="48" width="11.42578125" style="154" customWidth="1"/>
    <col min="49" max="50" width="11.5703125" style="154" customWidth="1"/>
    <col min="51" max="51" width="1.85546875" style="154" customWidth="1"/>
    <col min="52" max="52" width="12.140625" style="154" bestFit="1" customWidth="1"/>
    <col min="53" max="53" width="9" style="154" bestFit="1" customWidth="1"/>
    <col min="54" max="54" width="9.42578125" style="154" bestFit="1" customWidth="1"/>
    <col min="55" max="55" width="1.28515625" style="154" customWidth="1"/>
    <col min="56" max="56" width="9.28515625" style="154" bestFit="1" customWidth="1"/>
    <col min="57" max="57" width="9.85546875" style="154" bestFit="1" customWidth="1"/>
    <col min="58" max="58" width="14.5703125" style="154" bestFit="1" customWidth="1"/>
    <col min="59" max="59" width="6.85546875" style="154" bestFit="1" customWidth="1"/>
    <col min="60" max="60" width="10.7109375" style="154" bestFit="1" customWidth="1"/>
    <col min="61" max="61" width="7.85546875" style="154" bestFit="1" customWidth="1"/>
    <col min="62" max="62" width="1.42578125" style="154" customWidth="1"/>
    <col min="63" max="63" width="14.5703125" style="154" bestFit="1" customWidth="1"/>
    <col min="64" max="64" width="18.140625" style="154" bestFit="1" customWidth="1"/>
    <col min="65" max="65" width="10" style="154" bestFit="1" customWidth="1"/>
    <col min="66" max="66" width="13.140625" style="154" bestFit="1" customWidth="1"/>
    <col min="67" max="67" width="1.7109375" style="154" customWidth="1"/>
    <col min="68" max="68" width="6.7109375" style="154" bestFit="1" customWidth="1"/>
    <col min="69" max="69" width="9.28515625" style="154" bestFit="1" customWidth="1"/>
    <col min="70" max="70" width="10" style="154" bestFit="1" customWidth="1"/>
    <col min="71" max="71" width="9.7109375" style="154" bestFit="1" customWidth="1"/>
    <col min="72" max="72" width="6" style="154" bestFit="1" customWidth="1"/>
    <col min="73" max="73" width="1.7109375" style="154" customWidth="1"/>
    <col min="74" max="74" width="13.42578125" style="154" bestFit="1" customWidth="1"/>
    <col min="75" max="75" width="10.28515625" style="154" bestFit="1" customWidth="1"/>
    <col min="76" max="76" width="13.42578125" style="154" bestFit="1" customWidth="1"/>
    <col min="77" max="77" width="13.7109375" style="154" bestFit="1" customWidth="1"/>
    <col min="78" max="78" width="12.85546875" style="154" bestFit="1" customWidth="1"/>
    <col min="79" max="79" width="13.28515625" style="154" bestFit="1" customWidth="1"/>
    <col min="80" max="80" width="1.7109375" style="154" customWidth="1"/>
    <col min="81" max="81" width="3.7109375" style="154" bestFit="1" customWidth="1"/>
    <col min="82" max="82" width="3.5703125" style="154" bestFit="1" customWidth="1"/>
    <col min="83" max="83" width="4.5703125" style="154" bestFit="1" customWidth="1"/>
    <col min="84" max="84" width="3.5703125" style="154" bestFit="1" customWidth="1"/>
    <col min="85" max="85" width="6.42578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>+TEXT(A4,"DDD")</f>
        <v>Thu</v>
      </c>
      <c r="C4" s="98"/>
      <c r="D4" s="98"/>
      <c r="E4" s="103"/>
      <c r="F4" s="98"/>
      <c r="G4" s="98"/>
      <c r="H4" s="104"/>
      <c r="I4" s="104"/>
      <c r="J4" s="105"/>
      <c r="K4" s="106"/>
      <c r="L4" s="98"/>
      <c r="M4" s="98"/>
      <c r="N4" s="98"/>
      <c r="O4" s="98"/>
      <c r="P4" s="103"/>
      <c r="Q4" s="98"/>
      <c r="R4" s="98"/>
      <c r="S4" s="98"/>
      <c r="T4" s="98"/>
      <c r="U4" s="98"/>
      <c r="V4" s="103"/>
      <c r="W4" s="103"/>
      <c r="X4" s="98"/>
      <c r="Y4" s="98"/>
      <c r="Z4" s="98"/>
      <c r="AA4" s="98"/>
      <c r="AB4" s="98"/>
      <c r="AC4" s="98"/>
      <c r="AD4" s="98"/>
      <c r="AE4" s="98"/>
      <c r="AF4" s="103"/>
      <c r="AG4" s="103"/>
      <c r="AH4" s="98"/>
      <c r="AI4" s="107"/>
      <c r="AJ4" s="108"/>
      <c r="AK4" s="107"/>
      <c r="AL4" s="99"/>
      <c r="AM4" s="99"/>
      <c r="AN4" s="99"/>
      <c r="AO4" s="99"/>
      <c r="AP4" s="99"/>
      <c r="AQ4" s="99"/>
      <c r="AR4" s="99"/>
      <c r="AS4" s="99"/>
      <c r="AT4" s="100"/>
      <c r="AU4" s="100"/>
      <c r="AV4" s="101"/>
      <c r="AW4" s="100"/>
      <c r="AX4" s="182" t="str">
        <f t="shared" ref="AX4:AX36" si="0">IFERROR(AN4/AW4,"-")</f>
        <v>-</v>
      </c>
      <c r="AY4" s="151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51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51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51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51"/>
      <c r="BV4" s="127" t="str">
        <f t="shared" ref="BV4:BV36" si="14">IF(AN4&gt;0,(E4/AN4),"")</f>
        <v/>
      </c>
      <c r="BW4" s="127" t="str">
        <f t="shared" ref="BW4:BW36" si="15">IF(AN4&gt;0,(G4/AN4),"")</f>
        <v/>
      </c>
      <c r="BX4" s="127" t="str">
        <f t="shared" ref="BX4:BX36" si="16">IF(AN4&gt;0,(J4/AN4),"")</f>
        <v/>
      </c>
      <c r="BY4" s="127" t="str">
        <f t="shared" ref="BY4:BY36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51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51"/>
    </row>
    <row r="5" spans="1:86" s="115" customFormat="1" ht="12.4" customHeight="1" thickBot="1" x14ac:dyDescent="0.25">
      <c r="A5" s="96">
        <f>EL_DEL_CD2_JO_!A5</f>
        <v>46297</v>
      </c>
      <c r="B5" s="97" t="str">
        <f t="shared" ref="B5:B34" si="23">+TEXT(A5,"DDD")</f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99"/>
      <c r="AM5" s="99"/>
      <c r="AN5" s="99"/>
      <c r="AO5" s="99"/>
      <c r="AP5" s="99"/>
      <c r="AQ5" s="99"/>
      <c r="AR5" s="99"/>
      <c r="AS5" s="99"/>
      <c r="AT5" s="100"/>
      <c r="AU5" s="100"/>
      <c r="AV5" s="101"/>
      <c r="AW5" s="100"/>
      <c r="AX5" s="182" t="str">
        <f t="shared" si="0"/>
        <v>-</v>
      </c>
      <c r="AY5" s="151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51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ref="BG5:BG36" si="24">+IF(SUM(AO5:AR5)&gt;0,AO5/AN5,"")</f>
        <v/>
      </c>
      <c r="BH5" s="119" t="str">
        <f t="shared" si="7"/>
        <v/>
      </c>
      <c r="BI5" s="120" t="str">
        <f t="shared" ref="BI5:BI36" si="25">+IF(SUM(AO5:AR5)&gt;0,AQ5/AN5,"")</f>
        <v/>
      </c>
      <c r="BJ5" s="151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51"/>
      <c r="BP5" s="124" t="str">
        <f t="shared" si="12"/>
        <v/>
      </c>
      <c r="BQ5" s="125">
        <v>0</v>
      </c>
      <c r="BR5" s="125" t="str">
        <f t="shared" ref="BR5:BR36" si="26">IF(AJ5&gt;0,(AK5/AJ5),"")</f>
        <v/>
      </c>
      <c r="BS5" s="125" t="str">
        <f t="shared" ref="BS5:BS36" si="27">IF(AJ5&gt;0,(AK5/AJ5),"")</f>
        <v/>
      </c>
      <c r="BT5" s="126" t="str">
        <f t="shared" si="13"/>
        <v/>
      </c>
      <c r="BU5" s="151"/>
      <c r="BV5" s="132" t="str">
        <f t="shared" si="14"/>
        <v/>
      </c>
      <c r="BW5" s="127" t="str">
        <f t="shared" si="15"/>
        <v/>
      </c>
      <c r="BX5" s="127" t="str">
        <f t="shared" si="16"/>
        <v/>
      </c>
      <c r="BY5" s="127" t="str">
        <f t="shared" si="17"/>
        <v/>
      </c>
      <c r="BZ5" s="127" t="str">
        <f t="shared" ref="BZ5:BZ36" si="28">IF(AN5&gt;0,(AJ5/AN5),"")</f>
        <v/>
      </c>
      <c r="CA5" s="128" t="str">
        <f t="shared" ref="CA5:CA36" si="29">IF(AN5&gt;0,(AK5/AN5),"")</f>
        <v/>
      </c>
      <c r="CB5" s="151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51"/>
    </row>
    <row r="6" spans="1:86" s="115" customFormat="1" ht="12.4" customHeight="1" thickBot="1" x14ac:dyDescent="0.25">
      <c r="A6" s="96">
        <f>EL_DEL_CD2_JO_!A6</f>
        <v>46298</v>
      </c>
      <c r="B6" s="97" t="str">
        <f t="shared" si="23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99"/>
      <c r="AM6" s="99"/>
      <c r="AN6" s="99"/>
      <c r="AO6" s="99"/>
      <c r="AP6" s="99"/>
      <c r="AQ6" s="99"/>
      <c r="AR6" s="99"/>
      <c r="AS6" s="99"/>
      <c r="AT6" s="100"/>
      <c r="AU6" s="100"/>
      <c r="AV6" s="101"/>
      <c r="AW6" s="100"/>
      <c r="AX6" s="182" t="str">
        <f t="shared" si="0"/>
        <v>-</v>
      </c>
      <c r="AY6" s="151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51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24"/>
        <v/>
      </c>
      <c r="BH6" s="119" t="str">
        <f t="shared" si="7"/>
        <v/>
      </c>
      <c r="BI6" s="120" t="str">
        <f t="shared" si="25"/>
        <v/>
      </c>
      <c r="BJ6" s="151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51"/>
      <c r="BP6" s="124" t="str">
        <f t="shared" si="12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3"/>
        <v/>
      </c>
      <c r="BU6" s="151"/>
      <c r="BV6" s="132" t="str">
        <f t="shared" si="14"/>
        <v/>
      </c>
      <c r="BW6" s="127" t="str">
        <f t="shared" si="15"/>
        <v/>
      </c>
      <c r="BX6" s="127" t="str">
        <f t="shared" si="16"/>
        <v/>
      </c>
      <c r="BY6" s="127" t="str">
        <f t="shared" si="17"/>
        <v/>
      </c>
      <c r="BZ6" s="127" t="str">
        <f t="shared" si="28"/>
        <v/>
      </c>
      <c r="CA6" s="128" t="str">
        <f t="shared" si="29"/>
        <v/>
      </c>
      <c r="CB6" s="151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51"/>
    </row>
    <row r="7" spans="1:86" s="115" customFormat="1" ht="12.4" customHeight="1" thickBot="1" x14ac:dyDescent="0.25">
      <c r="A7" s="96">
        <f>EL_DEL_CD2_JO_!A7</f>
        <v>46299</v>
      </c>
      <c r="B7" s="97" t="str">
        <f t="shared" si="23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99"/>
      <c r="AM7" s="99"/>
      <c r="AN7" s="99"/>
      <c r="AO7" s="99"/>
      <c r="AP7" s="99"/>
      <c r="AQ7" s="99"/>
      <c r="AR7" s="99"/>
      <c r="AS7" s="99"/>
      <c r="AT7" s="100"/>
      <c r="AU7" s="100"/>
      <c r="AV7" s="101"/>
      <c r="AW7" s="100"/>
      <c r="AX7" s="182" t="str">
        <f t="shared" si="0"/>
        <v>-</v>
      </c>
      <c r="AY7" s="151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51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24"/>
        <v/>
      </c>
      <c r="BH7" s="119" t="str">
        <f t="shared" si="7"/>
        <v/>
      </c>
      <c r="BI7" s="120" t="str">
        <f t="shared" si="25"/>
        <v/>
      </c>
      <c r="BJ7" s="151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51"/>
      <c r="BP7" s="124" t="str">
        <f t="shared" si="12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3"/>
        <v/>
      </c>
      <c r="BU7" s="151"/>
      <c r="BV7" s="132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si="28"/>
        <v/>
      </c>
      <c r="CA7" s="128" t="str">
        <f t="shared" si="29"/>
        <v/>
      </c>
      <c r="CB7" s="151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51"/>
    </row>
    <row r="8" spans="1:86" s="115" customFormat="1" ht="12.4" customHeight="1" thickBot="1" x14ac:dyDescent="0.25">
      <c r="A8" s="96">
        <f>EL_DEL_CD2_JO_!A8</f>
        <v>46300</v>
      </c>
      <c r="B8" s="97" t="str">
        <f t="shared" si="23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99"/>
      <c r="AM8" s="99"/>
      <c r="AN8" s="99"/>
      <c r="AO8" s="99"/>
      <c r="AP8" s="99"/>
      <c r="AQ8" s="99"/>
      <c r="AR8" s="99"/>
      <c r="AS8" s="99"/>
      <c r="AT8" s="100"/>
      <c r="AU8" s="100"/>
      <c r="AV8" s="101"/>
      <c r="AW8" s="100"/>
      <c r="AX8" s="182" t="str">
        <f t="shared" si="0"/>
        <v>-</v>
      </c>
      <c r="AY8" s="151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51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24"/>
        <v/>
      </c>
      <c r="BH8" s="119" t="str">
        <f t="shared" si="7"/>
        <v/>
      </c>
      <c r="BI8" s="120" t="str">
        <f t="shared" si="25"/>
        <v/>
      </c>
      <c r="BJ8" s="151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51"/>
      <c r="BP8" s="124" t="str">
        <f t="shared" si="12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3"/>
        <v/>
      </c>
      <c r="BU8" s="151"/>
      <c r="BV8" s="132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 t="shared" si="28"/>
        <v/>
      </c>
      <c r="CA8" s="128" t="str">
        <f t="shared" si="29"/>
        <v/>
      </c>
      <c r="CB8" s="151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51"/>
    </row>
    <row r="9" spans="1:86" s="115" customFormat="1" ht="12.4" customHeight="1" thickBot="1" x14ac:dyDescent="0.25">
      <c r="A9" s="96">
        <f>EL_DEL_CD2_JO_!A9</f>
        <v>46301</v>
      </c>
      <c r="B9" s="97" t="str">
        <f t="shared" si="23"/>
        <v>Tue</v>
      </c>
      <c r="C9" s="98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99"/>
      <c r="AM9" s="99"/>
      <c r="AN9" s="99"/>
      <c r="AO9" s="99"/>
      <c r="AP9" s="99"/>
      <c r="AQ9" s="99"/>
      <c r="AR9" s="99"/>
      <c r="AS9" s="99"/>
      <c r="AT9" s="100"/>
      <c r="AU9" s="100"/>
      <c r="AV9" s="101"/>
      <c r="AW9" s="100"/>
      <c r="AX9" s="182" t="str">
        <f t="shared" si="0"/>
        <v>-</v>
      </c>
      <c r="AY9" s="151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51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24"/>
        <v/>
      </c>
      <c r="BH9" s="119" t="str">
        <f t="shared" si="7"/>
        <v/>
      </c>
      <c r="BI9" s="120" t="str">
        <f t="shared" si="25"/>
        <v/>
      </c>
      <c r="BJ9" s="151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51"/>
      <c r="BP9" s="124" t="str">
        <f t="shared" si="12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3"/>
        <v/>
      </c>
      <c r="BU9" s="151"/>
      <c r="BV9" s="132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 t="shared" si="28"/>
        <v/>
      </c>
      <c r="CA9" s="128" t="str">
        <f t="shared" si="29"/>
        <v/>
      </c>
      <c r="CB9" s="151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51"/>
    </row>
    <row r="10" spans="1:86" s="115" customFormat="1" ht="12.4" customHeight="1" thickBot="1" x14ac:dyDescent="0.25">
      <c r="A10" s="96">
        <f>EL_DEL_CD2_JO_!A10</f>
        <v>46302</v>
      </c>
      <c r="B10" s="97" t="str">
        <f t="shared" si="23"/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99"/>
      <c r="AM10" s="99"/>
      <c r="AN10" s="99"/>
      <c r="AO10" s="99"/>
      <c r="AP10" s="99"/>
      <c r="AQ10" s="99"/>
      <c r="AR10" s="99"/>
      <c r="AS10" s="99"/>
      <c r="AT10" s="100"/>
      <c r="AU10" s="100"/>
      <c r="AV10" s="101"/>
      <c r="AW10" s="100"/>
      <c r="AX10" s="182" t="str">
        <f t="shared" si="0"/>
        <v>-</v>
      </c>
      <c r="AY10" s="151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51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4"/>
        <v/>
      </c>
      <c r="BH10" s="119" t="str">
        <f t="shared" si="7"/>
        <v/>
      </c>
      <c r="BI10" s="120" t="str">
        <f t="shared" si="25"/>
        <v/>
      </c>
      <c r="BJ10" s="151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51"/>
      <c r="BP10" s="124" t="str">
        <f t="shared" si="12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3"/>
        <v/>
      </c>
      <c r="BU10" s="151"/>
      <c r="BV10" s="132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8"/>
        <v/>
      </c>
      <c r="CA10" s="128" t="str">
        <f t="shared" si="29"/>
        <v/>
      </c>
      <c r="CB10" s="151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51"/>
    </row>
    <row r="11" spans="1:86" s="115" customFormat="1" ht="12.4" customHeight="1" thickBot="1" x14ac:dyDescent="0.25">
      <c r="A11" s="96">
        <f>EL_DEL_CD2_JO_!A11</f>
        <v>46303</v>
      </c>
      <c r="B11" s="97" t="str">
        <f t="shared" si="23"/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99"/>
      <c r="AM11" s="99"/>
      <c r="AN11" s="99"/>
      <c r="AO11" s="99"/>
      <c r="AP11" s="99"/>
      <c r="AQ11" s="99"/>
      <c r="AR11" s="99"/>
      <c r="AS11" s="99"/>
      <c r="AT11" s="100"/>
      <c r="AU11" s="100"/>
      <c r="AV11" s="101"/>
      <c r="AW11" s="100"/>
      <c r="AX11" s="182" t="str">
        <f t="shared" si="0"/>
        <v>-</v>
      </c>
      <c r="AY11" s="151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51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4"/>
        <v/>
      </c>
      <c r="BH11" s="119" t="str">
        <f t="shared" si="7"/>
        <v/>
      </c>
      <c r="BI11" s="120" t="str">
        <f t="shared" si="25"/>
        <v/>
      </c>
      <c r="BJ11" s="151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51"/>
      <c r="BP11" s="124" t="str">
        <f t="shared" si="12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3"/>
        <v/>
      </c>
      <c r="BU11" s="151"/>
      <c r="BV11" s="132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8"/>
        <v/>
      </c>
      <c r="CA11" s="128" t="str">
        <f t="shared" si="29"/>
        <v/>
      </c>
      <c r="CB11" s="151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51"/>
    </row>
    <row r="12" spans="1:86" s="115" customFormat="1" ht="12.4" customHeight="1" thickBot="1" x14ac:dyDescent="0.25">
      <c r="A12" s="96">
        <f>EL_DEL_CD2_JO_!A12</f>
        <v>46304</v>
      </c>
      <c r="B12" s="97" t="str">
        <f t="shared" si="23"/>
        <v>Fri</v>
      </c>
      <c r="C12" s="98"/>
      <c r="D12" s="98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99"/>
      <c r="AM12" s="99"/>
      <c r="AN12" s="99"/>
      <c r="AO12" s="99"/>
      <c r="AP12" s="99"/>
      <c r="AQ12" s="99"/>
      <c r="AR12" s="99"/>
      <c r="AS12" s="99"/>
      <c r="AT12" s="100"/>
      <c r="AU12" s="100"/>
      <c r="AV12" s="101"/>
      <c r="AW12" s="100"/>
      <c r="AX12" s="182" t="str">
        <f t="shared" si="0"/>
        <v>-</v>
      </c>
      <c r="AY12" s="151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51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4"/>
        <v/>
      </c>
      <c r="BH12" s="119" t="str">
        <f t="shared" si="7"/>
        <v/>
      </c>
      <c r="BI12" s="120" t="str">
        <f t="shared" si="25"/>
        <v/>
      </c>
      <c r="BJ12" s="151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51"/>
      <c r="BP12" s="124" t="str">
        <f t="shared" si="12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3"/>
        <v/>
      </c>
      <c r="BU12" s="151"/>
      <c r="BV12" s="132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8"/>
        <v/>
      </c>
      <c r="CA12" s="128" t="str">
        <f t="shared" si="29"/>
        <v/>
      </c>
      <c r="CB12" s="151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51"/>
    </row>
    <row r="13" spans="1:86" s="115" customFormat="1" ht="12.4" customHeight="1" thickBot="1" x14ac:dyDescent="0.25">
      <c r="A13" s="96">
        <f>EL_DEL_CD2_JO_!A13</f>
        <v>46305</v>
      </c>
      <c r="B13" s="97" t="str">
        <f t="shared" si="23"/>
        <v>Sat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1"/>
      <c r="AM13" s="61"/>
      <c r="AN13" s="61"/>
      <c r="AO13" s="61"/>
      <c r="AP13" s="61"/>
      <c r="AQ13" s="61"/>
      <c r="AR13" s="61"/>
      <c r="AS13" s="61"/>
      <c r="AT13" s="60"/>
      <c r="AU13" s="60"/>
      <c r="AV13" s="60"/>
      <c r="AW13" s="60"/>
      <c r="AX13" s="182" t="str">
        <f t="shared" si="0"/>
        <v>-</v>
      </c>
      <c r="AY13" s="151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51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4"/>
        <v/>
      </c>
      <c r="BH13" s="119" t="str">
        <f t="shared" si="7"/>
        <v/>
      </c>
      <c r="BI13" s="120" t="str">
        <f t="shared" si="25"/>
        <v/>
      </c>
      <c r="BJ13" s="151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51"/>
      <c r="BP13" s="124" t="str">
        <f t="shared" si="12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3"/>
        <v/>
      </c>
      <c r="BU13" s="151"/>
      <c r="BV13" s="132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8"/>
        <v/>
      </c>
      <c r="CA13" s="128" t="str">
        <f t="shared" si="29"/>
        <v/>
      </c>
      <c r="CB13" s="151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51"/>
    </row>
    <row r="14" spans="1:86" s="115" customFormat="1" ht="12.4" customHeight="1" thickBot="1" x14ac:dyDescent="0.25">
      <c r="A14" s="96">
        <f>EL_DEL_CD2_JO_!A14</f>
        <v>46306</v>
      </c>
      <c r="B14" s="97" t="str">
        <f t="shared" si="23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98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99"/>
      <c r="AM14" s="99"/>
      <c r="AN14" s="99"/>
      <c r="AO14" s="99"/>
      <c r="AP14" s="99"/>
      <c r="AQ14" s="99"/>
      <c r="AR14" s="99"/>
      <c r="AS14" s="99"/>
      <c r="AT14" s="100"/>
      <c r="AU14" s="100"/>
      <c r="AV14" s="101"/>
      <c r="AW14" s="100"/>
      <c r="AX14" s="182" t="str">
        <f t="shared" si="0"/>
        <v>-</v>
      </c>
      <c r="AY14" s="151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51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4"/>
        <v/>
      </c>
      <c r="BH14" s="119" t="str">
        <f t="shared" si="7"/>
        <v/>
      </c>
      <c r="BI14" s="120" t="str">
        <f t="shared" si="25"/>
        <v/>
      </c>
      <c r="BJ14" s="151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51"/>
      <c r="BP14" s="124" t="str">
        <f t="shared" si="12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3"/>
        <v/>
      </c>
      <c r="BU14" s="151"/>
      <c r="BV14" s="132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8"/>
        <v/>
      </c>
      <c r="CA14" s="128" t="str">
        <f t="shared" si="29"/>
        <v/>
      </c>
      <c r="CB14" s="151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51"/>
    </row>
    <row r="15" spans="1:86" s="115" customFormat="1" ht="12.4" customHeight="1" thickBot="1" x14ac:dyDescent="0.25">
      <c r="A15" s="96">
        <f>EL_DEL_CD2_JO_!A15</f>
        <v>46307</v>
      </c>
      <c r="B15" s="97" t="str">
        <f t="shared" si="23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98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99"/>
      <c r="AM15" s="99"/>
      <c r="AN15" s="99"/>
      <c r="AO15" s="99"/>
      <c r="AP15" s="99"/>
      <c r="AQ15" s="99"/>
      <c r="AR15" s="99"/>
      <c r="AS15" s="99"/>
      <c r="AT15" s="100"/>
      <c r="AU15" s="100"/>
      <c r="AV15" s="101"/>
      <c r="AW15" s="100"/>
      <c r="AX15" s="182" t="str">
        <f t="shared" si="0"/>
        <v>-</v>
      </c>
      <c r="AY15" s="151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51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24"/>
        <v/>
      </c>
      <c r="BH15" s="119" t="str">
        <f t="shared" si="7"/>
        <v/>
      </c>
      <c r="BI15" s="120" t="str">
        <f t="shared" si="25"/>
        <v/>
      </c>
      <c r="BJ15" s="151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51"/>
      <c r="BP15" s="124" t="str">
        <f t="shared" si="12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3"/>
        <v/>
      </c>
      <c r="BU15" s="151"/>
      <c r="BV15" s="132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 t="shared" si="28"/>
        <v/>
      </c>
      <c r="CA15" s="128" t="str">
        <f t="shared" si="29"/>
        <v/>
      </c>
      <c r="CB15" s="151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51"/>
    </row>
    <row r="16" spans="1:86" s="115" customFormat="1" ht="12.4" customHeight="1" thickBot="1" x14ac:dyDescent="0.25">
      <c r="A16" s="96">
        <f>EL_DEL_CD2_JO_!A16</f>
        <v>46308</v>
      </c>
      <c r="B16" s="97" t="str">
        <f t="shared" si="23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99"/>
      <c r="AM16" s="99"/>
      <c r="AN16" s="99"/>
      <c r="AO16" s="99"/>
      <c r="AP16" s="99"/>
      <c r="AQ16" s="99"/>
      <c r="AR16" s="99"/>
      <c r="AS16" s="99"/>
      <c r="AT16" s="100"/>
      <c r="AU16" s="100"/>
      <c r="AV16" s="101"/>
      <c r="AW16" s="100"/>
      <c r="AX16" s="182" t="str">
        <f t="shared" si="0"/>
        <v>-</v>
      </c>
      <c r="AY16" s="151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51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24"/>
        <v/>
      </c>
      <c r="BH16" s="119" t="str">
        <f t="shared" si="7"/>
        <v/>
      </c>
      <c r="BI16" s="120" t="str">
        <f t="shared" si="25"/>
        <v/>
      </c>
      <c r="BJ16" s="151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51"/>
      <c r="BP16" s="124" t="str">
        <f t="shared" si="12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3"/>
        <v/>
      </c>
      <c r="BU16" s="151"/>
      <c r="BV16" s="132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 t="shared" si="28"/>
        <v/>
      </c>
      <c r="CA16" s="128" t="str">
        <f t="shared" si="29"/>
        <v/>
      </c>
      <c r="CB16" s="151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51"/>
    </row>
    <row r="17" spans="1:86" s="115" customFormat="1" ht="12.4" customHeight="1" thickBot="1" x14ac:dyDescent="0.25">
      <c r="A17" s="96">
        <f>EL_DEL_CD2_JO_!A17</f>
        <v>46309</v>
      </c>
      <c r="B17" s="97" t="str">
        <f t="shared" si="23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99"/>
      <c r="AM17" s="99"/>
      <c r="AN17" s="99"/>
      <c r="AO17" s="99"/>
      <c r="AP17" s="99"/>
      <c r="AQ17" s="99"/>
      <c r="AR17" s="99"/>
      <c r="AS17" s="99"/>
      <c r="AT17" s="100"/>
      <c r="AU17" s="100"/>
      <c r="AV17" s="101"/>
      <c r="AW17" s="100"/>
      <c r="AX17" s="182" t="str">
        <f t="shared" si="0"/>
        <v>-</v>
      </c>
      <c r="AY17" s="151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51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4"/>
        <v/>
      </c>
      <c r="BH17" s="119" t="str">
        <f t="shared" si="7"/>
        <v/>
      </c>
      <c r="BI17" s="120" t="str">
        <f t="shared" si="25"/>
        <v/>
      </c>
      <c r="BJ17" s="151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51"/>
      <c r="BP17" s="124" t="str">
        <f t="shared" si="12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3"/>
        <v/>
      </c>
      <c r="BU17" s="151"/>
      <c r="BV17" s="132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8"/>
        <v/>
      </c>
      <c r="CA17" s="128" t="str">
        <f t="shared" si="29"/>
        <v/>
      </c>
      <c r="CB17" s="151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51"/>
    </row>
    <row r="18" spans="1:86" s="115" customFormat="1" ht="12.4" customHeight="1" thickBot="1" x14ac:dyDescent="0.25">
      <c r="A18" s="96">
        <f>EL_DEL_CD2_JO_!A18</f>
        <v>46310</v>
      </c>
      <c r="B18" s="97" t="str">
        <f t="shared" si="23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99"/>
      <c r="AM18" s="99"/>
      <c r="AN18" s="99"/>
      <c r="AO18" s="99"/>
      <c r="AP18" s="99"/>
      <c r="AQ18" s="99"/>
      <c r="AR18" s="99"/>
      <c r="AS18" s="99"/>
      <c r="AT18" s="100"/>
      <c r="AU18" s="100"/>
      <c r="AV18" s="101"/>
      <c r="AW18" s="100"/>
      <c r="AX18" s="182" t="str">
        <f t="shared" si="0"/>
        <v>-</v>
      </c>
      <c r="AY18" s="151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51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4"/>
        <v/>
      </c>
      <c r="BH18" s="119" t="str">
        <f t="shared" si="7"/>
        <v/>
      </c>
      <c r="BI18" s="120" t="str">
        <f t="shared" si="25"/>
        <v/>
      </c>
      <c r="BJ18" s="151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51"/>
      <c r="BP18" s="124" t="str">
        <f t="shared" si="12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3"/>
        <v/>
      </c>
      <c r="BU18" s="151"/>
      <c r="BV18" s="132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8"/>
        <v/>
      </c>
      <c r="CA18" s="128" t="str">
        <f t="shared" si="29"/>
        <v/>
      </c>
      <c r="CB18" s="151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51"/>
    </row>
    <row r="19" spans="1:86" s="115" customFormat="1" ht="12.4" customHeight="1" thickBot="1" x14ac:dyDescent="0.25">
      <c r="A19" s="96">
        <f>EL_DEL_CD2_JO_!A19</f>
        <v>46311</v>
      </c>
      <c r="B19" s="97" t="str">
        <f t="shared" si="23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99"/>
      <c r="AM19" s="99"/>
      <c r="AN19" s="99"/>
      <c r="AO19" s="99"/>
      <c r="AP19" s="99"/>
      <c r="AQ19" s="99"/>
      <c r="AR19" s="99"/>
      <c r="AS19" s="99"/>
      <c r="AT19" s="100"/>
      <c r="AU19" s="100"/>
      <c r="AV19" s="101"/>
      <c r="AW19" s="100"/>
      <c r="AX19" s="182" t="str">
        <f t="shared" si="0"/>
        <v>-</v>
      </c>
      <c r="AY19" s="151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51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4"/>
        <v/>
      </c>
      <c r="BH19" s="119" t="str">
        <f t="shared" si="7"/>
        <v/>
      </c>
      <c r="BI19" s="120" t="str">
        <f t="shared" si="25"/>
        <v/>
      </c>
      <c r="BJ19" s="151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51"/>
      <c r="BP19" s="124" t="str">
        <f t="shared" si="12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3"/>
        <v/>
      </c>
      <c r="BU19" s="151"/>
      <c r="BV19" s="132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8"/>
        <v/>
      </c>
      <c r="CA19" s="128" t="str">
        <f t="shared" si="29"/>
        <v/>
      </c>
      <c r="CB19" s="151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51"/>
    </row>
    <row r="20" spans="1:86" s="115" customFormat="1" ht="12.4" customHeight="1" thickBot="1" x14ac:dyDescent="0.25">
      <c r="A20" s="96">
        <f>EL_DEL_CD2_JO_!A20</f>
        <v>46312</v>
      </c>
      <c r="B20" s="97" t="str">
        <f t="shared" si="23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99"/>
      <c r="AM20" s="99"/>
      <c r="AN20" s="99"/>
      <c r="AO20" s="99"/>
      <c r="AP20" s="99"/>
      <c r="AQ20" s="99"/>
      <c r="AR20" s="99"/>
      <c r="AS20" s="99"/>
      <c r="AT20" s="100"/>
      <c r="AU20" s="100"/>
      <c r="AV20" s="101"/>
      <c r="AW20" s="100"/>
      <c r="AX20" s="182" t="str">
        <f t="shared" si="0"/>
        <v>-</v>
      </c>
      <c r="AY20" s="151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51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4"/>
        <v/>
      </c>
      <c r="BH20" s="119" t="str">
        <f t="shared" si="7"/>
        <v/>
      </c>
      <c r="BI20" s="120" t="str">
        <f t="shared" si="25"/>
        <v/>
      </c>
      <c r="BJ20" s="151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51"/>
      <c r="BP20" s="124" t="str">
        <f t="shared" si="12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3"/>
        <v/>
      </c>
      <c r="BU20" s="151"/>
      <c r="BV20" s="132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8"/>
        <v/>
      </c>
      <c r="CA20" s="128" t="str">
        <f t="shared" si="29"/>
        <v/>
      </c>
      <c r="CB20" s="151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51"/>
    </row>
    <row r="21" spans="1:86" s="115" customFormat="1" ht="12.4" customHeight="1" thickBot="1" x14ac:dyDescent="0.25">
      <c r="A21" s="96">
        <f>EL_DEL_CD2_JO_!A21</f>
        <v>46313</v>
      </c>
      <c r="B21" s="97" t="str">
        <f t="shared" si="23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99"/>
      <c r="AM21" s="99"/>
      <c r="AN21" s="99"/>
      <c r="AO21" s="99"/>
      <c r="AP21" s="99"/>
      <c r="AQ21" s="99"/>
      <c r="AR21" s="99"/>
      <c r="AS21" s="99"/>
      <c r="AT21" s="100"/>
      <c r="AU21" s="100"/>
      <c r="AV21" s="101"/>
      <c r="AW21" s="100"/>
      <c r="AX21" s="182" t="str">
        <f t="shared" si="0"/>
        <v>-</v>
      </c>
      <c r="AY21" s="151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51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4"/>
        <v/>
      </c>
      <c r="BH21" s="119" t="str">
        <f t="shared" si="7"/>
        <v/>
      </c>
      <c r="BI21" s="120" t="str">
        <f t="shared" si="25"/>
        <v/>
      </c>
      <c r="BJ21" s="151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51"/>
      <c r="BP21" s="124" t="str">
        <f t="shared" si="12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3"/>
        <v/>
      </c>
      <c r="BU21" s="151"/>
      <c r="BV21" s="132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8"/>
        <v/>
      </c>
      <c r="CA21" s="128" t="str">
        <f t="shared" si="29"/>
        <v/>
      </c>
      <c r="CB21" s="151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51"/>
    </row>
    <row r="22" spans="1:86" s="115" customFormat="1" ht="12.4" customHeight="1" thickBot="1" x14ac:dyDescent="0.25">
      <c r="A22" s="96">
        <f>EL_DEL_CD2_JO_!A22</f>
        <v>46314</v>
      </c>
      <c r="B22" s="97" t="str">
        <f t="shared" si="23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99"/>
      <c r="AM22" s="99"/>
      <c r="AN22" s="99"/>
      <c r="AO22" s="99"/>
      <c r="AP22" s="99"/>
      <c r="AQ22" s="99"/>
      <c r="AR22" s="99"/>
      <c r="AS22" s="99"/>
      <c r="AT22" s="100"/>
      <c r="AU22" s="100"/>
      <c r="AV22" s="101"/>
      <c r="AW22" s="100"/>
      <c r="AX22" s="182" t="str">
        <f t="shared" si="0"/>
        <v>-</v>
      </c>
      <c r="AY22" s="151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51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4"/>
        <v/>
      </c>
      <c r="BH22" s="119" t="str">
        <f t="shared" si="7"/>
        <v/>
      </c>
      <c r="BI22" s="120" t="str">
        <f t="shared" si="25"/>
        <v/>
      </c>
      <c r="BJ22" s="151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51"/>
      <c r="BP22" s="124" t="str">
        <f t="shared" si="12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3"/>
        <v/>
      </c>
      <c r="BU22" s="151"/>
      <c r="BV22" s="132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8"/>
        <v/>
      </c>
      <c r="CA22" s="128" t="str">
        <f t="shared" si="29"/>
        <v/>
      </c>
      <c r="CB22" s="151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51"/>
    </row>
    <row r="23" spans="1:86" s="115" customFormat="1" ht="12.4" customHeight="1" thickBot="1" x14ac:dyDescent="0.25">
      <c r="A23" s="96">
        <f>EL_DEL_CD2_JO_!A23</f>
        <v>46315</v>
      </c>
      <c r="B23" s="97" t="str">
        <f t="shared" si="23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99"/>
      <c r="AM23" s="99"/>
      <c r="AN23" s="99"/>
      <c r="AO23" s="99"/>
      <c r="AP23" s="99"/>
      <c r="AQ23" s="99"/>
      <c r="AR23" s="99"/>
      <c r="AS23" s="99"/>
      <c r="AT23" s="100"/>
      <c r="AU23" s="100"/>
      <c r="AV23" s="101"/>
      <c r="AW23" s="100"/>
      <c r="AX23" s="182" t="str">
        <f t="shared" si="0"/>
        <v>-</v>
      </c>
      <c r="AY23" s="151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51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24"/>
        <v/>
      </c>
      <c r="BH23" s="119" t="str">
        <f t="shared" si="7"/>
        <v/>
      </c>
      <c r="BI23" s="120" t="str">
        <f t="shared" si="25"/>
        <v/>
      </c>
      <c r="BJ23" s="151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51"/>
      <c r="BP23" s="124" t="str">
        <f t="shared" si="12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3"/>
        <v/>
      </c>
      <c r="BU23" s="151"/>
      <c r="BV23" s="132" t="str">
        <f t="shared" si="14"/>
        <v/>
      </c>
      <c r="BW23" s="127" t="str">
        <f t="shared" si="15"/>
        <v/>
      </c>
      <c r="BX23" s="127" t="str">
        <f t="shared" si="16"/>
        <v/>
      </c>
      <c r="BY23" s="127" t="str">
        <f t="shared" si="17"/>
        <v/>
      </c>
      <c r="BZ23" s="127" t="str">
        <f t="shared" si="28"/>
        <v/>
      </c>
      <c r="CA23" s="128" t="str">
        <f t="shared" si="29"/>
        <v/>
      </c>
      <c r="CB23" s="151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51"/>
    </row>
    <row r="24" spans="1:86" s="115" customFormat="1" ht="12.4" customHeight="1" thickBot="1" x14ac:dyDescent="0.25">
      <c r="A24" s="96">
        <f>EL_DEL_CD2_JO_!A24</f>
        <v>46316</v>
      </c>
      <c r="B24" s="97" t="str">
        <f t="shared" si="23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99"/>
      <c r="AM24" s="99"/>
      <c r="AN24" s="99"/>
      <c r="AO24" s="99"/>
      <c r="AP24" s="99"/>
      <c r="AQ24" s="99"/>
      <c r="AR24" s="99"/>
      <c r="AS24" s="99"/>
      <c r="AT24" s="100"/>
      <c r="AU24" s="100"/>
      <c r="AV24" s="101"/>
      <c r="AW24" s="100"/>
      <c r="AX24" s="182" t="str">
        <f t="shared" si="0"/>
        <v>-</v>
      </c>
      <c r="AY24" s="151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51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24"/>
        <v/>
      </c>
      <c r="BH24" s="119" t="str">
        <f t="shared" si="7"/>
        <v/>
      </c>
      <c r="BI24" s="120" t="str">
        <f t="shared" si="25"/>
        <v/>
      </c>
      <c r="BJ24" s="151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51"/>
      <c r="BP24" s="124" t="str">
        <f t="shared" si="12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3"/>
        <v/>
      </c>
      <c r="BU24" s="151"/>
      <c r="BV24" s="132" t="str">
        <f t="shared" si="14"/>
        <v/>
      </c>
      <c r="BW24" s="127" t="str">
        <f t="shared" si="15"/>
        <v/>
      </c>
      <c r="BX24" s="127" t="str">
        <f t="shared" si="16"/>
        <v/>
      </c>
      <c r="BY24" s="127" t="str">
        <f t="shared" si="17"/>
        <v/>
      </c>
      <c r="BZ24" s="127" t="str">
        <f t="shared" si="28"/>
        <v/>
      </c>
      <c r="CA24" s="128" t="str">
        <f t="shared" si="29"/>
        <v/>
      </c>
      <c r="CB24" s="151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51"/>
    </row>
    <row r="25" spans="1:86" s="115" customFormat="1" ht="12.4" customHeight="1" thickBot="1" x14ac:dyDescent="0.25">
      <c r="A25" s="96">
        <f>EL_DEL_CD2_JO_!A25</f>
        <v>46317</v>
      </c>
      <c r="B25" s="97" t="str">
        <f t="shared" si="23"/>
        <v>Thu</v>
      </c>
      <c r="C25" s="98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99"/>
      <c r="AM25" s="99"/>
      <c r="AN25" s="99"/>
      <c r="AO25" s="99"/>
      <c r="AP25" s="99"/>
      <c r="AQ25" s="99"/>
      <c r="AR25" s="99"/>
      <c r="AS25" s="99"/>
      <c r="AT25" s="100"/>
      <c r="AU25" s="100"/>
      <c r="AV25" s="101"/>
      <c r="AW25" s="100"/>
      <c r="AX25" s="182" t="str">
        <f t="shared" si="0"/>
        <v>-</v>
      </c>
      <c r="AY25" s="151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51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4"/>
        <v/>
      </c>
      <c r="BH25" s="119" t="str">
        <f t="shared" si="7"/>
        <v/>
      </c>
      <c r="BI25" s="120" t="str">
        <f t="shared" si="25"/>
        <v/>
      </c>
      <c r="BJ25" s="151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51"/>
      <c r="BP25" s="124" t="str">
        <f t="shared" si="12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3"/>
        <v/>
      </c>
      <c r="BU25" s="151"/>
      <c r="BV25" s="132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8"/>
        <v/>
      </c>
      <c r="CA25" s="128" t="str">
        <f t="shared" si="29"/>
        <v/>
      </c>
      <c r="CB25" s="151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51"/>
    </row>
    <row r="26" spans="1:86" s="115" customFormat="1" ht="12.4" customHeight="1" thickBot="1" x14ac:dyDescent="0.25">
      <c r="A26" s="96">
        <f>EL_DEL_CD2_JO_!A26</f>
        <v>46318</v>
      </c>
      <c r="B26" s="97" t="str">
        <f t="shared" si="23"/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99"/>
      <c r="AM26" s="99"/>
      <c r="AN26" s="99"/>
      <c r="AO26" s="99"/>
      <c r="AP26" s="99"/>
      <c r="AQ26" s="99"/>
      <c r="AR26" s="99"/>
      <c r="AS26" s="99"/>
      <c r="AT26" s="100"/>
      <c r="AU26" s="100"/>
      <c r="AV26" s="101"/>
      <c r="AW26" s="100"/>
      <c r="AX26" s="182" t="str">
        <f t="shared" si="0"/>
        <v>-</v>
      </c>
      <c r="AY26" s="151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51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4"/>
        <v/>
      </c>
      <c r="BH26" s="119" t="str">
        <f t="shared" si="7"/>
        <v/>
      </c>
      <c r="BI26" s="120" t="str">
        <f t="shared" si="25"/>
        <v/>
      </c>
      <c r="BJ26" s="151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51"/>
      <c r="BP26" s="124" t="str">
        <f t="shared" si="12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3"/>
        <v/>
      </c>
      <c r="BU26" s="151"/>
      <c r="BV26" s="132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8"/>
        <v/>
      </c>
      <c r="CA26" s="128" t="str">
        <f t="shared" si="29"/>
        <v/>
      </c>
      <c r="CB26" s="151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51"/>
    </row>
    <row r="27" spans="1:86" s="115" customFormat="1" ht="12.4" customHeight="1" thickBot="1" x14ac:dyDescent="0.25">
      <c r="A27" s="96">
        <f>EL_DEL_CD2_JO_!A27</f>
        <v>46319</v>
      </c>
      <c r="B27" s="97" t="str">
        <f t="shared" si="23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99"/>
      <c r="AM27" s="99"/>
      <c r="AN27" s="99"/>
      <c r="AO27" s="99"/>
      <c r="AP27" s="99"/>
      <c r="AQ27" s="99"/>
      <c r="AR27" s="99"/>
      <c r="AS27" s="99"/>
      <c r="AT27" s="100"/>
      <c r="AU27" s="100"/>
      <c r="AV27" s="101"/>
      <c r="AW27" s="100"/>
      <c r="AX27" s="182" t="str">
        <f t="shared" si="0"/>
        <v>-</v>
      </c>
      <c r="AY27" s="151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51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4"/>
        <v/>
      </c>
      <c r="BH27" s="119" t="str">
        <f t="shared" si="7"/>
        <v/>
      </c>
      <c r="BI27" s="120" t="str">
        <f t="shared" si="25"/>
        <v/>
      </c>
      <c r="BJ27" s="151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51"/>
      <c r="BP27" s="124" t="str">
        <f t="shared" si="12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3"/>
        <v/>
      </c>
      <c r="BU27" s="151"/>
      <c r="BV27" s="132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8"/>
        <v/>
      </c>
      <c r="CA27" s="128" t="str">
        <f t="shared" si="29"/>
        <v/>
      </c>
      <c r="CB27" s="151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51"/>
    </row>
    <row r="28" spans="1:86" s="115" customFormat="1" ht="12.4" customHeight="1" thickBot="1" x14ac:dyDescent="0.25">
      <c r="A28" s="96">
        <f>EL_DEL_CD2_JO_!A28</f>
        <v>46320</v>
      </c>
      <c r="B28" s="97" t="str">
        <f t="shared" si="23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99"/>
      <c r="AM28" s="99"/>
      <c r="AN28" s="99"/>
      <c r="AO28" s="99"/>
      <c r="AP28" s="99"/>
      <c r="AQ28" s="99"/>
      <c r="AR28" s="99"/>
      <c r="AS28" s="99"/>
      <c r="AT28" s="100"/>
      <c r="AU28" s="100"/>
      <c r="AV28" s="101"/>
      <c r="AW28" s="100"/>
      <c r="AX28" s="182" t="str">
        <f t="shared" si="0"/>
        <v>-</v>
      </c>
      <c r="AY28" s="151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51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4"/>
        <v/>
      </c>
      <c r="BH28" s="119" t="str">
        <f t="shared" si="7"/>
        <v/>
      </c>
      <c r="BI28" s="120" t="str">
        <f t="shared" si="25"/>
        <v/>
      </c>
      <c r="BJ28" s="151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51"/>
      <c r="BP28" s="124" t="str">
        <f t="shared" si="12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3"/>
        <v/>
      </c>
      <c r="BU28" s="151"/>
      <c r="BV28" s="132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8"/>
        <v/>
      </c>
      <c r="CA28" s="128" t="str">
        <f t="shared" si="29"/>
        <v/>
      </c>
      <c r="CB28" s="151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51"/>
    </row>
    <row r="29" spans="1:86" s="115" customFormat="1" ht="12.4" customHeight="1" thickBot="1" x14ac:dyDescent="0.25">
      <c r="A29" s="96">
        <f>EL_DEL_CD2_JO_!A29</f>
        <v>46321</v>
      </c>
      <c r="B29" s="97" t="str">
        <f t="shared" si="23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99"/>
      <c r="AM29" s="99"/>
      <c r="AN29" s="99"/>
      <c r="AO29" s="99"/>
      <c r="AP29" s="99"/>
      <c r="AQ29" s="99"/>
      <c r="AR29" s="99"/>
      <c r="AS29" s="99"/>
      <c r="AT29" s="100"/>
      <c r="AU29" s="100"/>
      <c r="AV29" s="101"/>
      <c r="AW29" s="100"/>
      <c r="AX29" s="182" t="str">
        <f t="shared" si="0"/>
        <v>-</v>
      </c>
      <c r="AY29" s="151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51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4"/>
        <v/>
      </c>
      <c r="BH29" s="119" t="str">
        <f t="shared" si="7"/>
        <v/>
      </c>
      <c r="BI29" s="120" t="str">
        <f t="shared" si="25"/>
        <v/>
      </c>
      <c r="BJ29" s="151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51"/>
      <c r="BP29" s="124" t="str">
        <f t="shared" si="12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3"/>
        <v/>
      </c>
      <c r="BU29" s="151"/>
      <c r="BV29" s="132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8"/>
        <v/>
      </c>
      <c r="CA29" s="128" t="str">
        <f t="shared" si="29"/>
        <v/>
      </c>
      <c r="CB29" s="151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51"/>
    </row>
    <row r="30" spans="1:86" s="115" customFormat="1" ht="12.4" customHeight="1" thickBot="1" x14ac:dyDescent="0.25">
      <c r="A30" s="96">
        <f>EL_DEL_CD2_JO_!A30</f>
        <v>46322</v>
      </c>
      <c r="B30" s="97" t="str">
        <f t="shared" si="23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99"/>
      <c r="AM30" s="99"/>
      <c r="AN30" s="99"/>
      <c r="AO30" s="99"/>
      <c r="AP30" s="99"/>
      <c r="AQ30" s="99"/>
      <c r="AR30" s="99"/>
      <c r="AS30" s="99"/>
      <c r="AT30" s="100"/>
      <c r="AU30" s="100"/>
      <c r="AV30" s="101"/>
      <c r="AW30" s="100"/>
      <c r="AX30" s="182" t="str">
        <f t="shared" si="0"/>
        <v>-</v>
      </c>
      <c r="AY30" s="151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51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4"/>
        <v/>
      </c>
      <c r="BH30" s="119" t="str">
        <f t="shared" si="7"/>
        <v/>
      </c>
      <c r="BI30" s="120" t="str">
        <f t="shared" si="25"/>
        <v/>
      </c>
      <c r="BJ30" s="151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51"/>
      <c r="BP30" s="124" t="str">
        <f t="shared" si="12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3"/>
        <v/>
      </c>
      <c r="BU30" s="151"/>
      <c r="BV30" s="132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8"/>
        <v/>
      </c>
      <c r="CA30" s="128" t="str">
        <f t="shared" si="29"/>
        <v/>
      </c>
      <c r="CB30" s="151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51"/>
    </row>
    <row r="31" spans="1:86" s="115" customFormat="1" ht="12.4" customHeight="1" thickBot="1" x14ac:dyDescent="0.25">
      <c r="A31" s="96">
        <f>EL_DEL_CD2_JO_!A31</f>
        <v>46323</v>
      </c>
      <c r="B31" s="97" t="str">
        <f t="shared" si="23"/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99"/>
      <c r="AM31" s="99"/>
      <c r="AN31" s="99"/>
      <c r="AO31" s="99"/>
      <c r="AP31" s="99"/>
      <c r="AQ31" s="99"/>
      <c r="AR31" s="99"/>
      <c r="AS31" s="99"/>
      <c r="AT31" s="100"/>
      <c r="AU31" s="100"/>
      <c r="AV31" s="101"/>
      <c r="AW31" s="100"/>
      <c r="AX31" s="182" t="str">
        <f t="shared" si="0"/>
        <v>-</v>
      </c>
      <c r="AY31" s="151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51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4"/>
        <v/>
      </c>
      <c r="BH31" s="119" t="str">
        <f t="shared" si="7"/>
        <v/>
      </c>
      <c r="BI31" s="120" t="str">
        <f t="shared" si="25"/>
        <v/>
      </c>
      <c r="BJ31" s="151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51"/>
      <c r="BP31" s="124" t="str">
        <f t="shared" si="12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3"/>
        <v/>
      </c>
      <c r="BU31" s="151"/>
      <c r="BV31" s="132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8"/>
        <v/>
      </c>
      <c r="CA31" s="128" t="str">
        <f t="shared" si="29"/>
        <v/>
      </c>
      <c r="CB31" s="151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51"/>
    </row>
    <row r="32" spans="1:86" s="115" customFormat="1" ht="12.4" customHeight="1" thickBot="1" x14ac:dyDescent="0.25">
      <c r="A32" s="96">
        <f>EL_DEL_CD2_JO_!A32</f>
        <v>46324</v>
      </c>
      <c r="B32" s="97" t="str">
        <f t="shared" si="23"/>
        <v>Thu</v>
      </c>
      <c r="C32" s="98"/>
      <c r="D32" s="98"/>
      <c r="E32" s="103"/>
      <c r="F32" s="98"/>
      <c r="G32" s="98"/>
      <c r="H32" s="104"/>
      <c r="I32" s="104"/>
      <c r="J32" s="105"/>
      <c r="K32" s="106"/>
      <c r="L32" s="98"/>
      <c r="M32" s="98"/>
      <c r="N32" s="98"/>
      <c r="O32" s="98"/>
      <c r="P32" s="103"/>
      <c r="Q32" s="98"/>
      <c r="R32" s="98"/>
      <c r="S32" s="98"/>
      <c r="T32" s="98"/>
      <c r="U32" s="98"/>
      <c r="V32" s="103"/>
      <c r="W32" s="103"/>
      <c r="X32" s="98"/>
      <c r="Y32" s="98"/>
      <c r="Z32" s="98"/>
      <c r="AA32" s="98"/>
      <c r="AB32" s="98"/>
      <c r="AC32" s="98"/>
      <c r="AD32" s="98"/>
      <c r="AE32" s="98"/>
      <c r="AF32" s="103"/>
      <c r="AG32" s="103"/>
      <c r="AH32" s="98"/>
      <c r="AI32" s="107"/>
      <c r="AJ32" s="108"/>
      <c r="AK32" s="107"/>
      <c r="AL32" s="99"/>
      <c r="AM32" s="99"/>
      <c r="AN32" s="99"/>
      <c r="AO32" s="99"/>
      <c r="AP32" s="99"/>
      <c r="AQ32" s="99"/>
      <c r="AR32" s="99"/>
      <c r="AS32" s="99"/>
      <c r="AT32" s="100"/>
      <c r="AU32" s="100"/>
      <c r="AV32" s="101"/>
      <c r="AW32" s="100"/>
      <c r="AX32" s="182" t="str">
        <f>IFERROR(AN32/AW32,"-")</f>
        <v>-</v>
      </c>
      <c r="AY32" s="151"/>
      <c r="AZ32" s="116" t="str">
        <f t="shared" si="1"/>
        <v/>
      </c>
      <c r="BA32" s="117" t="str">
        <f t="shared" si="2"/>
        <v/>
      </c>
      <c r="BB32" s="116" t="str">
        <f t="shared" si="3"/>
        <v/>
      </c>
      <c r="BC32" s="151"/>
      <c r="BD32" s="118" t="str">
        <f t="shared" si="4"/>
        <v/>
      </c>
      <c r="BE32" s="119" t="str">
        <f t="shared" si="5"/>
        <v/>
      </c>
      <c r="BF32" s="119" t="str">
        <f t="shared" si="6"/>
        <v/>
      </c>
      <c r="BG32" s="119" t="str">
        <f>+IF(SUM(AO32:AR32)&gt;0,AO32/AN32,"")</f>
        <v/>
      </c>
      <c r="BH32" s="119" t="str">
        <f t="shared" si="7"/>
        <v/>
      </c>
      <c r="BI32" s="120" t="str">
        <f>+IF(SUM(AO32:AR32)&gt;0,AQ32/AN32,"")</f>
        <v/>
      </c>
      <c r="BJ32" s="151"/>
      <c r="BK32" s="121" t="str">
        <f t="shared" si="8"/>
        <v/>
      </c>
      <c r="BL32" s="122" t="str">
        <f t="shared" si="9"/>
        <v/>
      </c>
      <c r="BM32" s="122" t="str">
        <f t="shared" si="10"/>
        <v/>
      </c>
      <c r="BN32" s="123" t="str">
        <f t="shared" si="11"/>
        <v/>
      </c>
      <c r="BO32" s="151"/>
      <c r="BP32" s="124" t="str">
        <f t="shared" si="12"/>
        <v/>
      </c>
      <c r="BQ32" s="125">
        <v>0</v>
      </c>
      <c r="BR32" s="125" t="str">
        <f>IF(AJ32&gt;0,(AK32/AJ32),"")</f>
        <v/>
      </c>
      <c r="BS32" s="125" t="str">
        <f>IF(AJ32&gt;0,(AK32/AJ32),"")</f>
        <v/>
      </c>
      <c r="BT32" s="126" t="str">
        <f t="shared" si="13"/>
        <v/>
      </c>
      <c r="BU32" s="151"/>
      <c r="BV32" s="132" t="str">
        <f t="shared" si="14"/>
        <v/>
      </c>
      <c r="BW32" s="127" t="str">
        <f t="shared" si="15"/>
        <v/>
      </c>
      <c r="BX32" s="127" t="str">
        <f t="shared" si="16"/>
        <v/>
      </c>
      <c r="BY32" s="127" t="str">
        <f t="shared" si="17"/>
        <v/>
      </c>
      <c r="BZ32" s="127" t="str">
        <f>IF(AN32&gt;0,(AJ32/AN32),"")</f>
        <v/>
      </c>
      <c r="CA32" s="128" t="str">
        <f>IF(AN32&gt;0,(AK32/AN32),"")</f>
        <v/>
      </c>
      <c r="CB32" s="151"/>
      <c r="CC32" s="129" t="str">
        <f t="shared" si="18"/>
        <v>-</v>
      </c>
      <c r="CD32" s="130" t="str">
        <f t="shared" si="19"/>
        <v>-</v>
      </c>
      <c r="CE32" s="130" t="str">
        <f t="shared" si="20"/>
        <v>-</v>
      </c>
      <c r="CF32" s="130" t="str">
        <f t="shared" si="21"/>
        <v>-</v>
      </c>
      <c r="CG32" s="131" t="str">
        <f t="shared" si="22"/>
        <v>-</v>
      </c>
      <c r="CH32" s="151"/>
    </row>
    <row r="33" spans="1:86" s="115" customFormat="1" ht="12.4" customHeight="1" thickBot="1" x14ac:dyDescent="0.25">
      <c r="A33" s="96">
        <f>EL_DEL_CD2_JO_!A33</f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99"/>
      <c r="AM33" s="99"/>
      <c r="AN33" s="99"/>
      <c r="AO33" s="99"/>
      <c r="AP33" s="99"/>
      <c r="AQ33" s="99"/>
      <c r="AR33" s="99"/>
      <c r="AS33" s="99"/>
      <c r="AT33" s="100"/>
      <c r="AU33" s="100"/>
      <c r="AV33" s="101"/>
      <c r="AW33" s="100"/>
      <c r="AX33" s="182" t="str">
        <f>IFERROR(AN33/AW33,"-")</f>
        <v>-</v>
      </c>
      <c r="AY33" s="151"/>
      <c r="AZ33" s="116" t="str">
        <f>IF(E33&gt;0,F33/E33,"")</f>
        <v/>
      </c>
      <c r="BA33" s="117" t="str">
        <f>+IF(E33&gt;0,G33/E33,"")</f>
        <v/>
      </c>
      <c r="BB33" s="116" t="str">
        <f>+IF(E33&gt;0,AJ33/E33,"")</f>
        <v/>
      </c>
      <c r="BC33" s="151"/>
      <c r="BD33" s="118" t="str">
        <f>+IF(G33&gt;0,I33/G33,"")</f>
        <v/>
      </c>
      <c r="BE33" s="119" t="str">
        <f>+IF(G33&gt;0,J33/G33,"")</f>
        <v/>
      </c>
      <c r="BF33" s="119" t="str">
        <f>+IF(I33&gt;0,L33/I33,"")</f>
        <v/>
      </c>
      <c r="BG33" s="119" t="str">
        <f>+IF(SUM(AO33:AR33)&gt;0,AO33/AN33,"")</f>
        <v/>
      </c>
      <c r="BH33" s="119" t="str">
        <f>+IF(G33&gt;0,K33/G33,"")</f>
        <v/>
      </c>
      <c r="BI33" s="120" t="str">
        <f>+IF(SUM(AO33:AR33)&gt;0,AQ33/AN33,"")</f>
        <v/>
      </c>
      <c r="BJ33" s="151"/>
      <c r="BK33" s="121" t="str">
        <f>+IF(E33&gt;0,(AJ33/E33),"")</f>
        <v/>
      </c>
      <c r="BL33" s="122" t="str">
        <f>+IF(E33&gt;0,(AJ33/F33),"")</f>
        <v/>
      </c>
      <c r="BM33" s="122" t="str">
        <f>+IF(E33&gt;0,(AJ33/G33),"")</f>
        <v/>
      </c>
      <c r="BN33" s="123" t="str">
        <f>+IF(E33&gt;0,(AJ33/J33),"")</f>
        <v/>
      </c>
      <c r="BO33" s="151"/>
      <c r="BP33" s="124" t="str">
        <f>IF(AJ33&gt;0,(N33/AJ33),"")</f>
        <v/>
      </c>
      <c r="BQ33" s="125">
        <v>0</v>
      </c>
      <c r="BR33" s="125" t="str">
        <f>IF(AJ33&gt;0,(AK33/AJ33),"")</f>
        <v/>
      </c>
      <c r="BS33" s="125" t="str">
        <f>IF(AJ33&gt;0,(AK33/AJ33),"")</f>
        <v/>
      </c>
      <c r="BT33" s="126" t="str">
        <f>IF(J33&gt;0,AD33/J33,"")</f>
        <v/>
      </c>
      <c r="BU33" s="151"/>
      <c r="BV33" s="132" t="str">
        <f>IF(AN33&gt;0,(E33/AN33),"")</f>
        <v/>
      </c>
      <c r="BW33" s="127" t="str">
        <f>IF(AN33&gt;0,(G33/AN33),"")</f>
        <v/>
      </c>
      <c r="BX33" s="127" t="str">
        <f>IF(AN33&gt;0,(J33/AN33),"")</f>
        <v/>
      </c>
      <c r="BY33" s="127" t="str">
        <f>IF(AN33&gt;0,(K33/AN33),"")</f>
        <v/>
      </c>
      <c r="BZ33" s="127" t="str">
        <f>IF(AN33&gt;0,(AJ33/AN33),"")</f>
        <v/>
      </c>
      <c r="CA33" s="128" t="str">
        <f>IF(AN33&gt;0,(AK33/AN33),"")</f>
        <v/>
      </c>
      <c r="CB33" s="151"/>
      <c r="CC33" s="129" t="str">
        <f>IFERROR(((AN33-AO33)*3600)/J33,"-")</f>
        <v>-</v>
      </c>
      <c r="CD33" s="130" t="str">
        <f>IFERROR((AR33*3600)/J33,"-")</f>
        <v>-</v>
      </c>
      <c r="CE33" s="130" t="str">
        <f>IFERROR((AQ33*3600)/J33,"-")</f>
        <v>-</v>
      </c>
      <c r="CF33" s="130" t="str">
        <f>IFERROR((AO33*3600)/J33,"-")</f>
        <v>-</v>
      </c>
      <c r="CG33" s="131" t="str">
        <f>IFERROR((AP33*3600)/J33,"-")</f>
        <v>-</v>
      </c>
      <c r="CH33" s="151"/>
    </row>
    <row r="34" spans="1:86" s="115" customFormat="1" ht="12.4" customHeight="1" thickBot="1" x14ac:dyDescent="0.25">
      <c r="A34" s="96">
        <f>EL_DEL_CD2_JO_!A34</f>
        <v>46326</v>
      </c>
      <c r="B34" s="97" t="str">
        <f t="shared" si="23"/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99"/>
      <c r="AM34" s="99"/>
      <c r="AN34" s="99"/>
      <c r="AO34" s="99"/>
      <c r="AP34" s="99"/>
      <c r="AQ34" s="99"/>
      <c r="AR34" s="99"/>
      <c r="AS34" s="99"/>
      <c r="AT34" s="100"/>
      <c r="AU34" s="100"/>
      <c r="AV34" s="101"/>
      <c r="AW34" s="100"/>
      <c r="AX34" s="182" t="str">
        <f>IFERROR(AN34/AW34,"-")</f>
        <v>-</v>
      </c>
      <c r="AY34" s="151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51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>+IF(SUM(AO34:AR34)&gt;0,AO34/AN34,"")</f>
        <v/>
      </c>
      <c r="BH34" s="119" t="str">
        <f t="shared" si="7"/>
        <v/>
      </c>
      <c r="BI34" s="120" t="str">
        <f>+IF(SUM(AO34:AR34)&gt;0,AQ34/AN34,"")</f>
        <v/>
      </c>
      <c r="BJ34" s="151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51"/>
      <c r="BP34" s="124" t="str">
        <f t="shared" si="12"/>
        <v/>
      </c>
      <c r="BQ34" s="125">
        <v>0</v>
      </c>
      <c r="BR34" s="125" t="str">
        <f>IF(AJ34&gt;0,(AK34/AJ34),"")</f>
        <v/>
      </c>
      <c r="BS34" s="125" t="str">
        <f>IF(AJ34&gt;0,(AK34/AJ34),"")</f>
        <v/>
      </c>
      <c r="BT34" s="126" t="str">
        <f t="shared" si="13"/>
        <v/>
      </c>
      <c r="BU34" s="151"/>
      <c r="BV34" s="132" t="str">
        <f t="shared" si="14"/>
        <v/>
      </c>
      <c r="BW34" s="127" t="str">
        <f t="shared" si="15"/>
        <v/>
      </c>
      <c r="BX34" s="127" t="str">
        <f t="shared" si="16"/>
        <v/>
      </c>
      <c r="BY34" s="127" t="str">
        <f t="shared" si="17"/>
        <v/>
      </c>
      <c r="BZ34" s="127" t="str">
        <f>IF(AN34&gt;0,(AJ34/AN34),"")</f>
        <v/>
      </c>
      <c r="CA34" s="128" t="str">
        <f>IF(AN34&gt;0,(AK34/AN34),"")</f>
        <v/>
      </c>
      <c r="CB34" s="151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51"/>
    </row>
    <row r="35" spans="1:86" s="115" customFormat="1" ht="13.15" customHeight="1" thickBot="1" x14ac:dyDescent="0.25">
      <c r="A35" s="235" t="s">
        <v>68</v>
      </c>
      <c r="B35" s="236"/>
      <c r="C35" s="109" t="e">
        <f t="shared" ref="C35:AW35" si="30">AVERAGE(C4:C34)</f>
        <v>#DIV/0!</v>
      </c>
      <c r="D35" s="109" t="e">
        <f t="shared" si="30"/>
        <v>#DIV/0!</v>
      </c>
      <c r="E35" s="109" t="e">
        <f t="shared" si="30"/>
        <v>#DIV/0!</v>
      </c>
      <c r="F35" s="109" t="e">
        <f t="shared" si="30"/>
        <v>#DIV/0!</v>
      </c>
      <c r="G35" s="109" t="e">
        <f t="shared" si="30"/>
        <v>#DIV/0!</v>
      </c>
      <c r="H35" s="109" t="e">
        <f t="shared" si="30"/>
        <v>#DIV/0!</v>
      </c>
      <c r="I35" s="109" t="e">
        <f t="shared" si="30"/>
        <v>#DIV/0!</v>
      </c>
      <c r="J35" s="109" t="e">
        <f t="shared" si="30"/>
        <v>#DIV/0!</v>
      </c>
      <c r="K35" s="109" t="e">
        <f t="shared" si="30"/>
        <v>#DIV/0!</v>
      </c>
      <c r="L35" s="109" t="e">
        <f t="shared" si="30"/>
        <v>#DIV/0!</v>
      </c>
      <c r="M35" s="109" t="e">
        <f t="shared" si="30"/>
        <v>#DIV/0!</v>
      </c>
      <c r="N35" s="109" t="e">
        <f t="shared" si="30"/>
        <v>#DIV/0!</v>
      </c>
      <c r="O35" s="109" t="e">
        <f t="shared" si="30"/>
        <v>#DIV/0!</v>
      </c>
      <c r="P35" s="109" t="e">
        <f t="shared" si="30"/>
        <v>#DIV/0!</v>
      </c>
      <c r="Q35" s="109" t="e">
        <f t="shared" si="30"/>
        <v>#DIV/0!</v>
      </c>
      <c r="R35" s="109" t="e">
        <f t="shared" si="30"/>
        <v>#DIV/0!</v>
      </c>
      <c r="S35" s="109" t="e">
        <f t="shared" si="30"/>
        <v>#DIV/0!</v>
      </c>
      <c r="T35" s="109" t="e">
        <f t="shared" si="30"/>
        <v>#DIV/0!</v>
      </c>
      <c r="U35" s="109" t="e">
        <f t="shared" si="30"/>
        <v>#DIV/0!</v>
      </c>
      <c r="V35" s="109" t="e">
        <f t="shared" si="30"/>
        <v>#DIV/0!</v>
      </c>
      <c r="W35" s="109" t="e">
        <f t="shared" si="30"/>
        <v>#DIV/0!</v>
      </c>
      <c r="X35" s="109" t="e">
        <f t="shared" si="30"/>
        <v>#DIV/0!</v>
      </c>
      <c r="Y35" s="109" t="e">
        <f t="shared" si="30"/>
        <v>#DIV/0!</v>
      </c>
      <c r="Z35" s="109" t="e">
        <f t="shared" si="30"/>
        <v>#DIV/0!</v>
      </c>
      <c r="AA35" s="109" t="e">
        <f t="shared" si="30"/>
        <v>#DIV/0!</v>
      </c>
      <c r="AB35" s="109" t="e">
        <f t="shared" si="30"/>
        <v>#DIV/0!</v>
      </c>
      <c r="AC35" s="109" t="e">
        <f t="shared" si="30"/>
        <v>#DIV/0!</v>
      </c>
      <c r="AD35" s="109" t="e">
        <f t="shared" si="30"/>
        <v>#DIV/0!</v>
      </c>
      <c r="AE35" s="109" t="e">
        <f t="shared" si="30"/>
        <v>#DIV/0!</v>
      </c>
      <c r="AF35" s="109" t="e">
        <f t="shared" si="30"/>
        <v>#DIV/0!</v>
      </c>
      <c r="AG35" s="109" t="e">
        <f t="shared" si="30"/>
        <v>#DIV/0!</v>
      </c>
      <c r="AH35" s="109" t="e">
        <f t="shared" si="30"/>
        <v>#DIV/0!</v>
      </c>
      <c r="AI35" s="109" t="e">
        <f t="shared" si="30"/>
        <v>#DIV/0!</v>
      </c>
      <c r="AJ35" s="109" t="e">
        <f t="shared" si="30"/>
        <v>#DIV/0!</v>
      </c>
      <c r="AK35" s="109" t="e">
        <f t="shared" si="30"/>
        <v>#DIV/0!</v>
      </c>
      <c r="AL35" s="109" t="e">
        <f t="shared" si="30"/>
        <v>#DIV/0!</v>
      </c>
      <c r="AM35" s="109" t="e">
        <f t="shared" si="30"/>
        <v>#DIV/0!</v>
      </c>
      <c r="AN35" s="109" t="e">
        <f t="shared" si="30"/>
        <v>#DIV/0!</v>
      </c>
      <c r="AO35" s="109" t="e">
        <f t="shared" si="30"/>
        <v>#DIV/0!</v>
      </c>
      <c r="AP35" s="109" t="e">
        <f t="shared" si="30"/>
        <v>#DIV/0!</v>
      </c>
      <c r="AQ35" s="109" t="e">
        <f t="shared" si="30"/>
        <v>#DIV/0!</v>
      </c>
      <c r="AR35" s="109" t="e">
        <f t="shared" si="30"/>
        <v>#DIV/0!</v>
      </c>
      <c r="AS35" s="109" t="e">
        <f t="shared" si="30"/>
        <v>#DIV/0!</v>
      </c>
      <c r="AT35" s="109" t="e">
        <f t="shared" si="30"/>
        <v>#DIV/0!</v>
      </c>
      <c r="AU35" s="109" t="e">
        <f t="shared" si="30"/>
        <v>#DIV/0!</v>
      </c>
      <c r="AV35" s="109" t="e">
        <f t="shared" si="30"/>
        <v>#DIV/0!</v>
      </c>
      <c r="AW35" s="109" t="e">
        <f t="shared" si="30"/>
        <v>#DIV/0!</v>
      </c>
      <c r="AX35" s="110" t="str">
        <f>IFERROR(AN35/AW35,"-")</f>
        <v>-</v>
      </c>
      <c r="AY35" s="151"/>
      <c r="AZ35" s="133" t="e">
        <f t="shared" si="1"/>
        <v>#DIV/0!</v>
      </c>
      <c r="BA35" s="134" t="e">
        <f t="shared" si="2"/>
        <v>#DIV/0!</v>
      </c>
      <c r="BB35" s="135" t="e">
        <f t="shared" si="3"/>
        <v>#DIV/0!</v>
      </c>
      <c r="BC35" s="151"/>
      <c r="BD35" s="133" t="e">
        <f t="shared" si="4"/>
        <v>#DIV/0!</v>
      </c>
      <c r="BE35" s="136" t="e">
        <f t="shared" si="5"/>
        <v>#DIV/0!</v>
      </c>
      <c r="BF35" s="136" t="e">
        <f t="shared" si="6"/>
        <v>#DIV/0!</v>
      </c>
      <c r="BG35" s="136" t="e">
        <f t="shared" si="24"/>
        <v>#DIV/0!</v>
      </c>
      <c r="BH35" s="136" t="e">
        <f t="shared" si="7"/>
        <v>#DIV/0!</v>
      </c>
      <c r="BI35" s="135" t="e">
        <f t="shared" si="25"/>
        <v>#DIV/0!</v>
      </c>
      <c r="BJ35" s="151"/>
      <c r="BK35" s="133" t="e">
        <f t="shared" si="8"/>
        <v>#DIV/0!</v>
      </c>
      <c r="BL35" s="136" t="e">
        <f t="shared" si="9"/>
        <v>#DIV/0!</v>
      </c>
      <c r="BM35" s="136" t="e">
        <f t="shared" si="10"/>
        <v>#DIV/0!</v>
      </c>
      <c r="BN35" s="135" t="e">
        <f t="shared" si="11"/>
        <v>#DIV/0!</v>
      </c>
      <c r="BO35" s="151"/>
      <c r="BP35" s="133" t="e">
        <f t="shared" si="12"/>
        <v>#DIV/0!</v>
      </c>
      <c r="BQ35" s="136">
        <v>0</v>
      </c>
      <c r="BR35" s="136" t="e">
        <f t="shared" si="26"/>
        <v>#DIV/0!</v>
      </c>
      <c r="BS35" s="136" t="e">
        <f t="shared" si="27"/>
        <v>#DIV/0!</v>
      </c>
      <c r="BT35" s="135" t="e">
        <f t="shared" si="13"/>
        <v>#DIV/0!</v>
      </c>
      <c r="BU35" s="151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8"/>
        <v>#DIV/0!</v>
      </c>
      <c r="CA35" s="139" t="e">
        <f t="shared" si="29"/>
        <v>#DIV/0!</v>
      </c>
      <c r="CB35" s="151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51"/>
    </row>
    <row r="36" spans="1:86" s="115" customFormat="1" ht="13.15" customHeight="1" thickBot="1" x14ac:dyDescent="0.25">
      <c r="A36" s="235" t="s">
        <v>69</v>
      </c>
      <c r="B36" s="236"/>
      <c r="C36" s="111">
        <f t="shared" ref="C36:AW36" si="31">SUM(C4:C34)</f>
        <v>0</v>
      </c>
      <c r="D36" s="111">
        <f t="shared" si="31"/>
        <v>0</v>
      </c>
      <c r="E36" s="111">
        <f t="shared" si="31"/>
        <v>0</v>
      </c>
      <c r="F36" s="111">
        <f t="shared" si="31"/>
        <v>0</v>
      </c>
      <c r="G36" s="111">
        <f t="shared" si="31"/>
        <v>0</v>
      </c>
      <c r="H36" s="111">
        <f t="shared" si="31"/>
        <v>0</v>
      </c>
      <c r="I36" s="111">
        <f t="shared" si="31"/>
        <v>0</v>
      </c>
      <c r="J36" s="111">
        <f t="shared" si="31"/>
        <v>0</v>
      </c>
      <c r="K36" s="111">
        <f t="shared" si="31"/>
        <v>0</v>
      </c>
      <c r="L36" s="111">
        <f t="shared" si="31"/>
        <v>0</v>
      </c>
      <c r="M36" s="111">
        <f t="shared" si="31"/>
        <v>0</v>
      </c>
      <c r="N36" s="111">
        <f t="shared" si="31"/>
        <v>0</v>
      </c>
      <c r="O36" s="111">
        <f t="shared" si="31"/>
        <v>0</v>
      </c>
      <c r="P36" s="111">
        <f t="shared" si="31"/>
        <v>0</v>
      </c>
      <c r="Q36" s="111">
        <f t="shared" si="31"/>
        <v>0</v>
      </c>
      <c r="R36" s="111">
        <f t="shared" si="31"/>
        <v>0</v>
      </c>
      <c r="S36" s="111">
        <f t="shared" si="31"/>
        <v>0</v>
      </c>
      <c r="T36" s="111">
        <f t="shared" si="31"/>
        <v>0</v>
      </c>
      <c r="U36" s="111">
        <f t="shared" si="31"/>
        <v>0</v>
      </c>
      <c r="V36" s="111">
        <f t="shared" si="31"/>
        <v>0</v>
      </c>
      <c r="W36" s="111">
        <f t="shared" si="31"/>
        <v>0</v>
      </c>
      <c r="X36" s="111">
        <f t="shared" si="31"/>
        <v>0</v>
      </c>
      <c r="Y36" s="111">
        <f t="shared" si="31"/>
        <v>0</v>
      </c>
      <c r="Z36" s="111">
        <f t="shared" si="31"/>
        <v>0</v>
      </c>
      <c r="AA36" s="111">
        <f t="shared" si="31"/>
        <v>0</v>
      </c>
      <c r="AB36" s="111">
        <f t="shared" si="31"/>
        <v>0</v>
      </c>
      <c r="AC36" s="111">
        <f t="shared" si="31"/>
        <v>0</v>
      </c>
      <c r="AD36" s="111">
        <f t="shared" si="31"/>
        <v>0</v>
      </c>
      <c r="AE36" s="111">
        <f t="shared" si="31"/>
        <v>0</v>
      </c>
      <c r="AF36" s="111">
        <f t="shared" si="31"/>
        <v>0</v>
      </c>
      <c r="AG36" s="111">
        <f t="shared" si="31"/>
        <v>0</v>
      </c>
      <c r="AH36" s="111">
        <f t="shared" si="31"/>
        <v>0</v>
      </c>
      <c r="AI36" s="111">
        <f t="shared" si="31"/>
        <v>0</v>
      </c>
      <c r="AJ36" s="111">
        <f t="shared" si="31"/>
        <v>0</v>
      </c>
      <c r="AK36" s="111">
        <f t="shared" si="31"/>
        <v>0</v>
      </c>
      <c r="AL36" s="111">
        <f t="shared" si="31"/>
        <v>0</v>
      </c>
      <c r="AM36" s="111">
        <f t="shared" si="31"/>
        <v>0</v>
      </c>
      <c r="AN36" s="111">
        <f t="shared" si="31"/>
        <v>0</v>
      </c>
      <c r="AO36" s="111">
        <f t="shared" si="31"/>
        <v>0</v>
      </c>
      <c r="AP36" s="111">
        <f t="shared" si="31"/>
        <v>0</v>
      </c>
      <c r="AQ36" s="111">
        <f t="shared" si="31"/>
        <v>0</v>
      </c>
      <c r="AR36" s="111">
        <f t="shared" si="31"/>
        <v>0</v>
      </c>
      <c r="AS36" s="111">
        <f t="shared" si="31"/>
        <v>0</v>
      </c>
      <c r="AT36" s="111">
        <f t="shared" si="31"/>
        <v>0</v>
      </c>
      <c r="AU36" s="111">
        <f t="shared" si="31"/>
        <v>0</v>
      </c>
      <c r="AV36" s="111">
        <f t="shared" si="31"/>
        <v>0</v>
      </c>
      <c r="AW36" s="111">
        <f t="shared" si="31"/>
        <v>0</v>
      </c>
      <c r="AX36" s="112" t="str">
        <f t="shared" si="0"/>
        <v>-</v>
      </c>
      <c r="AY36" s="156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56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 t="shared" si="24"/>
        <v/>
      </c>
      <c r="BH36" s="144" t="str">
        <f t="shared" si="7"/>
        <v/>
      </c>
      <c r="BI36" s="143" t="str">
        <f t="shared" si="25"/>
        <v/>
      </c>
      <c r="BJ36" s="156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56"/>
      <c r="BP36" s="141" t="str">
        <f t="shared" si="12"/>
        <v/>
      </c>
      <c r="BQ36" s="144">
        <v>0</v>
      </c>
      <c r="BR36" s="144" t="str">
        <f t="shared" si="26"/>
        <v/>
      </c>
      <c r="BS36" s="144" t="str">
        <f t="shared" si="27"/>
        <v/>
      </c>
      <c r="BT36" s="143" t="str">
        <f t="shared" si="13"/>
        <v/>
      </c>
      <c r="BU36" s="156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8"/>
        <v/>
      </c>
      <c r="CA36" s="147" t="str">
        <f t="shared" si="29"/>
        <v/>
      </c>
      <c r="CB36" s="156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56"/>
    </row>
    <row r="37" spans="1:86" x14ac:dyDescent="0.2"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</sheetData>
  <mergeCells count="88">
    <mergeCell ref="AZ1:BB1"/>
    <mergeCell ref="BD1:BI1"/>
    <mergeCell ref="BK1:BN1"/>
    <mergeCell ref="BP1:BT1"/>
    <mergeCell ref="CC1:CG1"/>
    <mergeCell ref="BV1:CA1"/>
    <mergeCell ref="CG2:CG3"/>
    <mergeCell ref="A35:B35"/>
    <mergeCell ref="A36:B36"/>
    <mergeCell ref="CA2:CA3"/>
    <mergeCell ref="CC2:CC3"/>
    <mergeCell ref="CD2:CD3"/>
    <mergeCell ref="CE2:CE3"/>
    <mergeCell ref="CF2:CF3"/>
    <mergeCell ref="BT2:BT3"/>
    <mergeCell ref="BV2:BV3"/>
    <mergeCell ref="BW2:BW3"/>
    <mergeCell ref="BX2:BX3"/>
    <mergeCell ref="BY2:BY3"/>
    <mergeCell ref="BZ2:BZ3"/>
    <mergeCell ref="BM2:BM3"/>
    <mergeCell ref="BN2:BN3"/>
    <mergeCell ref="BP2:BP3"/>
    <mergeCell ref="BR2:BR3"/>
    <mergeCell ref="BS2:BS3"/>
    <mergeCell ref="BG2:BG3"/>
    <mergeCell ref="BH2:BH3"/>
    <mergeCell ref="BI2:BI3"/>
    <mergeCell ref="BK2:BK3"/>
    <mergeCell ref="BL2:BL3"/>
    <mergeCell ref="BQ2:BQ3"/>
    <mergeCell ref="BA2:BA3"/>
    <mergeCell ref="BB2:BB3"/>
    <mergeCell ref="BD2:BD3"/>
    <mergeCell ref="BE2:BE3"/>
    <mergeCell ref="BF2:BF3"/>
    <mergeCell ref="AU2:AU3"/>
    <mergeCell ref="AV2:AV3"/>
    <mergeCell ref="AW2:AW3"/>
    <mergeCell ref="AX2:AX3"/>
    <mergeCell ref="AZ2:AZ3"/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H2:AH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E2:E3"/>
    <mergeCell ref="V2:V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B1"/>
    <mergeCell ref="A2:A3"/>
    <mergeCell ref="B2:B3"/>
    <mergeCell ref="C2:C3"/>
    <mergeCell ref="D2:D3"/>
    <mergeCell ref="W2:W3"/>
    <mergeCell ref="X2:X3"/>
    <mergeCell ref="F2:F3"/>
    <mergeCell ref="G2:G3"/>
    <mergeCell ref="H2:H3"/>
    <mergeCell ref="I2:I3"/>
    <mergeCell ref="U2:U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8"/>
  <sheetViews>
    <sheetView workbookViewId="0">
      <selection sqref="A1:B1"/>
    </sheetView>
  </sheetViews>
  <sheetFormatPr defaultColWidth="0" defaultRowHeight="11.25" x14ac:dyDescent="0.2"/>
  <cols>
    <col min="1" max="1" width="9.5703125" style="154" bestFit="1" customWidth="1"/>
    <col min="2" max="2" width="4.5703125" style="154" customWidth="1"/>
    <col min="3" max="3" width="15.5703125" style="154" bestFit="1" customWidth="1"/>
    <col min="4" max="4" width="18.85546875" style="154" bestFit="1" customWidth="1"/>
    <col min="5" max="5" width="20" style="154" bestFit="1" customWidth="1"/>
    <col min="6" max="6" width="16" style="154" bestFit="1" customWidth="1"/>
    <col min="7" max="7" width="8.5703125" style="154" bestFit="1" customWidth="1"/>
    <col min="8" max="8" width="18.5703125" style="154" bestFit="1" customWidth="1"/>
    <col min="9" max="9" width="9" style="154" bestFit="1" customWidth="1"/>
    <col min="10" max="10" width="9.42578125" style="154" customWidth="1"/>
    <col min="11" max="11" width="11" style="154" bestFit="1" customWidth="1"/>
    <col min="12" max="20" width="8.5703125" style="154" bestFit="1" customWidth="1"/>
    <col min="21" max="21" width="6" style="154" bestFit="1" customWidth="1"/>
    <col min="22" max="34" width="8.5703125" style="154" bestFit="1" customWidth="1"/>
    <col min="35" max="35" width="13.28515625" style="154" bestFit="1" customWidth="1"/>
    <col min="36" max="36" width="15.7109375" style="154" bestFit="1" customWidth="1"/>
    <col min="37" max="37" width="16.28515625" style="154" bestFit="1" customWidth="1"/>
    <col min="38" max="38" width="15.42578125" style="154" bestFit="1" customWidth="1"/>
    <col min="39" max="39" width="15.85546875" style="154" bestFit="1" customWidth="1"/>
    <col min="40" max="40" width="16.28515625" style="154" bestFit="1" customWidth="1"/>
    <col min="41" max="41" width="10" style="154" bestFit="1" customWidth="1"/>
    <col min="42" max="42" width="13.85546875" style="154" bestFit="1" customWidth="1"/>
    <col min="43" max="43" width="11.140625" style="154" bestFit="1" customWidth="1"/>
    <col min="44" max="44" width="10.28515625" style="154" bestFit="1" customWidth="1"/>
    <col min="45" max="45" width="12.5703125" style="158" bestFit="1" customWidth="1"/>
    <col min="46" max="46" width="9.5703125" style="154" bestFit="1" customWidth="1"/>
    <col min="47" max="47" width="10.7109375" style="154" customWidth="1"/>
    <col min="48" max="48" width="16.28515625" style="154" bestFit="1" customWidth="1"/>
    <col min="49" max="50" width="16.140625" style="154" bestFit="1" customWidth="1"/>
    <col min="51" max="51" width="2.28515625" style="154" customWidth="1"/>
    <col min="52" max="52" width="16.42578125" style="154" bestFit="1" customWidth="1"/>
    <col min="53" max="53" width="12" style="154" bestFit="1" customWidth="1"/>
    <col min="54" max="54" width="12.85546875" style="154" bestFit="1" customWidth="1"/>
    <col min="55" max="55" width="1.5703125" style="154" customWidth="1"/>
    <col min="56" max="56" width="12.7109375" style="154" bestFit="1" customWidth="1"/>
    <col min="57" max="57" width="13.42578125" style="154" bestFit="1" customWidth="1"/>
    <col min="58" max="58" width="20.42578125" style="154" bestFit="1" customWidth="1"/>
    <col min="59" max="59" width="9.5703125" style="154" bestFit="1" customWidth="1"/>
    <col min="60" max="60" width="14.85546875" style="154" bestFit="1" customWidth="1"/>
    <col min="61" max="61" width="10.7109375" style="154" bestFit="1" customWidth="1"/>
    <col min="62" max="62" width="1.85546875" style="154" customWidth="1"/>
    <col min="63" max="63" width="20.28515625" style="154" bestFit="1" customWidth="1"/>
    <col min="64" max="64" width="25.42578125" style="154" bestFit="1" customWidth="1"/>
    <col min="65" max="65" width="14.140625" style="154" bestFit="1" customWidth="1"/>
    <col min="66" max="66" width="18.140625" style="154" bestFit="1" customWidth="1"/>
    <col min="67" max="67" width="2.140625" style="154" customWidth="1"/>
    <col min="68" max="68" width="9.28515625" style="154" bestFit="1" customWidth="1"/>
    <col min="69" max="69" width="13" style="154" bestFit="1" customWidth="1"/>
    <col min="70" max="70" width="14.140625" style="154" bestFit="1" customWidth="1"/>
    <col min="71" max="71" width="13.85546875" style="154" bestFit="1" customWidth="1"/>
    <col min="72" max="72" width="8" style="154" bestFit="1" customWidth="1"/>
    <col min="73" max="73" width="2.140625" style="154" customWidth="1"/>
    <col min="74" max="74" width="18.5703125" style="154" bestFit="1" customWidth="1"/>
    <col min="75" max="75" width="14.5703125" style="154" bestFit="1" customWidth="1"/>
    <col min="76" max="76" width="18.5703125" style="154" bestFit="1" customWidth="1"/>
    <col min="77" max="77" width="19" style="154" bestFit="1" customWidth="1"/>
    <col min="78" max="78" width="18.140625" style="154" bestFit="1" customWidth="1"/>
    <col min="79" max="79" width="18.7109375" style="154" bestFit="1" customWidth="1"/>
    <col min="80" max="80" width="1.85546875" style="154" customWidth="1"/>
    <col min="81" max="81" width="4.85546875" style="154" bestFit="1" customWidth="1"/>
    <col min="82" max="82" width="5.140625" style="154" bestFit="1" customWidth="1"/>
    <col min="83" max="83" width="6" style="154" bestFit="1" customWidth="1"/>
    <col min="84" max="84" width="4.85546875" style="154" bestFit="1" customWidth="1"/>
    <col min="85" max="85" width="8.5703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175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0" si="0">+TEXT(A4,"DDD")</f>
        <v>Thu</v>
      </c>
      <c r="C4" s="98"/>
      <c r="D4" s="98"/>
      <c r="E4" s="103"/>
      <c r="F4" s="98"/>
      <c r="G4" s="98"/>
      <c r="H4" s="104"/>
      <c r="I4" s="104"/>
      <c r="J4" s="105"/>
      <c r="K4" s="106"/>
      <c r="L4" s="98"/>
      <c r="M4" s="98"/>
      <c r="N4" s="98"/>
      <c r="O4" s="98"/>
      <c r="P4" s="103"/>
      <c r="Q4" s="98"/>
      <c r="R4" s="98"/>
      <c r="S4" s="98"/>
      <c r="T4" s="98"/>
      <c r="U4" s="98"/>
      <c r="V4" s="103"/>
      <c r="W4" s="103"/>
      <c r="X4" s="98"/>
      <c r="Y4" s="98"/>
      <c r="Z4" s="98"/>
      <c r="AA4" s="98"/>
      <c r="AB4" s="98"/>
      <c r="AC4" s="98"/>
      <c r="AD4" s="98"/>
      <c r="AE4" s="98"/>
      <c r="AF4" s="103"/>
      <c r="AG4" s="103"/>
      <c r="AH4" s="98"/>
      <c r="AI4" s="107"/>
      <c r="AJ4" s="108"/>
      <c r="AK4" s="107"/>
      <c r="AL4" s="99"/>
      <c r="AM4" s="99"/>
      <c r="AN4" s="99"/>
      <c r="AO4" s="99"/>
      <c r="AP4" s="99"/>
      <c r="AQ4" s="99"/>
      <c r="AR4" s="99"/>
      <c r="AS4" s="99"/>
      <c r="AT4" s="100"/>
      <c r="AU4" s="100"/>
      <c r="AV4" s="101"/>
      <c r="AW4" s="100"/>
      <c r="AX4" s="102" t="str">
        <f>IFERROR(AN4/AW4,"-")</f>
        <v>-</v>
      </c>
      <c r="AY4" s="151"/>
      <c r="AZ4" s="116" t="str">
        <f t="shared" ref="AZ4:AZ37" si="1">IF(E4&gt;0,F4/E4,"")</f>
        <v/>
      </c>
      <c r="BA4" s="117" t="str">
        <f t="shared" ref="BA4:BA37" si="2">+IF(E4&gt;0,G4/E4,"")</f>
        <v/>
      </c>
      <c r="BB4" s="116" t="str">
        <f t="shared" ref="BB4:BB37" si="3">+IF(E4&gt;0,AJ4/E4,"")</f>
        <v/>
      </c>
      <c r="BC4" s="151"/>
      <c r="BD4" s="118" t="str">
        <f t="shared" ref="BD4:BD37" si="4">+IF(G4&gt;0,I4/G4,"")</f>
        <v/>
      </c>
      <c r="BE4" s="119" t="str">
        <f t="shared" ref="BE4:BE37" si="5">+IF(G4&gt;0,J4/G4,"")</f>
        <v/>
      </c>
      <c r="BF4" s="119" t="str">
        <f t="shared" ref="BF4:BF37" si="6">+IF(I4&gt;0,L4/I4,"")</f>
        <v/>
      </c>
      <c r="BG4" s="119" t="str">
        <f>+IF(SUM(AO4:AR4)&gt;0,AO4/AN4,"")</f>
        <v/>
      </c>
      <c r="BH4" s="119" t="str">
        <f t="shared" ref="BH4:BH37" si="7">+IF(G4&gt;0,K4/G4,"")</f>
        <v/>
      </c>
      <c r="BI4" s="120" t="str">
        <f>+IF(SUM(AO4:AR4)&gt;0,AQ4/AN4,"")</f>
        <v/>
      </c>
      <c r="BJ4" s="151"/>
      <c r="BK4" s="121" t="str">
        <f t="shared" ref="BK4:BK37" si="8">+IF(E4&gt;0,(AJ4/E4),"")</f>
        <v/>
      </c>
      <c r="BL4" s="122" t="str">
        <f t="shared" ref="BL4:BL37" si="9">+IF(E4&gt;0,(AJ4/F4),"")</f>
        <v/>
      </c>
      <c r="BM4" s="122" t="str">
        <f t="shared" ref="BM4:BM37" si="10">+IF(E4&gt;0,(AJ4/G4),"")</f>
        <v/>
      </c>
      <c r="BN4" s="123" t="str">
        <f t="shared" ref="BN4:BN37" si="11">+IF(E4&gt;0,(AJ4/J4),"")</f>
        <v/>
      </c>
      <c r="BO4" s="151"/>
      <c r="BP4" s="124" t="str">
        <f t="shared" ref="BP4:BP37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7" si="13">IF(J4&gt;0,AD4/J4,"")</f>
        <v/>
      </c>
      <c r="BU4" s="151"/>
      <c r="BV4" s="127" t="str">
        <f t="shared" ref="BV4:BV37" si="14">IF(AN4&gt;0,(E4/AN4),"")</f>
        <v/>
      </c>
      <c r="BW4" s="127" t="str">
        <f t="shared" ref="BW4:BW37" si="15">IF(AN4&gt;0,(G4/AN4),"")</f>
        <v/>
      </c>
      <c r="BX4" s="127" t="str">
        <f t="shared" ref="BX4:BX37" si="16">IF(AN4&gt;0,(J4/AN4),"")</f>
        <v/>
      </c>
      <c r="BY4" s="127" t="str">
        <f t="shared" ref="BY4:BY37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51"/>
      <c r="CC4" s="129" t="str">
        <f t="shared" ref="CC4:CC37" si="18">IFERROR(((AN4-AO4)*3600)/J4,"-")</f>
        <v>-</v>
      </c>
      <c r="CD4" s="130" t="str">
        <f t="shared" ref="CD4:CD37" si="19">IFERROR((AR4*3600)/J4,"-")</f>
        <v>-</v>
      </c>
      <c r="CE4" s="130" t="str">
        <f t="shared" ref="CE4:CE37" si="20">IFERROR((AQ4*3600)/J4,"-")</f>
        <v>-</v>
      </c>
      <c r="CF4" s="130" t="str">
        <f t="shared" ref="CF4:CF37" si="21">IFERROR((AO4*3600)/J4,"-")</f>
        <v>-</v>
      </c>
      <c r="CG4" s="131" t="str">
        <f t="shared" ref="CG4:CG37" si="22">IFERROR((AP4*3600)/J4,"-")</f>
        <v>-</v>
      </c>
      <c r="CH4" s="151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99"/>
      <c r="AM5" s="99"/>
      <c r="AN5" s="99"/>
      <c r="AO5" s="99"/>
      <c r="AP5" s="99"/>
      <c r="AQ5" s="99"/>
      <c r="AR5" s="99"/>
      <c r="AS5" s="99"/>
      <c r="AT5" s="100"/>
      <c r="AU5" s="100"/>
      <c r="AV5" s="101"/>
      <c r="AW5" s="100"/>
      <c r="AX5" s="102" t="str">
        <f t="shared" ref="AX5:AX37" si="23">IFERROR(AN5/AW5,"-")</f>
        <v>-</v>
      </c>
      <c r="AY5" s="151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51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ref="BG5:BG37" si="24">+IF(SUM(AO5:AR5)&gt;0,AO5/AN5,"")</f>
        <v/>
      </c>
      <c r="BH5" s="119" t="str">
        <f t="shared" si="7"/>
        <v/>
      </c>
      <c r="BI5" s="120" t="str">
        <f t="shared" ref="BI5:BI37" si="25">+IF(SUM(AO5:AR5)&gt;0,AQ5/AN5,"")</f>
        <v/>
      </c>
      <c r="BJ5" s="151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51"/>
      <c r="BP5" s="124" t="str">
        <f t="shared" si="12"/>
        <v/>
      </c>
      <c r="BQ5" s="125">
        <v>0</v>
      </c>
      <c r="BR5" s="125" t="str">
        <f t="shared" ref="BR5:BR37" si="26">IF(AJ5&gt;0,(AK5/AJ5),"")</f>
        <v/>
      </c>
      <c r="BS5" s="125" t="str">
        <f t="shared" ref="BS5:BS37" si="27">IF(AJ5&gt;0,(AK5/AJ5),"")</f>
        <v/>
      </c>
      <c r="BT5" s="126" t="str">
        <f t="shared" si="13"/>
        <v/>
      </c>
      <c r="BU5" s="151"/>
      <c r="BV5" s="132" t="str">
        <f t="shared" si="14"/>
        <v/>
      </c>
      <c r="BW5" s="127" t="str">
        <f t="shared" si="15"/>
        <v/>
      </c>
      <c r="BX5" s="127" t="str">
        <f t="shared" si="16"/>
        <v/>
      </c>
      <c r="BY5" s="127" t="str">
        <f t="shared" si="17"/>
        <v/>
      </c>
      <c r="BZ5" s="127" t="str">
        <f t="shared" ref="BZ5:BZ37" si="28">IF(AN5&gt;0,(AJ5/AN5),"")</f>
        <v/>
      </c>
      <c r="CA5" s="128" t="str">
        <f t="shared" ref="CA5:CA37" si="29">IF(AN5&gt;0,(AK5/AN5),"")</f>
        <v/>
      </c>
      <c r="CB5" s="151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51"/>
    </row>
    <row r="6" spans="1:86" s="115" customFormat="1" ht="12.4" customHeight="1" thickBot="1" x14ac:dyDescent="0.25">
      <c r="A6" s="96">
        <f t="shared" ref="A6:A35" si="30">A5+1</f>
        <v>46298</v>
      </c>
      <c r="B6" s="97" t="str">
        <f t="shared" si="0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99"/>
      <c r="AM6" s="99"/>
      <c r="AN6" s="99"/>
      <c r="AO6" s="99"/>
      <c r="AP6" s="99"/>
      <c r="AQ6" s="99"/>
      <c r="AR6" s="99"/>
      <c r="AS6" s="99"/>
      <c r="AT6" s="100"/>
      <c r="AU6" s="100"/>
      <c r="AV6" s="101"/>
      <c r="AW6" s="100"/>
      <c r="AX6" s="102" t="str">
        <f t="shared" si="23"/>
        <v>-</v>
      </c>
      <c r="AY6" s="151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51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24"/>
        <v/>
      </c>
      <c r="BH6" s="119" t="str">
        <f t="shared" si="7"/>
        <v/>
      </c>
      <c r="BI6" s="120" t="str">
        <f t="shared" si="25"/>
        <v/>
      </c>
      <c r="BJ6" s="151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51"/>
      <c r="BP6" s="124" t="str">
        <f t="shared" si="12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3"/>
        <v/>
      </c>
      <c r="BU6" s="151"/>
      <c r="BV6" s="132" t="str">
        <f t="shared" si="14"/>
        <v/>
      </c>
      <c r="BW6" s="127" t="str">
        <f t="shared" si="15"/>
        <v/>
      </c>
      <c r="BX6" s="127" t="str">
        <f t="shared" si="16"/>
        <v/>
      </c>
      <c r="BY6" s="127" t="str">
        <f t="shared" si="17"/>
        <v/>
      </c>
      <c r="BZ6" s="127" t="str">
        <f t="shared" si="28"/>
        <v/>
      </c>
      <c r="CA6" s="128" t="str">
        <f t="shared" si="29"/>
        <v/>
      </c>
      <c r="CB6" s="151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51"/>
    </row>
    <row r="7" spans="1:86" s="115" customFormat="1" ht="12.4" customHeight="1" thickBot="1" x14ac:dyDescent="0.25">
      <c r="A7" s="96">
        <f t="shared" si="30"/>
        <v>46299</v>
      </c>
      <c r="B7" s="97" t="str">
        <f t="shared" si="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99"/>
      <c r="AM7" s="99"/>
      <c r="AN7" s="99"/>
      <c r="AO7" s="99"/>
      <c r="AP7" s="99"/>
      <c r="AQ7" s="99"/>
      <c r="AR7" s="99"/>
      <c r="AS7" s="99"/>
      <c r="AT7" s="100"/>
      <c r="AU7" s="100"/>
      <c r="AV7" s="101"/>
      <c r="AW7" s="100"/>
      <c r="AX7" s="102" t="str">
        <f t="shared" si="23"/>
        <v>-</v>
      </c>
      <c r="AY7" s="151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51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24"/>
        <v/>
      </c>
      <c r="BH7" s="119" t="str">
        <f t="shared" si="7"/>
        <v/>
      </c>
      <c r="BI7" s="120" t="str">
        <f t="shared" si="25"/>
        <v/>
      </c>
      <c r="BJ7" s="151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51"/>
      <c r="BP7" s="124" t="str">
        <f t="shared" si="12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3"/>
        <v/>
      </c>
      <c r="BU7" s="151"/>
      <c r="BV7" s="132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si="28"/>
        <v/>
      </c>
      <c r="CA7" s="128" t="str">
        <f t="shared" si="29"/>
        <v/>
      </c>
      <c r="CB7" s="151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51"/>
    </row>
    <row r="8" spans="1:86" s="115" customFormat="1" ht="12.4" customHeight="1" thickBot="1" x14ac:dyDescent="0.25">
      <c r="A8" s="96">
        <f t="shared" si="30"/>
        <v>46300</v>
      </c>
      <c r="B8" s="97" t="str">
        <f t="shared" si="0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99"/>
      <c r="AM8" s="99"/>
      <c r="AN8" s="99"/>
      <c r="AO8" s="99"/>
      <c r="AP8" s="99"/>
      <c r="AQ8" s="99"/>
      <c r="AR8" s="99"/>
      <c r="AS8" s="99"/>
      <c r="AT8" s="100"/>
      <c r="AU8" s="100"/>
      <c r="AV8" s="101"/>
      <c r="AW8" s="100"/>
      <c r="AX8" s="102" t="str">
        <f t="shared" si="23"/>
        <v>-</v>
      </c>
      <c r="AY8" s="151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51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24"/>
        <v/>
      </c>
      <c r="BH8" s="119" t="str">
        <f t="shared" si="7"/>
        <v/>
      </c>
      <c r="BI8" s="120" t="str">
        <f t="shared" si="25"/>
        <v/>
      </c>
      <c r="BJ8" s="151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51"/>
      <c r="BP8" s="124" t="str">
        <f t="shared" si="12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3"/>
        <v/>
      </c>
      <c r="BU8" s="151"/>
      <c r="BV8" s="132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 t="shared" si="28"/>
        <v/>
      </c>
      <c r="CA8" s="128" t="str">
        <f t="shared" si="29"/>
        <v/>
      </c>
      <c r="CB8" s="151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51"/>
    </row>
    <row r="9" spans="1:86" s="115" customFormat="1" ht="12.4" customHeight="1" thickBot="1" x14ac:dyDescent="0.25">
      <c r="A9" s="96">
        <f t="shared" si="30"/>
        <v>46301</v>
      </c>
      <c r="B9" s="97" t="str">
        <f t="shared" si="0"/>
        <v>Tue</v>
      </c>
      <c r="C9" s="98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99"/>
      <c r="AM9" s="99"/>
      <c r="AN9" s="99"/>
      <c r="AO9" s="99"/>
      <c r="AP9" s="99"/>
      <c r="AQ9" s="99"/>
      <c r="AR9" s="99"/>
      <c r="AS9" s="99"/>
      <c r="AT9" s="100"/>
      <c r="AU9" s="100"/>
      <c r="AV9" s="101"/>
      <c r="AW9" s="100"/>
      <c r="AX9" s="102" t="str">
        <f t="shared" si="23"/>
        <v>-</v>
      </c>
      <c r="AY9" s="151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51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24"/>
        <v/>
      </c>
      <c r="BH9" s="119" t="str">
        <f t="shared" si="7"/>
        <v/>
      </c>
      <c r="BI9" s="120" t="str">
        <f t="shared" si="25"/>
        <v/>
      </c>
      <c r="BJ9" s="151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51"/>
      <c r="BP9" s="124" t="str">
        <f t="shared" si="12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3"/>
        <v/>
      </c>
      <c r="BU9" s="151"/>
      <c r="BV9" s="132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 t="shared" si="28"/>
        <v/>
      </c>
      <c r="CA9" s="128" t="str">
        <f t="shared" si="29"/>
        <v/>
      </c>
      <c r="CB9" s="151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51"/>
    </row>
    <row r="10" spans="1:86" s="115" customFormat="1" ht="12.4" customHeight="1" thickBot="1" x14ac:dyDescent="0.25">
      <c r="A10" s="96">
        <f t="shared" si="30"/>
        <v>46302</v>
      </c>
      <c r="B10" s="97" t="str">
        <f>+TEXT(A10,"DDD")</f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99"/>
      <c r="AM10" s="99"/>
      <c r="AN10" s="99"/>
      <c r="AO10" s="99"/>
      <c r="AP10" s="99"/>
      <c r="AQ10" s="99"/>
      <c r="AR10" s="99"/>
      <c r="AS10" s="99"/>
      <c r="AT10" s="100"/>
      <c r="AU10" s="100"/>
      <c r="AV10" s="101"/>
      <c r="AW10" s="100"/>
      <c r="AX10" s="102" t="str">
        <f t="shared" si="23"/>
        <v>-</v>
      </c>
      <c r="AY10" s="151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51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4"/>
        <v/>
      </c>
      <c r="BH10" s="119" t="str">
        <f t="shared" si="7"/>
        <v/>
      </c>
      <c r="BI10" s="120" t="str">
        <f t="shared" si="25"/>
        <v/>
      </c>
      <c r="BJ10" s="151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51"/>
      <c r="BP10" s="124" t="str">
        <f t="shared" si="12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3"/>
        <v/>
      </c>
      <c r="BU10" s="151"/>
      <c r="BV10" s="132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8"/>
        <v/>
      </c>
      <c r="CA10" s="128" t="str">
        <f t="shared" si="29"/>
        <v/>
      </c>
      <c r="CB10" s="151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51"/>
    </row>
    <row r="11" spans="1:86" s="115" customFormat="1" ht="12.4" customHeight="1" thickBot="1" x14ac:dyDescent="0.25">
      <c r="A11" s="96">
        <f t="shared" si="30"/>
        <v>46303</v>
      </c>
      <c r="B11" s="97" t="str">
        <f>+TEXT(A11,"DDD")</f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99"/>
      <c r="AM11" s="99"/>
      <c r="AN11" s="99"/>
      <c r="AO11" s="99"/>
      <c r="AP11" s="99"/>
      <c r="AQ11" s="99"/>
      <c r="AR11" s="99"/>
      <c r="AS11" s="99"/>
      <c r="AT11" s="100"/>
      <c r="AU11" s="100"/>
      <c r="AV11" s="101"/>
      <c r="AW11" s="100"/>
      <c r="AX11" s="102" t="str">
        <f t="shared" si="23"/>
        <v>-</v>
      </c>
      <c r="AY11" s="151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51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4"/>
        <v/>
      </c>
      <c r="BH11" s="119" t="str">
        <f t="shared" si="7"/>
        <v/>
      </c>
      <c r="BI11" s="120" t="str">
        <f t="shared" si="25"/>
        <v/>
      </c>
      <c r="BJ11" s="151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51"/>
      <c r="BP11" s="124" t="str">
        <f t="shared" si="12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3"/>
        <v/>
      </c>
      <c r="BU11" s="151"/>
      <c r="BV11" s="132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8"/>
        <v/>
      </c>
      <c r="CA11" s="128" t="str">
        <f t="shared" si="29"/>
        <v/>
      </c>
      <c r="CB11" s="151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51"/>
    </row>
    <row r="12" spans="1:86" s="115" customFormat="1" ht="12.4" customHeight="1" thickBot="1" x14ac:dyDescent="0.25">
      <c r="A12" s="96">
        <f t="shared" si="30"/>
        <v>46304</v>
      </c>
      <c r="B12" s="97" t="str">
        <f>+TEXT(A12,"DDD")</f>
        <v>Fri</v>
      </c>
      <c r="C12" s="98"/>
      <c r="D12" s="98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99"/>
      <c r="AM12" s="99"/>
      <c r="AN12" s="99"/>
      <c r="AO12" s="99"/>
      <c r="AP12" s="99"/>
      <c r="AQ12" s="99"/>
      <c r="AR12" s="99"/>
      <c r="AS12" s="99"/>
      <c r="AT12" s="100"/>
      <c r="AU12" s="100"/>
      <c r="AV12" s="101"/>
      <c r="AW12" s="100"/>
      <c r="AX12" s="102" t="str">
        <f t="shared" si="23"/>
        <v>-</v>
      </c>
      <c r="AY12" s="151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51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4"/>
        <v/>
      </c>
      <c r="BH12" s="119" t="str">
        <f t="shared" si="7"/>
        <v/>
      </c>
      <c r="BI12" s="120" t="str">
        <f t="shared" si="25"/>
        <v/>
      </c>
      <c r="BJ12" s="151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51"/>
      <c r="BP12" s="124" t="str">
        <f t="shared" si="12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3"/>
        <v/>
      </c>
      <c r="BU12" s="151"/>
      <c r="BV12" s="132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8"/>
        <v/>
      </c>
      <c r="CA12" s="128" t="str">
        <f t="shared" si="29"/>
        <v/>
      </c>
      <c r="CB12" s="151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51"/>
    </row>
    <row r="13" spans="1:86" s="115" customFormat="1" ht="12.4" customHeight="1" thickBot="1" x14ac:dyDescent="0.25">
      <c r="A13" s="96">
        <f t="shared" si="30"/>
        <v>46305</v>
      </c>
      <c r="B13" s="97" t="str">
        <f>+TEXT(A13,"DDD")</f>
        <v>Sat</v>
      </c>
      <c r="C13" s="98"/>
      <c r="D13" s="98"/>
      <c r="E13" s="103"/>
      <c r="F13" s="98"/>
      <c r="G13" s="98"/>
      <c r="H13" s="104"/>
      <c r="I13" s="104"/>
      <c r="J13" s="105"/>
      <c r="K13" s="106"/>
      <c r="L13" s="98"/>
      <c r="M13" s="98"/>
      <c r="N13" s="98"/>
      <c r="O13" s="98"/>
      <c r="P13" s="103"/>
      <c r="Q13" s="98"/>
      <c r="R13" s="98"/>
      <c r="S13" s="98"/>
      <c r="T13" s="98"/>
      <c r="U13" s="98"/>
      <c r="V13" s="103"/>
      <c r="W13" s="103"/>
      <c r="X13" s="98"/>
      <c r="Y13" s="98"/>
      <c r="Z13" s="98"/>
      <c r="AA13" s="98"/>
      <c r="AB13" s="98"/>
      <c r="AC13" s="98"/>
      <c r="AD13" s="98"/>
      <c r="AE13" s="98"/>
      <c r="AF13" s="103"/>
      <c r="AG13" s="103"/>
      <c r="AH13" s="98"/>
      <c r="AI13" s="107"/>
      <c r="AJ13" s="108"/>
      <c r="AK13" s="107"/>
      <c r="AL13" s="99"/>
      <c r="AM13" s="99"/>
      <c r="AN13" s="99"/>
      <c r="AO13" s="99"/>
      <c r="AP13" s="99"/>
      <c r="AQ13" s="99"/>
      <c r="AR13" s="99"/>
      <c r="AS13" s="99"/>
      <c r="AT13" s="100"/>
      <c r="AU13" s="100"/>
      <c r="AV13" s="101"/>
      <c r="AW13" s="100"/>
      <c r="AX13" s="102" t="str">
        <f t="shared" si="23"/>
        <v>-</v>
      </c>
      <c r="AY13" s="151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51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4"/>
        <v/>
      </c>
      <c r="BH13" s="119" t="str">
        <f t="shared" si="7"/>
        <v/>
      </c>
      <c r="BI13" s="120" t="str">
        <f t="shared" si="25"/>
        <v/>
      </c>
      <c r="BJ13" s="151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51"/>
      <c r="BP13" s="124" t="str">
        <f t="shared" si="12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3"/>
        <v/>
      </c>
      <c r="BU13" s="151"/>
      <c r="BV13" s="132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8"/>
        <v/>
      </c>
      <c r="CA13" s="128" t="str">
        <f t="shared" si="29"/>
        <v/>
      </c>
      <c r="CB13" s="151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51"/>
    </row>
    <row r="14" spans="1:86" s="115" customFormat="1" ht="12.4" customHeight="1" thickBot="1" x14ac:dyDescent="0.25">
      <c r="A14" s="96">
        <f t="shared" si="30"/>
        <v>46306</v>
      </c>
      <c r="B14" s="97" t="str">
        <f t="shared" si="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98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99"/>
      <c r="AM14" s="99"/>
      <c r="AN14" s="99"/>
      <c r="AO14" s="99"/>
      <c r="AP14" s="99"/>
      <c r="AQ14" s="99"/>
      <c r="AR14" s="99"/>
      <c r="AS14" s="99"/>
      <c r="AT14" s="100"/>
      <c r="AU14" s="100"/>
      <c r="AV14" s="101"/>
      <c r="AW14" s="100"/>
      <c r="AX14" s="102" t="str">
        <f t="shared" si="23"/>
        <v>-</v>
      </c>
      <c r="AY14" s="151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51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4"/>
        <v/>
      </c>
      <c r="BH14" s="119" t="str">
        <f t="shared" si="7"/>
        <v/>
      </c>
      <c r="BI14" s="120" t="str">
        <f t="shared" si="25"/>
        <v/>
      </c>
      <c r="BJ14" s="151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51"/>
      <c r="BP14" s="124" t="str">
        <f t="shared" si="12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3"/>
        <v/>
      </c>
      <c r="BU14" s="151"/>
      <c r="BV14" s="132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8"/>
        <v/>
      </c>
      <c r="CA14" s="128" t="str">
        <f t="shared" si="29"/>
        <v/>
      </c>
      <c r="CB14" s="151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51"/>
    </row>
    <row r="15" spans="1:86" s="115" customFormat="1" ht="12.4" customHeight="1" thickBot="1" x14ac:dyDescent="0.25">
      <c r="A15" s="96">
        <f t="shared" si="30"/>
        <v>46307</v>
      </c>
      <c r="B15" s="97" t="str">
        <f t="shared" si="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98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99"/>
      <c r="AM15" s="99"/>
      <c r="AN15" s="99"/>
      <c r="AO15" s="99"/>
      <c r="AP15" s="99"/>
      <c r="AQ15" s="99"/>
      <c r="AR15" s="99"/>
      <c r="AS15" s="99"/>
      <c r="AT15" s="100"/>
      <c r="AU15" s="100"/>
      <c r="AV15" s="101"/>
      <c r="AW15" s="100"/>
      <c r="AX15" s="102" t="str">
        <f t="shared" si="23"/>
        <v>-</v>
      </c>
      <c r="AY15" s="151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51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24"/>
        <v/>
      </c>
      <c r="BH15" s="119" t="str">
        <f t="shared" si="7"/>
        <v/>
      </c>
      <c r="BI15" s="120" t="str">
        <f t="shared" si="25"/>
        <v/>
      </c>
      <c r="BJ15" s="151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51"/>
      <c r="BP15" s="124" t="str">
        <f t="shared" si="12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3"/>
        <v/>
      </c>
      <c r="BU15" s="151"/>
      <c r="BV15" s="132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 t="shared" si="28"/>
        <v/>
      </c>
      <c r="CA15" s="128" t="str">
        <f t="shared" si="29"/>
        <v/>
      </c>
      <c r="CB15" s="151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51"/>
    </row>
    <row r="16" spans="1:86" s="115" customFormat="1" ht="12.4" customHeight="1" thickBot="1" x14ac:dyDescent="0.25">
      <c r="A16" s="96">
        <f t="shared" si="30"/>
        <v>46308</v>
      </c>
      <c r="B16" s="97" t="str">
        <f t="shared" si="0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99"/>
      <c r="AM16" s="99"/>
      <c r="AN16" s="99"/>
      <c r="AO16" s="99"/>
      <c r="AP16" s="99"/>
      <c r="AQ16" s="99"/>
      <c r="AR16" s="99"/>
      <c r="AS16" s="99"/>
      <c r="AT16" s="100"/>
      <c r="AU16" s="100"/>
      <c r="AV16" s="101"/>
      <c r="AW16" s="100"/>
      <c r="AX16" s="102" t="str">
        <f t="shared" si="23"/>
        <v>-</v>
      </c>
      <c r="AY16" s="151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51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24"/>
        <v/>
      </c>
      <c r="BH16" s="119" t="str">
        <f t="shared" si="7"/>
        <v/>
      </c>
      <c r="BI16" s="120" t="str">
        <f t="shared" si="25"/>
        <v/>
      </c>
      <c r="BJ16" s="151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51"/>
      <c r="BP16" s="124" t="str">
        <f t="shared" si="12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3"/>
        <v/>
      </c>
      <c r="BU16" s="151"/>
      <c r="BV16" s="132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 t="shared" si="28"/>
        <v/>
      </c>
      <c r="CA16" s="128" t="str">
        <f t="shared" si="29"/>
        <v/>
      </c>
      <c r="CB16" s="151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51"/>
    </row>
    <row r="17" spans="1:86" s="115" customFormat="1" ht="12.4" customHeight="1" thickBot="1" x14ac:dyDescent="0.25">
      <c r="A17" s="96">
        <f t="shared" si="30"/>
        <v>46309</v>
      </c>
      <c r="B17" s="97" t="str">
        <f t="shared" si="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99"/>
      <c r="AM17" s="99"/>
      <c r="AN17" s="99"/>
      <c r="AO17" s="99"/>
      <c r="AP17" s="99"/>
      <c r="AQ17" s="99"/>
      <c r="AR17" s="99"/>
      <c r="AS17" s="99"/>
      <c r="AT17" s="100"/>
      <c r="AU17" s="100"/>
      <c r="AV17" s="101"/>
      <c r="AW17" s="100"/>
      <c r="AX17" s="102" t="str">
        <f t="shared" si="23"/>
        <v>-</v>
      </c>
      <c r="AY17" s="151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51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4"/>
        <v/>
      </c>
      <c r="BH17" s="119" t="str">
        <f t="shared" si="7"/>
        <v/>
      </c>
      <c r="BI17" s="120" t="str">
        <f t="shared" si="25"/>
        <v/>
      </c>
      <c r="BJ17" s="151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51"/>
      <c r="BP17" s="124" t="str">
        <f t="shared" si="12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3"/>
        <v/>
      </c>
      <c r="BU17" s="151"/>
      <c r="BV17" s="132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8"/>
        <v/>
      </c>
      <c r="CA17" s="128" t="str">
        <f t="shared" si="29"/>
        <v/>
      </c>
      <c r="CB17" s="151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51"/>
    </row>
    <row r="18" spans="1:86" s="115" customFormat="1" ht="12.4" customHeight="1" thickBot="1" x14ac:dyDescent="0.25">
      <c r="A18" s="96">
        <f t="shared" si="30"/>
        <v>46310</v>
      </c>
      <c r="B18" s="97" t="str">
        <f t="shared" si="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99"/>
      <c r="AM18" s="99"/>
      <c r="AN18" s="99"/>
      <c r="AO18" s="99"/>
      <c r="AP18" s="99"/>
      <c r="AQ18" s="99"/>
      <c r="AR18" s="99"/>
      <c r="AS18" s="99"/>
      <c r="AT18" s="100"/>
      <c r="AU18" s="100"/>
      <c r="AV18" s="101"/>
      <c r="AW18" s="100"/>
      <c r="AX18" s="102" t="str">
        <f t="shared" si="23"/>
        <v>-</v>
      </c>
      <c r="AY18" s="151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51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4"/>
        <v/>
      </c>
      <c r="BH18" s="119" t="str">
        <f t="shared" si="7"/>
        <v/>
      </c>
      <c r="BI18" s="120" t="str">
        <f t="shared" si="25"/>
        <v/>
      </c>
      <c r="BJ18" s="151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51"/>
      <c r="BP18" s="124" t="str">
        <f t="shared" si="12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3"/>
        <v/>
      </c>
      <c r="BU18" s="151"/>
      <c r="BV18" s="132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8"/>
        <v/>
      </c>
      <c r="CA18" s="128" t="str">
        <f t="shared" si="29"/>
        <v/>
      </c>
      <c r="CB18" s="151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51"/>
    </row>
    <row r="19" spans="1:86" s="115" customFormat="1" ht="12.4" customHeight="1" thickBot="1" x14ac:dyDescent="0.25">
      <c r="A19" s="96">
        <f t="shared" si="30"/>
        <v>46311</v>
      </c>
      <c r="B19" s="97" t="str">
        <f t="shared" si="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99"/>
      <c r="AM19" s="99"/>
      <c r="AN19" s="99"/>
      <c r="AO19" s="99"/>
      <c r="AP19" s="99"/>
      <c r="AQ19" s="99"/>
      <c r="AR19" s="99"/>
      <c r="AS19" s="99"/>
      <c r="AT19" s="100"/>
      <c r="AU19" s="100"/>
      <c r="AV19" s="101"/>
      <c r="AW19" s="100"/>
      <c r="AX19" s="102" t="str">
        <f t="shared" si="23"/>
        <v>-</v>
      </c>
      <c r="AY19" s="151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51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4"/>
        <v/>
      </c>
      <c r="BH19" s="119" t="str">
        <f t="shared" si="7"/>
        <v/>
      </c>
      <c r="BI19" s="120" t="str">
        <f t="shared" si="25"/>
        <v/>
      </c>
      <c r="BJ19" s="151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51"/>
      <c r="BP19" s="124" t="str">
        <f t="shared" si="12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3"/>
        <v/>
      </c>
      <c r="BU19" s="151"/>
      <c r="BV19" s="132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8"/>
        <v/>
      </c>
      <c r="CA19" s="128" t="str">
        <f t="shared" si="29"/>
        <v/>
      </c>
      <c r="CB19" s="151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51"/>
    </row>
    <row r="20" spans="1:86" s="115" customFormat="1" ht="12.4" customHeight="1" thickBot="1" x14ac:dyDescent="0.25">
      <c r="A20" s="96">
        <f t="shared" si="30"/>
        <v>46312</v>
      </c>
      <c r="B20" s="97" t="str">
        <f t="shared" si="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99"/>
      <c r="AM20" s="99"/>
      <c r="AN20" s="99"/>
      <c r="AO20" s="99"/>
      <c r="AP20" s="99"/>
      <c r="AQ20" s="99"/>
      <c r="AR20" s="99"/>
      <c r="AS20" s="99"/>
      <c r="AT20" s="100"/>
      <c r="AU20" s="100"/>
      <c r="AV20" s="101"/>
      <c r="AW20" s="100"/>
      <c r="AX20" s="102" t="str">
        <f t="shared" si="23"/>
        <v>-</v>
      </c>
      <c r="AY20" s="151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51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4"/>
        <v/>
      </c>
      <c r="BH20" s="119" t="str">
        <f t="shared" si="7"/>
        <v/>
      </c>
      <c r="BI20" s="120" t="str">
        <f t="shared" si="25"/>
        <v/>
      </c>
      <c r="BJ20" s="151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51"/>
      <c r="BP20" s="124" t="str">
        <f t="shared" si="12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3"/>
        <v/>
      </c>
      <c r="BU20" s="151"/>
      <c r="BV20" s="132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8"/>
        <v/>
      </c>
      <c r="CA20" s="128" t="str">
        <f t="shared" si="29"/>
        <v/>
      </c>
      <c r="CB20" s="151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51"/>
    </row>
    <row r="21" spans="1:86" s="115" customFormat="1" ht="12.4" customHeight="1" thickBot="1" x14ac:dyDescent="0.25">
      <c r="A21" s="96">
        <f t="shared" si="30"/>
        <v>46313</v>
      </c>
      <c r="B21" s="97" t="str">
        <f t="shared" si="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99"/>
      <c r="AM21" s="99"/>
      <c r="AN21" s="99"/>
      <c r="AO21" s="99"/>
      <c r="AP21" s="99"/>
      <c r="AQ21" s="99"/>
      <c r="AR21" s="99"/>
      <c r="AS21" s="99"/>
      <c r="AT21" s="100"/>
      <c r="AU21" s="100"/>
      <c r="AV21" s="101"/>
      <c r="AW21" s="100"/>
      <c r="AX21" s="102" t="str">
        <f t="shared" si="23"/>
        <v>-</v>
      </c>
      <c r="AY21" s="151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51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4"/>
        <v/>
      </c>
      <c r="BH21" s="119" t="str">
        <f t="shared" si="7"/>
        <v/>
      </c>
      <c r="BI21" s="120" t="str">
        <f t="shared" si="25"/>
        <v/>
      </c>
      <c r="BJ21" s="151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51"/>
      <c r="BP21" s="124" t="str">
        <f t="shared" si="12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3"/>
        <v/>
      </c>
      <c r="BU21" s="151"/>
      <c r="BV21" s="132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8"/>
        <v/>
      </c>
      <c r="CA21" s="128" t="str">
        <f t="shared" si="29"/>
        <v/>
      </c>
      <c r="CB21" s="151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51"/>
    </row>
    <row r="22" spans="1:86" s="115" customFormat="1" ht="12.4" customHeight="1" thickBot="1" x14ac:dyDescent="0.25">
      <c r="A22" s="96">
        <f t="shared" si="30"/>
        <v>46314</v>
      </c>
      <c r="B22" s="97" t="str">
        <f t="shared" si="0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99"/>
      <c r="AM22" s="99"/>
      <c r="AN22" s="99"/>
      <c r="AO22" s="99"/>
      <c r="AP22" s="99"/>
      <c r="AQ22" s="99"/>
      <c r="AR22" s="99"/>
      <c r="AS22" s="99"/>
      <c r="AT22" s="100"/>
      <c r="AU22" s="100"/>
      <c r="AV22" s="101"/>
      <c r="AW22" s="100"/>
      <c r="AX22" s="102" t="str">
        <f t="shared" si="23"/>
        <v>-</v>
      </c>
      <c r="AY22" s="151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51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4"/>
        <v/>
      </c>
      <c r="BH22" s="119" t="str">
        <f t="shared" si="7"/>
        <v/>
      </c>
      <c r="BI22" s="120" t="str">
        <f t="shared" si="25"/>
        <v/>
      </c>
      <c r="BJ22" s="151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51"/>
      <c r="BP22" s="124" t="str">
        <f t="shared" si="12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3"/>
        <v/>
      </c>
      <c r="BU22" s="151"/>
      <c r="BV22" s="132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8"/>
        <v/>
      </c>
      <c r="CA22" s="128" t="str">
        <f t="shared" si="29"/>
        <v/>
      </c>
      <c r="CB22" s="151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51"/>
    </row>
    <row r="23" spans="1:86" s="115" customFormat="1" ht="12.4" customHeight="1" thickBot="1" x14ac:dyDescent="0.25">
      <c r="A23" s="96">
        <f t="shared" si="30"/>
        <v>46315</v>
      </c>
      <c r="B23" s="97" t="str">
        <f t="shared" si="0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99"/>
      <c r="AM23" s="99"/>
      <c r="AN23" s="99"/>
      <c r="AO23" s="99"/>
      <c r="AP23" s="99"/>
      <c r="AQ23" s="99"/>
      <c r="AR23" s="99"/>
      <c r="AS23" s="99"/>
      <c r="AT23" s="100"/>
      <c r="AU23" s="100"/>
      <c r="AV23" s="101"/>
      <c r="AW23" s="100"/>
      <c r="AX23" s="102" t="str">
        <f t="shared" si="23"/>
        <v>-</v>
      </c>
      <c r="AY23" s="151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51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24"/>
        <v/>
      </c>
      <c r="BH23" s="119" t="str">
        <f t="shared" si="7"/>
        <v/>
      </c>
      <c r="BI23" s="120" t="str">
        <f t="shared" si="25"/>
        <v/>
      </c>
      <c r="BJ23" s="151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51"/>
      <c r="BP23" s="124" t="str">
        <f t="shared" si="12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3"/>
        <v/>
      </c>
      <c r="BU23" s="151"/>
      <c r="BV23" s="132" t="str">
        <f t="shared" si="14"/>
        <v/>
      </c>
      <c r="BW23" s="127" t="str">
        <f t="shared" si="15"/>
        <v/>
      </c>
      <c r="BX23" s="127" t="str">
        <f t="shared" si="16"/>
        <v/>
      </c>
      <c r="BY23" s="127" t="str">
        <f t="shared" si="17"/>
        <v/>
      </c>
      <c r="BZ23" s="127" t="str">
        <f t="shared" si="28"/>
        <v/>
      </c>
      <c r="CA23" s="128" t="str">
        <f t="shared" si="29"/>
        <v/>
      </c>
      <c r="CB23" s="151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51"/>
    </row>
    <row r="24" spans="1:86" s="115" customFormat="1" ht="12.4" customHeight="1" thickBot="1" x14ac:dyDescent="0.25">
      <c r="A24" s="96">
        <f t="shared" si="30"/>
        <v>46316</v>
      </c>
      <c r="B24" s="97" t="str">
        <f t="shared" si="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99"/>
      <c r="AM24" s="99"/>
      <c r="AN24" s="99"/>
      <c r="AO24" s="99"/>
      <c r="AP24" s="99"/>
      <c r="AQ24" s="99"/>
      <c r="AR24" s="99"/>
      <c r="AS24" s="99"/>
      <c r="AT24" s="100"/>
      <c r="AU24" s="100"/>
      <c r="AV24" s="101"/>
      <c r="AW24" s="100"/>
      <c r="AX24" s="102" t="str">
        <f t="shared" si="23"/>
        <v>-</v>
      </c>
      <c r="AY24" s="151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51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24"/>
        <v/>
      </c>
      <c r="BH24" s="119" t="str">
        <f t="shared" si="7"/>
        <v/>
      </c>
      <c r="BI24" s="120" t="str">
        <f t="shared" si="25"/>
        <v/>
      </c>
      <c r="BJ24" s="151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51"/>
      <c r="BP24" s="124" t="str">
        <f t="shared" si="12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3"/>
        <v/>
      </c>
      <c r="BU24" s="151"/>
      <c r="BV24" s="132" t="str">
        <f t="shared" si="14"/>
        <v/>
      </c>
      <c r="BW24" s="127" t="str">
        <f t="shared" si="15"/>
        <v/>
      </c>
      <c r="BX24" s="127" t="str">
        <f t="shared" si="16"/>
        <v/>
      </c>
      <c r="BY24" s="127" t="str">
        <f t="shared" si="17"/>
        <v/>
      </c>
      <c r="BZ24" s="127" t="str">
        <f t="shared" si="28"/>
        <v/>
      </c>
      <c r="CA24" s="128" t="str">
        <f t="shared" si="29"/>
        <v/>
      </c>
      <c r="CB24" s="151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51"/>
    </row>
    <row r="25" spans="1:86" s="115" customFormat="1" ht="12.4" customHeight="1" thickBot="1" x14ac:dyDescent="0.25">
      <c r="A25" s="96">
        <f t="shared" si="30"/>
        <v>46317</v>
      </c>
      <c r="B25" s="97" t="str">
        <f t="shared" si="0"/>
        <v>Thu</v>
      </c>
      <c r="C25" s="98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99"/>
      <c r="AM25" s="99"/>
      <c r="AN25" s="99"/>
      <c r="AO25" s="99"/>
      <c r="AP25" s="99"/>
      <c r="AQ25" s="99"/>
      <c r="AR25" s="99"/>
      <c r="AS25" s="99"/>
      <c r="AT25" s="100"/>
      <c r="AU25" s="100"/>
      <c r="AV25" s="101"/>
      <c r="AW25" s="100"/>
      <c r="AX25" s="102" t="str">
        <f t="shared" si="23"/>
        <v>-</v>
      </c>
      <c r="AY25" s="151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51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4"/>
        <v/>
      </c>
      <c r="BH25" s="119" t="str">
        <f t="shared" si="7"/>
        <v/>
      </c>
      <c r="BI25" s="120" t="str">
        <f t="shared" si="25"/>
        <v/>
      </c>
      <c r="BJ25" s="151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51"/>
      <c r="BP25" s="124" t="str">
        <f t="shared" si="12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3"/>
        <v/>
      </c>
      <c r="BU25" s="151"/>
      <c r="BV25" s="132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8"/>
        <v/>
      </c>
      <c r="CA25" s="128" t="str">
        <f t="shared" si="29"/>
        <v/>
      </c>
      <c r="CB25" s="151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51"/>
    </row>
    <row r="26" spans="1:86" s="115" customFormat="1" ht="12.4" customHeight="1" thickBot="1" x14ac:dyDescent="0.25">
      <c r="A26" s="96">
        <f t="shared" si="30"/>
        <v>46318</v>
      </c>
      <c r="B26" s="97" t="str">
        <f>+TEXT(A26,"DDD")</f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99"/>
      <c r="AM26" s="99"/>
      <c r="AN26" s="99"/>
      <c r="AO26" s="99"/>
      <c r="AP26" s="99"/>
      <c r="AQ26" s="99"/>
      <c r="AR26" s="99"/>
      <c r="AS26" s="99"/>
      <c r="AT26" s="100"/>
      <c r="AU26" s="100"/>
      <c r="AV26" s="101"/>
      <c r="AW26" s="100"/>
      <c r="AX26" s="102" t="str">
        <f t="shared" si="23"/>
        <v>-</v>
      </c>
      <c r="AY26" s="151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51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4"/>
        <v/>
      </c>
      <c r="BH26" s="119" t="str">
        <f t="shared" si="7"/>
        <v/>
      </c>
      <c r="BI26" s="120" t="str">
        <f t="shared" si="25"/>
        <v/>
      </c>
      <c r="BJ26" s="151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51"/>
      <c r="BP26" s="124" t="str">
        <f t="shared" si="12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3"/>
        <v/>
      </c>
      <c r="BU26" s="151"/>
      <c r="BV26" s="132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8"/>
        <v/>
      </c>
      <c r="CA26" s="128" t="str">
        <f t="shared" si="29"/>
        <v/>
      </c>
      <c r="CB26" s="151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51"/>
    </row>
    <row r="27" spans="1:86" s="115" customFormat="1" ht="12.4" customHeight="1" thickBot="1" x14ac:dyDescent="0.25">
      <c r="A27" s="96">
        <f t="shared" si="30"/>
        <v>46319</v>
      </c>
      <c r="B27" s="97" t="str">
        <f t="shared" si="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99"/>
      <c r="AM27" s="99"/>
      <c r="AN27" s="99"/>
      <c r="AO27" s="99"/>
      <c r="AP27" s="99"/>
      <c r="AQ27" s="99"/>
      <c r="AR27" s="99"/>
      <c r="AS27" s="99"/>
      <c r="AT27" s="100"/>
      <c r="AU27" s="100"/>
      <c r="AV27" s="101"/>
      <c r="AW27" s="100"/>
      <c r="AX27" s="102" t="str">
        <f t="shared" si="23"/>
        <v>-</v>
      </c>
      <c r="AY27" s="151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51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4"/>
        <v/>
      </c>
      <c r="BH27" s="119" t="str">
        <f t="shared" si="7"/>
        <v/>
      </c>
      <c r="BI27" s="120" t="str">
        <f t="shared" si="25"/>
        <v/>
      </c>
      <c r="BJ27" s="151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51"/>
      <c r="BP27" s="124" t="str">
        <f t="shared" si="12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3"/>
        <v/>
      </c>
      <c r="BU27" s="151"/>
      <c r="BV27" s="132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8"/>
        <v/>
      </c>
      <c r="CA27" s="128" t="str">
        <f t="shared" si="29"/>
        <v/>
      </c>
      <c r="CB27" s="151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51"/>
    </row>
    <row r="28" spans="1:86" s="115" customFormat="1" ht="12.4" customHeight="1" thickBot="1" x14ac:dyDescent="0.25">
      <c r="A28" s="96">
        <f t="shared" si="30"/>
        <v>46320</v>
      </c>
      <c r="B28" s="97" t="str">
        <f t="shared" si="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99"/>
      <c r="AM28" s="99"/>
      <c r="AN28" s="99"/>
      <c r="AO28" s="99"/>
      <c r="AP28" s="99"/>
      <c r="AQ28" s="99"/>
      <c r="AR28" s="99"/>
      <c r="AS28" s="99"/>
      <c r="AT28" s="100"/>
      <c r="AU28" s="100"/>
      <c r="AV28" s="101"/>
      <c r="AW28" s="100"/>
      <c r="AX28" s="102" t="str">
        <f t="shared" si="23"/>
        <v>-</v>
      </c>
      <c r="AY28" s="151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51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4"/>
        <v/>
      </c>
      <c r="BH28" s="119" t="str">
        <f t="shared" si="7"/>
        <v/>
      </c>
      <c r="BI28" s="120" t="str">
        <f t="shared" si="25"/>
        <v/>
      </c>
      <c r="BJ28" s="151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51"/>
      <c r="BP28" s="124" t="str">
        <f t="shared" si="12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3"/>
        <v/>
      </c>
      <c r="BU28" s="151"/>
      <c r="BV28" s="132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8"/>
        <v/>
      </c>
      <c r="CA28" s="128" t="str">
        <f t="shared" si="29"/>
        <v/>
      </c>
      <c r="CB28" s="151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51"/>
    </row>
    <row r="29" spans="1:86" s="115" customFormat="1" ht="12.4" customHeight="1" thickBot="1" x14ac:dyDescent="0.25">
      <c r="A29" s="96">
        <f t="shared" si="30"/>
        <v>46321</v>
      </c>
      <c r="B29" s="97" t="str">
        <f t="shared" si="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99"/>
      <c r="AM29" s="99"/>
      <c r="AN29" s="99"/>
      <c r="AO29" s="99"/>
      <c r="AP29" s="99"/>
      <c r="AQ29" s="99"/>
      <c r="AR29" s="99"/>
      <c r="AS29" s="99"/>
      <c r="AT29" s="100"/>
      <c r="AU29" s="100"/>
      <c r="AV29" s="101"/>
      <c r="AW29" s="100"/>
      <c r="AX29" s="102" t="str">
        <f t="shared" si="23"/>
        <v>-</v>
      </c>
      <c r="AY29" s="151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51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4"/>
        <v/>
      </c>
      <c r="BH29" s="119" t="str">
        <f t="shared" si="7"/>
        <v/>
      </c>
      <c r="BI29" s="120" t="str">
        <f t="shared" si="25"/>
        <v/>
      </c>
      <c r="BJ29" s="151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51"/>
      <c r="BP29" s="124" t="str">
        <f t="shared" si="12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3"/>
        <v/>
      </c>
      <c r="BU29" s="151"/>
      <c r="BV29" s="132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8"/>
        <v/>
      </c>
      <c r="CA29" s="128" t="str">
        <f t="shared" si="29"/>
        <v/>
      </c>
      <c r="CB29" s="151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51"/>
    </row>
    <row r="30" spans="1:86" s="115" customFormat="1" ht="12.4" customHeight="1" thickBot="1" x14ac:dyDescent="0.25">
      <c r="A30" s="96">
        <f t="shared" si="30"/>
        <v>46322</v>
      </c>
      <c r="B30" s="97" t="str">
        <f t="shared" si="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99"/>
      <c r="AM30" s="99"/>
      <c r="AN30" s="99"/>
      <c r="AO30" s="99"/>
      <c r="AP30" s="99"/>
      <c r="AQ30" s="99"/>
      <c r="AR30" s="99"/>
      <c r="AS30" s="99"/>
      <c r="AT30" s="100"/>
      <c r="AU30" s="100"/>
      <c r="AV30" s="101"/>
      <c r="AW30" s="100"/>
      <c r="AX30" s="102" t="str">
        <f>IFERROR(AN30/AW30,"-")</f>
        <v>-</v>
      </c>
      <c r="AY30" s="151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51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4"/>
        <v/>
      </c>
      <c r="BH30" s="119" t="str">
        <f t="shared" si="7"/>
        <v/>
      </c>
      <c r="BI30" s="120" t="str">
        <f t="shared" si="25"/>
        <v/>
      </c>
      <c r="BJ30" s="151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51"/>
      <c r="BP30" s="124" t="str">
        <f t="shared" si="12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3"/>
        <v/>
      </c>
      <c r="BU30" s="151"/>
      <c r="BV30" s="132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8"/>
        <v/>
      </c>
      <c r="CA30" s="128" t="str">
        <f t="shared" si="29"/>
        <v/>
      </c>
      <c r="CB30" s="151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51"/>
    </row>
    <row r="31" spans="1:86" s="115" customFormat="1" ht="12.4" customHeight="1" thickBot="1" x14ac:dyDescent="0.25">
      <c r="A31" s="96">
        <f t="shared" si="30"/>
        <v>46323</v>
      </c>
      <c r="B31" s="97" t="str">
        <f>+TEXT(A31,"DDD")</f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99"/>
      <c r="AM31" s="99"/>
      <c r="AN31" s="99"/>
      <c r="AO31" s="99"/>
      <c r="AP31" s="99"/>
      <c r="AQ31" s="99"/>
      <c r="AR31" s="99"/>
      <c r="AS31" s="99"/>
      <c r="AT31" s="100"/>
      <c r="AU31" s="100"/>
      <c r="AV31" s="101"/>
      <c r="AW31" s="100"/>
      <c r="AX31" s="102" t="str">
        <f t="shared" si="23"/>
        <v>-</v>
      </c>
      <c r="AY31" s="151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51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4"/>
        <v/>
      </c>
      <c r="BH31" s="119" t="str">
        <f t="shared" si="7"/>
        <v/>
      </c>
      <c r="BI31" s="120" t="str">
        <f t="shared" si="25"/>
        <v/>
      </c>
      <c r="BJ31" s="151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51"/>
      <c r="BP31" s="124" t="str">
        <f t="shared" si="12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3"/>
        <v/>
      </c>
      <c r="BU31" s="151"/>
      <c r="BV31" s="132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8"/>
        <v/>
      </c>
      <c r="CA31" s="128" t="str">
        <f t="shared" si="29"/>
        <v/>
      </c>
      <c r="CB31" s="151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51"/>
    </row>
    <row r="32" spans="1:86" s="115" customFormat="1" ht="12.4" customHeight="1" thickBot="1" x14ac:dyDescent="0.25">
      <c r="A32" s="96">
        <f t="shared" si="30"/>
        <v>46324</v>
      </c>
      <c r="B32" s="97" t="str">
        <f>+TEXT(A32,"DDD")</f>
        <v>Thu</v>
      </c>
      <c r="C32" s="98"/>
      <c r="D32" s="98"/>
      <c r="E32" s="103"/>
      <c r="F32" s="98"/>
      <c r="G32" s="98"/>
      <c r="H32" s="104"/>
      <c r="I32" s="104"/>
      <c r="J32" s="105"/>
      <c r="K32" s="106"/>
      <c r="L32" s="98"/>
      <c r="M32" s="98"/>
      <c r="N32" s="98"/>
      <c r="O32" s="98"/>
      <c r="P32" s="103"/>
      <c r="Q32" s="98"/>
      <c r="R32" s="98"/>
      <c r="S32" s="98"/>
      <c r="T32" s="98"/>
      <c r="U32" s="98"/>
      <c r="V32" s="103"/>
      <c r="W32" s="103"/>
      <c r="X32" s="98"/>
      <c r="Y32" s="98"/>
      <c r="Z32" s="98"/>
      <c r="AA32" s="98"/>
      <c r="AB32" s="98"/>
      <c r="AC32" s="98"/>
      <c r="AD32" s="98"/>
      <c r="AE32" s="98"/>
      <c r="AF32" s="103"/>
      <c r="AG32" s="103"/>
      <c r="AH32" s="98"/>
      <c r="AI32" s="107"/>
      <c r="AJ32" s="108"/>
      <c r="AK32" s="107"/>
      <c r="AL32" s="99"/>
      <c r="AM32" s="99"/>
      <c r="AN32" s="99"/>
      <c r="AO32" s="99"/>
      <c r="AP32" s="99"/>
      <c r="AQ32" s="99"/>
      <c r="AR32" s="99"/>
      <c r="AS32" s="99"/>
      <c r="AT32" s="100"/>
      <c r="AU32" s="100"/>
      <c r="AV32" s="101"/>
      <c r="AW32" s="100"/>
      <c r="AX32" s="102" t="str">
        <f>IFERROR(AN32/AW32,"-")</f>
        <v>-</v>
      </c>
      <c r="AY32" s="151"/>
      <c r="AZ32" s="116" t="str">
        <f t="shared" si="1"/>
        <v/>
      </c>
      <c r="BA32" s="117" t="str">
        <f t="shared" si="2"/>
        <v/>
      </c>
      <c r="BB32" s="116" t="str">
        <f t="shared" si="3"/>
        <v/>
      </c>
      <c r="BC32" s="151"/>
      <c r="BD32" s="118" t="str">
        <f t="shared" si="4"/>
        <v/>
      </c>
      <c r="BE32" s="119" t="str">
        <f t="shared" si="5"/>
        <v/>
      </c>
      <c r="BF32" s="119" t="str">
        <f t="shared" si="6"/>
        <v/>
      </c>
      <c r="BG32" s="119" t="str">
        <f t="shared" si="24"/>
        <v/>
      </c>
      <c r="BH32" s="119" t="str">
        <f t="shared" si="7"/>
        <v/>
      </c>
      <c r="BI32" s="120" t="str">
        <f t="shared" si="25"/>
        <v/>
      </c>
      <c r="BJ32" s="151"/>
      <c r="BK32" s="121" t="str">
        <f t="shared" si="8"/>
        <v/>
      </c>
      <c r="BL32" s="122" t="str">
        <f t="shared" si="9"/>
        <v/>
      </c>
      <c r="BM32" s="122" t="str">
        <f t="shared" si="10"/>
        <v/>
      </c>
      <c r="BN32" s="123" t="str">
        <f t="shared" si="11"/>
        <v/>
      </c>
      <c r="BO32" s="151"/>
      <c r="BP32" s="124" t="str">
        <f t="shared" si="12"/>
        <v/>
      </c>
      <c r="BQ32" s="125">
        <v>0</v>
      </c>
      <c r="BR32" s="125" t="str">
        <f t="shared" si="26"/>
        <v/>
      </c>
      <c r="BS32" s="125" t="str">
        <f t="shared" si="27"/>
        <v/>
      </c>
      <c r="BT32" s="126" t="str">
        <f t="shared" si="13"/>
        <v/>
      </c>
      <c r="BU32" s="151"/>
      <c r="BV32" s="132" t="str">
        <f t="shared" si="14"/>
        <v/>
      </c>
      <c r="BW32" s="127" t="str">
        <f t="shared" si="15"/>
        <v/>
      </c>
      <c r="BX32" s="127" t="str">
        <f t="shared" si="16"/>
        <v/>
      </c>
      <c r="BY32" s="127" t="str">
        <f t="shared" si="17"/>
        <v/>
      </c>
      <c r="BZ32" s="127" t="str">
        <f t="shared" si="28"/>
        <v/>
      </c>
      <c r="CA32" s="128" t="str">
        <f t="shared" si="29"/>
        <v/>
      </c>
      <c r="CB32" s="151"/>
      <c r="CC32" s="129" t="str">
        <f t="shared" si="18"/>
        <v>-</v>
      </c>
      <c r="CD32" s="130" t="str">
        <f t="shared" si="19"/>
        <v>-</v>
      </c>
      <c r="CE32" s="130" t="str">
        <f t="shared" si="20"/>
        <v>-</v>
      </c>
      <c r="CF32" s="130" t="str">
        <f t="shared" si="21"/>
        <v>-</v>
      </c>
      <c r="CG32" s="131" t="str">
        <f t="shared" si="22"/>
        <v>-</v>
      </c>
      <c r="CH32" s="151"/>
    </row>
    <row r="33" spans="1:86" s="115" customFormat="1" ht="12.4" customHeight="1" thickBot="1" x14ac:dyDescent="0.25">
      <c r="A33" s="96">
        <f t="shared" si="30"/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99"/>
      <c r="AM33" s="99"/>
      <c r="AN33" s="99"/>
      <c r="AO33" s="99"/>
      <c r="AP33" s="99"/>
      <c r="AQ33" s="99"/>
      <c r="AR33" s="99"/>
      <c r="AS33" s="99"/>
      <c r="AT33" s="100"/>
      <c r="AU33" s="100"/>
      <c r="AV33" s="101"/>
      <c r="AW33" s="100"/>
      <c r="AX33" s="102" t="str">
        <f>IFERROR(AN33/AW33,"-")</f>
        <v>-</v>
      </c>
      <c r="AY33" s="151"/>
      <c r="AZ33" s="116" t="str">
        <f t="shared" si="1"/>
        <v/>
      </c>
      <c r="BA33" s="117" t="str">
        <f t="shared" si="2"/>
        <v/>
      </c>
      <c r="BB33" s="116" t="str">
        <f t="shared" si="3"/>
        <v/>
      </c>
      <c r="BC33" s="151"/>
      <c r="BD33" s="118" t="str">
        <f t="shared" si="4"/>
        <v/>
      </c>
      <c r="BE33" s="119" t="str">
        <f t="shared" si="5"/>
        <v/>
      </c>
      <c r="BF33" s="119" t="str">
        <f t="shared" si="6"/>
        <v/>
      </c>
      <c r="BG33" s="119" t="str">
        <f t="shared" si="24"/>
        <v/>
      </c>
      <c r="BH33" s="119" t="str">
        <f t="shared" si="7"/>
        <v/>
      </c>
      <c r="BI33" s="120" t="str">
        <f t="shared" si="25"/>
        <v/>
      </c>
      <c r="BJ33" s="151"/>
      <c r="BK33" s="121" t="str">
        <f t="shared" si="8"/>
        <v/>
      </c>
      <c r="BL33" s="122" t="str">
        <f t="shared" si="9"/>
        <v/>
      </c>
      <c r="BM33" s="122" t="str">
        <f t="shared" si="10"/>
        <v/>
      </c>
      <c r="BN33" s="123" t="str">
        <f t="shared" si="11"/>
        <v/>
      </c>
      <c r="BO33" s="151"/>
      <c r="BP33" s="124" t="str">
        <f t="shared" si="12"/>
        <v/>
      </c>
      <c r="BQ33" s="125">
        <v>0</v>
      </c>
      <c r="BR33" s="125" t="str">
        <f t="shared" si="26"/>
        <v/>
      </c>
      <c r="BS33" s="125" t="str">
        <f t="shared" si="27"/>
        <v/>
      </c>
      <c r="BT33" s="126" t="str">
        <f t="shared" si="13"/>
        <v/>
      </c>
      <c r="BU33" s="151"/>
      <c r="BV33" s="132" t="str">
        <f t="shared" si="14"/>
        <v/>
      </c>
      <c r="BW33" s="127" t="str">
        <f t="shared" si="15"/>
        <v/>
      </c>
      <c r="BX33" s="127" t="str">
        <f t="shared" si="16"/>
        <v/>
      </c>
      <c r="BY33" s="127" t="str">
        <f t="shared" si="17"/>
        <v/>
      </c>
      <c r="BZ33" s="127" t="str">
        <f t="shared" si="28"/>
        <v/>
      </c>
      <c r="CA33" s="128" t="str">
        <f t="shared" si="29"/>
        <v/>
      </c>
      <c r="CB33" s="151"/>
      <c r="CC33" s="129" t="str">
        <f t="shared" si="18"/>
        <v>-</v>
      </c>
      <c r="CD33" s="130" t="str">
        <f t="shared" si="19"/>
        <v>-</v>
      </c>
      <c r="CE33" s="130" t="str">
        <f t="shared" si="20"/>
        <v>-</v>
      </c>
      <c r="CF33" s="130" t="str">
        <f t="shared" si="21"/>
        <v>-</v>
      </c>
      <c r="CG33" s="131" t="str">
        <f t="shared" si="22"/>
        <v>-</v>
      </c>
      <c r="CH33" s="151"/>
    </row>
    <row r="34" spans="1:86" s="115" customFormat="1" ht="12.4" customHeight="1" thickBot="1" x14ac:dyDescent="0.25">
      <c r="A34" s="96">
        <f t="shared" si="30"/>
        <v>46326</v>
      </c>
      <c r="B34" s="97" t="str">
        <f>+TEXT(A34,"DDD")</f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99"/>
      <c r="AM34" s="99"/>
      <c r="AN34" s="99"/>
      <c r="AO34" s="99"/>
      <c r="AP34" s="99"/>
      <c r="AQ34" s="99"/>
      <c r="AR34" s="99"/>
      <c r="AS34" s="99"/>
      <c r="AT34" s="100"/>
      <c r="AU34" s="100"/>
      <c r="AV34" s="101"/>
      <c r="AW34" s="100"/>
      <c r="AX34" s="102" t="str">
        <f>IFERROR(AN34/AW34,"-")</f>
        <v>-</v>
      </c>
      <c r="AY34" s="151"/>
      <c r="AZ34" s="116" t="str">
        <f>IF(E34&gt;0,F34/E34,"")</f>
        <v/>
      </c>
      <c r="BA34" s="117" t="str">
        <f>+IF(E34&gt;0,G34/E34,"")</f>
        <v/>
      </c>
      <c r="BB34" s="116" t="str">
        <f>+IF(E34&gt;0,AJ34/E34,"")</f>
        <v/>
      </c>
      <c r="BC34" s="151"/>
      <c r="BD34" s="118" t="str">
        <f>+IF(G34&gt;0,I34/G34,"")</f>
        <v/>
      </c>
      <c r="BE34" s="119" t="str">
        <f>+IF(G34&gt;0,J34/G34,"")</f>
        <v/>
      </c>
      <c r="BF34" s="119" t="str">
        <f>+IF(I34&gt;0,L34/I34,"")</f>
        <v/>
      </c>
      <c r="BG34" s="119" t="str">
        <f>+IF(SUM(AO34:AR34)&gt;0,AO34/AN34,"")</f>
        <v/>
      </c>
      <c r="BH34" s="119" t="str">
        <f>+IF(G34&gt;0,K34/G34,"")</f>
        <v/>
      </c>
      <c r="BI34" s="120" t="str">
        <f>+IF(SUM(AO34:AR34)&gt;0,AQ34/AN34,"")</f>
        <v/>
      </c>
      <c r="BJ34" s="151"/>
      <c r="BK34" s="121" t="str">
        <f>+IF(E34&gt;0,(AJ34/E34),"")</f>
        <v/>
      </c>
      <c r="BL34" s="122" t="str">
        <f>+IF(E34&gt;0,(AJ34/F34),"")</f>
        <v/>
      </c>
      <c r="BM34" s="122" t="str">
        <f>+IF(E34&gt;0,(AJ34/G34),"")</f>
        <v/>
      </c>
      <c r="BN34" s="123" t="str">
        <f>+IF(E34&gt;0,(AJ34/J34),"")</f>
        <v/>
      </c>
      <c r="BO34" s="151"/>
      <c r="BP34" s="124" t="str">
        <f>IF(AJ34&gt;0,(N34/AJ34),"")</f>
        <v/>
      </c>
      <c r="BQ34" s="125">
        <v>0</v>
      </c>
      <c r="BR34" s="125" t="str">
        <f>IF(AJ34&gt;0,(AK34/AJ34),"")</f>
        <v/>
      </c>
      <c r="BS34" s="125" t="str">
        <f>IF(AJ34&gt;0,(AK34/AJ34),"")</f>
        <v/>
      </c>
      <c r="BT34" s="126" t="str">
        <f>IF(J34&gt;0,AD34/J34,"")</f>
        <v/>
      </c>
      <c r="BU34" s="151"/>
      <c r="BV34" s="132" t="str">
        <f>IF(AN34&gt;0,(E34/AN34),"")</f>
        <v/>
      </c>
      <c r="BW34" s="127" t="str">
        <f>IF(AN34&gt;0,(G34/AN34),"")</f>
        <v/>
      </c>
      <c r="BX34" s="127" t="str">
        <f>IF(AN34&gt;0,(J34/AN34),"")</f>
        <v/>
      </c>
      <c r="BY34" s="127" t="str">
        <f>IF(AN34&gt;0,(K34/AN34),"")</f>
        <v/>
      </c>
      <c r="BZ34" s="127" t="str">
        <f>IF(AN34&gt;0,(AJ34/AN34),"")</f>
        <v/>
      </c>
      <c r="CA34" s="128" t="str">
        <f>IF(AN34&gt;0,(AK34/AN34),"")</f>
        <v/>
      </c>
      <c r="CB34" s="151"/>
      <c r="CC34" s="129" t="str">
        <f>IFERROR(((AN34-AO34)*3600)/J34,"-")</f>
        <v>-</v>
      </c>
      <c r="CD34" s="130" t="str">
        <f>IFERROR((AR34*3600)/J34,"-")</f>
        <v>-</v>
      </c>
      <c r="CE34" s="130" t="str">
        <f>IFERROR((AQ34*3600)/J34,"-")</f>
        <v>-</v>
      </c>
      <c r="CF34" s="130" t="str">
        <f>IFERROR((AO34*3600)/J34,"-")</f>
        <v>-</v>
      </c>
      <c r="CG34" s="131" t="str">
        <f>IFERROR((AP34*3600)/J34,"-")</f>
        <v>-</v>
      </c>
      <c r="CH34" s="151"/>
    </row>
    <row r="35" spans="1:86" s="115" customFormat="1" ht="12.4" customHeight="1" thickBot="1" x14ac:dyDescent="0.25">
      <c r="A35" s="96">
        <f t="shared" si="30"/>
        <v>46327</v>
      </c>
      <c r="B35" s="97" t="str">
        <f>+TEXT(A35,"DDD")</f>
        <v>Sun</v>
      </c>
      <c r="C35" s="98"/>
      <c r="D35" s="98"/>
      <c r="E35" s="103"/>
      <c r="F35" s="98"/>
      <c r="G35" s="98"/>
      <c r="H35" s="104"/>
      <c r="I35" s="104"/>
      <c r="J35" s="105"/>
      <c r="K35" s="106"/>
      <c r="L35" s="98"/>
      <c r="M35" s="98"/>
      <c r="N35" s="98"/>
      <c r="O35" s="98"/>
      <c r="P35" s="103"/>
      <c r="Q35" s="98"/>
      <c r="R35" s="98"/>
      <c r="S35" s="98"/>
      <c r="T35" s="98"/>
      <c r="U35" s="98"/>
      <c r="V35" s="103"/>
      <c r="W35" s="103"/>
      <c r="X35" s="98"/>
      <c r="Y35" s="98"/>
      <c r="Z35" s="98"/>
      <c r="AA35" s="98"/>
      <c r="AB35" s="98"/>
      <c r="AC35" s="98"/>
      <c r="AD35" s="98"/>
      <c r="AE35" s="98"/>
      <c r="AF35" s="103"/>
      <c r="AG35" s="103"/>
      <c r="AH35" s="98"/>
      <c r="AI35" s="107"/>
      <c r="AJ35" s="108"/>
      <c r="AK35" s="107"/>
      <c r="AL35" s="99"/>
      <c r="AM35" s="99"/>
      <c r="AN35" s="99"/>
      <c r="AO35" s="99"/>
      <c r="AP35" s="99"/>
      <c r="AQ35" s="99"/>
      <c r="AR35" s="99"/>
      <c r="AS35" s="99"/>
      <c r="AT35" s="100"/>
      <c r="AU35" s="100"/>
      <c r="AV35" s="101"/>
      <c r="AW35" s="100"/>
      <c r="AX35" s="102" t="str">
        <f>IFERROR(AN35/AW35,"-")</f>
        <v>-</v>
      </c>
      <c r="AY35" s="151"/>
      <c r="AZ35" s="116" t="str">
        <f t="shared" si="1"/>
        <v/>
      </c>
      <c r="BA35" s="117" t="str">
        <f t="shared" si="2"/>
        <v/>
      </c>
      <c r="BB35" s="116" t="str">
        <f t="shared" si="3"/>
        <v/>
      </c>
      <c r="BC35" s="151"/>
      <c r="BD35" s="118" t="str">
        <f t="shared" si="4"/>
        <v/>
      </c>
      <c r="BE35" s="119" t="str">
        <f t="shared" si="5"/>
        <v/>
      </c>
      <c r="BF35" s="119" t="str">
        <f t="shared" si="6"/>
        <v/>
      </c>
      <c r="BG35" s="119" t="str">
        <f t="shared" si="24"/>
        <v/>
      </c>
      <c r="BH35" s="119" t="str">
        <f t="shared" si="7"/>
        <v/>
      </c>
      <c r="BI35" s="120" t="str">
        <f t="shared" si="25"/>
        <v/>
      </c>
      <c r="BJ35" s="151"/>
      <c r="BK35" s="121" t="str">
        <f t="shared" si="8"/>
        <v/>
      </c>
      <c r="BL35" s="122" t="str">
        <f t="shared" si="9"/>
        <v/>
      </c>
      <c r="BM35" s="122" t="str">
        <f t="shared" si="10"/>
        <v/>
      </c>
      <c r="BN35" s="123" t="str">
        <f t="shared" si="11"/>
        <v/>
      </c>
      <c r="BO35" s="151"/>
      <c r="BP35" s="124" t="str">
        <f t="shared" si="12"/>
        <v/>
      </c>
      <c r="BQ35" s="125">
        <v>0</v>
      </c>
      <c r="BR35" s="125" t="str">
        <f t="shared" si="26"/>
        <v/>
      </c>
      <c r="BS35" s="125" t="str">
        <f t="shared" si="27"/>
        <v/>
      </c>
      <c r="BT35" s="126" t="str">
        <f t="shared" si="13"/>
        <v/>
      </c>
      <c r="BU35" s="151"/>
      <c r="BV35" s="132" t="str">
        <f t="shared" si="14"/>
        <v/>
      </c>
      <c r="BW35" s="127" t="str">
        <f t="shared" si="15"/>
        <v/>
      </c>
      <c r="BX35" s="127" t="str">
        <f t="shared" si="16"/>
        <v/>
      </c>
      <c r="BY35" s="127" t="str">
        <f t="shared" si="17"/>
        <v/>
      </c>
      <c r="BZ35" s="127" t="str">
        <f t="shared" si="28"/>
        <v/>
      </c>
      <c r="CA35" s="128" t="str">
        <f t="shared" si="29"/>
        <v/>
      </c>
      <c r="CB35" s="151"/>
      <c r="CC35" s="129" t="str">
        <f t="shared" si="18"/>
        <v>-</v>
      </c>
      <c r="CD35" s="130" t="str">
        <f t="shared" si="19"/>
        <v>-</v>
      </c>
      <c r="CE35" s="130" t="str">
        <f t="shared" si="20"/>
        <v>-</v>
      </c>
      <c r="CF35" s="130" t="str">
        <f t="shared" si="21"/>
        <v>-</v>
      </c>
      <c r="CG35" s="131" t="str">
        <f t="shared" si="22"/>
        <v>-</v>
      </c>
      <c r="CH35" s="151"/>
    </row>
    <row r="36" spans="1:86" s="115" customFormat="1" ht="13.15" customHeight="1" thickBot="1" x14ac:dyDescent="0.25">
      <c r="A36" s="235" t="s">
        <v>68</v>
      </c>
      <c r="B36" s="236"/>
      <c r="C36" s="109" t="e">
        <f>AVERAGE(C4:C35)</f>
        <v>#DIV/0!</v>
      </c>
      <c r="D36" s="109" t="e">
        <f t="shared" ref="D36:AW36" si="31">AVERAGE(D4:D35)</f>
        <v>#DIV/0!</v>
      </c>
      <c r="E36" s="109" t="e">
        <f t="shared" si="31"/>
        <v>#DIV/0!</v>
      </c>
      <c r="F36" s="109" t="e">
        <f t="shared" si="31"/>
        <v>#DIV/0!</v>
      </c>
      <c r="G36" s="109" t="e">
        <f t="shared" si="31"/>
        <v>#DIV/0!</v>
      </c>
      <c r="H36" s="109" t="e">
        <f t="shared" si="31"/>
        <v>#DIV/0!</v>
      </c>
      <c r="I36" s="109" t="e">
        <f t="shared" si="31"/>
        <v>#DIV/0!</v>
      </c>
      <c r="J36" s="109" t="e">
        <f t="shared" si="31"/>
        <v>#DIV/0!</v>
      </c>
      <c r="K36" s="109" t="e">
        <f t="shared" si="31"/>
        <v>#DIV/0!</v>
      </c>
      <c r="L36" s="109" t="e">
        <f t="shared" si="31"/>
        <v>#DIV/0!</v>
      </c>
      <c r="M36" s="109" t="e">
        <f t="shared" si="31"/>
        <v>#DIV/0!</v>
      </c>
      <c r="N36" s="109" t="e">
        <f t="shared" si="31"/>
        <v>#DIV/0!</v>
      </c>
      <c r="O36" s="109" t="e">
        <f t="shared" si="31"/>
        <v>#DIV/0!</v>
      </c>
      <c r="P36" s="109" t="e">
        <f t="shared" si="31"/>
        <v>#DIV/0!</v>
      </c>
      <c r="Q36" s="109" t="e">
        <f t="shared" si="31"/>
        <v>#DIV/0!</v>
      </c>
      <c r="R36" s="109" t="e">
        <f t="shared" si="31"/>
        <v>#DIV/0!</v>
      </c>
      <c r="S36" s="109" t="e">
        <f t="shared" si="31"/>
        <v>#DIV/0!</v>
      </c>
      <c r="T36" s="109" t="e">
        <f t="shared" si="31"/>
        <v>#DIV/0!</v>
      </c>
      <c r="U36" s="109" t="e">
        <f t="shared" si="31"/>
        <v>#DIV/0!</v>
      </c>
      <c r="V36" s="109" t="e">
        <f t="shared" si="31"/>
        <v>#DIV/0!</v>
      </c>
      <c r="W36" s="109" t="e">
        <f t="shared" si="31"/>
        <v>#DIV/0!</v>
      </c>
      <c r="X36" s="109" t="e">
        <f t="shared" si="31"/>
        <v>#DIV/0!</v>
      </c>
      <c r="Y36" s="109" t="e">
        <f t="shared" si="31"/>
        <v>#DIV/0!</v>
      </c>
      <c r="Z36" s="109" t="e">
        <f t="shared" si="31"/>
        <v>#DIV/0!</v>
      </c>
      <c r="AA36" s="109" t="e">
        <f t="shared" si="31"/>
        <v>#DIV/0!</v>
      </c>
      <c r="AB36" s="109" t="e">
        <f t="shared" si="31"/>
        <v>#DIV/0!</v>
      </c>
      <c r="AC36" s="109" t="e">
        <f t="shared" si="31"/>
        <v>#DIV/0!</v>
      </c>
      <c r="AD36" s="109" t="e">
        <f t="shared" si="31"/>
        <v>#DIV/0!</v>
      </c>
      <c r="AE36" s="109" t="e">
        <f t="shared" si="31"/>
        <v>#DIV/0!</v>
      </c>
      <c r="AF36" s="109" t="e">
        <f t="shared" si="31"/>
        <v>#DIV/0!</v>
      </c>
      <c r="AG36" s="109" t="e">
        <f t="shared" si="31"/>
        <v>#DIV/0!</v>
      </c>
      <c r="AH36" s="109" t="e">
        <f t="shared" si="31"/>
        <v>#DIV/0!</v>
      </c>
      <c r="AI36" s="109" t="e">
        <f t="shared" si="31"/>
        <v>#DIV/0!</v>
      </c>
      <c r="AJ36" s="109" t="e">
        <f t="shared" si="31"/>
        <v>#DIV/0!</v>
      </c>
      <c r="AK36" s="109" t="e">
        <f t="shared" si="31"/>
        <v>#DIV/0!</v>
      </c>
      <c r="AL36" s="109" t="e">
        <f t="shared" si="31"/>
        <v>#DIV/0!</v>
      </c>
      <c r="AM36" s="109" t="e">
        <f t="shared" si="31"/>
        <v>#DIV/0!</v>
      </c>
      <c r="AN36" s="109" t="e">
        <f t="shared" si="31"/>
        <v>#DIV/0!</v>
      </c>
      <c r="AO36" s="109" t="e">
        <f t="shared" si="31"/>
        <v>#DIV/0!</v>
      </c>
      <c r="AP36" s="109" t="e">
        <f t="shared" si="31"/>
        <v>#DIV/0!</v>
      </c>
      <c r="AQ36" s="109" t="e">
        <f t="shared" si="31"/>
        <v>#DIV/0!</v>
      </c>
      <c r="AR36" s="109" t="e">
        <f t="shared" si="31"/>
        <v>#DIV/0!</v>
      </c>
      <c r="AS36" s="109" t="e">
        <f t="shared" si="31"/>
        <v>#DIV/0!</v>
      </c>
      <c r="AT36" s="109" t="e">
        <f t="shared" si="31"/>
        <v>#DIV/0!</v>
      </c>
      <c r="AU36" s="109" t="e">
        <f t="shared" si="31"/>
        <v>#DIV/0!</v>
      </c>
      <c r="AV36" s="109" t="e">
        <f t="shared" si="31"/>
        <v>#DIV/0!</v>
      </c>
      <c r="AW36" s="109" t="e">
        <f t="shared" si="31"/>
        <v>#DIV/0!</v>
      </c>
      <c r="AX36" s="110" t="str">
        <f t="shared" si="23"/>
        <v>-</v>
      </c>
      <c r="AY36" s="151"/>
      <c r="AZ36" s="133" t="e">
        <f t="shared" si="1"/>
        <v>#DIV/0!</v>
      </c>
      <c r="BA36" s="134" t="e">
        <f t="shared" si="2"/>
        <v>#DIV/0!</v>
      </c>
      <c r="BB36" s="135" t="e">
        <f t="shared" si="3"/>
        <v>#DIV/0!</v>
      </c>
      <c r="BC36" s="151"/>
      <c r="BD36" s="133" t="e">
        <f t="shared" si="4"/>
        <v>#DIV/0!</v>
      </c>
      <c r="BE36" s="136" t="e">
        <f t="shared" si="5"/>
        <v>#DIV/0!</v>
      </c>
      <c r="BF36" s="136" t="e">
        <f t="shared" si="6"/>
        <v>#DIV/0!</v>
      </c>
      <c r="BG36" s="136" t="e">
        <f t="shared" si="24"/>
        <v>#DIV/0!</v>
      </c>
      <c r="BH36" s="136" t="e">
        <f t="shared" si="7"/>
        <v>#DIV/0!</v>
      </c>
      <c r="BI36" s="135" t="e">
        <f t="shared" si="25"/>
        <v>#DIV/0!</v>
      </c>
      <c r="BJ36" s="151"/>
      <c r="BK36" s="133" t="e">
        <f t="shared" si="8"/>
        <v>#DIV/0!</v>
      </c>
      <c r="BL36" s="136" t="e">
        <f t="shared" si="9"/>
        <v>#DIV/0!</v>
      </c>
      <c r="BM36" s="136" t="e">
        <f t="shared" si="10"/>
        <v>#DIV/0!</v>
      </c>
      <c r="BN36" s="135" t="e">
        <f t="shared" si="11"/>
        <v>#DIV/0!</v>
      </c>
      <c r="BO36" s="151"/>
      <c r="BP36" s="133" t="e">
        <f t="shared" si="12"/>
        <v>#DIV/0!</v>
      </c>
      <c r="BQ36" s="136">
        <v>0</v>
      </c>
      <c r="BR36" s="136" t="e">
        <f t="shared" si="26"/>
        <v>#DIV/0!</v>
      </c>
      <c r="BS36" s="136" t="e">
        <f t="shared" si="27"/>
        <v>#DIV/0!</v>
      </c>
      <c r="BT36" s="135" t="e">
        <f t="shared" si="13"/>
        <v>#DIV/0!</v>
      </c>
      <c r="BU36" s="151"/>
      <c r="BV36" s="137" t="e">
        <f t="shared" si="14"/>
        <v>#DIV/0!</v>
      </c>
      <c r="BW36" s="138" t="e">
        <f t="shared" si="15"/>
        <v>#DIV/0!</v>
      </c>
      <c r="BX36" s="138" t="e">
        <f t="shared" si="16"/>
        <v>#DIV/0!</v>
      </c>
      <c r="BY36" s="138" t="e">
        <f t="shared" si="17"/>
        <v>#DIV/0!</v>
      </c>
      <c r="BZ36" s="138" t="e">
        <f t="shared" si="28"/>
        <v>#DIV/0!</v>
      </c>
      <c r="CA36" s="139" t="e">
        <f t="shared" si="29"/>
        <v>#DIV/0!</v>
      </c>
      <c r="CB36" s="151"/>
      <c r="CC36" s="137" t="str">
        <f t="shared" si="18"/>
        <v>-</v>
      </c>
      <c r="CD36" s="138" t="str">
        <f t="shared" si="19"/>
        <v>-</v>
      </c>
      <c r="CE36" s="138" t="str">
        <f t="shared" si="20"/>
        <v>-</v>
      </c>
      <c r="CF36" s="138" t="str">
        <f t="shared" si="21"/>
        <v>-</v>
      </c>
      <c r="CG36" s="139" t="str">
        <f t="shared" si="22"/>
        <v>-</v>
      </c>
      <c r="CH36" s="151"/>
    </row>
    <row r="37" spans="1:86" s="115" customFormat="1" ht="13.15" customHeight="1" thickBot="1" x14ac:dyDescent="0.25">
      <c r="A37" s="235" t="s">
        <v>69</v>
      </c>
      <c r="B37" s="236"/>
      <c r="C37" s="111">
        <f>SUM(C4:C35)</f>
        <v>0</v>
      </c>
      <c r="D37" s="111">
        <f t="shared" ref="D37:AW37" si="32">SUM(D4:D35)</f>
        <v>0</v>
      </c>
      <c r="E37" s="111">
        <f t="shared" si="32"/>
        <v>0</v>
      </c>
      <c r="F37" s="111">
        <f t="shared" si="32"/>
        <v>0</v>
      </c>
      <c r="G37" s="111">
        <f t="shared" si="32"/>
        <v>0</v>
      </c>
      <c r="H37" s="111">
        <f t="shared" si="32"/>
        <v>0</v>
      </c>
      <c r="I37" s="111">
        <f t="shared" si="32"/>
        <v>0</v>
      </c>
      <c r="J37" s="111">
        <f t="shared" si="32"/>
        <v>0</v>
      </c>
      <c r="K37" s="111">
        <f t="shared" si="32"/>
        <v>0</v>
      </c>
      <c r="L37" s="111">
        <f t="shared" si="32"/>
        <v>0</v>
      </c>
      <c r="M37" s="111">
        <f t="shared" si="32"/>
        <v>0</v>
      </c>
      <c r="N37" s="111">
        <f t="shared" si="32"/>
        <v>0</v>
      </c>
      <c r="O37" s="111">
        <f t="shared" si="32"/>
        <v>0</v>
      </c>
      <c r="P37" s="111">
        <f t="shared" si="32"/>
        <v>0</v>
      </c>
      <c r="Q37" s="111">
        <f t="shared" si="32"/>
        <v>0</v>
      </c>
      <c r="R37" s="111">
        <f t="shared" si="32"/>
        <v>0</v>
      </c>
      <c r="S37" s="111">
        <f t="shared" si="32"/>
        <v>0</v>
      </c>
      <c r="T37" s="111">
        <f t="shared" si="32"/>
        <v>0</v>
      </c>
      <c r="U37" s="111">
        <f t="shared" si="32"/>
        <v>0</v>
      </c>
      <c r="V37" s="111">
        <f t="shared" si="32"/>
        <v>0</v>
      </c>
      <c r="W37" s="111">
        <f t="shared" si="32"/>
        <v>0</v>
      </c>
      <c r="X37" s="111">
        <f t="shared" si="32"/>
        <v>0</v>
      </c>
      <c r="Y37" s="111">
        <f t="shared" si="32"/>
        <v>0</v>
      </c>
      <c r="Z37" s="111">
        <f t="shared" si="32"/>
        <v>0</v>
      </c>
      <c r="AA37" s="111">
        <f t="shared" si="32"/>
        <v>0</v>
      </c>
      <c r="AB37" s="111">
        <f t="shared" si="32"/>
        <v>0</v>
      </c>
      <c r="AC37" s="111">
        <f t="shared" si="32"/>
        <v>0</v>
      </c>
      <c r="AD37" s="111">
        <f t="shared" si="32"/>
        <v>0</v>
      </c>
      <c r="AE37" s="111">
        <f t="shared" si="32"/>
        <v>0</v>
      </c>
      <c r="AF37" s="111">
        <f t="shared" si="32"/>
        <v>0</v>
      </c>
      <c r="AG37" s="111">
        <f t="shared" si="32"/>
        <v>0</v>
      </c>
      <c r="AH37" s="111">
        <f t="shared" si="32"/>
        <v>0</v>
      </c>
      <c r="AI37" s="111">
        <f t="shared" si="32"/>
        <v>0</v>
      </c>
      <c r="AJ37" s="111">
        <f t="shared" si="32"/>
        <v>0</v>
      </c>
      <c r="AK37" s="111">
        <f t="shared" si="32"/>
        <v>0</v>
      </c>
      <c r="AL37" s="111">
        <f t="shared" si="32"/>
        <v>0</v>
      </c>
      <c r="AM37" s="111">
        <f t="shared" si="32"/>
        <v>0</v>
      </c>
      <c r="AN37" s="111">
        <f t="shared" si="32"/>
        <v>0</v>
      </c>
      <c r="AO37" s="111">
        <f t="shared" si="32"/>
        <v>0</v>
      </c>
      <c r="AP37" s="111">
        <f t="shared" si="32"/>
        <v>0</v>
      </c>
      <c r="AQ37" s="111">
        <f t="shared" si="32"/>
        <v>0</v>
      </c>
      <c r="AR37" s="111">
        <f t="shared" si="32"/>
        <v>0</v>
      </c>
      <c r="AS37" s="111">
        <f t="shared" si="32"/>
        <v>0</v>
      </c>
      <c r="AT37" s="111">
        <f t="shared" si="32"/>
        <v>0</v>
      </c>
      <c r="AU37" s="111">
        <f t="shared" si="32"/>
        <v>0</v>
      </c>
      <c r="AV37" s="111">
        <f t="shared" si="32"/>
        <v>0</v>
      </c>
      <c r="AW37" s="111">
        <f t="shared" si="32"/>
        <v>0</v>
      </c>
      <c r="AX37" s="112" t="str">
        <f t="shared" si="23"/>
        <v>-</v>
      </c>
      <c r="AY37" s="156"/>
      <c r="AZ37" s="141" t="str">
        <f t="shared" si="1"/>
        <v/>
      </c>
      <c r="BA37" s="142" t="str">
        <f t="shared" si="2"/>
        <v/>
      </c>
      <c r="BB37" s="143" t="str">
        <f t="shared" si="3"/>
        <v/>
      </c>
      <c r="BC37" s="156"/>
      <c r="BD37" s="141" t="str">
        <f t="shared" si="4"/>
        <v/>
      </c>
      <c r="BE37" s="144" t="str">
        <f t="shared" si="5"/>
        <v/>
      </c>
      <c r="BF37" s="144" t="str">
        <f t="shared" si="6"/>
        <v/>
      </c>
      <c r="BG37" s="144" t="str">
        <f t="shared" si="24"/>
        <v/>
      </c>
      <c r="BH37" s="144" t="str">
        <f t="shared" si="7"/>
        <v/>
      </c>
      <c r="BI37" s="143" t="str">
        <f t="shared" si="25"/>
        <v/>
      </c>
      <c r="BJ37" s="156"/>
      <c r="BK37" s="141" t="str">
        <f t="shared" si="8"/>
        <v/>
      </c>
      <c r="BL37" s="144" t="str">
        <f t="shared" si="9"/>
        <v/>
      </c>
      <c r="BM37" s="144" t="str">
        <f t="shared" si="10"/>
        <v/>
      </c>
      <c r="BN37" s="143" t="str">
        <f t="shared" si="11"/>
        <v/>
      </c>
      <c r="BO37" s="156"/>
      <c r="BP37" s="141" t="str">
        <f t="shared" si="12"/>
        <v/>
      </c>
      <c r="BQ37" s="144">
        <v>0</v>
      </c>
      <c r="BR37" s="144" t="str">
        <f t="shared" si="26"/>
        <v/>
      </c>
      <c r="BS37" s="144" t="str">
        <f t="shared" si="27"/>
        <v/>
      </c>
      <c r="BT37" s="143" t="str">
        <f t="shared" si="13"/>
        <v/>
      </c>
      <c r="BU37" s="156"/>
      <c r="BV37" s="145" t="str">
        <f t="shared" si="14"/>
        <v/>
      </c>
      <c r="BW37" s="146" t="str">
        <f t="shared" si="15"/>
        <v/>
      </c>
      <c r="BX37" s="146" t="str">
        <f t="shared" si="16"/>
        <v/>
      </c>
      <c r="BY37" s="146" t="str">
        <f t="shared" si="17"/>
        <v/>
      </c>
      <c r="BZ37" s="146" t="str">
        <f t="shared" si="28"/>
        <v/>
      </c>
      <c r="CA37" s="147" t="str">
        <f t="shared" si="29"/>
        <v/>
      </c>
      <c r="CB37" s="156"/>
      <c r="CC37" s="145" t="str">
        <f t="shared" si="18"/>
        <v>-</v>
      </c>
      <c r="CD37" s="146" t="str">
        <f t="shared" si="19"/>
        <v>-</v>
      </c>
      <c r="CE37" s="146" t="str">
        <f t="shared" si="20"/>
        <v>-</v>
      </c>
      <c r="CF37" s="146" t="str">
        <f t="shared" si="21"/>
        <v>-</v>
      </c>
      <c r="CG37" s="147" t="str">
        <f t="shared" si="22"/>
        <v>-</v>
      </c>
      <c r="CH37" s="156"/>
    </row>
    <row r="38" spans="1:86" x14ac:dyDescent="0.2"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</row>
  </sheetData>
  <mergeCells count="88">
    <mergeCell ref="CD2:CD3"/>
    <mergeCell ref="CE2:CE3"/>
    <mergeCell ref="CF2:CF3"/>
    <mergeCell ref="CG2:CG3"/>
    <mergeCell ref="A36:B36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7:B37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workbookViewId="0">
      <selection activeCell="A2" sqref="A2:A3"/>
    </sheetView>
  </sheetViews>
  <sheetFormatPr defaultColWidth="0" defaultRowHeight="11.25" x14ac:dyDescent="0.2"/>
  <cols>
    <col min="1" max="1" width="9.7109375" style="190" bestFit="1" customWidth="1"/>
    <col min="2" max="2" width="4.5703125" style="190" customWidth="1"/>
    <col min="3" max="3" width="15.42578125" style="190" bestFit="1" customWidth="1"/>
    <col min="4" max="4" width="18.7109375" style="190" bestFit="1" customWidth="1"/>
    <col min="5" max="5" width="19.85546875" style="190" bestFit="1" customWidth="1"/>
    <col min="6" max="6" width="15.85546875" style="190" bestFit="1" customWidth="1"/>
    <col min="7" max="7" width="5.5703125" style="190" bestFit="1" customWidth="1"/>
    <col min="8" max="8" width="18.42578125" style="190" bestFit="1" customWidth="1"/>
    <col min="9" max="9" width="8.85546875" style="190" bestFit="1" customWidth="1"/>
    <col min="10" max="10" width="9.42578125" style="190" customWidth="1"/>
    <col min="11" max="11" width="10.85546875" style="190" bestFit="1" customWidth="1"/>
    <col min="12" max="12" width="7.140625" style="190" bestFit="1" customWidth="1"/>
    <col min="13" max="13" width="5.85546875" style="190" bestFit="1" customWidth="1"/>
    <col min="14" max="14" width="4.42578125" style="190" bestFit="1" customWidth="1"/>
    <col min="15" max="15" width="4.7109375" style="190" bestFit="1" customWidth="1"/>
    <col min="16" max="16" width="4.5703125" style="190" bestFit="1" customWidth="1"/>
    <col min="17" max="17" width="5.42578125" style="190" bestFit="1" customWidth="1"/>
    <col min="18" max="18" width="4" style="190" bestFit="1" customWidth="1"/>
    <col min="19" max="19" width="4.42578125" style="190" bestFit="1" customWidth="1"/>
    <col min="20" max="20" width="3.5703125" style="190" bestFit="1" customWidth="1"/>
    <col min="21" max="21" width="5.85546875" style="190" bestFit="1" customWidth="1"/>
    <col min="22" max="23" width="3.28515625" style="190" bestFit="1" customWidth="1"/>
    <col min="24" max="24" width="5" style="190" bestFit="1" customWidth="1"/>
    <col min="25" max="25" width="3.85546875" style="190" bestFit="1" customWidth="1"/>
    <col min="26" max="26" width="3.42578125" style="190" bestFit="1" customWidth="1"/>
    <col min="27" max="27" width="5.5703125" style="190" bestFit="1" customWidth="1"/>
    <col min="28" max="28" width="5.7109375" style="190" bestFit="1" customWidth="1"/>
    <col min="29" max="29" width="4" style="190" bestFit="1" customWidth="1"/>
    <col min="30" max="30" width="3.140625" style="190" bestFit="1" customWidth="1"/>
    <col min="31" max="31" width="5.42578125" style="190" bestFit="1" customWidth="1"/>
    <col min="32" max="33" width="4.42578125" style="190" bestFit="1" customWidth="1"/>
    <col min="34" max="34" width="4.28515625" style="190" bestFit="1" customWidth="1"/>
    <col min="35" max="35" width="13.140625" style="190" bestFit="1" customWidth="1"/>
    <col min="36" max="36" width="15.5703125" style="190" bestFit="1" customWidth="1"/>
    <col min="37" max="37" width="16.140625" style="190" bestFit="1" customWidth="1"/>
    <col min="38" max="38" width="15.28515625" style="190" bestFit="1" customWidth="1"/>
    <col min="39" max="39" width="15.7109375" style="190" bestFit="1" customWidth="1"/>
    <col min="40" max="40" width="16.140625" style="190" bestFit="1" customWidth="1"/>
    <col min="41" max="41" width="9.85546875" style="190" bestFit="1" customWidth="1"/>
    <col min="42" max="42" width="13.7109375" style="190" bestFit="1" customWidth="1"/>
    <col min="43" max="43" width="11" style="190" bestFit="1" customWidth="1"/>
    <col min="44" max="44" width="10.140625" style="190" bestFit="1" customWidth="1"/>
    <col min="45" max="45" width="12.42578125" style="192" bestFit="1" customWidth="1"/>
    <col min="46" max="46" width="11.5703125" style="190" bestFit="1" customWidth="1"/>
    <col min="47" max="47" width="10.7109375" style="190" customWidth="1"/>
    <col min="48" max="48" width="16.140625" style="190" bestFit="1" customWidth="1"/>
    <col min="49" max="50" width="16" style="190" bestFit="1" customWidth="1"/>
    <col min="51" max="51" width="2.28515625" style="190" customWidth="1"/>
    <col min="52" max="52" width="16.28515625" style="190" bestFit="1" customWidth="1"/>
    <col min="53" max="53" width="11.85546875" style="190" bestFit="1" customWidth="1"/>
    <col min="54" max="54" width="12.7109375" style="190" bestFit="1" customWidth="1"/>
    <col min="55" max="55" width="1.5703125" style="190" customWidth="1"/>
    <col min="56" max="56" width="12.5703125" style="190" bestFit="1" customWidth="1"/>
    <col min="57" max="57" width="13.28515625" style="190" bestFit="1" customWidth="1"/>
    <col min="58" max="58" width="20.28515625" style="190" bestFit="1" customWidth="1"/>
    <col min="59" max="59" width="9.42578125" style="190" bestFit="1" customWidth="1"/>
    <col min="60" max="60" width="14.7109375" style="190" bestFit="1" customWidth="1"/>
    <col min="61" max="61" width="10.5703125" style="190" bestFit="1" customWidth="1"/>
    <col min="62" max="62" width="1.85546875" style="190" customWidth="1"/>
    <col min="63" max="63" width="20.140625" style="190" bestFit="1" customWidth="1"/>
    <col min="64" max="64" width="25.28515625" style="190" bestFit="1" customWidth="1"/>
    <col min="65" max="65" width="14" style="190" bestFit="1" customWidth="1"/>
    <col min="66" max="66" width="18" style="190" bestFit="1" customWidth="1"/>
    <col min="67" max="67" width="2.140625" style="190" customWidth="1"/>
    <col min="68" max="68" width="9.140625" style="190" bestFit="1" customWidth="1"/>
    <col min="69" max="69" width="12.85546875" style="190" bestFit="1" customWidth="1"/>
    <col min="70" max="70" width="14" style="190" bestFit="1" customWidth="1"/>
    <col min="71" max="71" width="13.7109375" style="190" bestFit="1" customWidth="1"/>
    <col min="72" max="72" width="7.85546875" style="190" bestFit="1" customWidth="1"/>
    <col min="73" max="73" width="2.140625" style="190" customWidth="1"/>
    <col min="74" max="74" width="18.42578125" style="190" bestFit="1" customWidth="1"/>
    <col min="75" max="75" width="14.42578125" style="190" bestFit="1" customWidth="1"/>
    <col min="76" max="76" width="18.42578125" style="190" bestFit="1" customWidth="1"/>
    <col min="77" max="77" width="18.85546875" style="190" bestFit="1" customWidth="1"/>
    <col min="78" max="78" width="18" style="190" bestFit="1" customWidth="1"/>
    <col min="79" max="79" width="18.5703125" style="190" bestFit="1" customWidth="1"/>
    <col min="80" max="80" width="1.85546875" style="190" customWidth="1"/>
    <col min="81" max="82" width="6.5703125" style="190" bestFit="1" customWidth="1"/>
    <col min="83" max="83" width="5.85546875" style="190" bestFit="1" customWidth="1"/>
    <col min="84" max="84" width="6.5703125" style="190" bestFit="1" customWidth="1"/>
    <col min="85" max="85" width="8.42578125" style="190" bestFit="1" customWidth="1"/>
    <col min="86" max="103" width="0" style="190" hidden="1" customWidth="1"/>
    <col min="104" max="16384" width="10.7109375" style="190" hidden="1"/>
  </cols>
  <sheetData>
    <row r="1" spans="1:86" s="27" customFormat="1" ht="13.15" customHeight="1" thickBot="1" x14ac:dyDescent="0.25">
      <c r="A1" s="269" t="s">
        <v>0</v>
      </c>
      <c r="B1" s="270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7"/>
      <c r="AY1" s="188"/>
      <c r="AZ1" s="271" t="s">
        <v>1</v>
      </c>
      <c r="BA1" s="272"/>
      <c r="BB1" s="273"/>
      <c r="BC1" s="188"/>
      <c r="BD1" s="256" t="s">
        <v>2</v>
      </c>
      <c r="BE1" s="257"/>
      <c r="BF1" s="257"/>
      <c r="BG1" s="257"/>
      <c r="BH1" s="257"/>
      <c r="BI1" s="258"/>
      <c r="BJ1" s="188"/>
      <c r="BK1" s="256" t="s">
        <v>3</v>
      </c>
      <c r="BL1" s="257"/>
      <c r="BM1" s="257"/>
      <c r="BN1" s="258"/>
      <c r="BO1" s="188"/>
      <c r="BP1" s="256" t="s">
        <v>4</v>
      </c>
      <c r="BQ1" s="257"/>
      <c r="BR1" s="257"/>
      <c r="BS1" s="257"/>
      <c r="BT1" s="258"/>
      <c r="BU1" s="188"/>
      <c r="BV1" s="256" t="s">
        <v>5</v>
      </c>
      <c r="BW1" s="257"/>
      <c r="BX1" s="257"/>
      <c r="BY1" s="257"/>
      <c r="BZ1" s="257"/>
      <c r="CA1" s="258"/>
      <c r="CB1" s="188"/>
      <c r="CC1" s="256" t="s">
        <v>6</v>
      </c>
      <c r="CD1" s="257"/>
      <c r="CE1" s="257"/>
      <c r="CF1" s="257"/>
      <c r="CG1" s="258"/>
      <c r="CH1" s="188"/>
    </row>
    <row r="2" spans="1:86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87</v>
      </c>
      <c r="V2" s="259" t="s">
        <v>78</v>
      </c>
      <c r="W2" s="259" t="s">
        <v>24</v>
      </c>
      <c r="X2" s="259" t="s">
        <v>85</v>
      </c>
      <c r="Y2" s="259" t="s">
        <v>25</v>
      </c>
      <c r="Z2" s="259" t="s">
        <v>70</v>
      </c>
      <c r="AA2" s="259" t="s">
        <v>79</v>
      </c>
      <c r="AB2" s="259" t="s">
        <v>76</v>
      </c>
      <c r="AC2" s="259" t="s">
        <v>77</v>
      </c>
      <c r="AD2" s="259" t="s">
        <v>80</v>
      </c>
      <c r="AE2" s="259" t="s">
        <v>75</v>
      </c>
      <c r="AF2" s="259" t="s">
        <v>74</v>
      </c>
      <c r="AG2" s="259" t="s">
        <v>72</v>
      </c>
      <c r="AH2" s="259" t="s">
        <v>73</v>
      </c>
      <c r="AI2" s="259" t="s">
        <v>26</v>
      </c>
      <c r="AJ2" s="259" t="s">
        <v>27</v>
      </c>
      <c r="AK2" s="259" t="s">
        <v>28</v>
      </c>
      <c r="AL2" s="276" t="s">
        <v>29</v>
      </c>
      <c r="AM2" s="276" t="s">
        <v>30</v>
      </c>
      <c r="AN2" s="286" t="s">
        <v>31</v>
      </c>
      <c r="AO2" s="286" t="s">
        <v>32</v>
      </c>
      <c r="AP2" s="286" t="s">
        <v>33</v>
      </c>
      <c r="AQ2" s="286" t="s">
        <v>34</v>
      </c>
      <c r="AR2" s="286" t="s">
        <v>35</v>
      </c>
      <c r="AS2" s="286" t="s">
        <v>36</v>
      </c>
      <c r="AT2" s="315" t="s">
        <v>37</v>
      </c>
      <c r="AU2" s="278" t="s">
        <v>82</v>
      </c>
      <c r="AV2" s="278" t="s">
        <v>81</v>
      </c>
      <c r="AW2" s="280" t="s">
        <v>38</v>
      </c>
      <c r="AX2" s="282" t="s">
        <v>39</v>
      </c>
      <c r="AY2" s="188"/>
      <c r="AZ2" s="284" t="s">
        <v>40</v>
      </c>
      <c r="BA2" s="311" t="s">
        <v>41</v>
      </c>
      <c r="BB2" s="313" t="s">
        <v>42</v>
      </c>
      <c r="BC2" s="188"/>
      <c r="BD2" s="292" t="s">
        <v>43</v>
      </c>
      <c r="BE2" s="294" t="s">
        <v>44</v>
      </c>
      <c r="BF2" s="294" t="s">
        <v>45</v>
      </c>
      <c r="BG2" s="294" t="s">
        <v>46</v>
      </c>
      <c r="BH2" s="294" t="s">
        <v>47</v>
      </c>
      <c r="BI2" s="298" t="s">
        <v>48</v>
      </c>
      <c r="BJ2" s="188"/>
      <c r="BK2" s="302" t="s">
        <v>49</v>
      </c>
      <c r="BL2" s="303" t="s">
        <v>50</v>
      </c>
      <c r="BM2" s="303" t="s">
        <v>51</v>
      </c>
      <c r="BN2" s="310" t="s">
        <v>52</v>
      </c>
      <c r="BO2" s="188"/>
      <c r="BP2" s="292" t="s">
        <v>53</v>
      </c>
      <c r="BQ2" s="294" t="s">
        <v>54</v>
      </c>
      <c r="BR2" s="296" t="s">
        <v>67</v>
      </c>
      <c r="BS2" s="294" t="s">
        <v>55</v>
      </c>
      <c r="BT2" s="298" t="s">
        <v>86</v>
      </c>
      <c r="BU2" s="188"/>
      <c r="BV2" s="300" t="s">
        <v>56</v>
      </c>
      <c r="BW2" s="290" t="s">
        <v>57</v>
      </c>
      <c r="BX2" s="290" t="s">
        <v>58</v>
      </c>
      <c r="BY2" s="259" t="s">
        <v>59</v>
      </c>
      <c r="BZ2" s="290" t="s">
        <v>60</v>
      </c>
      <c r="CA2" s="306" t="s">
        <v>61</v>
      </c>
      <c r="CB2" s="188"/>
      <c r="CC2" s="308" t="s">
        <v>62</v>
      </c>
      <c r="CD2" s="296" t="s">
        <v>63</v>
      </c>
      <c r="CE2" s="296" t="s">
        <v>64</v>
      </c>
      <c r="CF2" s="296" t="s">
        <v>65</v>
      </c>
      <c r="CG2" s="304" t="s">
        <v>66</v>
      </c>
      <c r="CH2" s="188"/>
    </row>
    <row r="3" spans="1:86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77"/>
      <c r="AM3" s="277"/>
      <c r="AN3" s="287"/>
      <c r="AO3" s="287"/>
      <c r="AP3" s="287"/>
      <c r="AQ3" s="287"/>
      <c r="AR3" s="287"/>
      <c r="AS3" s="287"/>
      <c r="AT3" s="316"/>
      <c r="AU3" s="279"/>
      <c r="AV3" s="279"/>
      <c r="AW3" s="281"/>
      <c r="AX3" s="283" t="s">
        <v>38</v>
      </c>
      <c r="AY3" s="188"/>
      <c r="AZ3" s="285"/>
      <c r="BA3" s="312"/>
      <c r="BB3" s="314"/>
      <c r="BC3" s="188"/>
      <c r="BD3" s="293"/>
      <c r="BE3" s="295"/>
      <c r="BF3" s="295"/>
      <c r="BG3" s="295"/>
      <c r="BH3" s="295"/>
      <c r="BI3" s="299"/>
      <c r="BJ3" s="188"/>
      <c r="BK3" s="293"/>
      <c r="BL3" s="295"/>
      <c r="BM3" s="295"/>
      <c r="BN3" s="299"/>
      <c r="BO3" s="188"/>
      <c r="BP3" s="293"/>
      <c r="BQ3" s="295"/>
      <c r="BR3" s="297"/>
      <c r="BS3" s="295"/>
      <c r="BT3" s="299"/>
      <c r="BU3" s="188"/>
      <c r="BV3" s="301"/>
      <c r="BW3" s="291"/>
      <c r="BX3" s="291"/>
      <c r="BY3" s="260"/>
      <c r="BZ3" s="291"/>
      <c r="CA3" s="307"/>
      <c r="CB3" s="188"/>
      <c r="CC3" s="309"/>
      <c r="CD3" s="297"/>
      <c r="CE3" s="297"/>
      <c r="CF3" s="297"/>
      <c r="CG3" s="305"/>
      <c r="CH3" s="188"/>
    </row>
    <row r="4" spans="1:86" s="27" customFormat="1" ht="12.4" customHeight="1" thickBot="1" x14ac:dyDescent="0.25">
      <c r="A4" s="43">
        <f>EL_DEL_CD2_JO_!A4</f>
        <v>46296</v>
      </c>
      <c r="B4" s="44" t="str">
        <f t="shared" ref="B4:B30" si="0">+TEXT(A4,"DDD")</f>
        <v>Thu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2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59"/>
      <c r="AM4" s="59"/>
      <c r="AN4" s="59"/>
      <c r="AO4" s="59"/>
      <c r="AP4" s="59"/>
      <c r="AQ4" s="59"/>
      <c r="AR4" s="59"/>
      <c r="AS4" s="59"/>
      <c r="AT4" s="8"/>
      <c r="AU4" s="8"/>
      <c r="AV4" s="9"/>
      <c r="AW4" s="60"/>
      <c r="AX4" s="10" t="str">
        <f>IFERROR(AN4/AW4,"-")</f>
        <v>-</v>
      </c>
      <c r="AY4" s="188"/>
      <c r="AZ4" s="1" t="str">
        <f t="shared" ref="AZ4:AZ36" si="1">IF(E4&gt;0,F4/E4,"")</f>
        <v/>
      </c>
      <c r="BA4" s="11" t="str">
        <f t="shared" ref="BA4:BA36" si="2">+IF(E4&gt;0,G4/E4,"")</f>
        <v/>
      </c>
      <c r="BB4" s="1" t="str">
        <f t="shared" ref="BB4:BB36" si="3">+IF(E4&gt;0,AJ4/E4,"")</f>
        <v/>
      </c>
      <c r="BC4" s="188"/>
      <c r="BD4" s="53" t="str">
        <f t="shared" ref="BD4:BD36" si="4">+IF(G4&gt;0,I4/G4,"")</f>
        <v/>
      </c>
      <c r="BE4" s="12" t="str">
        <f t="shared" ref="BE4:BE36" si="5">+IF(G4&gt;0,J4/G4,"")</f>
        <v/>
      </c>
      <c r="BF4" s="12" t="str">
        <f t="shared" ref="BF4:BF36" si="6">+IF(I4&gt;0,L4/I4,"")</f>
        <v/>
      </c>
      <c r="BG4" s="12" t="str">
        <f>+IF(SUM(AO4:AR4)&gt;0,AO4/AN4,"")</f>
        <v/>
      </c>
      <c r="BH4" s="12" t="str">
        <f t="shared" ref="BH4:BH36" si="7">+IF(G4&gt;0,K4/G4,"")</f>
        <v/>
      </c>
      <c r="BI4" s="54" t="str">
        <f>+IF(SUM(AO4:AR4)&gt;0,AQ4/AN4,"")</f>
        <v/>
      </c>
      <c r="BJ4" s="188"/>
      <c r="BK4" s="55" t="str">
        <f t="shared" ref="BK4:BK36" si="8">+IF(E4&gt;0,(AJ4/E4),"")</f>
        <v/>
      </c>
      <c r="BL4" s="13" t="str">
        <f t="shared" ref="BL4:BL36" si="9">+IF(E4&gt;0,(AJ4/F4),"")</f>
        <v/>
      </c>
      <c r="BM4" s="13" t="str">
        <f t="shared" ref="BM4:BM36" si="10">+IF(E4&gt;0,(AJ4/G4),"")</f>
        <v/>
      </c>
      <c r="BN4" s="56" t="str">
        <f t="shared" ref="BN4:BN36" si="11">+IF(E4&gt;0,(AJ4/J4),"")</f>
        <v/>
      </c>
      <c r="BO4" s="188"/>
      <c r="BP4" s="14" t="str">
        <f t="shared" ref="BP4:BP36" si="12">IF(AJ4&gt;0,(N4/AJ4),"")</f>
        <v/>
      </c>
      <c r="BQ4" s="15">
        <v>0</v>
      </c>
      <c r="BR4" s="15" t="str">
        <f>IF(AJ4&gt;0,(AK4/AJ4),"")</f>
        <v/>
      </c>
      <c r="BS4" s="15" t="str">
        <f>IF(AJ4&gt;0,(AK4/AJ4),"")</f>
        <v/>
      </c>
      <c r="BT4" s="16" t="str">
        <f t="shared" ref="BT4:BT36" si="13">IF(J4&gt;0,AD4/J4,"")</f>
        <v/>
      </c>
      <c r="BU4" s="188"/>
      <c r="BV4" s="28" t="str">
        <f t="shared" ref="BV4:BV36" si="14">IF(AN4&gt;0,(E4/AN4),"")</f>
        <v/>
      </c>
      <c r="BW4" s="28" t="str">
        <f t="shared" ref="BW4:BW36" si="15">IF(AN4&gt;0,(G4/AN4),"")</f>
        <v/>
      </c>
      <c r="BX4" s="28" t="str">
        <f t="shared" ref="BX4:BX36" si="16">IF(AN4&gt;0,(J4/AN4),"")</f>
        <v/>
      </c>
      <c r="BY4" s="28" t="str">
        <f t="shared" ref="BY4:BY36" si="17">IF(AN4&gt;0,(K4/AN4),"")</f>
        <v/>
      </c>
      <c r="BZ4" s="28" t="str">
        <f>IF(AN4&gt;0,(AJ4/AN4),"")</f>
        <v/>
      </c>
      <c r="CA4" s="52" t="str">
        <f>IF(AN4&gt;0,(AK4/AN4),"")</f>
        <v/>
      </c>
      <c r="CB4" s="188"/>
      <c r="CC4" s="49" t="str">
        <f t="shared" ref="CC4:CC36" si="18">IFERROR(((AN4-AO4)*3600)/J4,"-")</f>
        <v>-</v>
      </c>
      <c r="CD4" s="29" t="str">
        <f t="shared" ref="CD4:CD36" si="19">IFERROR((AR4*3600)/J4,"-")</f>
        <v>-</v>
      </c>
      <c r="CE4" s="29" t="str">
        <f t="shared" ref="CE4:CE36" si="20">IFERROR((AQ4*3600)/J4,"-")</f>
        <v>-</v>
      </c>
      <c r="CF4" s="29" t="str">
        <f t="shared" ref="CF4:CF36" si="21">IFERROR((AO4*3600)/J4,"-")</f>
        <v>-</v>
      </c>
      <c r="CG4" s="50" t="str">
        <f t="shared" ref="CG4:CG36" si="22">IFERROR((AP4*3600)/J4,"-")</f>
        <v>-</v>
      </c>
      <c r="CH4" s="188"/>
    </row>
    <row r="5" spans="1:86" s="27" customFormat="1" ht="12.4" customHeight="1" thickBot="1" x14ac:dyDescent="0.25">
      <c r="A5" s="43">
        <f>A4+1</f>
        <v>46297</v>
      </c>
      <c r="B5" s="44" t="str">
        <f t="shared" si="0"/>
        <v>Fri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2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59"/>
      <c r="AM5" s="59"/>
      <c r="AN5" s="59"/>
      <c r="AO5" s="59"/>
      <c r="AP5" s="59"/>
      <c r="AQ5" s="59"/>
      <c r="AR5" s="59"/>
      <c r="AS5" s="59"/>
      <c r="AT5" s="8"/>
      <c r="AU5" s="8"/>
      <c r="AV5" s="9"/>
      <c r="AW5" s="60"/>
      <c r="AX5" s="10" t="str">
        <f t="shared" ref="AX5:AX36" si="23">IFERROR(AN5/AW5,"-")</f>
        <v>-</v>
      </c>
      <c r="AY5" s="188"/>
      <c r="AZ5" s="1" t="str">
        <f t="shared" si="1"/>
        <v/>
      </c>
      <c r="BA5" s="11" t="str">
        <f t="shared" si="2"/>
        <v/>
      </c>
      <c r="BB5" s="1" t="str">
        <f t="shared" si="3"/>
        <v/>
      </c>
      <c r="BC5" s="188"/>
      <c r="BD5" s="53" t="str">
        <f t="shared" si="4"/>
        <v/>
      </c>
      <c r="BE5" s="12" t="str">
        <f t="shared" si="5"/>
        <v/>
      </c>
      <c r="BF5" s="12" t="str">
        <f t="shared" si="6"/>
        <v/>
      </c>
      <c r="BG5" s="12" t="str">
        <f t="shared" ref="BG5:BG36" si="24">+IF(SUM(AO5:AR5)&gt;0,AO5/AN5,"")</f>
        <v/>
      </c>
      <c r="BH5" s="12" t="str">
        <f t="shared" si="7"/>
        <v/>
      </c>
      <c r="BI5" s="54" t="str">
        <f t="shared" ref="BI5:BI36" si="25">+IF(SUM(AO5:AR5)&gt;0,AQ5/AN5,"")</f>
        <v/>
      </c>
      <c r="BJ5" s="188"/>
      <c r="BK5" s="55" t="str">
        <f t="shared" si="8"/>
        <v/>
      </c>
      <c r="BL5" s="13" t="str">
        <f t="shared" si="9"/>
        <v/>
      </c>
      <c r="BM5" s="13" t="str">
        <f t="shared" si="10"/>
        <v/>
      </c>
      <c r="BN5" s="56" t="str">
        <f t="shared" si="11"/>
        <v/>
      </c>
      <c r="BO5" s="188"/>
      <c r="BP5" s="14" t="str">
        <f t="shared" si="12"/>
        <v/>
      </c>
      <c r="BQ5" s="15">
        <v>0</v>
      </c>
      <c r="BR5" s="15" t="str">
        <f t="shared" ref="BR5:BR36" si="26">IF(AJ5&gt;0,(AK5/AJ5),"")</f>
        <v/>
      </c>
      <c r="BS5" s="15" t="str">
        <f t="shared" ref="BS5:BS36" si="27">IF(AJ5&gt;0,(AK5/AJ5),"")</f>
        <v/>
      </c>
      <c r="BT5" s="16" t="str">
        <f t="shared" si="13"/>
        <v/>
      </c>
      <c r="BU5" s="188"/>
      <c r="BV5" s="28" t="str">
        <f t="shared" si="14"/>
        <v/>
      </c>
      <c r="BW5" s="28" t="str">
        <f t="shared" si="15"/>
        <v/>
      </c>
      <c r="BX5" s="28" t="str">
        <f t="shared" si="16"/>
        <v/>
      </c>
      <c r="BY5" s="28" t="str">
        <f t="shared" si="17"/>
        <v/>
      </c>
      <c r="BZ5" s="28" t="str">
        <f t="shared" ref="BZ5:BZ36" si="28">IF(AN5&gt;0,(AJ5/AN5),"")</f>
        <v/>
      </c>
      <c r="CA5" s="52" t="str">
        <f t="shared" ref="CA5:CA36" si="29">IF(AN5&gt;0,(AK5/AN5),"")</f>
        <v/>
      </c>
      <c r="CB5" s="188"/>
      <c r="CC5" s="49" t="str">
        <f t="shared" si="18"/>
        <v>-</v>
      </c>
      <c r="CD5" s="29" t="str">
        <f t="shared" si="19"/>
        <v>-</v>
      </c>
      <c r="CE5" s="29" t="str">
        <f t="shared" si="20"/>
        <v>-</v>
      </c>
      <c r="CF5" s="29" t="str">
        <f t="shared" si="21"/>
        <v>-</v>
      </c>
      <c r="CG5" s="50" t="str">
        <f t="shared" si="22"/>
        <v>-</v>
      </c>
      <c r="CH5" s="188"/>
    </row>
    <row r="6" spans="1:86" s="27" customFormat="1" ht="12.4" customHeight="1" thickBot="1" x14ac:dyDescent="0.25">
      <c r="A6" s="43">
        <f t="shared" ref="A6:A33" si="30">A5+1</f>
        <v>46298</v>
      </c>
      <c r="B6" s="44" t="str">
        <f t="shared" si="0"/>
        <v>Sat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2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59"/>
      <c r="AM6" s="59"/>
      <c r="AN6" s="59"/>
      <c r="AO6" s="59"/>
      <c r="AP6" s="59"/>
      <c r="AQ6" s="59"/>
      <c r="AR6" s="59"/>
      <c r="AS6" s="59"/>
      <c r="AT6" s="8"/>
      <c r="AU6" s="8"/>
      <c r="AV6" s="9"/>
      <c r="AW6" s="60"/>
      <c r="AX6" s="10" t="str">
        <f t="shared" si="23"/>
        <v>-</v>
      </c>
      <c r="AY6" s="188"/>
      <c r="AZ6" s="1" t="str">
        <f t="shared" si="1"/>
        <v/>
      </c>
      <c r="BA6" s="11" t="str">
        <f t="shared" si="2"/>
        <v/>
      </c>
      <c r="BB6" s="1" t="str">
        <f t="shared" si="3"/>
        <v/>
      </c>
      <c r="BC6" s="188"/>
      <c r="BD6" s="53" t="str">
        <f t="shared" si="4"/>
        <v/>
      </c>
      <c r="BE6" s="12" t="str">
        <f t="shared" si="5"/>
        <v/>
      </c>
      <c r="BF6" s="12" t="str">
        <f t="shared" si="6"/>
        <v/>
      </c>
      <c r="BG6" s="12" t="str">
        <f t="shared" si="24"/>
        <v/>
      </c>
      <c r="BH6" s="12" t="str">
        <f t="shared" si="7"/>
        <v/>
      </c>
      <c r="BI6" s="54" t="str">
        <f t="shared" si="25"/>
        <v/>
      </c>
      <c r="BJ6" s="188"/>
      <c r="BK6" s="55" t="str">
        <f t="shared" si="8"/>
        <v/>
      </c>
      <c r="BL6" s="13" t="str">
        <f t="shared" si="9"/>
        <v/>
      </c>
      <c r="BM6" s="13" t="str">
        <f t="shared" si="10"/>
        <v/>
      </c>
      <c r="BN6" s="56" t="str">
        <f t="shared" si="11"/>
        <v/>
      </c>
      <c r="BO6" s="188"/>
      <c r="BP6" s="14" t="str">
        <f t="shared" si="12"/>
        <v/>
      </c>
      <c r="BQ6" s="15">
        <v>0</v>
      </c>
      <c r="BR6" s="15" t="str">
        <f t="shared" si="26"/>
        <v/>
      </c>
      <c r="BS6" s="15" t="str">
        <f t="shared" si="27"/>
        <v/>
      </c>
      <c r="BT6" s="16" t="str">
        <f t="shared" si="13"/>
        <v/>
      </c>
      <c r="BU6" s="188"/>
      <c r="BV6" s="28" t="str">
        <f t="shared" si="14"/>
        <v/>
      </c>
      <c r="BW6" s="28" t="str">
        <f t="shared" si="15"/>
        <v/>
      </c>
      <c r="BX6" s="28" t="str">
        <f t="shared" si="16"/>
        <v/>
      </c>
      <c r="BY6" s="28" t="str">
        <f t="shared" si="17"/>
        <v/>
      </c>
      <c r="BZ6" s="28" t="str">
        <f t="shared" si="28"/>
        <v/>
      </c>
      <c r="CA6" s="52" t="str">
        <f t="shared" si="29"/>
        <v/>
      </c>
      <c r="CB6" s="188"/>
      <c r="CC6" s="49" t="str">
        <f t="shared" si="18"/>
        <v>-</v>
      </c>
      <c r="CD6" s="29" t="str">
        <f t="shared" si="19"/>
        <v>-</v>
      </c>
      <c r="CE6" s="29" t="str">
        <f t="shared" si="20"/>
        <v>-</v>
      </c>
      <c r="CF6" s="29" t="str">
        <f t="shared" si="21"/>
        <v>-</v>
      </c>
      <c r="CG6" s="50" t="str">
        <f t="shared" si="22"/>
        <v>-</v>
      </c>
      <c r="CH6" s="188"/>
    </row>
    <row r="7" spans="1:86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2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59"/>
      <c r="AM7" s="59"/>
      <c r="AN7" s="59"/>
      <c r="AO7" s="59"/>
      <c r="AP7" s="59"/>
      <c r="AQ7" s="59"/>
      <c r="AR7" s="59"/>
      <c r="AS7" s="59"/>
      <c r="AT7" s="8"/>
      <c r="AU7" s="8"/>
      <c r="AV7" s="9"/>
      <c r="AW7" s="60"/>
      <c r="AX7" s="10" t="str">
        <f t="shared" si="23"/>
        <v>-</v>
      </c>
      <c r="AY7" s="188"/>
      <c r="AZ7" s="1" t="str">
        <f t="shared" si="1"/>
        <v/>
      </c>
      <c r="BA7" s="11" t="str">
        <f t="shared" si="2"/>
        <v/>
      </c>
      <c r="BB7" s="1" t="str">
        <f t="shared" si="3"/>
        <v/>
      </c>
      <c r="BC7" s="188"/>
      <c r="BD7" s="53" t="str">
        <f t="shared" si="4"/>
        <v/>
      </c>
      <c r="BE7" s="12" t="str">
        <f t="shared" si="5"/>
        <v/>
      </c>
      <c r="BF7" s="12" t="str">
        <f t="shared" si="6"/>
        <v/>
      </c>
      <c r="BG7" s="12" t="str">
        <f t="shared" si="24"/>
        <v/>
      </c>
      <c r="BH7" s="12" t="str">
        <f t="shared" si="7"/>
        <v/>
      </c>
      <c r="BI7" s="54" t="str">
        <f t="shared" si="25"/>
        <v/>
      </c>
      <c r="BJ7" s="188"/>
      <c r="BK7" s="55" t="str">
        <f t="shared" si="8"/>
        <v/>
      </c>
      <c r="BL7" s="13" t="str">
        <f t="shared" si="9"/>
        <v/>
      </c>
      <c r="BM7" s="13" t="str">
        <f t="shared" si="10"/>
        <v/>
      </c>
      <c r="BN7" s="56" t="str">
        <f t="shared" si="11"/>
        <v/>
      </c>
      <c r="BO7" s="188"/>
      <c r="BP7" s="14" t="str">
        <f t="shared" si="12"/>
        <v/>
      </c>
      <c r="BQ7" s="15">
        <v>0</v>
      </c>
      <c r="BR7" s="15" t="str">
        <f t="shared" si="26"/>
        <v/>
      </c>
      <c r="BS7" s="15" t="str">
        <f t="shared" si="27"/>
        <v/>
      </c>
      <c r="BT7" s="16" t="str">
        <f t="shared" si="13"/>
        <v/>
      </c>
      <c r="BU7" s="188"/>
      <c r="BV7" s="28" t="str">
        <f t="shared" si="14"/>
        <v/>
      </c>
      <c r="BW7" s="28" t="str">
        <f t="shared" si="15"/>
        <v/>
      </c>
      <c r="BX7" s="28" t="str">
        <f t="shared" si="16"/>
        <v/>
      </c>
      <c r="BY7" s="28" t="str">
        <f t="shared" si="17"/>
        <v/>
      </c>
      <c r="BZ7" s="28" t="str">
        <f t="shared" si="28"/>
        <v/>
      </c>
      <c r="CA7" s="52" t="str">
        <f t="shared" si="29"/>
        <v/>
      </c>
      <c r="CB7" s="188"/>
      <c r="CC7" s="49" t="str">
        <f t="shared" si="18"/>
        <v>-</v>
      </c>
      <c r="CD7" s="29" t="str">
        <f t="shared" si="19"/>
        <v>-</v>
      </c>
      <c r="CE7" s="29" t="str">
        <f t="shared" si="20"/>
        <v>-</v>
      </c>
      <c r="CF7" s="29" t="str">
        <f t="shared" si="21"/>
        <v>-</v>
      </c>
      <c r="CG7" s="50" t="str">
        <f t="shared" si="22"/>
        <v>-</v>
      </c>
      <c r="CH7" s="188"/>
    </row>
    <row r="8" spans="1:86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2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59"/>
      <c r="AM8" s="59"/>
      <c r="AN8" s="59"/>
      <c r="AO8" s="59"/>
      <c r="AP8" s="59"/>
      <c r="AQ8" s="59"/>
      <c r="AR8" s="59"/>
      <c r="AS8" s="59"/>
      <c r="AT8" s="8"/>
      <c r="AU8" s="8"/>
      <c r="AV8" s="9"/>
      <c r="AW8" s="60"/>
      <c r="AX8" s="10" t="str">
        <f t="shared" si="23"/>
        <v>-</v>
      </c>
      <c r="AY8" s="188"/>
      <c r="AZ8" s="1" t="str">
        <f t="shared" si="1"/>
        <v/>
      </c>
      <c r="BA8" s="11" t="str">
        <f t="shared" si="2"/>
        <v/>
      </c>
      <c r="BB8" s="1" t="str">
        <f t="shared" si="3"/>
        <v/>
      </c>
      <c r="BC8" s="188"/>
      <c r="BD8" s="53" t="str">
        <f t="shared" si="4"/>
        <v/>
      </c>
      <c r="BE8" s="12" t="str">
        <f t="shared" si="5"/>
        <v/>
      </c>
      <c r="BF8" s="12" t="str">
        <f t="shared" si="6"/>
        <v/>
      </c>
      <c r="BG8" s="12" t="str">
        <f t="shared" si="24"/>
        <v/>
      </c>
      <c r="BH8" s="12" t="str">
        <f t="shared" si="7"/>
        <v/>
      </c>
      <c r="BI8" s="54" t="str">
        <f t="shared" si="25"/>
        <v/>
      </c>
      <c r="BJ8" s="188"/>
      <c r="BK8" s="55" t="str">
        <f t="shared" si="8"/>
        <v/>
      </c>
      <c r="BL8" s="13" t="str">
        <f t="shared" si="9"/>
        <v/>
      </c>
      <c r="BM8" s="13" t="str">
        <f t="shared" si="10"/>
        <v/>
      </c>
      <c r="BN8" s="56" t="str">
        <f t="shared" si="11"/>
        <v/>
      </c>
      <c r="BO8" s="188"/>
      <c r="BP8" s="14" t="str">
        <f t="shared" si="12"/>
        <v/>
      </c>
      <c r="BQ8" s="15">
        <v>0</v>
      </c>
      <c r="BR8" s="15" t="str">
        <f t="shared" si="26"/>
        <v/>
      </c>
      <c r="BS8" s="15" t="str">
        <f t="shared" si="27"/>
        <v/>
      </c>
      <c r="BT8" s="16" t="str">
        <f t="shared" si="13"/>
        <v/>
      </c>
      <c r="BU8" s="188"/>
      <c r="BV8" s="28" t="str">
        <f t="shared" si="14"/>
        <v/>
      </c>
      <c r="BW8" s="28" t="str">
        <f t="shared" si="15"/>
        <v/>
      </c>
      <c r="BX8" s="28" t="str">
        <f t="shared" si="16"/>
        <v/>
      </c>
      <c r="BY8" s="28" t="str">
        <f t="shared" si="17"/>
        <v/>
      </c>
      <c r="BZ8" s="28" t="str">
        <f t="shared" si="28"/>
        <v/>
      </c>
      <c r="CA8" s="52" t="str">
        <f t="shared" si="29"/>
        <v/>
      </c>
      <c r="CB8" s="188"/>
      <c r="CC8" s="49" t="str">
        <f t="shared" si="18"/>
        <v>-</v>
      </c>
      <c r="CD8" s="29" t="str">
        <f t="shared" si="19"/>
        <v>-</v>
      </c>
      <c r="CE8" s="29" t="str">
        <f t="shared" si="20"/>
        <v>-</v>
      </c>
      <c r="CF8" s="29" t="str">
        <f t="shared" si="21"/>
        <v>-</v>
      </c>
      <c r="CG8" s="50" t="str">
        <f t="shared" si="22"/>
        <v>-</v>
      </c>
      <c r="CH8" s="188"/>
    </row>
    <row r="9" spans="1:86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59"/>
      <c r="AM9" s="59"/>
      <c r="AN9" s="59"/>
      <c r="AO9" s="59"/>
      <c r="AP9" s="59"/>
      <c r="AQ9" s="59"/>
      <c r="AR9" s="59"/>
      <c r="AS9" s="59"/>
      <c r="AT9" s="8"/>
      <c r="AU9" s="8"/>
      <c r="AV9" s="9"/>
      <c r="AW9" s="60"/>
      <c r="AX9" s="10" t="str">
        <f t="shared" si="23"/>
        <v>-</v>
      </c>
      <c r="AY9" s="188"/>
      <c r="AZ9" s="1" t="str">
        <f t="shared" si="1"/>
        <v/>
      </c>
      <c r="BA9" s="11" t="str">
        <f t="shared" si="2"/>
        <v/>
      </c>
      <c r="BB9" s="1" t="str">
        <f t="shared" si="3"/>
        <v/>
      </c>
      <c r="BC9" s="188"/>
      <c r="BD9" s="53" t="str">
        <f t="shared" si="4"/>
        <v/>
      </c>
      <c r="BE9" s="12" t="str">
        <f t="shared" si="5"/>
        <v/>
      </c>
      <c r="BF9" s="12" t="str">
        <f t="shared" si="6"/>
        <v/>
      </c>
      <c r="BG9" s="12" t="str">
        <f t="shared" si="24"/>
        <v/>
      </c>
      <c r="BH9" s="12" t="str">
        <f t="shared" si="7"/>
        <v/>
      </c>
      <c r="BI9" s="54" t="str">
        <f t="shared" si="25"/>
        <v/>
      </c>
      <c r="BJ9" s="188"/>
      <c r="BK9" s="55" t="str">
        <f t="shared" si="8"/>
        <v/>
      </c>
      <c r="BL9" s="13" t="str">
        <f t="shared" si="9"/>
        <v/>
      </c>
      <c r="BM9" s="13" t="str">
        <f t="shared" si="10"/>
        <v/>
      </c>
      <c r="BN9" s="56" t="str">
        <f t="shared" si="11"/>
        <v/>
      </c>
      <c r="BO9" s="188"/>
      <c r="BP9" s="14" t="str">
        <f t="shared" si="12"/>
        <v/>
      </c>
      <c r="BQ9" s="15">
        <v>0</v>
      </c>
      <c r="BR9" s="15" t="str">
        <f t="shared" si="26"/>
        <v/>
      </c>
      <c r="BS9" s="15" t="str">
        <f t="shared" si="27"/>
        <v/>
      </c>
      <c r="BT9" s="16" t="str">
        <f t="shared" si="13"/>
        <v/>
      </c>
      <c r="BU9" s="188"/>
      <c r="BV9" s="28" t="str">
        <f t="shared" si="14"/>
        <v/>
      </c>
      <c r="BW9" s="28" t="str">
        <f t="shared" si="15"/>
        <v/>
      </c>
      <c r="BX9" s="28" t="str">
        <f t="shared" si="16"/>
        <v/>
      </c>
      <c r="BY9" s="28" t="str">
        <f t="shared" si="17"/>
        <v/>
      </c>
      <c r="BZ9" s="28" t="str">
        <f t="shared" si="28"/>
        <v/>
      </c>
      <c r="CA9" s="52" t="str">
        <f t="shared" si="29"/>
        <v/>
      </c>
      <c r="CB9" s="188"/>
      <c r="CC9" s="49" t="str">
        <f t="shared" si="18"/>
        <v>-</v>
      </c>
      <c r="CD9" s="29" t="str">
        <f t="shared" si="19"/>
        <v>-</v>
      </c>
      <c r="CE9" s="29" t="str">
        <f t="shared" si="20"/>
        <v>-</v>
      </c>
      <c r="CF9" s="29" t="str">
        <f t="shared" si="21"/>
        <v>-</v>
      </c>
      <c r="CG9" s="50" t="str">
        <f t="shared" si="22"/>
        <v>-</v>
      </c>
      <c r="CH9" s="188"/>
    </row>
    <row r="10" spans="1:86" s="27" customFormat="1" ht="12.4" customHeight="1" thickBot="1" x14ac:dyDescent="0.25">
      <c r="A10" s="43">
        <f t="shared" si="30"/>
        <v>46302</v>
      </c>
      <c r="B10" s="44" t="str">
        <f>+TEXT(A10,"DDD")</f>
        <v>Wed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2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59"/>
      <c r="AM10" s="59"/>
      <c r="AN10" s="59"/>
      <c r="AO10" s="59"/>
      <c r="AP10" s="59"/>
      <c r="AQ10" s="59"/>
      <c r="AR10" s="59"/>
      <c r="AS10" s="59"/>
      <c r="AT10" s="8"/>
      <c r="AU10" s="8"/>
      <c r="AV10" s="9"/>
      <c r="AW10" s="60"/>
      <c r="AX10" s="10" t="str">
        <f t="shared" si="23"/>
        <v>-</v>
      </c>
      <c r="AY10" s="188"/>
      <c r="AZ10" s="1" t="str">
        <f t="shared" si="1"/>
        <v/>
      </c>
      <c r="BA10" s="11" t="str">
        <f t="shared" si="2"/>
        <v/>
      </c>
      <c r="BB10" s="1" t="str">
        <f t="shared" si="3"/>
        <v/>
      </c>
      <c r="BC10" s="188"/>
      <c r="BD10" s="53" t="str">
        <f t="shared" si="4"/>
        <v/>
      </c>
      <c r="BE10" s="12" t="str">
        <f t="shared" si="5"/>
        <v/>
      </c>
      <c r="BF10" s="12" t="str">
        <f t="shared" si="6"/>
        <v/>
      </c>
      <c r="BG10" s="12" t="str">
        <f t="shared" si="24"/>
        <v/>
      </c>
      <c r="BH10" s="12" t="str">
        <f t="shared" si="7"/>
        <v/>
      </c>
      <c r="BI10" s="54" t="str">
        <f t="shared" si="25"/>
        <v/>
      </c>
      <c r="BJ10" s="188"/>
      <c r="BK10" s="55" t="str">
        <f t="shared" si="8"/>
        <v/>
      </c>
      <c r="BL10" s="13" t="str">
        <f t="shared" si="9"/>
        <v/>
      </c>
      <c r="BM10" s="13" t="str">
        <f t="shared" si="10"/>
        <v/>
      </c>
      <c r="BN10" s="56" t="str">
        <f t="shared" si="11"/>
        <v/>
      </c>
      <c r="BO10" s="188"/>
      <c r="BP10" s="14" t="str">
        <f t="shared" si="12"/>
        <v/>
      </c>
      <c r="BQ10" s="15">
        <v>0</v>
      </c>
      <c r="BR10" s="15" t="str">
        <f t="shared" si="26"/>
        <v/>
      </c>
      <c r="BS10" s="15" t="str">
        <f t="shared" si="27"/>
        <v/>
      </c>
      <c r="BT10" s="16" t="str">
        <f t="shared" si="13"/>
        <v/>
      </c>
      <c r="BU10" s="188"/>
      <c r="BV10" s="28" t="str">
        <f t="shared" si="14"/>
        <v/>
      </c>
      <c r="BW10" s="28" t="str">
        <f t="shared" si="15"/>
        <v/>
      </c>
      <c r="BX10" s="28" t="str">
        <f t="shared" si="16"/>
        <v/>
      </c>
      <c r="BY10" s="28" t="str">
        <f t="shared" si="17"/>
        <v/>
      </c>
      <c r="BZ10" s="28" t="str">
        <f t="shared" si="28"/>
        <v/>
      </c>
      <c r="CA10" s="52" t="str">
        <f t="shared" si="29"/>
        <v/>
      </c>
      <c r="CB10" s="188"/>
      <c r="CC10" s="49" t="str">
        <f t="shared" si="18"/>
        <v>-</v>
      </c>
      <c r="CD10" s="29" t="str">
        <f t="shared" si="19"/>
        <v>-</v>
      </c>
      <c r="CE10" s="29" t="str">
        <f t="shared" si="20"/>
        <v>-</v>
      </c>
      <c r="CF10" s="29" t="str">
        <f t="shared" si="21"/>
        <v>-</v>
      </c>
      <c r="CG10" s="50" t="str">
        <f t="shared" si="22"/>
        <v>-</v>
      </c>
      <c r="CH10" s="188"/>
    </row>
    <row r="11" spans="1:86" s="27" customFormat="1" ht="12.4" customHeight="1" thickBot="1" x14ac:dyDescent="0.25">
      <c r="A11" s="43">
        <f t="shared" si="30"/>
        <v>46303</v>
      </c>
      <c r="B11" s="44" t="str">
        <f>+TEXT(A11,"DDD")</f>
        <v>Thu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2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59"/>
      <c r="AM11" s="59"/>
      <c r="AN11" s="59"/>
      <c r="AO11" s="59"/>
      <c r="AP11" s="59"/>
      <c r="AQ11" s="59"/>
      <c r="AR11" s="59"/>
      <c r="AS11" s="59"/>
      <c r="AT11" s="8"/>
      <c r="AU11" s="8"/>
      <c r="AV11" s="9"/>
      <c r="AW11" s="60"/>
      <c r="AX11" s="10" t="str">
        <f t="shared" si="23"/>
        <v>-</v>
      </c>
      <c r="AY11" s="188"/>
      <c r="AZ11" s="1" t="str">
        <f t="shared" si="1"/>
        <v/>
      </c>
      <c r="BA11" s="11" t="str">
        <f t="shared" si="2"/>
        <v/>
      </c>
      <c r="BB11" s="1" t="str">
        <f t="shared" si="3"/>
        <v/>
      </c>
      <c r="BC11" s="188"/>
      <c r="BD11" s="53" t="str">
        <f t="shared" si="4"/>
        <v/>
      </c>
      <c r="BE11" s="12" t="str">
        <f t="shared" si="5"/>
        <v/>
      </c>
      <c r="BF11" s="12" t="str">
        <f t="shared" si="6"/>
        <v/>
      </c>
      <c r="BG11" s="12" t="str">
        <f t="shared" si="24"/>
        <v/>
      </c>
      <c r="BH11" s="12" t="str">
        <f t="shared" si="7"/>
        <v/>
      </c>
      <c r="BI11" s="54" t="str">
        <f t="shared" si="25"/>
        <v/>
      </c>
      <c r="BJ11" s="188"/>
      <c r="BK11" s="55" t="str">
        <f t="shared" si="8"/>
        <v/>
      </c>
      <c r="BL11" s="13" t="str">
        <f t="shared" si="9"/>
        <v/>
      </c>
      <c r="BM11" s="13" t="str">
        <f t="shared" si="10"/>
        <v/>
      </c>
      <c r="BN11" s="56" t="str">
        <f t="shared" si="11"/>
        <v/>
      </c>
      <c r="BO11" s="188"/>
      <c r="BP11" s="14" t="str">
        <f t="shared" si="12"/>
        <v/>
      </c>
      <c r="BQ11" s="15">
        <v>0</v>
      </c>
      <c r="BR11" s="15" t="str">
        <f t="shared" si="26"/>
        <v/>
      </c>
      <c r="BS11" s="15" t="str">
        <f t="shared" si="27"/>
        <v/>
      </c>
      <c r="BT11" s="16" t="str">
        <f t="shared" si="13"/>
        <v/>
      </c>
      <c r="BU11" s="188"/>
      <c r="BV11" s="28" t="str">
        <f t="shared" si="14"/>
        <v/>
      </c>
      <c r="BW11" s="28" t="str">
        <f t="shared" si="15"/>
        <v/>
      </c>
      <c r="BX11" s="28" t="str">
        <f t="shared" si="16"/>
        <v/>
      </c>
      <c r="BY11" s="28" t="str">
        <f t="shared" si="17"/>
        <v/>
      </c>
      <c r="BZ11" s="28" t="str">
        <f t="shared" si="28"/>
        <v/>
      </c>
      <c r="CA11" s="52" t="str">
        <f t="shared" si="29"/>
        <v/>
      </c>
      <c r="CB11" s="188"/>
      <c r="CC11" s="49" t="str">
        <f t="shared" si="18"/>
        <v>-</v>
      </c>
      <c r="CD11" s="29" t="str">
        <f t="shared" si="19"/>
        <v>-</v>
      </c>
      <c r="CE11" s="29" t="str">
        <f t="shared" si="20"/>
        <v>-</v>
      </c>
      <c r="CF11" s="29" t="str">
        <f t="shared" si="21"/>
        <v>-</v>
      </c>
      <c r="CG11" s="50" t="str">
        <f t="shared" si="22"/>
        <v>-</v>
      </c>
      <c r="CH11" s="188"/>
    </row>
    <row r="12" spans="1:86" s="27" customFormat="1" ht="12.4" customHeight="1" thickBot="1" x14ac:dyDescent="0.25">
      <c r="A12" s="43">
        <f t="shared" si="30"/>
        <v>46304</v>
      </c>
      <c r="B12" s="44" t="str">
        <f>+TEXT(A12,"DDD")</f>
        <v>Fri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2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59"/>
      <c r="AM12" s="59"/>
      <c r="AN12" s="59"/>
      <c r="AO12" s="59"/>
      <c r="AP12" s="59"/>
      <c r="AQ12" s="59"/>
      <c r="AR12" s="59"/>
      <c r="AS12" s="59"/>
      <c r="AT12" s="8"/>
      <c r="AU12" s="8"/>
      <c r="AV12" s="9"/>
      <c r="AW12" s="60"/>
      <c r="AX12" s="10" t="str">
        <f t="shared" si="23"/>
        <v>-</v>
      </c>
      <c r="AY12" s="188"/>
      <c r="AZ12" s="1" t="str">
        <f t="shared" si="1"/>
        <v/>
      </c>
      <c r="BA12" s="11" t="str">
        <f t="shared" si="2"/>
        <v/>
      </c>
      <c r="BB12" s="1" t="str">
        <f t="shared" si="3"/>
        <v/>
      </c>
      <c r="BC12" s="188"/>
      <c r="BD12" s="53" t="str">
        <f t="shared" si="4"/>
        <v/>
      </c>
      <c r="BE12" s="12" t="str">
        <f t="shared" si="5"/>
        <v/>
      </c>
      <c r="BF12" s="12" t="str">
        <f t="shared" si="6"/>
        <v/>
      </c>
      <c r="BG12" s="12" t="str">
        <f t="shared" si="24"/>
        <v/>
      </c>
      <c r="BH12" s="12" t="str">
        <f t="shared" si="7"/>
        <v/>
      </c>
      <c r="BI12" s="54" t="str">
        <f t="shared" si="25"/>
        <v/>
      </c>
      <c r="BJ12" s="188"/>
      <c r="BK12" s="55" t="str">
        <f t="shared" si="8"/>
        <v/>
      </c>
      <c r="BL12" s="13" t="str">
        <f t="shared" si="9"/>
        <v/>
      </c>
      <c r="BM12" s="13" t="str">
        <f t="shared" si="10"/>
        <v/>
      </c>
      <c r="BN12" s="56" t="str">
        <f t="shared" si="11"/>
        <v/>
      </c>
      <c r="BO12" s="188"/>
      <c r="BP12" s="14" t="str">
        <f t="shared" si="12"/>
        <v/>
      </c>
      <c r="BQ12" s="15">
        <v>0</v>
      </c>
      <c r="BR12" s="15" t="str">
        <f t="shared" si="26"/>
        <v/>
      </c>
      <c r="BS12" s="15" t="str">
        <f t="shared" si="27"/>
        <v/>
      </c>
      <c r="BT12" s="16" t="str">
        <f t="shared" si="13"/>
        <v/>
      </c>
      <c r="BU12" s="188"/>
      <c r="BV12" s="28" t="str">
        <f t="shared" si="14"/>
        <v/>
      </c>
      <c r="BW12" s="28" t="str">
        <f t="shared" si="15"/>
        <v/>
      </c>
      <c r="BX12" s="28" t="str">
        <f t="shared" si="16"/>
        <v/>
      </c>
      <c r="BY12" s="28" t="str">
        <f t="shared" si="17"/>
        <v/>
      </c>
      <c r="BZ12" s="28" t="str">
        <f t="shared" si="28"/>
        <v/>
      </c>
      <c r="CA12" s="52" t="str">
        <f t="shared" si="29"/>
        <v/>
      </c>
      <c r="CB12" s="188"/>
      <c r="CC12" s="49" t="str">
        <f t="shared" si="18"/>
        <v>-</v>
      </c>
      <c r="CD12" s="29" t="str">
        <f t="shared" si="19"/>
        <v>-</v>
      </c>
      <c r="CE12" s="29" t="str">
        <f t="shared" si="20"/>
        <v>-</v>
      </c>
      <c r="CF12" s="29" t="str">
        <f t="shared" si="21"/>
        <v>-</v>
      </c>
      <c r="CG12" s="50" t="str">
        <f t="shared" si="22"/>
        <v>-</v>
      </c>
      <c r="CH12" s="188"/>
    </row>
    <row r="13" spans="1:86" s="27" customFormat="1" ht="12.4" customHeight="1" thickBot="1" x14ac:dyDescent="0.25">
      <c r="A13" s="43">
        <f t="shared" si="30"/>
        <v>46305</v>
      </c>
      <c r="B13" s="44" t="str">
        <f>+TEXT(A13,"DDD")</f>
        <v>Sat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2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59"/>
      <c r="AM13" s="59"/>
      <c r="AN13" s="59"/>
      <c r="AO13" s="59"/>
      <c r="AP13" s="59"/>
      <c r="AQ13" s="59"/>
      <c r="AR13" s="59"/>
      <c r="AS13" s="59"/>
      <c r="AT13" s="8"/>
      <c r="AU13" s="8"/>
      <c r="AV13" s="9"/>
      <c r="AW13" s="60"/>
      <c r="AX13" s="10" t="str">
        <f t="shared" si="23"/>
        <v>-</v>
      </c>
      <c r="AY13" s="188"/>
      <c r="AZ13" s="1" t="str">
        <f t="shared" si="1"/>
        <v/>
      </c>
      <c r="BA13" s="11" t="str">
        <f t="shared" si="2"/>
        <v/>
      </c>
      <c r="BB13" s="1" t="str">
        <f t="shared" si="3"/>
        <v/>
      </c>
      <c r="BC13" s="188"/>
      <c r="BD13" s="53" t="str">
        <f t="shared" si="4"/>
        <v/>
      </c>
      <c r="BE13" s="12" t="str">
        <f t="shared" si="5"/>
        <v/>
      </c>
      <c r="BF13" s="12" t="str">
        <f t="shared" si="6"/>
        <v/>
      </c>
      <c r="BG13" s="12" t="str">
        <f t="shared" si="24"/>
        <v/>
      </c>
      <c r="BH13" s="12" t="str">
        <f t="shared" si="7"/>
        <v/>
      </c>
      <c r="BI13" s="54" t="str">
        <f t="shared" si="25"/>
        <v/>
      </c>
      <c r="BJ13" s="188"/>
      <c r="BK13" s="55" t="str">
        <f t="shared" si="8"/>
        <v/>
      </c>
      <c r="BL13" s="13" t="str">
        <f t="shared" si="9"/>
        <v/>
      </c>
      <c r="BM13" s="13" t="str">
        <f t="shared" si="10"/>
        <v/>
      </c>
      <c r="BN13" s="56" t="str">
        <f t="shared" si="11"/>
        <v/>
      </c>
      <c r="BO13" s="188"/>
      <c r="BP13" s="14" t="str">
        <f t="shared" si="12"/>
        <v/>
      </c>
      <c r="BQ13" s="15">
        <v>0</v>
      </c>
      <c r="BR13" s="15" t="str">
        <f t="shared" si="26"/>
        <v/>
      </c>
      <c r="BS13" s="15" t="str">
        <f t="shared" si="27"/>
        <v/>
      </c>
      <c r="BT13" s="16" t="str">
        <f t="shared" si="13"/>
        <v/>
      </c>
      <c r="BU13" s="188"/>
      <c r="BV13" s="28" t="str">
        <f t="shared" si="14"/>
        <v/>
      </c>
      <c r="BW13" s="28" t="str">
        <f t="shared" si="15"/>
        <v/>
      </c>
      <c r="BX13" s="28" t="str">
        <f t="shared" si="16"/>
        <v/>
      </c>
      <c r="BY13" s="28" t="str">
        <f t="shared" si="17"/>
        <v/>
      </c>
      <c r="BZ13" s="28" t="str">
        <f t="shared" si="28"/>
        <v/>
      </c>
      <c r="CA13" s="52" t="str">
        <f t="shared" si="29"/>
        <v/>
      </c>
      <c r="CB13" s="188"/>
      <c r="CC13" s="49" t="str">
        <f t="shared" si="18"/>
        <v>-</v>
      </c>
      <c r="CD13" s="29" t="str">
        <f t="shared" si="19"/>
        <v>-</v>
      </c>
      <c r="CE13" s="29" t="str">
        <f t="shared" si="20"/>
        <v>-</v>
      </c>
      <c r="CF13" s="29" t="str">
        <f t="shared" si="21"/>
        <v>-</v>
      </c>
      <c r="CG13" s="50" t="str">
        <f t="shared" si="22"/>
        <v>-</v>
      </c>
      <c r="CH13" s="188"/>
    </row>
    <row r="14" spans="1:86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2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59"/>
      <c r="AM14" s="59"/>
      <c r="AN14" s="59"/>
      <c r="AO14" s="59"/>
      <c r="AP14" s="59"/>
      <c r="AQ14" s="59"/>
      <c r="AR14" s="59"/>
      <c r="AS14" s="59"/>
      <c r="AT14" s="8"/>
      <c r="AU14" s="8"/>
      <c r="AV14" s="9"/>
      <c r="AW14" s="60"/>
      <c r="AX14" s="10" t="str">
        <f t="shared" si="23"/>
        <v>-</v>
      </c>
      <c r="AY14" s="188"/>
      <c r="AZ14" s="1" t="str">
        <f t="shared" si="1"/>
        <v/>
      </c>
      <c r="BA14" s="11" t="str">
        <f t="shared" si="2"/>
        <v/>
      </c>
      <c r="BB14" s="1" t="str">
        <f t="shared" si="3"/>
        <v/>
      </c>
      <c r="BC14" s="188"/>
      <c r="BD14" s="53" t="str">
        <f t="shared" si="4"/>
        <v/>
      </c>
      <c r="BE14" s="12" t="str">
        <f t="shared" si="5"/>
        <v/>
      </c>
      <c r="BF14" s="12" t="str">
        <f t="shared" si="6"/>
        <v/>
      </c>
      <c r="BG14" s="12" t="str">
        <f t="shared" si="24"/>
        <v/>
      </c>
      <c r="BH14" s="12" t="str">
        <f t="shared" si="7"/>
        <v/>
      </c>
      <c r="BI14" s="54" t="str">
        <f t="shared" si="25"/>
        <v/>
      </c>
      <c r="BJ14" s="188"/>
      <c r="BK14" s="55" t="str">
        <f t="shared" si="8"/>
        <v/>
      </c>
      <c r="BL14" s="13" t="str">
        <f t="shared" si="9"/>
        <v/>
      </c>
      <c r="BM14" s="13" t="str">
        <f t="shared" si="10"/>
        <v/>
      </c>
      <c r="BN14" s="56" t="str">
        <f t="shared" si="11"/>
        <v/>
      </c>
      <c r="BO14" s="188"/>
      <c r="BP14" s="14" t="str">
        <f t="shared" si="12"/>
        <v/>
      </c>
      <c r="BQ14" s="15">
        <v>0</v>
      </c>
      <c r="BR14" s="15" t="str">
        <f t="shared" si="26"/>
        <v/>
      </c>
      <c r="BS14" s="15" t="str">
        <f t="shared" si="27"/>
        <v/>
      </c>
      <c r="BT14" s="16" t="str">
        <f t="shared" si="13"/>
        <v/>
      </c>
      <c r="BU14" s="188"/>
      <c r="BV14" s="28" t="str">
        <f t="shared" si="14"/>
        <v/>
      </c>
      <c r="BW14" s="28" t="str">
        <f t="shared" si="15"/>
        <v/>
      </c>
      <c r="BX14" s="28" t="str">
        <f t="shared" si="16"/>
        <v/>
      </c>
      <c r="BY14" s="28" t="str">
        <f t="shared" si="17"/>
        <v/>
      </c>
      <c r="BZ14" s="28" t="str">
        <f t="shared" si="28"/>
        <v/>
      </c>
      <c r="CA14" s="52" t="str">
        <f t="shared" si="29"/>
        <v/>
      </c>
      <c r="CB14" s="188"/>
      <c r="CC14" s="49" t="str">
        <f t="shared" si="18"/>
        <v>-</v>
      </c>
      <c r="CD14" s="29" t="str">
        <f t="shared" si="19"/>
        <v>-</v>
      </c>
      <c r="CE14" s="29" t="str">
        <f t="shared" si="20"/>
        <v>-</v>
      </c>
      <c r="CF14" s="29" t="str">
        <f t="shared" si="21"/>
        <v>-</v>
      </c>
      <c r="CG14" s="50" t="str">
        <f t="shared" si="22"/>
        <v>-</v>
      </c>
      <c r="CH14" s="188"/>
    </row>
    <row r="15" spans="1:86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2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59"/>
      <c r="AM15" s="59"/>
      <c r="AN15" s="59"/>
      <c r="AO15" s="59"/>
      <c r="AP15" s="59"/>
      <c r="AQ15" s="59"/>
      <c r="AR15" s="59"/>
      <c r="AS15" s="59"/>
      <c r="AT15" s="8"/>
      <c r="AU15" s="8"/>
      <c r="AV15" s="9"/>
      <c r="AW15" s="60"/>
      <c r="AX15" s="10" t="str">
        <f t="shared" si="23"/>
        <v>-</v>
      </c>
      <c r="AY15" s="188"/>
      <c r="AZ15" s="1" t="str">
        <f t="shared" si="1"/>
        <v/>
      </c>
      <c r="BA15" s="11" t="str">
        <f t="shared" si="2"/>
        <v/>
      </c>
      <c r="BB15" s="1" t="str">
        <f t="shared" si="3"/>
        <v/>
      </c>
      <c r="BC15" s="188"/>
      <c r="BD15" s="53" t="str">
        <f t="shared" si="4"/>
        <v/>
      </c>
      <c r="BE15" s="12" t="str">
        <f t="shared" si="5"/>
        <v/>
      </c>
      <c r="BF15" s="12" t="str">
        <f t="shared" si="6"/>
        <v/>
      </c>
      <c r="BG15" s="12" t="str">
        <f t="shared" si="24"/>
        <v/>
      </c>
      <c r="BH15" s="12" t="str">
        <f t="shared" si="7"/>
        <v/>
      </c>
      <c r="BI15" s="54" t="str">
        <f t="shared" si="25"/>
        <v/>
      </c>
      <c r="BJ15" s="188"/>
      <c r="BK15" s="55" t="str">
        <f t="shared" si="8"/>
        <v/>
      </c>
      <c r="BL15" s="13" t="str">
        <f t="shared" si="9"/>
        <v/>
      </c>
      <c r="BM15" s="13" t="str">
        <f t="shared" si="10"/>
        <v/>
      </c>
      <c r="BN15" s="56" t="str">
        <f t="shared" si="11"/>
        <v/>
      </c>
      <c r="BO15" s="188"/>
      <c r="BP15" s="14" t="str">
        <f t="shared" si="12"/>
        <v/>
      </c>
      <c r="BQ15" s="15">
        <v>0</v>
      </c>
      <c r="BR15" s="15" t="str">
        <f t="shared" si="26"/>
        <v/>
      </c>
      <c r="BS15" s="15" t="str">
        <f t="shared" si="27"/>
        <v/>
      </c>
      <c r="BT15" s="16" t="str">
        <f t="shared" si="13"/>
        <v/>
      </c>
      <c r="BU15" s="188"/>
      <c r="BV15" s="28" t="str">
        <f t="shared" si="14"/>
        <v/>
      </c>
      <c r="BW15" s="28" t="str">
        <f t="shared" si="15"/>
        <v/>
      </c>
      <c r="BX15" s="28" t="str">
        <f t="shared" si="16"/>
        <v/>
      </c>
      <c r="BY15" s="28" t="str">
        <f t="shared" si="17"/>
        <v/>
      </c>
      <c r="BZ15" s="28" t="str">
        <f t="shared" si="28"/>
        <v/>
      </c>
      <c r="CA15" s="52" t="str">
        <f t="shared" si="29"/>
        <v/>
      </c>
      <c r="CB15" s="188"/>
      <c r="CC15" s="49" t="str">
        <f t="shared" si="18"/>
        <v>-</v>
      </c>
      <c r="CD15" s="29" t="str">
        <f t="shared" si="19"/>
        <v>-</v>
      </c>
      <c r="CE15" s="29" t="str">
        <f t="shared" si="20"/>
        <v>-</v>
      </c>
      <c r="CF15" s="29" t="str">
        <f t="shared" si="21"/>
        <v>-</v>
      </c>
      <c r="CG15" s="50" t="str">
        <f t="shared" si="22"/>
        <v>-</v>
      </c>
      <c r="CH15" s="188"/>
    </row>
    <row r="16" spans="1:86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2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59"/>
      <c r="AM16" s="59"/>
      <c r="AN16" s="59"/>
      <c r="AO16" s="59"/>
      <c r="AP16" s="59"/>
      <c r="AQ16" s="59"/>
      <c r="AR16" s="59"/>
      <c r="AS16" s="59"/>
      <c r="AT16" s="8"/>
      <c r="AU16" s="8"/>
      <c r="AV16" s="9"/>
      <c r="AW16" s="60"/>
      <c r="AX16" s="10" t="str">
        <f t="shared" si="23"/>
        <v>-</v>
      </c>
      <c r="AY16" s="188"/>
      <c r="AZ16" s="1" t="str">
        <f t="shared" si="1"/>
        <v/>
      </c>
      <c r="BA16" s="11" t="str">
        <f t="shared" si="2"/>
        <v/>
      </c>
      <c r="BB16" s="1" t="str">
        <f t="shared" si="3"/>
        <v/>
      </c>
      <c r="BC16" s="188"/>
      <c r="BD16" s="53" t="str">
        <f t="shared" si="4"/>
        <v/>
      </c>
      <c r="BE16" s="12" t="str">
        <f t="shared" si="5"/>
        <v/>
      </c>
      <c r="BF16" s="12" t="str">
        <f t="shared" si="6"/>
        <v/>
      </c>
      <c r="BG16" s="12" t="str">
        <f t="shared" si="24"/>
        <v/>
      </c>
      <c r="BH16" s="12" t="str">
        <f t="shared" si="7"/>
        <v/>
      </c>
      <c r="BI16" s="54" t="str">
        <f t="shared" si="25"/>
        <v/>
      </c>
      <c r="BJ16" s="188"/>
      <c r="BK16" s="55" t="str">
        <f t="shared" si="8"/>
        <v/>
      </c>
      <c r="BL16" s="13" t="str">
        <f t="shared" si="9"/>
        <v/>
      </c>
      <c r="BM16" s="13" t="str">
        <f t="shared" si="10"/>
        <v/>
      </c>
      <c r="BN16" s="56" t="str">
        <f t="shared" si="11"/>
        <v/>
      </c>
      <c r="BO16" s="188"/>
      <c r="BP16" s="14" t="str">
        <f t="shared" si="12"/>
        <v/>
      </c>
      <c r="BQ16" s="15">
        <v>0</v>
      </c>
      <c r="BR16" s="15" t="str">
        <f t="shared" si="26"/>
        <v/>
      </c>
      <c r="BS16" s="15" t="str">
        <f t="shared" si="27"/>
        <v/>
      </c>
      <c r="BT16" s="16" t="str">
        <f t="shared" si="13"/>
        <v/>
      </c>
      <c r="BU16" s="188"/>
      <c r="BV16" s="28" t="str">
        <f t="shared" si="14"/>
        <v/>
      </c>
      <c r="BW16" s="28" t="str">
        <f t="shared" si="15"/>
        <v/>
      </c>
      <c r="BX16" s="28" t="str">
        <f t="shared" si="16"/>
        <v/>
      </c>
      <c r="BY16" s="28" t="str">
        <f t="shared" si="17"/>
        <v/>
      </c>
      <c r="BZ16" s="28" t="str">
        <f t="shared" si="28"/>
        <v/>
      </c>
      <c r="CA16" s="52" t="str">
        <f t="shared" si="29"/>
        <v/>
      </c>
      <c r="CB16" s="188"/>
      <c r="CC16" s="49" t="str">
        <f t="shared" si="18"/>
        <v>-</v>
      </c>
      <c r="CD16" s="29" t="str">
        <f t="shared" si="19"/>
        <v>-</v>
      </c>
      <c r="CE16" s="29" t="str">
        <f t="shared" si="20"/>
        <v>-</v>
      </c>
      <c r="CF16" s="29" t="str">
        <f t="shared" si="21"/>
        <v>-</v>
      </c>
      <c r="CG16" s="50" t="str">
        <f t="shared" si="22"/>
        <v>-</v>
      </c>
      <c r="CH16" s="188"/>
    </row>
    <row r="17" spans="1:86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2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59"/>
      <c r="AM17" s="59"/>
      <c r="AN17" s="59"/>
      <c r="AO17" s="59"/>
      <c r="AP17" s="59"/>
      <c r="AQ17" s="59"/>
      <c r="AR17" s="59"/>
      <c r="AS17" s="59"/>
      <c r="AT17" s="8"/>
      <c r="AU17" s="8"/>
      <c r="AV17" s="9"/>
      <c r="AW17" s="60"/>
      <c r="AX17" s="10" t="str">
        <f t="shared" si="23"/>
        <v>-</v>
      </c>
      <c r="AY17" s="188"/>
      <c r="AZ17" s="1" t="str">
        <f t="shared" si="1"/>
        <v/>
      </c>
      <c r="BA17" s="11" t="str">
        <f t="shared" si="2"/>
        <v/>
      </c>
      <c r="BB17" s="1" t="str">
        <f t="shared" si="3"/>
        <v/>
      </c>
      <c r="BC17" s="188"/>
      <c r="BD17" s="53" t="str">
        <f t="shared" si="4"/>
        <v/>
      </c>
      <c r="BE17" s="12" t="str">
        <f t="shared" si="5"/>
        <v/>
      </c>
      <c r="BF17" s="12" t="str">
        <f t="shared" si="6"/>
        <v/>
      </c>
      <c r="BG17" s="12" t="str">
        <f t="shared" si="24"/>
        <v/>
      </c>
      <c r="BH17" s="12" t="str">
        <f t="shared" si="7"/>
        <v/>
      </c>
      <c r="BI17" s="54" t="str">
        <f t="shared" si="25"/>
        <v/>
      </c>
      <c r="BJ17" s="188"/>
      <c r="BK17" s="55" t="str">
        <f t="shared" si="8"/>
        <v/>
      </c>
      <c r="BL17" s="13" t="str">
        <f t="shared" si="9"/>
        <v/>
      </c>
      <c r="BM17" s="13" t="str">
        <f t="shared" si="10"/>
        <v/>
      </c>
      <c r="BN17" s="56" t="str">
        <f t="shared" si="11"/>
        <v/>
      </c>
      <c r="BO17" s="188"/>
      <c r="BP17" s="14" t="str">
        <f t="shared" si="12"/>
        <v/>
      </c>
      <c r="BQ17" s="15">
        <v>0</v>
      </c>
      <c r="BR17" s="15" t="str">
        <f t="shared" si="26"/>
        <v/>
      </c>
      <c r="BS17" s="15" t="str">
        <f t="shared" si="27"/>
        <v/>
      </c>
      <c r="BT17" s="16" t="str">
        <f t="shared" si="13"/>
        <v/>
      </c>
      <c r="BU17" s="188"/>
      <c r="BV17" s="28" t="str">
        <f t="shared" si="14"/>
        <v/>
      </c>
      <c r="BW17" s="28" t="str">
        <f t="shared" si="15"/>
        <v/>
      </c>
      <c r="BX17" s="28" t="str">
        <f t="shared" si="16"/>
        <v/>
      </c>
      <c r="BY17" s="28" t="str">
        <f t="shared" si="17"/>
        <v/>
      </c>
      <c r="BZ17" s="28" t="str">
        <f t="shared" si="28"/>
        <v/>
      </c>
      <c r="CA17" s="52" t="str">
        <f t="shared" si="29"/>
        <v/>
      </c>
      <c r="CB17" s="188"/>
      <c r="CC17" s="49" t="str">
        <f t="shared" si="18"/>
        <v>-</v>
      </c>
      <c r="CD17" s="29" t="str">
        <f t="shared" si="19"/>
        <v>-</v>
      </c>
      <c r="CE17" s="29" t="str">
        <f t="shared" si="20"/>
        <v>-</v>
      </c>
      <c r="CF17" s="29" t="str">
        <f t="shared" si="21"/>
        <v>-</v>
      </c>
      <c r="CG17" s="50" t="str">
        <f t="shared" si="22"/>
        <v>-</v>
      </c>
      <c r="CH17" s="188"/>
    </row>
    <row r="18" spans="1:86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2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59"/>
      <c r="AM18" s="59"/>
      <c r="AN18" s="59"/>
      <c r="AO18" s="59"/>
      <c r="AP18" s="59"/>
      <c r="AQ18" s="59"/>
      <c r="AR18" s="59"/>
      <c r="AS18" s="59"/>
      <c r="AT18" s="8"/>
      <c r="AU18" s="8"/>
      <c r="AV18" s="9"/>
      <c r="AW18" s="60"/>
      <c r="AX18" s="10" t="str">
        <f t="shared" si="23"/>
        <v>-</v>
      </c>
      <c r="AY18" s="188"/>
      <c r="AZ18" s="1" t="str">
        <f t="shared" si="1"/>
        <v/>
      </c>
      <c r="BA18" s="11" t="str">
        <f t="shared" si="2"/>
        <v/>
      </c>
      <c r="BB18" s="1" t="str">
        <f t="shared" si="3"/>
        <v/>
      </c>
      <c r="BC18" s="188"/>
      <c r="BD18" s="53" t="str">
        <f t="shared" si="4"/>
        <v/>
      </c>
      <c r="BE18" s="12" t="str">
        <f t="shared" si="5"/>
        <v/>
      </c>
      <c r="BF18" s="12" t="str">
        <f t="shared" si="6"/>
        <v/>
      </c>
      <c r="BG18" s="12" t="str">
        <f t="shared" si="24"/>
        <v/>
      </c>
      <c r="BH18" s="12" t="str">
        <f t="shared" si="7"/>
        <v/>
      </c>
      <c r="BI18" s="54" t="str">
        <f t="shared" si="25"/>
        <v/>
      </c>
      <c r="BJ18" s="188"/>
      <c r="BK18" s="55" t="str">
        <f t="shared" si="8"/>
        <v/>
      </c>
      <c r="BL18" s="13" t="str">
        <f t="shared" si="9"/>
        <v/>
      </c>
      <c r="BM18" s="13" t="str">
        <f t="shared" si="10"/>
        <v/>
      </c>
      <c r="BN18" s="56" t="str">
        <f t="shared" si="11"/>
        <v/>
      </c>
      <c r="BO18" s="188"/>
      <c r="BP18" s="14" t="str">
        <f t="shared" si="12"/>
        <v/>
      </c>
      <c r="BQ18" s="15">
        <v>0</v>
      </c>
      <c r="BR18" s="15" t="str">
        <f t="shared" si="26"/>
        <v/>
      </c>
      <c r="BS18" s="15" t="str">
        <f t="shared" si="27"/>
        <v/>
      </c>
      <c r="BT18" s="16" t="str">
        <f t="shared" si="13"/>
        <v/>
      </c>
      <c r="BU18" s="188"/>
      <c r="BV18" s="28" t="str">
        <f t="shared" si="14"/>
        <v/>
      </c>
      <c r="BW18" s="28" t="str">
        <f t="shared" si="15"/>
        <v/>
      </c>
      <c r="BX18" s="28" t="str">
        <f t="shared" si="16"/>
        <v/>
      </c>
      <c r="BY18" s="28" t="str">
        <f t="shared" si="17"/>
        <v/>
      </c>
      <c r="BZ18" s="28" t="str">
        <f t="shared" si="28"/>
        <v/>
      </c>
      <c r="CA18" s="52" t="str">
        <f t="shared" si="29"/>
        <v/>
      </c>
      <c r="CB18" s="188"/>
      <c r="CC18" s="49" t="str">
        <f t="shared" si="18"/>
        <v>-</v>
      </c>
      <c r="CD18" s="29" t="str">
        <f t="shared" si="19"/>
        <v>-</v>
      </c>
      <c r="CE18" s="29" t="str">
        <f t="shared" si="20"/>
        <v>-</v>
      </c>
      <c r="CF18" s="29" t="str">
        <f t="shared" si="21"/>
        <v>-</v>
      </c>
      <c r="CG18" s="50" t="str">
        <f t="shared" si="22"/>
        <v>-</v>
      </c>
      <c r="CH18" s="188"/>
    </row>
    <row r="19" spans="1:86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2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59"/>
      <c r="AM19" s="59"/>
      <c r="AN19" s="59"/>
      <c r="AO19" s="59"/>
      <c r="AP19" s="59"/>
      <c r="AQ19" s="59"/>
      <c r="AR19" s="59"/>
      <c r="AS19" s="59"/>
      <c r="AT19" s="8"/>
      <c r="AU19" s="8"/>
      <c r="AV19" s="9"/>
      <c r="AW19" s="60"/>
      <c r="AX19" s="10" t="str">
        <f t="shared" si="23"/>
        <v>-</v>
      </c>
      <c r="AY19" s="188"/>
      <c r="AZ19" s="1" t="str">
        <f t="shared" si="1"/>
        <v/>
      </c>
      <c r="BA19" s="11" t="str">
        <f t="shared" si="2"/>
        <v/>
      </c>
      <c r="BB19" s="1" t="str">
        <f t="shared" si="3"/>
        <v/>
      </c>
      <c r="BC19" s="188"/>
      <c r="BD19" s="53" t="str">
        <f t="shared" si="4"/>
        <v/>
      </c>
      <c r="BE19" s="12" t="str">
        <f t="shared" si="5"/>
        <v/>
      </c>
      <c r="BF19" s="12" t="str">
        <f t="shared" si="6"/>
        <v/>
      </c>
      <c r="BG19" s="12" t="str">
        <f t="shared" si="24"/>
        <v/>
      </c>
      <c r="BH19" s="12" t="str">
        <f t="shared" si="7"/>
        <v/>
      </c>
      <c r="BI19" s="54" t="str">
        <f t="shared" si="25"/>
        <v/>
      </c>
      <c r="BJ19" s="188"/>
      <c r="BK19" s="55" t="str">
        <f t="shared" si="8"/>
        <v/>
      </c>
      <c r="BL19" s="13" t="str">
        <f t="shared" si="9"/>
        <v/>
      </c>
      <c r="BM19" s="13" t="str">
        <f t="shared" si="10"/>
        <v/>
      </c>
      <c r="BN19" s="56" t="str">
        <f t="shared" si="11"/>
        <v/>
      </c>
      <c r="BO19" s="188"/>
      <c r="BP19" s="14" t="str">
        <f t="shared" si="12"/>
        <v/>
      </c>
      <c r="BQ19" s="15">
        <v>0</v>
      </c>
      <c r="BR19" s="15" t="str">
        <f t="shared" si="26"/>
        <v/>
      </c>
      <c r="BS19" s="15" t="str">
        <f t="shared" si="27"/>
        <v/>
      </c>
      <c r="BT19" s="16" t="str">
        <f t="shared" si="13"/>
        <v/>
      </c>
      <c r="BU19" s="188"/>
      <c r="BV19" s="28" t="str">
        <f t="shared" si="14"/>
        <v/>
      </c>
      <c r="BW19" s="28" t="str">
        <f t="shared" si="15"/>
        <v/>
      </c>
      <c r="BX19" s="28" t="str">
        <f t="shared" si="16"/>
        <v/>
      </c>
      <c r="BY19" s="28" t="str">
        <f t="shared" si="17"/>
        <v/>
      </c>
      <c r="BZ19" s="28" t="str">
        <f t="shared" si="28"/>
        <v/>
      </c>
      <c r="CA19" s="52" t="str">
        <f t="shared" si="29"/>
        <v/>
      </c>
      <c r="CB19" s="188"/>
      <c r="CC19" s="49" t="str">
        <f t="shared" si="18"/>
        <v>-</v>
      </c>
      <c r="CD19" s="29" t="str">
        <f t="shared" si="19"/>
        <v>-</v>
      </c>
      <c r="CE19" s="29" t="str">
        <f t="shared" si="20"/>
        <v>-</v>
      </c>
      <c r="CF19" s="29" t="str">
        <f t="shared" si="21"/>
        <v>-</v>
      </c>
      <c r="CG19" s="50" t="str">
        <f t="shared" si="22"/>
        <v>-</v>
      </c>
      <c r="CH19" s="188"/>
    </row>
    <row r="20" spans="1:86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2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59"/>
      <c r="AM20" s="59"/>
      <c r="AN20" s="59"/>
      <c r="AO20" s="59"/>
      <c r="AP20" s="59"/>
      <c r="AQ20" s="59"/>
      <c r="AR20" s="59"/>
      <c r="AS20" s="59"/>
      <c r="AT20" s="8"/>
      <c r="AU20" s="8"/>
      <c r="AV20" s="9"/>
      <c r="AW20" s="60"/>
      <c r="AX20" s="10" t="str">
        <f t="shared" si="23"/>
        <v>-</v>
      </c>
      <c r="AY20" s="188"/>
      <c r="AZ20" s="1" t="str">
        <f t="shared" si="1"/>
        <v/>
      </c>
      <c r="BA20" s="11" t="str">
        <f t="shared" si="2"/>
        <v/>
      </c>
      <c r="BB20" s="1" t="str">
        <f t="shared" si="3"/>
        <v/>
      </c>
      <c r="BC20" s="188"/>
      <c r="BD20" s="53" t="str">
        <f t="shared" si="4"/>
        <v/>
      </c>
      <c r="BE20" s="12" t="str">
        <f t="shared" si="5"/>
        <v/>
      </c>
      <c r="BF20" s="12" t="str">
        <f t="shared" si="6"/>
        <v/>
      </c>
      <c r="BG20" s="12" t="str">
        <f t="shared" si="24"/>
        <v/>
      </c>
      <c r="BH20" s="12" t="str">
        <f t="shared" si="7"/>
        <v/>
      </c>
      <c r="BI20" s="54" t="str">
        <f t="shared" si="25"/>
        <v/>
      </c>
      <c r="BJ20" s="188"/>
      <c r="BK20" s="55" t="str">
        <f t="shared" si="8"/>
        <v/>
      </c>
      <c r="BL20" s="13" t="str">
        <f t="shared" si="9"/>
        <v/>
      </c>
      <c r="BM20" s="13" t="str">
        <f t="shared" si="10"/>
        <v/>
      </c>
      <c r="BN20" s="56" t="str">
        <f t="shared" si="11"/>
        <v/>
      </c>
      <c r="BO20" s="188"/>
      <c r="BP20" s="14" t="str">
        <f t="shared" si="12"/>
        <v/>
      </c>
      <c r="BQ20" s="15">
        <v>0</v>
      </c>
      <c r="BR20" s="15" t="str">
        <f t="shared" si="26"/>
        <v/>
      </c>
      <c r="BS20" s="15" t="str">
        <f t="shared" si="27"/>
        <v/>
      </c>
      <c r="BT20" s="16" t="str">
        <f t="shared" si="13"/>
        <v/>
      </c>
      <c r="BU20" s="188"/>
      <c r="BV20" s="28" t="str">
        <f t="shared" si="14"/>
        <v/>
      </c>
      <c r="BW20" s="28" t="str">
        <f t="shared" si="15"/>
        <v/>
      </c>
      <c r="BX20" s="28" t="str">
        <f t="shared" si="16"/>
        <v/>
      </c>
      <c r="BY20" s="28" t="str">
        <f t="shared" si="17"/>
        <v/>
      </c>
      <c r="BZ20" s="28" t="str">
        <f t="shared" si="28"/>
        <v/>
      </c>
      <c r="CA20" s="52" t="str">
        <f t="shared" si="29"/>
        <v/>
      </c>
      <c r="CB20" s="188"/>
      <c r="CC20" s="49" t="str">
        <f t="shared" si="18"/>
        <v>-</v>
      </c>
      <c r="CD20" s="29" t="str">
        <f t="shared" si="19"/>
        <v>-</v>
      </c>
      <c r="CE20" s="29" t="str">
        <f t="shared" si="20"/>
        <v>-</v>
      </c>
      <c r="CF20" s="29" t="str">
        <f t="shared" si="21"/>
        <v>-</v>
      </c>
      <c r="CG20" s="50" t="str">
        <f t="shared" si="22"/>
        <v>-</v>
      </c>
      <c r="CH20" s="188"/>
    </row>
    <row r="21" spans="1:86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2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59"/>
      <c r="AM21" s="59"/>
      <c r="AN21" s="59"/>
      <c r="AO21" s="59"/>
      <c r="AP21" s="59"/>
      <c r="AQ21" s="59"/>
      <c r="AR21" s="59"/>
      <c r="AS21" s="59"/>
      <c r="AT21" s="8"/>
      <c r="AU21" s="8"/>
      <c r="AV21" s="9"/>
      <c r="AW21" s="60"/>
      <c r="AX21" s="10" t="str">
        <f t="shared" si="23"/>
        <v>-</v>
      </c>
      <c r="AY21" s="188"/>
      <c r="AZ21" s="1" t="str">
        <f t="shared" si="1"/>
        <v/>
      </c>
      <c r="BA21" s="11" t="str">
        <f t="shared" si="2"/>
        <v/>
      </c>
      <c r="BB21" s="1" t="str">
        <f t="shared" si="3"/>
        <v/>
      </c>
      <c r="BC21" s="188"/>
      <c r="BD21" s="53" t="str">
        <f t="shared" si="4"/>
        <v/>
      </c>
      <c r="BE21" s="12" t="str">
        <f t="shared" si="5"/>
        <v/>
      </c>
      <c r="BF21" s="12" t="str">
        <f t="shared" si="6"/>
        <v/>
      </c>
      <c r="BG21" s="12" t="str">
        <f t="shared" si="24"/>
        <v/>
      </c>
      <c r="BH21" s="12" t="str">
        <f t="shared" si="7"/>
        <v/>
      </c>
      <c r="BI21" s="54" t="str">
        <f t="shared" si="25"/>
        <v/>
      </c>
      <c r="BJ21" s="188"/>
      <c r="BK21" s="55" t="str">
        <f t="shared" si="8"/>
        <v/>
      </c>
      <c r="BL21" s="13" t="str">
        <f t="shared" si="9"/>
        <v/>
      </c>
      <c r="BM21" s="13" t="str">
        <f t="shared" si="10"/>
        <v/>
      </c>
      <c r="BN21" s="56" t="str">
        <f t="shared" si="11"/>
        <v/>
      </c>
      <c r="BO21" s="188"/>
      <c r="BP21" s="14" t="str">
        <f t="shared" si="12"/>
        <v/>
      </c>
      <c r="BQ21" s="15">
        <v>0</v>
      </c>
      <c r="BR21" s="15" t="str">
        <f t="shared" si="26"/>
        <v/>
      </c>
      <c r="BS21" s="15" t="str">
        <f t="shared" si="27"/>
        <v/>
      </c>
      <c r="BT21" s="16" t="str">
        <f t="shared" si="13"/>
        <v/>
      </c>
      <c r="BU21" s="188"/>
      <c r="BV21" s="28" t="str">
        <f t="shared" si="14"/>
        <v/>
      </c>
      <c r="BW21" s="28" t="str">
        <f t="shared" si="15"/>
        <v/>
      </c>
      <c r="BX21" s="28" t="str">
        <f t="shared" si="16"/>
        <v/>
      </c>
      <c r="BY21" s="28" t="str">
        <f t="shared" si="17"/>
        <v/>
      </c>
      <c r="BZ21" s="28" t="str">
        <f t="shared" si="28"/>
        <v/>
      </c>
      <c r="CA21" s="52" t="str">
        <f t="shared" si="29"/>
        <v/>
      </c>
      <c r="CB21" s="188"/>
      <c r="CC21" s="49" t="str">
        <f t="shared" si="18"/>
        <v>-</v>
      </c>
      <c r="CD21" s="29" t="str">
        <f t="shared" si="19"/>
        <v>-</v>
      </c>
      <c r="CE21" s="29" t="str">
        <f t="shared" si="20"/>
        <v>-</v>
      </c>
      <c r="CF21" s="29" t="str">
        <f t="shared" si="21"/>
        <v>-</v>
      </c>
      <c r="CG21" s="50" t="str">
        <f t="shared" si="22"/>
        <v>-</v>
      </c>
      <c r="CH21" s="188"/>
    </row>
    <row r="22" spans="1:86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2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59"/>
      <c r="AM22" s="59"/>
      <c r="AN22" s="59"/>
      <c r="AO22" s="59"/>
      <c r="AP22" s="59"/>
      <c r="AQ22" s="59"/>
      <c r="AR22" s="59"/>
      <c r="AS22" s="59"/>
      <c r="AT22" s="8"/>
      <c r="AU22" s="8"/>
      <c r="AV22" s="9"/>
      <c r="AW22" s="60"/>
      <c r="AX22" s="10" t="str">
        <f t="shared" si="23"/>
        <v>-</v>
      </c>
      <c r="AY22" s="188"/>
      <c r="AZ22" s="1" t="str">
        <f t="shared" si="1"/>
        <v/>
      </c>
      <c r="BA22" s="11" t="str">
        <f t="shared" si="2"/>
        <v/>
      </c>
      <c r="BB22" s="1" t="str">
        <f t="shared" si="3"/>
        <v/>
      </c>
      <c r="BC22" s="188"/>
      <c r="BD22" s="53" t="str">
        <f t="shared" si="4"/>
        <v/>
      </c>
      <c r="BE22" s="12" t="str">
        <f t="shared" si="5"/>
        <v/>
      </c>
      <c r="BF22" s="12" t="str">
        <f t="shared" si="6"/>
        <v/>
      </c>
      <c r="BG22" s="12" t="str">
        <f t="shared" si="24"/>
        <v/>
      </c>
      <c r="BH22" s="12" t="str">
        <f t="shared" si="7"/>
        <v/>
      </c>
      <c r="BI22" s="54" t="str">
        <f t="shared" si="25"/>
        <v/>
      </c>
      <c r="BJ22" s="188"/>
      <c r="BK22" s="55" t="str">
        <f t="shared" si="8"/>
        <v/>
      </c>
      <c r="BL22" s="13" t="str">
        <f t="shared" si="9"/>
        <v/>
      </c>
      <c r="BM22" s="13" t="str">
        <f t="shared" si="10"/>
        <v/>
      </c>
      <c r="BN22" s="56" t="str">
        <f t="shared" si="11"/>
        <v/>
      </c>
      <c r="BO22" s="188"/>
      <c r="BP22" s="14" t="str">
        <f t="shared" si="12"/>
        <v/>
      </c>
      <c r="BQ22" s="15">
        <v>0</v>
      </c>
      <c r="BR22" s="15" t="str">
        <f t="shared" si="26"/>
        <v/>
      </c>
      <c r="BS22" s="15" t="str">
        <f t="shared" si="27"/>
        <v/>
      </c>
      <c r="BT22" s="16" t="str">
        <f t="shared" si="13"/>
        <v/>
      </c>
      <c r="BU22" s="188"/>
      <c r="BV22" s="28" t="str">
        <f t="shared" si="14"/>
        <v/>
      </c>
      <c r="BW22" s="28" t="str">
        <f t="shared" si="15"/>
        <v/>
      </c>
      <c r="BX22" s="28" t="str">
        <f t="shared" si="16"/>
        <v/>
      </c>
      <c r="BY22" s="28" t="str">
        <f t="shared" si="17"/>
        <v/>
      </c>
      <c r="BZ22" s="28" t="str">
        <f t="shared" si="28"/>
        <v/>
      </c>
      <c r="CA22" s="52" t="str">
        <f t="shared" si="29"/>
        <v/>
      </c>
      <c r="CB22" s="188"/>
      <c r="CC22" s="49" t="str">
        <f t="shared" si="18"/>
        <v>-</v>
      </c>
      <c r="CD22" s="29" t="str">
        <f t="shared" si="19"/>
        <v>-</v>
      </c>
      <c r="CE22" s="29" t="str">
        <f t="shared" si="20"/>
        <v>-</v>
      </c>
      <c r="CF22" s="29" t="str">
        <f t="shared" si="21"/>
        <v>-</v>
      </c>
      <c r="CG22" s="50" t="str">
        <f t="shared" si="22"/>
        <v>-</v>
      </c>
      <c r="CH22" s="188"/>
    </row>
    <row r="23" spans="1:86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2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59"/>
      <c r="AM23" s="59"/>
      <c r="AN23" s="59"/>
      <c r="AO23" s="59"/>
      <c r="AP23" s="59"/>
      <c r="AQ23" s="59"/>
      <c r="AR23" s="59"/>
      <c r="AS23" s="59"/>
      <c r="AT23" s="8"/>
      <c r="AU23" s="8"/>
      <c r="AV23" s="9"/>
      <c r="AW23" s="60"/>
      <c r="AX23" s="10" t="str">
        <f t="shared" si="23"/>
        <v>-</v>
      </c>
      <c r="AY23" s="188"/>
      <c r="AZ23" s="1" t="str">
        <f t="shared" si="1"/>
        <v/>
      </c>
      <c r="BA23" s="11" t="str">
        <f t="shared" si="2"/>
        <v/>
      </c>
      <c r="BB23" s="1" t="str">
        <f t="shared" si="3"/>
        <v/>
      </c>
      <c r="BC23" s="188"/>
      <c r="BD23" s="53" t="str">
        <f t="shared" si="4"/>
        <v/>
      </c>
      <c r="BE23" s="12" t="str">
        <f t="shared" si="5"/>
        <v/>
      </c>
      <c r="BF23" s="12" t="str">
        <f t="shared" si="6"/>
        <v/>
      </c>
      <c r="BG23" s="12" t="str">
        <f t="shared" si="24"/>
        <v/>
      </c>
      <c r="BH23" s="12" t="str">
        <f t="shared" si="7"/>
        <v/>
      </c>
      <c r="BI23" s="54" t="str">
        <f t="shared" si="25"/>
        <v/>
      </c>
      <c r="BJ23" s="188"/>
      <c r="BK23" s="55" t="str">
        <f t="shared" si="8"/>
        <v/>
      </c>
      <c r="BL23" s="13" t="str">
        <f t="shared" si="9"/>
        <v/>
      </c>
      <c r="BM23" s="13" t="str">
        <f t="shared" si="10"/>
        <v/>
      </c>
      <c r="BN23" s="56" t="str">
        <f t="shared" si="11"/>
        <v/>
      </c>
      <c r="BO23" s="188"/>
      <c r="BP23" s="14" t="str">
        <f t="shared" si="12"/>
        <v/>
      </c>
      <c r="BQ23" s="15">
        <v>0</v>
      </c>
      <c r="BR23" s="15" t="str">
        <f t="shared" si="26"/>
        <v/>
      </c>
      <c r="BS23" s="15" t="str">
        <f t="shared" si="27"/>
        <v/>
      </c>
      <c r="BT23" s="16" t="str">
        <f t="shared" si="13"/>
        <v/>
      </c>
      <c r="BU23" s="188"/>
      <c r="BV23" s="28" t="str">
        <f t="shared" si="14"/>
        <v/>
      </c>
      <c r="BW23" s="28" t="str">
        <f t="shared" si="15"/>
        <v/>
      </c>
      <c r="BX23" s="28" t="str">
        <f t="shared" si="16"/>
        <v/>
      </c>
      <c r="BY23" s="28" t="str">
        <f t="shared" si="17"/>
        <v/>
      </c>
      <c r="BZ23" s="28" t="str">
        <f t="shared" si="28"/>
        <v/>
      </c>
      <c r="CA23" s="52" t="str">
        <f t="shared" si="29"/>
        <v/>
      </c>
      <c r="CB23" s="188"/>
      <c r="CC23" s="49" t="str">
        <f t="shared" si="18"/>
        <v>-</v>
      </c>
      <c r="CD23" s="29" t="str">
        <f t="shared" si="19"/>
        <v>-</v>
      </c>
      <c r="CE23" s="29" t="str">
        <f t="shared" si="20"/>
        <v>-</v>
      </c>
      <c r="CF23" s="29" t="str">
        <f t="shared" si="21"/>
        <v>-</v>
      </c>
      <c r="CG23" s="50" t="str">
        <f t="shared" si="22"/>
        <v>-</v>
      </c>
      <c r="CH23" s="188"/>
    </row>
    <row r="24" spans="1:86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2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59"/>
      <c r="AM24" s="59"/>
      <c r="AN24" s="59"/>
      <c r="AO24" s="59"/>
      <c r="AP24" s="59"/>
      <c r="AQ24" s="59"/>
      <c r="AR24" s="59"/>
      <c r="AS24" s="59"/>
      <c r="AT24" s="8"/>
      <c r="AU24" s="8"/>
      <c r="AV24" s="9"/>
      <c r="AW24" s="60"/>
      <c r="AX24" s="10" t="str">
        <f t="shared" si="23"/>
        <v>-</v>
      </c>
      <c r="AY24" s="188"/>
      <c r="AZ24" s="1" t="str">
        <f t="shared" si="1"/>
        <v/>
      </c>
      <c r="BA24" s="11" t="str">
        <f t="shared" si="2"/>
        <v/>
      </c>
      <c r="BB24" s="1" t="str">
        <f t="shared" si="3"/>
        <v/>
      </c>
      <c r="BC24" s="188"/>
      <c r="BD24" s="53" t="str">
        <f t="shared" si="4"/>
        <v/>
      </c>
      <c r="BE24" s="12" t="str">
        <f t="shared" si="5"/>
        <v/>
      </c>
      <c r="BF24" s="12" t="str">
        <f t="shared" si="6"/>
        <v/>
      </c>
      <c r="BG24" s="12" t="str">
        <f t="shared" si="24"/>
        <v/>
      </c>
      <c r="BH24" s="12" t="str">
        <f t="shared" si="7"/>
        <v/>
      </c>
      <c r="BI24" s="54" t="str">
        <f t="shared" si="25"/>
        <v/>
      </c>
      <c r="BJ24" s="188"/>
      <c r="BK24" s="55" t="str">
        <f t="shared" si="8"/>
        <v/>
      </c>
      <c r="BL24" s="13" t="str">
        <f t="shared" si="9"/>
        <v/>
      </c>
      <c r="BM24" s="13" t="str">
        <f t="shared" si="10"/>
        <v/>
      </c>
      <c r="BN24" s="56" t="str">
        <f t="shared" si="11"/>
        <v/>
      </c>
      <c r="BO24" s="188"/>
      <c r="BP24" s="14" t="str">
        <f t="shared" si="12"/>
        <v/>
      </c>
      <c r="BQ24" s="15">
        <v>0</v>
      </c>
      <c r="BR24" s="15" t="str">
        <f t="shared" si="26"/>
        <v/>
      </c>
      <c r="BS24" s="15" t="str">
        <f t="shared" si="27"/>
        <v/>
      </c>
      <c r="BT24" s="16" t="str">
        <f t="shared" si="13"/>
        <v/>
      </c>
      <c r="BU24" s="188"/>
      <c r="BV24" s="28" t="str">
        <f t="shared" si="14"/>
        <v/>
      </c>
      <c r="BW24" s="28" t="str">
        <f t="shared" si="15"/>
        <v/>
      </c>
      <c r="BX24" s="28" t="str">
        <f t="shared" si="16"/>
        <v/>
      </c>
      <c r="BY24" s="28" t="str">
        <f t="shared" si="17"/>
        <v/>
      </c>
      <c r="BZ24" s="28" t="str">
        <f t="shared" si="28"/>
        <v/>
      </c>
      <c r="CA24" s="52" t="str">
        <f t="shared" si="29"/>
        <v/>
      </c>
      <c r="CB24" s="188"/>
      <c r="CC24" s="49" t="str">
        <f t="shared" si="18"/>
        <v>-</v>
      </c>
      <c r="CD24" s="29" t="str">
        <f t="shared" si="19"/>
        <v>-</v>
      </c>
      <c r="CE24" s="29" t="str">
        <f t="shared" si="20"/>
        <v>-</v>
      </c>
      <c r="CF24" s="29" t="str">
        <f t="shared" si="21"/>
        <v>-</v>
      </c>
      <c r="CG24" s="50" t="str">
        <f t="shared" si="22"/>
        <v>-</v>
      </c>
      <c r="CH24" s="188"/>
    </row>
    <row r="25" spans="1:86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2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59"/>
      <c r="AM25" s="59"/>
      <c r="AN25" s="59"/>
      <c r="AO25" s="59"/>
      <c r="AP25" s="59"/>
      <c r="AQ25" s="59"/>
      <c r="AR25" s="59"/>
      <c r="AS25" s="59"/>
      <c r="AT25" s="8"/>
      <c r="AU25" s="8"/>
      <c r="AV25" s="9"/>
      <c r="AW25" s="60"/>
      <c r="AX25" s="10" t="str">
        <f t="shared" si="23"/>
        <v>-</v>
      </c>
      <c r="AY25" s="188"/>
      <c r="AZ25" s="1" t="str">
        <f t="shared" si="1"/>
        <v/>
      </c>
      <c r="BA25" s="11" t="str">
        <f t="shared" si="2"/>
        <v/>
      </c>
      <c r="BB25" s="1" t="str">
        <f t="shared" si="3"/>
        <v/>
      </c>
      <c r="BC25" s="188"/>
      <c r="BD25" s="53" t="str">
        <f t="shared" si="4"/>
        <v/>
      </c>
      <c r="BE25" s="12" t="str">
        <f t="shared" si="5"/>
        <v/>
      </c>
      <c r="BF25" s="12" t="str">
        <f t="shared" si="6"/>
        <v/>
      </c>
      <c r="BG25" s="12" t="str">
        <f t="shared" si="24"/>
        <v/>
      </c>
      <c r="BH25" s="12" t="str">
        <f t="shared" si="7"/>
        <v/>
      </c>
      <c r="BI25" s="54" t="str">
        <f t="shared" si="25"/>
        <v/>
      </c>
      <c r="BJ25" s="188"/>
      <c r="BK25" s="55" t="str">
        <f t="shared" si="8"/>
        <v/>
      </c>
      <c r="BL25" s="13" t="str">
        <f t="shared" si="9"/>
        <v/>
      </c>
      <c r="BM25" s="13" t="str">
        <f t="shared" si="10"/>
        <v/>
      </c>
      <c r="BN25" s="56" t="str">
        <f t="shared" si="11"/>
        <v/>
      </c>
      <c r="BO25" s="188"/>
      <c r="BP25" s="14" t="str">
        <f t="shared" si="12"/>
        <v/>
      </c>
      <c r="BQ25" s="15">
        <v>0</v>
      </c>
      <c r="BR25" s="15" t="str">
        <f t="shared" si="26"/>
        <v/>
      </c>
      <c r="BS25" s="15" t="str">
        <f t="shared" si="27"/>
        <v/>
      </c>
      <c r="BT25" s="16" t="str">
        <f t="shared" si="13"/>
        <v/>
      </c>
      <c r="BU25" s="188"/>
      <c r="BV25" s="28" t="str">
        <f t="shared" si="14"/>
        <v/>
      </c>
      <c r="BW25" s="28" t="str">
        <f t="shared" si="15"/>
        <v/>
      </c>
      <c r="BX25" s="28" t="str">
        <f t="shared" si="16"/>
        <v/>
      </c>
      <c r="BY25" s="28" t="str">
        <f t="shared" si="17"/>
        <v/>
      </c>
      <c r="BZ25" s="28" t="str">
        <f t="shared" si="28"/>
        <v/>
      </c>
      <c r="CA25" s="52" t="str">
        <f t="shared" si="29"/>
        <v/>
      </c>
      <c r="CB25" s="188"/>
      <c r="CC25" s="49" t="str">
        <f t="shared" si="18"/>
        <v>-</v>
      </c>
      <c r="CD25" s="29" t="str">
        <f t="shared" si="19"/>
        <v>-</v>
      </c>
      <c r="CE25" s="29" t="str">
        <f t="shared" si="20"/>
        <v>-</v>
      </c>
      <c r="CF25" s="29" t="str">
        <f t="shared" si="21"/>
        <v>-</v>
      </c>
      <c r="CG25" s="50" t="str">
        <f t="shared" si="22"/>
        <v>-</v>
      </c>
      <c r="CH25" s="188"/>
    </row>
    <row r="26" spans="1:86" s="27" customFormat="1" ht="12.4" customHeight="1" thickBot="1" x14ac:dyDescent="0.25">
      <c r="A26" s="43">
        <f t="shared" si="30"/>
        <v>46318</v>
      </c>
      <c r="B26" s="44" t="str">
        <f>+TEXT(A26,"DDD")</f>
        <v>Fri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2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59"/>
      <c r="AM26" s="59"/>
      <c r="AN26" s="59"/>
      <c r="AO26" s="59"/>
      <c r="AP26" s="59"/>
      <c r="AQ26" s="59"/>
      <c r="AR26" s="59"/>
      <c r="AS26" s="59"/>
      <c r="AT26" s="8"/>
      <c r="AU26" s="8"/>
      <c r="AV26" s="9"/>
      <c r="AW26" s="60"/>
      <c r="AX26" s="10" t="str">
        <f t="shared" si="23"/>
        <v>-</v>
      </c>
      <c r="AY26" s="188"/>
      <c r="AZ26" s="1" t="str">
        <f t="shared" si="1"/>
        <v/>
      </c>
      <c r="BA26" s="11" t="str">
        <f t="shared" si="2"/>
        <v/>
      </c>
      <c r="BB26" s="1" t="str">
        <f t="shared" si="3"/>
        <v/>
      </c>
      <c r="BC26" s="188"/>
      <c r="BD26" s="53" t="str">
        <f t="shared" si="4"/>
        <v/>
      </c>
      <c r="BE26" s="12" t="str">
        <f t="shared" si="5"/>
        <v/>
      </c>
      <c r="BF26" s="12" t="str">
        <f t="shared" si="6"/>
        <v/>
      </c>
      <c r="BG26" s="12" t="str">
        <f t="shared" si="24"/>
        <v/>
      </c>
      <c r="BH26" s="12" t="str">
        <f t="shared" si="7"/>
        <v/>
      </c>
      <c r="BI26" s="54" t="str">
        <f t="shared" si="25"/>
        <v/>
      </c>
      <c r="BJ26" s="188"/>
      <c r="BK26" s="55" t="str">
        <f t="shared" si="8"/>
        <v/>
      </c>
      <c r="BL26" s="13" t="str">
        <f t="shared" si="9"/>
        <v/>
      </c>
      <c r="BM26" s="13" t="str">
        <f t="shared" si="10"/>
        <v/>
      </c>
      <c r="BN26" s="56" t="str">
        <f t="shared" si="11"/>
        <v/>
      </c>
      <c r="BO26" s="188"/>
      <c r="BP26" s="14" t="str">
        <f t="shared" si="12"/>
        <v/>
      </c>
      <c r="BQ26" s="15">
        <v>0</v>
      </c>
      <c r="BR26" s="15" t="str">
        <f t="shared" si="26"/>
        <v/>
      </c>
      <c r="BS26" s="15" t="str">
        <f t="shared" si="27"/>
        <v/>
      </c>
      <c r="BT26" s="16" t="str">
        <f t="shared" si="13"/>
        <v/>
      </c>
      <c r="BU26" s="188"/>
      <c r="BV26" s="28" t="str">
        <f t="shared" si="14"/>
        <v/>
      </c>
      <c r="BW26" s="28" t="str">
        <f t="shared" si="15"/>
        <v/>
      </c>
      <c r="BX26" s="28" t="str">
        <f t="shared" si="16"/>
        <v/>
      </c>
      <c r="BY26" s="28" t="str">
        <f t="shared" si="17"/>
        <v/>
      </c>
      <c r="BZ26" s="28" t="str">
        <f t="shared" si="28"/>
        <v/>
      </c>
      <c r="CA26" s="52" t="str">
        <f t="shared" si="29"/>
        <v/>
      </c>
      <c r="CB26" s="188"/>
      <c r="CC26" s="49" t="str">
        <f t="shared" si="18"/>
        <v>-</v>
      </c>
      <c r="CD26" s="29" t="str">
        <f t="shared" si="19"/>
        <v>-</v>
      </c>
      <c r="CE26" s="29" t="str">
        <f t="shared" si="20"/>
        <v>-</v>
      </c>
      <c r="CF26" s="29" t="str">
        <f t="shared" si="21"/>
        <v>-</v>
      </c>
      <c r="CG26" s="50" t="str">
        <f t="shared" si="22"/>
        <v>-</v>
      </c>
      <c r="CH26" s="188"/>
    </row>
    <row r="27" spans="1:86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2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59"/>
      <c r="AM27" s="59"/>
      <c r="AN27" s="59"/>
      <c r="AO27" s="59"/>
      <c r="AP27" s="59"/>
      <c r="AQ27" s="59"/>
      <c r="AR27" s="59"/>
      <c r="AS27" s="59"/>
      <c r="AT27" s="8"/>
      <c r="AU27" s="8"/>
      <c r="AV27" s="9"/>
      <c r="AW27" s="60"/>
      <c r="AX27" s="10" t="str">
        <f t="shared" si="23"/>
        <v>-</v>
      </c>
      <c r="AY27" s="188"/>
      <c r="AZ27" s="1" t="str">
        <f t="shared" si="1"/>
        <v/>
      </c>
      <c r="BA27" s="11" t="str">
        <f t="shared" si="2"/>
        <v/>
      </c>
      <c r="BB27" s="1" t="str">
        <f t="shared" si="3"/>
        <v/>
      </c>
      <c r="BC27" s="188"/>
      <c r="BD27" s="53" t="str">
        <f t="shared" si="4"/>
        <v/>
      </c>
      <c r="BE27" s="12" t="str">
        <f t="shared" si="5"/>
        <v/>
      </c>
      <c r="BF27" s="12" t="str">
        <f t="shared" si="6"/>
        <v/>
      </c>
      <c r="BG27" s="12" t="str">
        <f t="shared" si="24"/>
        <v/>
      </c>
      <c r="BH27" s="12" t="str">
        <f t="shared" si="7"/>
        <v/>
      </c>
      <c r="BI27" s="54" t="str">
        <f t="shared" si="25"/>
        <v/>
      </c>
      <c r="BJ27" s="188"/>
      <c r="BK27" s="55" t="str">
        <f t="shared" si="8"/>
        <v/>
      </c>
      <c r="BL27" s="13" t="str">
        <f t="shared" si="9"/>
        <v/>
      </c>
      <c r="BM27" s="13" t="str">
        <f t="shared" si="10"/>
        <v/>
      </c>
      <c r="BN27" s="56" t="str">
        <f t="shared" si="11"/>
        <v/>
      </c>
      <c r="BO27" s="188"/>
      <c r="BP27" s="14" t="str">
        <f t="shared" si="12"/>
        <v/>
      </c>
      <c r="BQ27" s="15">
        <v>0</v>
      </c>
      <c r="BR27" s="15" t="str">
        <f t="shared" si="26"/>
        <v/>
      </c>
      <c r="BS27" s="15" t="str">
        <f t="shared" si="27"/>
        <v/>
      </c>
      <c r="BT27" s="16" t="str">
        <f t="shared" si="13"/>
        <v/>
      </c>
      <c r="BU27" s="188"/>
      <c r="BV27" s="28" t="str">
        <f t="shared" si="14"/>
        <v/>
      </c>
      <c r="BW27" s="28" t="str">
        <f t="shared" si="15"/>
        <v/>
      </c>
      <c r="BX27" s="28" t="str">
        <f t="shared" si="16"/>
        <v/>
      </c>
      <c r="BY27" s="28" t="str">
        <f t="shared" si="17"/>
        <v/>
      </c>
      <c r="BZ27" s="28" t="str">
        <f t="shared" si="28"/>
        <v/>
      </c>
      <c r="CA27" s="52" t="str">
        <f t="shared" si="29"/>
        <v/>
      </c>
      <c r="CB27" s="188"/>
      <c r="CC27" s="49" t="str">
        <f t="shared" si="18"/>
        <v>-</v>
      </c>
      <c r="CD27" s="29" t="str">
        <f t="shared" si="19"/>
        <v>-</v>
      </c>
      <c r="CE27" s="29" t="str">
        <f t="shared" si="20"/>
        <v>-</v>
      </c>
      <c r="CF27" s="29" t="str">
        <f t="shared" si="21"/>
        <v>-</v>
      </c>
      <c r="CG27" s="50" t="str">
        <f t="shared" si="22"/>
        <v>-</v>
      </c>
      <c r="CH27" s="188"/>
    </row>
    <row r="28" spans="1:86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2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59"/>
      <c r="AM28" s="59"/>
      <c r="AN28" s="59"/>
      <c r="AO28" s="59"/>
      <c r="AP28" s="59"/>
      <c r="AQ28" s="59"/>
      <c r="AR28" s="59"/>
      <c r="AS28" s="59"/>
      <c r="AT28" s="8"/>
      <c r="AU28" s="8"/>
      <c r="AV28" s="9"/>
      <c r="AW28" s="60"/>
      <c r="AX28" s="10" t="str">
        <f t="shared" si="23"/>
        <v>-</v>
      </c>
      <c r="AY28" s="188"/>
      <c r="AZ28" s="1" t="str">
        <f t="shared" si="1"/>
        <v/>
      </c>
      <c r="BA28" s="11" t="str">
        <f t="shared" si="2"/>
        <v/>
      </c>
      <c r="BB28" s="1" t="str">
        <f t="shared" si="3"/>
        <v/>
      </c>
      <c r="BC28" s="188"/>
      <c r="BD28" s="53" t="str">
        <f t="shared" si="4"/>
        <v/>
      </c>
      <c r="BE28" s="12" t="str">
        <f t="shared" si="5"/>
        <v/>
      </c>
      <c r="BF28" s="12" t="str">
        <f t="shared" si="6"/>
        <v/>
      </c>
      <c r="BG28" s="12" t="str">
        <f t="shared" si="24"/>
        <v/>
      </c>
      <c r="BH28" s="12" t="str">
        <f t="shared" si="7"/>
        <v/>
      </c>
      <c r="BI28" s="54" t="str">
        <f t="shared" si="25"/>
        <v/>
      </c>
      <c r="BJ28" s="188"/>
      <c r="BK28" s="55" t="str">
        <f t="shared" si="8"/>
        <v/>
      </c>
      <c r="BL28" s="13" t="str">
        <f t="shared" si="9"/>
        <v/>
      </c>
      <c r="BM28" s="13" t="str">
        <f t="shared" si="10"/>
        <v/>
      </c>
      <c r="BN28" s="56" t="str">
        <f t="shared" si="11"/>
        <v/>
      </c>
      <c r="BO28" s="188"/>
      <c r="BP28" s="14" t="str">
        <f t="shared" si="12"/>
        <v/>
      </c>
      <c r="BQ28" s="15">
        <v>0</v>
      </c>
      <c r="BR28" s="15" t="str">
        <f t="shared" si="26"/>
        <v/>
      </c>
      <c r="BS28" s="15" t="str">
        <f t="shared" si="27"/>
        <v/>
      </c>
      <c r="BT28" s="16" t="str">
        <f t="shared" si="13"/>
        <v/>
      </c>
      <c r="BU28" s="188"/>
      <c r="BV28" s="28" t="str">
        <f t="shared" si="14"/>
        <v/>
      </c>
      <c r="BW28" s="28" t="str">
        <f t="shared" si="15"/>
        <v/>
      </c>
      <c r="BX28" s="28" t="str">
        <f t="shared" si="16"/>
        <v/>
      </c>
      <c r="BY28" s="28" t="str">
        <f t="shared" si="17"/>
        <v/>
      </c>
      <c r="BZ28" s="28" t="str">
        <f t="shared" si="28"/>
        <v/>
      </c>
      <c r="CA28" s="52" t="str">
        <f t="shared" si="29"/>
        <v/>
      </c>
      <c r="CB28" s="188"/>
      <c r="CC28" s="49" t="str">
        <f t="shared" si="18"/>
        <v>-</v>
      </c>
      <c r="CD28" s="29" t="str">
        <f t="shared" si="19"/>
        <v>-</v>
      </c>
      <c r="CE28" s="29" t="str">
        <f t="shared" si="20"/>
        <v>-</v>
      </c>
      <c r="CF28" s="29" t="str">
        <f t="shared" si="21"/>
        <v>-</v>
      </c>
      <c r="CG28" s="50" t="str">
        <f t="shared" si="22"/>
        <v>-</v>
      </c>
      <c r="CH28" s="188"/>
    </row>
    <row r="29" spans="1:86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2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59"/>
      <c r="AM29" s="59"/>
      <c r="AN29" s="59"/>
      <c r="AO29" s="59"/>
      <c r="AP29" s="59"/>
      <c r="AQ29" s="59"/>
      <c r="AR29" s="59"/>
      <c r="AS29" s="59"/>
      <c r="AT29" s="8"/>
      <c r="AU29" s="8"/>
      <c r="AV29" s="9"/>
      <c r="AW29" s="60"/>
      <c r="AX29" s="10" t="str">
        <f>IFERROR(AN29/AW29,"-")</f>
        <v>-</v>
      </c>
      <c r="AY29" s="188"/>
      <c r="AZ29" s="1" t="str">
        <f t="shared" si="1"/>
        <v/>
      </c>
      <c r="BA29" s="11" t="str">
        <f t="shared" si="2"/>
        <v/>
      </c>
      <c r="BB29" s="1" t="str">
        <f t="shared" si="3"/>
        <v/>
      </c>
      <c r="BC29" s="188"/>
      <c r="BD29" s="53" t="str">
        <f t="shared" si="4"/>
        <v/>
      </c>
      <c r="BE29" s="12" t="str">
        <f t="shared" si="5"/>
        <v/>
      </c>
      <c r="BF29" s="12" t="str">
        <f t="shared" si="6"/>
        <v/>
      </c>
      <c r="BG29" s="12" t="str">
        <f t="shared" si="24"/>
        <v/>
      </c>
      <c r="BH29" s="12" t="str">
        <f t="shared" si="7"/>
        <v/>
      </c>
      <c r="BI29" s="54" t="str">
        <f t="shared" si="25"/>
        <v/>
      </c>
      <c r="BJ29" s="188"/>
      <c r="BK29" s="55" t="str">
        <f t="shared" si="8"/>
        <v/>
      </c>
      <c r="BL29" s="13" t="str">
        <f t="shared" si="9"/>
        <v/>
      </c>
      <c r="BM29" s="13" t="str">
        <f t="shared" si="10"/>
        <v/>
      </c>
      <c r="BN29" s="56" t="str">
        <f t="shared" si="11"/>
        <v/>
      </c>
      <c r="BO29" s="188"/>
      <c r="BP29" s="14" t="str">
        <f t="shared" si="12"/>
        <v/>
      </c>
      <c r="BQ29" s="15">
        <v>0</v>
      </c>
      <c r="BR29" s="15" t="str">
        <f t="shared" si="26"/>
        <v/>
      </c>
      <c r="BS29" s="15" t="str">
        <f t="shared" si="27"/>
        <v/>
      </c>
      <c r="BT29" s="16" t="str">
        <f t="shared" si="13"/>
        <v/>
      </c>
      <c r="BU29" s="188"/>
      <c r="BV29" s="28" t="str">
        <f t="shared" si="14"/>
        <v/>
      </c>
      <c r="BW29" s="28" t="str">
        <f t="shared" si="15"/>
        <v/>
      </c>
      <c r="BX29" s="28" t="str">
        <f t="shared" si="16"/>
        <v/>
      </c>
      <c r="BY29" s="28" t="str">
        <f t="shared" si="17"/>
        <v/>
      </c>
      <c r="BZ29" s="28" t="str">
        <f t="shared" si="28"/>
        <v/>
      </c>
      <c r="CA29" s="52" t="str">
        <f t="shared" si="29"/>
        <v/>
      </c>
      <c r="CB29" s="188"/>
      <c r="CC29" s="49" t="str">
        <f t="shared" si="18"/>
        <v>-</v>
      </c>
      <c r="CD29" s="29" t="str">
        <f t="shared" si="19"/>
        <v>-</v>
      </c>
      <c r="CE29" s="29" t="str">
        <f t="shared" si="20"/>
        <v>-</v>
      </c>
      <c r="CF29" s="29" t="str">
        <f t="shared" si="21"/>
        <v>-</v>
      </c>
      <c r="CG29" s="50" t="str">
        <f t="shared" si="22"/>
        <v>-</v>
      </c>
      <c r="CH29" s="188"/>
    </row>
    <row r="30" spans="1:86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2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59"/>
      <c r="AM30" s="59"/>
      <c r="AN30" s="59"/>
      <c r="AO30" s="59"/>
      <c r="AP30" s="59"/>
      <c r="AQ30" s="59"/>
      <c r="AR30" s="59"/>
      <c r="AS30" s="59"/>
      <c r="AT30" s="8"/>
      <c r="AU30" s="8"/>
      <c r="AV30" s="9"/>
      <c r="AW30" s="60"/>
      <c r="AX30" s="10" t="str">
        <f>IFERROR(AN30/AW30,"-")</f>
        <v>-</v>
      </c>
      <c r="AY30" s="188"/>
      <c r="AZ30" s="1" t="str">
        <f t="shared" si="1"/>
        <v/>
      </c>
      <c r="BA30" s="11" t="str">
        <f t="shared" si="2"/>
        <v/>
      </c>
      <c r="BB30" s="1" t="str">
        <f t="shared" si="3"/>
        <v/>
      </c>
      <c r="BC30" s="188"/>
      <c r="BD30" s="53" t="str">
        <f t="shared" si="4"/>
        <v/>
      </c>
      <c r="BE30" s="12" t="str">
        <f t="shared" si="5"/>
        <v/>
      </c>
      <c r="BF30" s="12" t="str">
        <f t="shared" si="6"/>
        <v/>
      </c>
      <c r="BG30" s="12" t="str">
        <f t="shared" si="24"/>
        <v/>
      </c>
      <c r="BH30" s="12" t="str">
        <f t="shared" si="7"/>
        <v/>
      </c>
      <c r="BI30" s="54" t="str">
        <f t="shared" si="25"/>
        <v/>
      </c>
      <c r="BJ30" s="188"/>
      <c r="BK30" s="55" t="str">
        <f t="shared" si="8"/>
        <v/>
      </c>
      <c r="BL30" s="13" t="str">
        <f t="shared" si="9"/>
        <v/>
      </c>
      <c r="BM30" s="13" t="str">
        <f t="shared" si="10"/>
        <v/>
      </c>
      <c r="BN30" s="56" t="str">
        <f t="shared" si="11"/>
        <v/>
      </c>
      <c r="BO30" s="188"/>
      <c r="BP30" s="14" t="str">
        <f t="shared" si="12"/>
        <v/>
      </c>
      <c r="BQ30" s="15">
        <v>0</v>
      </c>
      <c r="BR30" s="15" t="str">
        <f t="shared" si="26"/>
        <v/>
      </c>
      <c r="BS30" s="15" t="str">
        <f t="shared" si="27"/>
        <v/>
      </c>
      <c r="BT30" s="16" t="str">
        <f t="shared" si="13"/>
        <v/>
      </c>
      <c r="BU30" s="188"/>
      <c r="BV30" s="28" t="str">
        <f t="shared" si="14"/>
        <v/>
      </c>
      <c r="BW30" s="28" t="str">
        <f t="shared" si="15"/>
        <v/>
      </c>
      <c r="BX30" s="28" t="str">
        <f t="shared" si="16"/>
        <v/>
      </c>
      <c r="BY30" s="28" t="str">
        <f t="shared" si="17"/>
        <v/>
      </c>
      <c r="BZ30" s="28" t="str">
        <f t="shared" si="28"/>
        <v/>
      </c>
      <c r="CA30" s="52" t="str">
        <f t="shared" si="29"/>
        <v/>
      </c>
      <c r="CB30" s="188"/>
      <c r="CC30" s="49" t="str">
        <f t="shared" si="18"/>
        <v>-</v>
      </c>
      <c r="CD30" s="29" t="str">
        <f t="shared" si="19"/>
        <v>-</v>
      </c>
      <c r="CE30" s="29" t="str">
        <f t="shared" si="20"/>
        <v>-</v>
      </c>
      <c r="CF30" s="29" t="str">
        <f t="shared" si="21"/>
        <v>-</v>
      </c>
      <c r="CG30" s="50" t="str">
        <f t="shared" si="22"/>
        <v>-</v>
      </c>
      <c r="CH30" s="188"/>
    </row>
    <row r="31" spans="1:86" s="27" customFormat="1" ht="12.4" customHeight="1" thickBot="1" x14ac:dyDescent="0.25">
      <c r="A31" s="43">
        <f t="shared" si="30"/>
        <v>46323</v>
      </c>
      <c r="B31" s="44" t="str">
        <f>+TEXT(A31,"DDD")</f>
        <v>Wed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2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59"/>
      <c r="AM31" s="59"/>
      <c r="AN31" s="59"/>
      <c r="AO31" s="59"/>
      <c r="AP31" s="59"/>
      <c r="AQ31" s="59"/>
      <c r="AR31" s="59"/>
      <c r="AS31" s="59"/>
      <c r="AT31" s="8"/>
      <c r="AU31" s="8"/>
      <c r="AV31" s="9"/>
      <c r="AW31" s="60"/>
      <c r="AX31" s="10" t="str">
        <f t="shared" si="23"/>
        <v>-</v>
      </c>
      <c r="AY31" s="188"/>
      <c r="AZ31" s="1" t="str">
        <f t="shared" si="1"/>
        <v/>
      </c>
      <c r="BA31" s="11" t="str">
        <f t="shared" si="2"/>
        <v/>
      </c>
      <c r="BB31" s="1" t="str">
        <f t="shared" si="3"/>
        <v/>
      </c>
      <c r="BC31" s="188"/>
      <c r="BD31" s="53" t="str">
        <f t="shared" si="4"/>
        <v/>
      </c>
      <c r="BE31" s="12" t="str">
        <f t="shared" si="5"/>
        <v/>
      </c>
      <c r="BF31" s="12" t="str">
        <f t="shared" si="6"/>
        <v/>
      </c>
      <c r="BG31" s="12" t="str">
        <f t="shared" si="24"/>
        <v/>
      </c>
      <c r="BH31" s="12" t="str">
        <f t="shared" si="7"/>
        <v/>
      </c>
      <c r="BI31" s="54" t="str">
        <f t="shared" si="25"/>
        <v/>
      </c>
      <c r="BJ31" s="188"/>
      <c r="BK31" s="55" t="str">
        <f t="shared" si="8"/>
        <v/>
      </c>
      <c r="BL31" s="13" t="str">
        <f t="shared" si="9"/>
        <v/>
      </c>
      <c r="BM31" s="13" t="str">
        <f t="shared" si="10"/>
        <v/>
      </c>
      <c r="BN31" s="56" t="str">
        <f t="shared" si="11"/>
        <v/>
      </c>
      <c r="BO31" s="188"/>
      <c r="BP31" s="14" t="str">
        <f t="shared" si="12"/>
        <v/>
      </c>
      <c r="BQ31" s="15">
        <v>0</v>
      </c>
      <c r="BR31" s="15" t="str">
        <f t="shared" si="26"/>
        <v/>
      </c>
      <c r="BS31" s="15" t="str">
        <f t="shared" si="27"/>
        <v/>
      </c>
      <c r="BT31" s="16" t="str">
        <f t="shared" si="13"/>
        <v/>
      </c>
      <c r="BU31" s="188"/>
      <c r="BV31" s="28" t="str">
        <f t="shared" si="14"/>
        <v/>
      </c>
      <c r="BW31" s="28" t="str">
        <f t="shared" si="15"/>
        <v/>
      </c>
      <c r="BX31" s="28" t="str">
        <f t="shared" si="16"/>
        <v/>
      </c>
      <c r="BY31" s="28" t="str">
        <f t="shared" si="17"/>
        <v/>
      </c>
      <c r="BZ31" s="28" t="str">
        <f t="shared" si="28"/>
        <v/>
      </c>
      <c r="CA31" s="52" t="str">
        <f t="shared" si="29"/>
        <v/>
      </c>
      <c r="CB31" s="188"/>
      <c r="CC31" s="49" t="str">
        <f t="shared" si="18"/>
        <v>-</v>
      </c>
      <c r="CD31" s="29" t="str">
        <f t="shared" si="19"/>
        <v>-</v>
      </c>
      <c r="CE31" s="29" t="str">
        <f t="shared" si="20"/>
        <v>-</v>
      </c>
      <c r="CF31" s="29" t="str">
        <f t="shared" si="21"/>
        <v>-</v>
      </c>
      <c r="CG31" s="50" t="str">
        <f t="shared" si="22"/>
        <v>-</v>
      </c>
      <c r="CH31" s="188"/>
    </row>
    <row r="32" spans="1:86" s="27" customFormat="1" ht="12.4" customHeight="1" thickBot="1" x14ac:dyDescent="0.25">
      <c r="A32" s="43">
        <f t="shared" si="30"/>
        <v>46324</v>
      </c>
      <c r="B32" s="44" t="str">
        <f>+TEXT(A32,"DDD")</f>
        <v>Thu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2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59"/>
      <c r="AM32" s="59"/>
      <c r="AN32" s="59"/>
      <c r="AO32" s="59"/>
      <c r="AP32" s="59"/>
      <c r="AQ32" s="59"/>
      <c r="AR32" s="59"/>
      <c r="AS32" s="59"/>
      <c r="AT32" s="8"/>
      <c r="AU32" s="8"/>
      <c r="AV32" s="9"/>
      <c r="AW32" s="60"/>
      <c r="AX32" s="10" t="str">
        <f>IFERROR(AN32/AW32,"-")</f>
        <v>-</v>
      </c>
      <c r="AY32" s="188"/>
      <c r="AZ32" s="1" t="str">
        <f t="shared" si="1"/>
        <v/>
      </c>
      <c r="BA32" s="11" t="str">
        <f t="shared" si="2"/>
        <v/>
      </c>
      <c r="BB32" s="1" t="str">
        <f t="shared" si="3"/>
        <v/>
      </c>
      <c r="BC32" s="188"/>
      <c r="BD32" s="53" t="str">
        <f t="shared" si="4"/>
        <v/>
      </c>
      <c r="BE32" s="12" t="str">
        <f t="shared" si="5"/>
        <v/>
      </c>
      <c r="BF32" s="12" t="str">
        <f t="shared" si="6"/>
        <v/>
      </c>
      <c r="BG32" s="12" t="str">
        <f t="shared" si="24"/>
        <v/>
      </c>
      <c r="BH32" s="12" t="str">
        <f t="shared" si="7"/>
        <v/>
      </c>
      <c r="BI32" s="54" t="str">
        <f t="shared" si="25"/>
        <v/>
      </c>
      <c r="BJ32" s="188"/>
      <c r="BK32" s="55" t="str">
        <f t="shared" si="8"/>
        <v/>
      </c>
      <c r="BL32" s="13" t="str">
        <f t="shared" si="9"/>
        <v/>
      </c>
      <c r="BM32" s="13" t="str">
        <f t="shared" si="10"/>
        <v/>
      </c>
      <c r="BN32" s="56" t="str">
        <f t="shared" si="11"/>
        <v/>
      </c>
      <c r="BO32" s="188"/>
      <c r="BP32" s="14" t="str">
        <f t="shared" si="12"/>
        <v/>
      </c>
      <c r="BQ32" s="15">
        <v>0</v>
      </c>
      <c r="BR32" s="15" t="str">
        <f t="shared" si="26"/>
        <v/>
      </c>
      <c r="BS32" s="15" t="str">
        <f t="shared" si="27"/>
        <v/>
      </c>
      <c r="BT32" s="16" t="str">
        <f t="shared" si="13"/>
        <v/>
      </c>
      <c r="BU32" s="188"/>
      <c r="BV32" s="28" t="str">
        <f t="shared" si="14"/>
        <v/>
      </c>
      <c r="BW32" s="28" t="str">
        <f t="shared" si="15"/>
        <v/>
      </c>
      <c r="BX32" s="28" t="str">
        <f t="shared" si="16"/>
        <v/>
      </c>
      <c r="BY32" s="28" t="str">
        <f t="shared" si="17"/>
        <v/>
      </c>
      <c r="BZ32" s="28" t="str">
        <f t="shared" si="28"/>
        <v/>
      </c>
      <c r="CA32" s="52" t="str">
        <f t="shared" si="29"/>
        <v/>
      </c>
      <c r="CB32" s="188"/>
      <c r="CC32" s="49" t="str">
        <f t="shared" si="18"/>
        <v>-</v>
      </c>
      <c r="CD32" s="29" t="str">
        <f t="shared" si="19"/>
        <v>-</v>
      </c>
      <c r="CE32" s="29" t="str">
        <f t="shared" si="20"/>
        <v>-</v>
      </c>
      <c r="CF32" s="29" t="str">
        <f t="shared" si="21"/>
        <v>-</v>
      </c>
      <c r="CG32" s="50" t="str">
        <f t="shared" si="22"/>
        <v>-</v>
      </c>
      <c r="CH32" s="188"/>
    </row>
    <row r="33" spans="1:86" s="27" customFormat="1" ht="12.4" customHeight="1" thickBot="1" x14ac:dyDescent="0.25">
      <c r="A33" s="43">
        <f t="shared" si="30"/>
        <v>46325</v>
      </c>
      <c r="B33" s="44" t="str">
        <f>+TEXT(A33,"DDD")</f>
        <v>Fri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2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59"/>
      <c r="AM33" s="59"/>
      <c r="AN33" s="59"/>
      <c r="AO33" s="59"/>
      <c r="AP33" s="59"/>
      <c r="AQ33" s="59"/>
      <c r="AR33" s="59"/>
      <c r="AS33" s="59"/>
      <c r="AT33" s="8"/>
      <c r="AU33" s="8"/>
      <c r="AV33" s="9"/>
      <c r="AW33" s="60"/>
      <c r="AX33" s="10" t="str">
        <f>IFERROR(AN33/AW33,"-")</f>
        <v>-</v>
      </c>
      <c r="AY33" s="188"/>
      <c r="AZ33" s="1" t="str">
        <f t="shared" si="1"/>
        <v/>
      </c>
      <c r="BA33" s="11" t="str">
        <f t="shared" si="2"/>
        <v/>
      </c>
      <c r="BB33" s="1" t="str">
        <f t="shared" si="3"/>
        <v/>
      </c>
      <c r="BC33" s="188"/>
      <c r="BD33" s="53" t="str">
        <f t="shared" si="4"/>
        <v/>
      </c>
      <c r="BE33" s="12" t="str">
        <f t="shared" si="5"/>
        <v/>
      </c>
      <c r="BF33" s="12" t="str">
        <f t="shared" si="6"/>
        <v/>
      </c>
      <c r="BG33" s="12" t="str">
        <f t="shared" si="24"/>
        <v/>
      </c>
      <c r="BH33" s="12" t="str">
        <f t="shared" si="7"/>
        <v/>
      </c>
      <c r="BI33" s="54" t="str">
        <f t="shared" si="25"/>
        <v/>
      </c>
      <c r="BJ33" s="188"/>
      <c r="BK33" s="55" t="str">
        <f t="shared" si="8"/>
        <v/>
      </c>
      <c r="BL33" s="13" t="str">
        <f t="shared" si="9"/>
        <v/>
      </c>
      <c r="BM33" s="13" t="str">
        <f t="shared" si="10"/>
        <v/>
      </c>
      <c r="BN33" s="56" t="str">
        <f t="shared" si="11"/>
        <v/>
      </c>
      <c r="BO33" s="188"/>
      <c r="BP33" s="14" t="str">
        <f t="shared" si="12"/>
        <v/>
      </c>
      <c r="BQ33" s="15">
        <v>0</v>
      </c>
      <c r="BR33" s="15" t="str">
        <f t="shared" si="26"/>
        <v/>
      </c>
      <c r="BS33" s="15" t="str">
        <f t="shared" si="27"/>
        <v/>
      </c>
      <c r="BT33" s="16" t="str">
        <f t="shared" si="13"/>
        <v/>
      </c>
      <c r="BU33" s="188"/>
      <c r="BV33" s="28" t="str">
        <f t="shared" si="14"/>
        <v/>
      </c>
      <c r="BW33" s="28" t="str">
        <f t="shared" si="15"/>
        <v/>
      </c>
      <c r="BX33" s="28" t="str">
        <f t="shared" si="16"/>
        <v/>
      </c>
      <c r="BY33" s="28" t="str">
        <f t="shared" si="17"/>
        <v/>
      </c>
      <c r="BZ33" s="28" t="str">
        <f t="shared" si="28"/>
        <v/>
      </c>
      <c r="CA33" s="52" t="str">
        <f t="shared" si="29"/>
        <v/>
      </c>
      <c r="CB33" s="188"/>
      <c r="CC33" s="49" t="str">
        <f t="shared" si="18"/>
        <v>-</v>
      </c>
      <c r="CD33" s="29" t="str">
        <f t="shared" si="19"/>
        <v>-</v>
      </c>
      <c r="CE33" s="29" t="str">
        <f t="shared" si="20"/>
        <v>-</v>
      </c>
      <c r="CF33" s="29" t="str">
        <f t="shared" si="21"/>
        <v>-</v>
      </c>
      <c r="CG33" s="50" t="str">
        <f t="shared" si="22"/>
        <v>-</v>
      </c>
      <c r="CH33" s="188"/>
    </row>
    <row r="34" spans="1:86" s="27" customFormat="1" ht="12.4" customHeight="1" thickBot="1" x14ac:dyDescent="0.25">
      <c r="A34" s="43">
        <f>A33+1</f>
        <v>46326</v>
      </c>
      <c r="B34" s="44" t="str">
        <f>+TEXT(A34,"DDD")</f>
        <v>Sat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2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59"/>
      <c r="AM34" s="59"/>
      <c r="AN34" s="59"/>
      <c r="AO34" s="59"/>
      <c r="AP34" s="59"/>
      <c r="AQ34" s="59"/>
      <c r="AR34" s="59"/>
      <c r="AS34" s="59"/>
      <c r="AT34" s="8"/>
      <c r="AU34" s="8"/>
      <c r="AV34" s="9"/>
      <c r="AW34" s="60"/>
      <c r="AX34" s="10" t="str">
        <f>IFERROR(AN34/AW34,"-")</f>
        <v>-</v>
      </c>
      <c r="AY34" s="188"/>
      <c r="AZ34" s="1" t="str">
        <f t="shared" si="1"/>
        <v/>
      </c>
      <c r="BA34" s="11" t="str">
        <f t="shared" si="2"/>
        <v/>
      </c>
      <c r="BB34" s="1" t="str">
        <f t="shared" si="3"/>
        <v/>
      </c>
      <c r="BC34" s="188"/>
      <c r="BD34" s="53" t="str">
        <f t="shared" si="4"/>
        <v/>
      </c>
      <c r="BE34" s="12" t="str">
        <f t="shared" si="5"/>
        <v/>
      </c>
      <c r="BF34" s="12" t="str">
        <f t="shared" si="6"/>
        <v/>
      </c>
      <c r="BG34" s="12" t="str">
        <f t="shared" si="24"/>
        <v/>
      </c>
      <c r="BH34" s="12" t="str">
        <f t="shared" si="7"/>
        <v/>
      </c>
      <c r="BI34" s="54" t="str">
        <f t="shared" si="25"/>
        <v/>
      </c>
      <c r="BJ34" s="188"/>
      <c r="BK34" s="55" t="str">
        <f t="shared" si="8"/>
        <v/>
      </c>
      <c r="BL34" s="13" t="str">
        <f t="shared" si="9"/>
        <v/>
      </c>
      <c r="BM34" s="13" t="str">
        <f t="shared" si="10"/>
        <v/>
      </c>
      <c r="BN34" s="56" t="str">
        <f t="shared" si="11"/>
        <v/>
      </c>
      <c r="BO34" s="188"/>
      <c r="BP34" s="14" t="str">
        <f t="shared" si="12"/>
        <v/>
      </c>
      <c r="BQ34" s="15">
        <v>0</v>
      </c>
      <c r="BR34" s="15" t="str">
        <f t="shared" si="26"/>
        <v/>
      </c>
      <c r="BS34" s="15" t="str">
        <f t="shared" si="27"/>
        <v/>
      </c>
      <c r="BT34" s="16" t="str">
        <f t="shared" si="13"/>
        <v/>
      </c>
      <c r="BU34" s="188"/>
      <c r="BV34" s="28" t="str">
        <f t="shared" si="14"/>
        <v/>
      </c>
      <c r="BW34" s="28" t="str">
        <f t="shared" si="15"/>
        <v/>
      </c>
      <c r="BX34" s="28" t="str">
        <f t="shared" si="16"/>
        <v/>
      </c>
      <c r="BY34" s="28" t="str">
        <f t="shared" si="17"/>
        <v/>
      </c>
      <c r="BZ34" s="28" t="str">
        <f t="shared" si="28"/>
        <v/>
      </c>
      <c r="CA34" s="52" t="str">
        <f t="shared" si="29"/>
        <v/>
      </c>
      <c r="CB34" s="188"/>
      <c r="CC34" s="49" t="str">
        <f t="shared" si="18"/>
        <v>-</v>
      </c>
      <c r="CD34" s="29" t="str">
        <f t="shared" si="19"/>
        <v>-</v>
      </c>
      <c r="CE34" s="29" t="str">
        <f t="shared" si="20"/>
        <v>-</v>
      </c>
      <c r="CF34" s="29" t="str">
        <f t="shared" si="21"/>
        <v>-</v>
      </c>
      <c r="CG34" s="50" t="str">
        <f t="shared" si="22"/>
        <v>-</v>
      </c>
      <c r="CH34" s="188"/>
    </row>
    <row r="35" spans="1:86" s="27" customFormat="1" ht="13.15" customHeight="1" thickBot="1" x14ac:dyDescent="0.25">
      <c r="A35" s="288" t="s">
        <v>68</v>
      </c>
      <c r="B35" s="289"/>
      <c r="C35" s="45" t="e">
        <f t="shared" ref="C35:AW35" si="31">AVERAGE(C4:C34)</f>
        <v>#DIV/0!</v>
      </c>
      <c r="D35" s="45" t="e">
        <f t="shared" si="31"/>
        <v>#DIV/0!</v>
      </c>
      <c r="E35" s="45" t="e">
        <f t="shared" si="31"/>
        <v>#DIV/0!</v>
      </c>
      <c r="F35" s="45" t="e">
        <f t="shared" si="31"/>
        <v>#DIV/0!</v>
      </c>
      <c r="G35" s="45" t="e">
        <f t="shared" si="31"/>
        <v>#DIV/0!</v>
      </c>
      <c r="H35" s="45" t="e">
        <f t="shared" si="31"/>
        <v>#DIV/0!</v>
      </c>
      <c r="I35" s="45" t="e">
        <f t="shared" si="31"/>
        <v>#DIV/0!</v>
      </c>
      <c r="J35" s="45" t="e">
        <f t="shared" si="31"/>
        <v>#DIV/0!</v>
      </c>
      <c r="K35" s="45" t="e">
        <f t="shared" si="31"/>
        <v>#DIV/0!</v>
      </c>
      <c r="L35" s="45" t="e">
        <f t="shared" si="31"/>
        <v>#DIV/0!</v>
      </c>
      <c r="M35" s="45" t="e">
        <f t="shared" si="31"/>
        <v>#DIV/0!</v>
      </c>
      <c r="N35" s="45" t="e">
        <f t="shared" si="31"/>
        <v>#DIV/0!</v>
      </c>
      <c r="O35" s="45" t="e">
        <f t="shared" si="31"/>
        <v>#DIV/0!</v>
      </c>
      <c r="P35" s="45" t="e">
        <f t="shared" si="31"/>
        <v>#DIV/0!</v>
      </c>
      <c r="Q35" s="45" t="e">
        <f t="shared" si="31"/>
        <v>#DIV/0!</v>
      </c>
      <c r="R35" s="45" t="e">
        <f t="shared" si="31"/>
        <v>#DIV/0!</v>
      </c>
      <c r="S35" s="45" t="e">
        <f t="shared" si="31"/>
        <v>#DIV/0!</v>
      </c>
      <c r="T35" s="45" t="e">
        <f t="shared" si="31"/>
        <v>#DIV/0!</v>
      </c>
      <c r="U35" s="45" t="e">
        <f t="shared" si="31"/>
        <v>#DIV/0!</v>
      </c>
      <c r="V35" s="45" t="e">
        <f t="shared" si="31"/>
        <v>#DIV/0!</v>
      </c>
      <c r="W35" s="45" t="e">
        <f t="shared" si="31"/>
        <v>#DIV/0!</v>
      </c>
      <c r="X35" s="45" t="e">
        <f t="shared" si="31"/>
        <v>#DIV/0!</v>
      </c>
      <c r="Y35" s="45" t="e">
        <f t="shared" si="31"/>
        <v>#DIV/0!</v>
      </c>
      <c r="Z35" s="45" t="e">
        <f t="shared" si="31"/>
        <v>#DIV/0!</v>
      </c>
      <c r="AA35" s="45" t="e">
        <f t="shared" si="31"/>
        <v>#DIV/0!</v>
      </c>
      <c r="AB35" s="45" t="e">
        <f t="shared" si="31"/>
        <v>#DIV/0!</v>
      </c>
      <c r="AC35" s="45" t="e">
        <f t="shared" si="31"/>
        <v>#DIV/0!</v>
      </c>
      <c r="AD35" s="45" t="e">
        <f t="shared" si="31"/>
        <v>#DIV/0!</v>
      </c>
      <c r="AE35" s="45" t="e">
        <f t="shared" si="31"/>
        <v>#DIV/0!</v>
      </c>
      <c r="AF35" s="45" t="e">
        <f t="shared" si="31"/>
        <v>#DIV/0!</v>
      </c>
      <c r="AG35" s="45" t="e">
        <f t="shared" si="31"/>
        <v>#DIV/0!</v>
      </c>
      <c r="AH35" s="45" t="e">
        <f t="shared" si="31"/>
        <v>#DIV/0!</v>
      </c>
      <c r="AI35" s="45" t="e">
        <f t="shared" si="31"/>
        <v>#DIV/0!</v>
      </c>
      <c r="AJ35" s="45" t="e">
        <f t="shared" si="31"/>
        <v>#DIV/0!</v>
      </c>
      <c r="AK35" s="45" t="e">
        <f t="shared" si="31"/>
        <v>#DIV/0!</v>
      </c>
      <c r="AL35" s="45" t="e">
        <f t="shared" si="31"/>
        <v>#DIV/0!</v>
      </c>
      <c r="AM35" s="45" t="e">
        <f t="shared" si="31"/>
        <v>#DIV/0!</v>
      </c>
      <c r="AN35" s="45" t="e">
        <f t="shared" si="31"/>
        <v>#DIV/0!</v>
      </c>
      <c r="AO35" s="45" t="e">
        <f t="shared" si="31"/>
        <v>#DIV/0!</v>
      </c>
      <c r="AP35" s="45" t="e">
        <f t="shared" si="31"/>
        <v>#DIV/0!</v>
      </c>
      <c r="AQ35" s="45" t="e">
        <f t="shared" si="31"/>
        <v>#DIV/0!</v>
      </c>
      <c r="AR35" s="45" t="e">
        <f t="shared" si="31"/>
        <v>#DIV/0!</v>
      </c>
      <c r="AS35" s="45" t="e">
        <f t="shared" si="31"/>
        <v>#DIV/0!</v>
      </c>
      <c r="AT35" s="45" t="e">
        <f t="shared" si="31"/>
        <v>#DIV/0!</v>
      </c>
      <c r="AU35" s="45" t="e">
        <f t="shared" si="31"/>
        <v>#DIV/0!</v>
      </c>
      <c r="AV35" s="45" t="e">
        <f t="shared" si="31"/>
        <v>#DIV/0!</v>
      </c>
      <c r="AW35" s="45" t="e">
        <f t="shared" si="31"/>
        <v>#DIV/0!</v>
      </c>
      <c r="AX35" s="46" t="str">
        <f t="shared" si="23"/>
        <v>-</v>
      </c>
      <c r="AY35" s="188"/>
      <c r="AZ35" s="18" t="e">
        <f t="shared" si="1"/>
        <v>#DIV/0!</v>
      </c>
      <c r="BA35" s="19" t="e">
        <f t="shared" si="2"/>
        <v>#DIV/0!</v>
      </c>
      <c r="BB35" s="20" t="e">
        <f t="shared" si="3"/>
        <v>#DIV/0!</v>
      </c>
      <c r="BC35" s="188"/>
      <c r="BD35" s="18" t="e">
        <f t="shared" si="4"/>
        <v>#DIV/0!</v>
      </c>
      <c r="BE35" s="21" t="e">
        <f t="shared" si="5"/>
        <v>#DIV/0!</v>
      </c>
      <c r="BF35" s="21" t="e">
        <f t="shared" si="6"/>
        <v>#DIV/0!</v>
      </c>
      <c r="BG35" s="21" t="e">
        <f t="shared" si="24"/>
        <v>#DIV/0!</v>
      </c>
      <c r="BH35" s="21" t="e">
        <f t="shared" si="7"/>
        <v>#DIV/0!</v>
      </c>
      <c r="BI35" s="20" t="e">
        <f t="shared" si="25"/>
        <v>#DIV/0!</v>
      </c>
      <c r="BJ35" s="188"/>
      <c r="BK35" s="18" t="e">
        <f t="shared" si="8"/>
        <v>#DIV/0!</v>
      </c>
      <c r="BL35" s="21" t="e">
        <f t="shared" si="9"/>
        <v>#DIV/0!</v>
      </c>
      <c r="BM35" s="21" t="e">
        <f t="shared" si="10"/>
        <v>#DIV/0!</v>
      </c>
      <c r="BN35" s="20" t="e">
        <f t="shared" si="11"/>
        <v>#DIV/0!</v>
      </c>
      <c r="BO35" s="188"/>
      <c r="BP35" s="18" t="e">
        <f t="shared" si="12"/>
        <v>#DIV/0!</v>
      </c>
      <c r="BQ35" s="21">
        <v>0</v>
      </c>
      <c r="BR35" s="21" t="e">
        <f t="shared" si="26"/>
        <v>#DIV/0!</v>
      </c>
      <c r="BS35" s="21" t="e">
        <f t="shared" si="27"/>
        <v>#DIV/0!</v>
      </c>
      <c r="BT35" s="20" t="e">
        <f t="shared" si="13"/>
        <v>#DIV/0!</v>
      </c>
      <c r="BU35" s="188"/>
      <c r="BV35" s="30" t="e">
        <f t="shared" si="14"/>
        <v>#DIV/0!</v>
      </c>
      <c r="BW35" s="31" t="e">
        <f t="shared" si="15"/>
        <v>#DIV/0!</v>
      </c>
      <c r="BX35" s="31" t="e">
        <f t="shared" si="16"/>
        <v>#DIV/0!</v>
      </c>
      <c r="BY35" s="31" t="e">
        <f t="shared" si="17"/>
        <v>#DIV/0!</v>
      </c>
      <c r="BZ35" s="31" t="e">
        <f t="shared" si="28"/>
        <v>#DIV/0!</v>
      </c>
      <c r="CA35" s="32" t="e">
        <f t="shared" si="29"/>
        <v>#DIV/0!</v>
      </c>
      <c r="CB35" s="188"/>
      <c r="CC35" s="30" t="str">
        <f t="shared" si="18"/>
        <v>-</v>
      </c>
      <c r="CD35" s="31" t="str">
        <f t="shared" si="19"/>
        <v>-</v>
      </c>
      <c r="CE35" s="31" t="str">
        <f t="shared" si="20"/>
        <v>-</v>
      </c>
      <c r="CF35" s="31" t="str">
        <f t="shared" si="21"/>
        <v>-</v>
      </c>
      <c r="CG35" s="32" t="str">
        <f t="shared" si="22"/>
        <v>-</v>
      </c>
      <c r="CH35" s="188"/>
    </row>
    <row r="36" spans="1:86" s="27" customFormat="1" ht="13.15" customHeight="1" thickBot="1" x14ac:dyDescent="0.25">
      <c r="A36" s="288" t="s">
        <v>69</v>
      </c>
      <c r="B36" s="289"/>
      <c r="C36" s="47">
        <f t="shared" ref="C36:AW36" si="32">SUM(C4:C34)</f>
        <v>0</v>
      </c>
      <c r="D36" s="47">
        <f t="shared" si="32"/>
        <v>0</v>
      </c>
      <c r="E36" s="47">
        <f t="shared" si="32"/>
        <v>0</v>
      </c>
      <c r="F36" s="47">
        <f t="shared" si="32"/>
        <v>0</v>
      </c>
      <c r="G36" s="47">
        <f t="shared" si="32"/>
        <v>0</v>
      </c>
      <c r="H36" s="47">
        <f t="shared" si="32"/>
        <v>0</v>
      </c>
      <c r="I36" s="47">
        <f t="shared" si="32"/>
        <v>0</v>
      </c>
      <c r="J36" s="47">
        <f t="shared" si="32"/>
        <v>0</v>
      </c>
      <c r="K36" s="47">
        <f t="shared" si="32"/>
        <v>0</v>
      </c>
      <c r="L36" s="47">
        <f t="shared" si="32"/>
        <v>0</v>
      </c>
      <c r="M36" s="47">
        <f t="shared" si="32"/>
        <v>0</v>
      </c>
      <c r="N36" s="47">
        <f t="shared" si="32"/>
        <v>0</v>
      </c>
      <c r="O36" s="47">
        <f t="shared" si="32"/>
        <v>0</v>
      </c>
      <c r="P36" s="47">
        <f t="shared" si="32"/>
        <v>0</v>
      </c>
      <c r="Q36" s="47">
        <f t="shared" si="32"/>
        <v>0</v>
      </c>
      <c r="R36" s="47">
        <f t="shared" si="32"/>
        <v>0</v>
      </c>
      <c r="S36" s="47">
        <f t="shared" si="32"/>
        <v>0</v>
      </c>
      <c r="T36" s="47">
        <f t="shared" si="32"/>
        <v>0</v>
      </c>
      <c r="U36" s="47">
        <f t="shared" si="32"/>
        <v>0</v>
      </c>
      <c r="V36" s="47">
        <f t="shared" si="32"/>
        <v>0</v>
      </c>
      <c r="W36" s="47">
        <f t="shared" si="32"/>
        <v>0</v>
      </c>
      <c r="X36" s="47">
        <f t="shared" si="32"/>
        <v>0</v>
      </c>
      <c r="Y36" s="47">
        <f t="shared" si="32"/>
        <v>0</v>
      </c>
      <c r="Z36" s="47">
        <f t="shared" si="32"/>
        <v>0</v>
      </c>
      <c r="AA36" s="47">
        <f t="shared" si="32"/>
        <v>0</v>
      </c>
      <c r="AB36" s="47">
        <f t="shared" si="32"/>
        <v>0</v>
      </c>
      <c r="AC36" s="47">
        <f t="shared" si="32"/>
        <v>0</v>
      </c>
      <c r="AD36" s="47">
        <f t="shared" si="32"/>
        <v>0</v>
      </c>
      <c r="AE36" s="47">
        <f t="shared" si="32"/>
        <v>0</v>
      </c>
      <c r="AF36" s="47">
        <f t="shared" si="32"/>
        <v>0</v>
      </c>
      <c r="AG36" s="47">
        <f t="shared" si="32"/>
        <v>0</v>
      </c>
      <c r="AH36" s="47">
        <f t="shared" si="32"/>
        <v>0</v>
      </c>
      <c r="AI36" s="47">
        <f t="shared" si="32"/>
        <v>0</v>
      </c>
      <c r="AJ36" s="47">
        <f t="shared" si="32"/>
        <v>0</v>
      </c>
      <c r="AK36" s="47">
        <f t="shared" si="32"/>
        <v>0</v>
      </c>
      <c r="AL36" s="47">
        <f t="shared" si="32"/>
        <v>0</v>
      </c>
      <c r="AM36" s="47">
        <f t="shared" si="32"/>
        <v>0</v>
      </c>
      <c r="AN36" s="47">
        <f t="shared" si="32"/>
        <v>0</v>
      </c>
      <c r="AO36" s="47">
        <f t="shared" si="32"/>
        <v>0</v>
      </c>
      <c r="AP36" s="47">
        <f t="shared" si="32"/>
        <v>0</v>
      </c>
      <c r="AQ36" s="47">
        <f t="shared" si="32"/>
        <v>0</v>
      </c>
      <c r="AR36" s="47">
        <f t="shared" si="32"/>
        <v>0</v>
      </c>
      <c r="AS36" s="47">
        <f t="shared" si="32"/>
        <v>0</v>
      </c>
      <c r="AT36" s="47">
        <f t="shared" si="32"/>
        <v>0</v>
      </c>
      <c r="AU36" s="47">
        <f t="shared" si="32"/>
        <v>0</v>
      </c>
      <c r="AV36" s="47">
        <f t="shared" si="32"/>
        <v>0</v>
      </c>
      <c r="AW36" s="47">
        <f t="shared" si="32"/>
        <v>0</v>
      </c>
      <c r="AX36" s="48" t="str">
        <f t="shared" si="23"/>
        <v>-</v>
      </c>
      <c r="AY36" s="189"/>
      <c r="AZ36" s="23" t="str">
        <f t="shared" si="1"/>
        <v/>
      </c>
      <c r="BA36" s="24" t="str">
        <f t="shared" si="2"/>
        <v/>
      </c>
      <c r="BB36" s="25" t="str">
        <f t="shared" si="3"/>
        <v/>
      </c>
      <c r="BC36" s="189"/>
      <c r="BD36" s="23" t="str">
        <f t="shared" si="4"/>
        <v/>
      </c>
      <c r="BE36" s="26" t="str">
        <f t="shared" si="5"/>
        <v/>
      </c>
      <c r="BF36" s="26" t="str">
        <f t="shared" si="6"/>
        <v/>
      </c>
      <c r="BG36" s="26" t="str">
        <f t="shared" si="24"/>
        <v/>
      </c>
      <c r="BH36" s="26" t="str">
        <f t="shared" si="7"/>
        <v/>
      </c>
      <c r="BI36" s="25" t="str">
        <f t="shared" si="25"/>
        <v/>
      </c>
      <c r="BJ36" s="189"/>
      <c r="BK36" s="23" t="str">
        <f t="shared" si="8"/>
        <v/>
      </c>
      <c r="BL36" s="26" t="str">
        <f t="shared" si="9"/>
        <v/>
      </c>
      <c r="BM36" s="26" t="str">
        <f t="shared" si="10"/>
        <v/>
      </c>
      <c r="BN36" s="25" t="str">
        <f t="shared" si="11"/>
        <v/>
      </c>
      <c r="BO36" s="189"/>
      <c r="BP36" s="23" t="str">
        <f t="shared" si="12"/>
        <v/>
      </c>
      <c r="BQ36" s="26">
        <v>0</v>
      </c>
      <c r="BR36" s="26" t="str">
        <f t="shared" si="26"/>
        <v/>
      </c>
      <c r="BS36" s="26" t="str">
        <f t="shared" si="27"/>
        <v/>
      </c>
      <c r="BT36" s="25" t="str">
        <f t="shared" si="13"/>
        <v/>
      </c>
      <c r="BU36" s="189"/>
      <c r="BV36" s="33" t="str">
        <f t="shared" si="14"/>
        <v/>
      </c>
      <c r="BW36" s="34" t="str">
        <f t="shared" si="15"/>
        <v/>
      </c>
      <c r="BX36" s="34" t="str">
        <f t="shared" si="16"/>
        <v/>
      </c>
      <c r="BY36" s="34" t="str">
        <f t="shared" si="17"/>
        <v/>
      </c>
      <c r="BZ36" s="34" t="str">
        <f t="shared" si="28"/>
        <v/>
      </c>
      <c r="CA36" s="35" t="str">
        <f t="shared" si="29"/>
        <v/>
      </c>
      <c r="CB36" s="189"/>
      <c r="CC36" s="33" t="str">
        <f t="shared" si="18"/>
        <v>-</v>
      </c>
      <c r="CD36" s="34" t="str">
        <f t="shared" si="19"/>
        <v>-</v>
      </c>
      <c r="CE36" s="34" t="str">
        <f t="shared" si="20"/>
        <v>-</v>
      </c>
      <c r="CF36" s="34" t="str">
        <f t="shared" si="21"/>
        <v>-</v>
      </c>
      <c r="CG36" s="35" t="str">
        <f t="shared" si="22"/>
        <v>-</v>
      </c>
      <c r="CH36" s="189"/>
    </row>
    <row r="37" spans="1:86" x14ac:dyDescent="0.2"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</row>
  </sheetData>
  <mergeCells count="88"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CY37"/>
  <sheetViews>
    <sheetView showGridLines="0" zoomScaleNormal="100" workbookViewId="0">
      <selection activeCell="B8" sqref="B8"/>
    </sheetView>
  </sheetViews>
  <sheetFormatPr defaultColWidth="0" defaultRowHeight="11.25" x14ac:dyDescent="0.2"/>
  <cols>
    <col min="1" max="1" width="9.42578125" style="154" customWidth="1"/>
    <col min="2" max="2" width="4.5703125" style="154" customWidth="1"/>
    <col min="3" max="3" width="15.42578125" style="154" customWidth="1"/>
    <col min="4" max="4" width="18.7109375" style="154" customWidth="1"/>
    <col min="5" max="5" width="19.85546875" style="154" customWidth="1"/>
    <col min="6" max="6" width="15.85546875" style="154" customWidth="1"/>
    <col min="7" max="7" width="5.5703125" style="154" customWidth="1"/>
    <col min="8" max="8" width="18.42578125" style="154" customWidth="1"/>
    <col min="9" max="9" width="8.85546875" style="154" customWidth="1"/>
    <col min="10" max="10" width="9.42578125" style="154" customWidth="1"/>
    <col min="11" max="11" width="10.85546875" style="154" customWidth="1"/>
    <col min="12" max="12" width="7.140625" style="154" customWidth="1"/>
    <col min="13" max="13" width="5.85546875" style="154" customWidth="1"/>
    <col min="14" max="14" width="4.42578125" style="154" customWidth="1"/>
    <col min="15" max="15" width="4.7109375" style="154" customWidth="1"/>
    <col min="16" max="16" width="4.5703125" style="154" customWidth="1"/>
    <col min="17" max="17" width="5.42578125" style="154" customWidth="1"/>
    <col min="18" max="18" width="4" style="154" customWidth="1"/>
    <col min="19" max="19" width="4.42578125" style="154" customWidth="1"/>
    <col min="20" max="20" width="3.5703125" style="154" customWidth="1"/>
    <col min="21" max="21" width="5.85546875" style="154" customWidth="1"/>
    <col min="22" max="23" width="3.28515625" style="154" customWidth="1"/>
    <col min="24" max="24" width="5" style="154" customWidth="1"/>
    <col min="25" max="25" width="3.85546875" style="154" customWidth="1"/>
    <col min="26" max="26" width="3.42578125" style="154" customWidth="1"/>
    <col min="27" max="27" width="5.5703125" style="154" customWidth="1"/>
    <col min="28" max="28" width="5.7109375" style="154" customWidth="1"/>
    <col min="29" max="29" width="4" style="154" customWidth="1"/>
    <col min="30" max="30" width="3.140625" style="154" customWidth="1"/>
    <col min="31" max="31" width="5.42578125" style="154" customWidth="1"/>
    <col min="32" max="34" width="4.42578125" style="154" customWidth="1"/>
    <col min="35" max="35" width="13.140625" style="154" customWidth="1"/>
    <col min="36" max="36" width="15.5703125" style="154" customWidth="1"/>
    <col min="37" max="37" width="16.140625" style="154" bestFit="1" customWidth="1"/>
    <col min="38" max="38" width="15.28515625" style="154" bestFit="1" customWidth="1"/>
    <col min="39" max="39" width="15.7109375" style="154" bestFit="1" customWidth="1"/>
    <col min="40" max="40" width="16.140625" style="154" customWidth="1"/>
    <col min="41" max="41" width="9.85546875" style="154" customWidth="1"/>
    <col min="42" max="42" width="13.7109375" style="154" customWidth="1"/>
    <col min="43" max="43" width="11" style="154" customWidth="1"/>
    <col min="44" max="44" width="10.140625" style="154" customWidth="1"/>
    <col min="45" max="45" width="12.42578125" style="158" bestFit="1" customWidth="1"/>
    <col min="46" max="46" width="12.140625" style="154" customWidth="1"/>
    <col min="47" max="47" width="10.7109375" style="154" customWidth="1"/>
    <col min="48" max="48" width="16.140625" style="154" customWidth="1"/>
    <col min="49" max="50" width="16" style="154" customWidth="1"/>
    <col min="51" max="51" width="1.7109375" style="154" customWidth="1"/>
    <col min="52" max="52" width="16.28515625" style="154" bestFit="1" customWidth="1"/>
    <col min="53" max="53" width="11.85546875" style="154" bestFit="1" customWidth="1"/>
    <col min="54" max="54" width="12.7109375" style="154" customWidth="1"/>
    <col min="55" max="55" width="1.85546875" style="154" customWidth="1"/>
    <col min="56" max="56" width="12.5703125" style="154" bestFit="1" customWidth="1"/>
    <col min="57" max="57" width="13.28515625" style="154" customWidth="1"/>
    <col min="58" max="58" width="20.28515625" style="154" bestFit="1" customWidth="1"/>
    <col min="59" max="59" width="9.42578125" style="154" customWidth="1"/>
    <col min="60" max="60" width="14.7109375" style="154" bestFit="1" customWidth="1"/>
    <col min="61" max="61" width="10.5703125" style="154" customWidth="1"/>
    <col min="62" max="62" width="2" style="154" customWidth="1"/>
    <col min="63" max="63" width="20.140625" style="154" customWidth="1"/>
    <col min="64" max="64" width="25.28515625" style="154" bestFit="1" customWidth="1"/>
    <col min="65" max="65" width="14" style="154" customWidth="1"/>
    <col min="66" max="66" width="18" style="154" customWidth="1"/>
    <col min="67" max="67" width="1.28515625" style="154" customWidth="1"/>
    <col min="68" max="68" width="9.140625" style="154" customWidth="1"/>
    <col min="69" max="69" width="12.85546875" style="154" bestFit="1" customWidth="1"/>
    <col min="70" max="70" width="14" style="154" bestFit="1" customWidth="1"/>
    <col min="71" max="71" width="13.7109375" style="154" bestFit="1" customWidth="1"/>
    <col min="72" max="72" width="7.85546875" style="154" customWidth="1"/>
    <col min="73" max="73" width="2.140625" style="154" customWidth="1"/>
    <col min="74" max="74" width="18.42578125" style="154" customWidth="1"/>
    <col min="75" max="75" width="14.42578125" style="154" customWidth="1"/>
    <col min="76" max="76" width="18.42578125" style="154" customWidth="1"/>
    <col min="77" max="77" width="18.85546875" style="154" customWidth="1"/>
    <col min="78" max="78" width="18" style="154" customWidth="1"/>
    <col min="79" max="79" width="18.5703125" style="154" customWidth="1"/>
    <col min="80" max="80" width="2.140625" style="154" customWidth="1"/>
    <col min="81" max="82" width="7.5703125" style="154" customWidth="1"/>
    <col min="83" max="83" width="6.5703125" style="154" customWidth="1"/>
    <col min="84" max="84" width="8.5703125" style="154" customWidth="1"/>
    <col min="85" max="85" width="8.42578125" style="154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175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0" si="0">+TEXT(A4,"DDD")</f>
        <v>Thu</v>
      </c>
      <c r="C4" s="98"/>
      <c r="D4" s="98"/>
      <c r="E4" s="103"/>
      <c r="F4" s="98"/>
      <c r="G4" s="98"/>
      <c r="H4" s="104"/>
      <c r="I4" s="104"/>
      <c r="J4" s="105"/>
      <c r="K4" s="106"/>
      <c r="L4" s="98"/>
      <c r="M4" s="98"/>
      <c r="N4" s="98"/>
      <c r="O4" s="98"/>
      <c r="P4" s="103"/>
      <c r="Q4" s="98"/>
      <c r="R4" s="98"/>
      <c r="S4" s="98"/>
      <c r="T4" s="98"/>
      <c r="U4" s="98"/>
      <c r="V4" s="103"/>
      <c r="W4" s="103"/>
      <c r="X4" s="98"/>
      <c r="Y4" s="98"/>
      <c r="Z4" s="98"/>
      <c r="AA4" s="98"/>
      <c r="AB4" s="98"/>
      <c r="AC4" s="98"/>
      <c r="AD4" s="98"/>
      <c r="AE4" s="98"/>
      <c r="AF4" s="103"/>
      <c r="AG4" s="103"/>
      <c r="AH4" s="98"/>
      <c r="AI4" s="107"/>
      <c r="AJ4" s="108"/>
      <c r="AK4" s="107"/>
      <c r="AL4" s="178"/>
      <c r="AM4" s="178"/>
      <c r="AN4" s="178"/>
      <c r="AO4" s="178"/>
      <c r="AP4" s="178"/>
      <c r="AQ4" s="178"/>
      <c r="AR4" s="178"/>
      <c r="AS4" s="178"/>
      <c r="AT4" s="179"/>
      <c r="AU4" s="179"/>
      <c r="AV4" s="180"/>
      <c r="AW4" s="100"/>
      <c r="AX4" s="102" t="str">
        <f>IFERROR(AN4/AW4,"-")</f>
        <v>-</v>
      </c>
      <c r="AY4" s="151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51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51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51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51"/>
      <c r="BV4" s="127" t="str">
        <f t="shared" ref="BV4:BV36" si="14">IF(AN4&gt;0,(E4/AN4),"")</f>
        <v/>
      </c>
      <c r="BW4" s="127" t="str">
        <f t="shared" ref="BW4:BW36" si="15">IF(AN4&gt;0,(G4/AN4),"")</f>
        <v/>
      </c>
      <c r="BX4" s="127" t="str">
        <f t="shared" ref="BX4:BX36" si="16">IF(AN4&gt;0,(J4/AN4),"")</f>
        <v/>
      </c>
      <c r="BY4" s="127" t="str">
        <f t="shared" ref="BY4:BY36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51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51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178"/>
      <c r="AM5" s="178"/>
      <c r="AN5" s="178"/>
      <c r="AO5" s="178"/>
      <c r="AP5" s="178"/>
      <c r="AQ5" s="178"/>
      <c r="AR5" s="178"/>
      <c r="AS5" s="178"/>
      <c r="AT5" s="179"/>
      <c r="AU5" s="179"/>
      <c r="AV5" s="180"/>
      <c r="AW5" s="100"/>
      <c r="AX5" s="102" t="str">
        <f t="shared" ref="AX5:AX36" si="23">IFERROR(AN5/AW5,"-")</f>
        <v>-</v>
      </c>
      <c r="AY5" s="151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51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ref="BG5:BG36" si="24">+IF(SUM(AO5:AR5)&gt;0,AO5/AN5,"")</f>
        <v/>
      </c>
      <c r="BH5" s="119" t="str">
        <f t="shared" si="7"/>
        <v/>
      </c>
      <c r="BI5" s="120" t="str">
        <f t="shared" ref="BI5:BI36" si="25">+IF(SUM(AO5:AR5)&gt;0,AQ5/AN5,"")</f>
        <v/>
      </c>
      <c r="BJ5" s="151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51"/>
      <c r="BP5" s="124" t="str">
        <f t="shared" si="12"/>
        <v/>
      </c>
      <c r="BQ5" s="125">
        <v>0</v>
      </c>
      <c r="BR5" s="125" t="str">
        <f t="shared" ref="BR5:BR36" si="26">IF(AJ5&gt;0,(AK5/AJ5),"")</f>
        <v/>
      </c>
      <c r="BS5" s="125" t="str">
        <f t="shared" ref="BS5:BS36" si="27">IF(AJ5&gt;0,(AK5/AJ5),"")</f>
        <v/>
      </c>
      <c r="BT5" s="126" t="str">
        <f t="shared" si="13"/>
        <v/>
      </c>
      <c r="BU5" s="151"/>
      <c r="BV5" s="132" t="str">
        <f t="shared" si="14"/>
        <v/>
      </c>
      <c r="BW5" s="127" t="str">
        <f t="shared" si="15"/>
        <v/>
      </c>
      <c r="BX5" s="127" t="str">
        <f t="shared" si="16"/>
        <v/>
      </c>
      <c r="BY5" s="127" t="str">
        <f t="shared" si="17"/>
        <v/>
      </c>
      <c r="BZ5" s="127" t="str">
        <f t="shared" ref="BZ5:BZ36" si="28">IF(AN5&gt;0,(AJ5/AN5),"")</f>
        <v/>
      </c>
      <c r="CA5" s="128" t="str">
        <f t="shared" ref="CA5:CA36" si="29">IF(AN5&gt;0,(AK5/AN5),"")</f>
        <v/>
      </c>
      <c r="CB5" s="151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51"/>
    </row>
    <row r="6" spans="1:86" s="115" customFormat="1" ht="12.4" customHeight="1" thickBot="1" x14ac:dyDescent="0.25">
      <c r="A6" s="96">
        <f t="shared" ref="A6:A34" si="30">A5+1</f>
        <v>46298</v>
      </c>
      <c r="B6" s="97" t="str">
        <f t="shared" si="0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178"/>
      <c r="AM6" s="178"/>
      <c r="AN6" s="178"/>
      <c r="AO6" s="178"/>
      <c r="AP6" s="178"/>
      <c r="AQ6" s="178"/>
      <c r="AR6" s="178"/>
      <c r="AS6" s="178"/>
      <c r="AT6" s="179"/>
      <c r="AU6" s="179"/>
      <c r="AV6" s="180"/>
      <c r="AW6" s="100"/>
      <c r="AX6" s="102" t="str">
        <f t="shared" si="23"/>
        <v>-</v>
      </c>
      <c r="AY6" s="151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51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24"/>
        <v/>
      </c>
      <c r="BH6" s="119" t="str">
        <f t="shared" si="7"/>
        <v/>
      </c>
      <c r="BI6" s="120" t="str">
        <f t="shared" si="25"/>
        <v/>
      </c>
      <c r="BJ6" s="151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51"/>
      <c r="BP6" s="124" t="str">
        <f t="shared" si="12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3"/>
        <v/>
      </c>
      <c r="BU6" s="151"/>
      <c r="BV6" s="132" t="str">
        <f t="shared" si="14"/>
        <v/>
      </c>
      <c r="BW6" s="127" t="str">
        <f t="shared" si="15"/>
        <v/>
      </c>
      <c r="BX6" s="127" t="str">
        <f t="shared" si="16"/>
        <v/>
      </c>
      <c r="BY6" s="127" t="str">
        <f t="shared" si="17"/>
        <v/>
      </c>
      <c r="BZ6" s="127" t="str">
        <f t="shared" si="28"/>
        <v/>
      </c>
      <c r="CA6" s="128" t="str">
        <f t="shared" si="29"/>
        <v/>
      </c>
      <c r="CB6" s="151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51"/>
    </row>
    <row r="7" spans="1:86" s="115" customFormat="1" ht="12.4" customHeight="1" thickBot="1" x14ac:dyDescent="0.25">
      <c r="A7" s="96">
        <f t="shared" si="30"/>
        <v>46299</v>
      </c>
      <c r="B7" s="97" t="str">
        <f t="shared" si="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178"/>
      <c r="AM7" s="178"/>
      <c r="AN7" s="178"/>
      <c r="AO7" s="178"/>
      <c r="AP7" s="178"/>
      <c r="AQ7" s="178"/>
      <c r="AR7" s="178"/>
      <c r="AS7" s="178"/>
      <c r="AT7" s="179"/>
      <c r="AU7" s="179"/>
      <c r="AV7" s="180"/>
      <c r="AW7" s="100"/>
      <c r="AX7" s="102" t="str">
        <f t="shared" si="23"/>
        <v>-</v>
      </c>
      <c r="AY7" s="151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51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24"/>
        <v/>
      </c>
      <c r="BH7" s="119" t="str">
        <f t="shared" si="7"/>
        <v/>
      </c>
      <c r="BI7" s="120" t="str">
        <f t="shared" si="25"/>
        <v/>
      </c>
      <c r="BJ7" s="151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51"/>
      <c r="BP7" s="124" t="str">
        <f t="shared" si="12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3"/>
        <v/>
      </c>
      <c r="BU7" s="151"/>
      <c r="BV7" s="132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si="28"/>
        <v/>
      </c>
      <c r="CA7" s="128" t="str">
        <f t="shared" si="29"/>
        <v/>
      </c>
      <c r="CB7" s="151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51"/>
    </row>
    <row r="8" spans="1:86" s="115" customFormat="1" ht="12.4" customHeight="1" thickBot="1" x14ac:dyDescent="0.25">
      <c r="A8" s="96">
        <f t="shared" si="30"/>
        <v>46300</v>
      </c>
      <c r="B8" s="97" t="str">
        <f t="shared" si="0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178"/>
      <c r="AM8" s="178"/>
      <c r="AN8" s="178"/>
      <c r="AO8" s="178"/>
      <c r="AP8" s="178"/>
      <c r="AQ8" s="178"/>
      <c r="AR8" s="178"/>
      <c r="AS8" s="178"/>
      <c r="AT8" s="179"/>
      <c r="AU8" s="179"/>
      <c r="AV8" s="180"/>
      <c r="AW8" s="100"/>
      <c r="AX8" s="102" t="str">
        <f t="shared" si="23"/>
        <v>-</v>
      </c>
      <c r="AY8" s="151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51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24"/>
        <v/>
      </c>
      <c r="BH8" s="119" t="str">
        <f t="shared" si="7"/>
        <v/>
      </c>
      <c r="BI8" s="120" t="str">
        <f t="shared" si="25"/>
        <v/>
      </c>
      <c r="BJ8" s="151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51"/>
      <c r="BP8" s="124" t="str">
        <f t="shared" si="12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3"/>
        <v/>
      </c>
      <c r="BU8" s="151"/>
      <c r="BV8" s="132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 t="shared" si="28"/>
        <v/>
      </c>
      <c r="CA8" s="128" t="str">
        <f t="shared" si="29"/>
        <v/>
      </c>
      <c r="CB8" s="151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51"/>
    </row>
    <row r="9" spans="1:86" s="115" customFormat="1" ht="12.4" customHeight="1" thickBot="1" x14ac:dyDescent="0.25">
      <c r="A9" s="96">
        <f t="shared" si="30"/>
        <v>46301</v>
      </c>
      <c r="B9" s="97" t="str">
        <f t="shared" si="0"/>
        <v>Tue</v>
      </c>
      <c r="C9" s="98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178"/>
      <c r="AM9" s="178"/>
      <c r="AN9" s="178"/>
      <c r="AO9" s="178"/>
      <c r="AP9" s="178"/>
      <c r="AQ9" s="178"/>
      <c r="AR9" s="178"/>
      <c r="AS9" s="178"/>
      <c r="AT9" s="179"/>
      <c r="AU9" s="179"/>
      <c r="AV9" s="180"/>
      <c r="AW9" s="100"/>
      <c r="AX9" s="102" t="str">
        <f t="shared" si="23"/>
        <v>-</v>
      </c>
      <c r="AY9" s="151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51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24"/>
        <v/>
      </c>
      <c r="BH9" s="119" t="str">
        <f t="shared" si="7"/>
        <v/>
      </c>
      <c r="BI9" s="120" t="str">
        <f t="shared" si="25"/>
        <v/>
      </c>
      <c r="BJ9" s="151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51"/>
      <c r="BP9" s="124" t="str">
        <f t="shared" si="12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3"/>
        <v/>
      </c>
      <c r="BU9" s="151"/>
      <c r="BV9" s="132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 t="shared" si="28"/>
        <v/>
      </c>
      <c r="CA9" s="128" t="str">
        <f t="shared" si="29"/>
        <v/>
      </c>
      <c r="CB9" s="151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51"/>
    </row>
    <row r="10" spans="1:86" s="115" customFormat="1" ht="12.4" customHeight="1" thickBot="1" x14ac:dyDescent="0.25">
      <c r="A10" s="96">
        <f t="shared" si="30"/>
        <v>46302</v>
      </c>
      <c r="B10" s="97" t="str">
        <f>+TEXT(A10,"DDD")</f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178"/>
      <c r="AM10" s="178"/>
      <c r="AN10" s="178"/>
      <c r="AO10" s="178"/>
      <c r="AP10" s="178"/>
      <c r="AQ10" s="178"/>
      <c r="AR10" s="178"/>
      <c r="AS10" s="178"/>
      <c r="AT10" s="179"/>
      <c r="AU10" s="179"/>
      <c r="AV10" s="180"/>
      <c r="AW10" s="100"/>
      <c r="AX10" s="102" t="str">
        <f t="shared" si="23"/>
        <v>-</v>
      </c>
      <c r="AY10" s="151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51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4"/>
        <v/>
      </c>
      <c r="BH10" s="119" t="str">
        <f t="shared" si="7"/>
        <v/>
      </c>
      <c r="BI10" s="120" t="str">
        <f t="shared" si="25"/>
        <v/>
      </c>
      <c r="BJ10" s="151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51"/>
      <c r="BP10" s="124" t="str">
        <f t="shared" si="12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3"/>
        <v/>
      </c>
      <c r="BU10" s="151"/>
      <c r="BV10" s="132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8"/>
        <v/>
      </c>
      <c r="CA10" s="128" t="str">
        <f t="shared" si="29"/>
        <v/>
      </c>
      <c r="CB10" s="151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51"/>
    </row>
    <row r="11" spans="1:86" s="115" customFormat="1" ht="12.4" customHeight="1" thickBot="1" x14ac:dyDescent="0.25">
      <c r="A11" s="96">
        <f t="shared" si="30"/>
        <v>46303</v>
      </c>
      <c r="B11" s="97" t="str">
        <f>+TEXT(A11,"DDD")</f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178"/>
      <c r="AM11" s="178"/>
      <c r="AN11" s="178"/>
      <c r="AO11" s="178"/>
      <c r="AP11" s="178"/>
      <c r="AQ11" s="178"/>
      <c r="AR11" s="178"/>
      <c r="AS11" s="178"/>
      <c r="AT11" s="179"/>
      <c r="AU11" s="179"/>
      <c r="AV11" s="180"/>
      <c r="AW11" s="100"/>
      <c r="AX11" s="102" t="str">
        <f t="shared" si="23"/>
        <v>-</v>
      </c>
      <c r="AY11" s="151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51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4"/>
        <v/>
      </c>
      <c r="BH11" s="119" t="str">
        <f t="shared" si="7"/>
        <v/>
      </c>
      <c r="BI11" s="120" t="str">
        <f t="shared" si="25"/>
        <v/>
      </c>
      <c r="BJ11" s="151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51"/>
      <c r="BP11" s="124" t="str">
        <f t="shared" si="12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3"/>
        <v/>
      </c>
      <c r="BU11" s="151"/>
      <c r="BV11" s="132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8"/>
        <v/>
      </c>
      <c r="CA11" s="128" t="str">
        <f t="shared" si="29"/>
        <v/>
      </c>
      <c r="CB11" s="151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51"/>
    </row>
    <row r="12" spans="1:86" s="115" customFormat="1" ht="12.4" customHeight="1" thickBot="1" x14ac:dyDescent="0.25">
      <c r="A12" s="96">
        <f t="shared" si="30"/>
        <v>46304</v>
      </c>
      <c r="B12" s="97" t="str">
        <f>+TEXT(A12,"DDD")</f>
        <v>Fri</v>
      </c>
      <c r="C12" s="98"/>
      <c r="D12" s="98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178"/>
      <c r="AM12" s="178"/>
      <c r="AN12" s="178"/>
      <c r="AO12" s="178"/>
      <c r="AP12" s="178"/>
      <c r="AQ12" s="178"/>
      <c r="AR12" s="178"/>
      <c r="AS12" s="178"/>
      <c r="AT12" s="179"/>
      <c r="AU12" s="179"/>
      <c r="AV12" s="180"/>
      <c r="AW12" s="100"/>
      <c r="AX12" s="102" t="str">
        <f t="shared" si="23"/>
        <v>-</v>
      </c>
      <c r="AY12" s="151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51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4"/>
        <v/>
      </c>
      <c r="BH12" s="119" t="str">
        <f t="shared" si="7"/>
        <v/>
      </c>
      <c r="BI12" s="120" t="str">
        <f t="shared" si="25"/>
        <v/>
      </c>
      <c r="BJ12" s="151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51"/>
      <c r="BP12" s="124" t="str">
        <f t="shared" si="12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3"/>
        <v/>
      </c>
      <c r="BU12" s="151"/>
      <c r="BV12" s="132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8"/>
        <v/>
      </c>
      <c r="CA12" s="128" t="str">
        <f t="shared" si="29"/>
        <v/>
      </c>
      <c r="CB12" s="151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51"/>
    </row>
    <row r="13" spans="1:86" s="115" customFormat="1" ht="12.4" customHeight="1" thickBot="1" x14ac:dyDescent="0.25">
      <c r="A13" s="96">
        <f t="shared" si="30"/>
        <v>46305</v>
      </c>
      <c r="B13" s="97" t="str">
        <f>+TEXT(A13,"DDD")</f>
        <v>Sat</v>
      </c>
      <c r="C13" s="98"/>
      <c r="D13" s="98"/>
      <c r="E13" s="103"/>
      <c r="F13" s="98"/>
      <c r="G13" s="98"/>
      <c r="H13" s="104"/>
      <c r="I13" s="104"/>
      <c r="J13" s="105"/>
      <c r="K13" s="106"/>
      <c r="L13" s="98"/>
      <c r="M13" s="98"/>
      <c r="N13" s="98"/>
      <c r="O13" s="98"/>
      <c r="P13" s="103"/>
      <c r="Q13" s="98"/>
      <c r="R13" s="98"/>
      <c r="S13" s="98"/>
      <c r="T13" s="98"/>
      <c r="U13" s="98"/>
      <c r="V13" s="103"/>
      <c r="W13" s="103"/>
      <c r="X13" s="98"/>
      <c r="Y13" s="98"/>
      <c r="Z13" s="98"/>
      <c r="AA13" s="98"/>
      <c r="AB13" s="98"/>
      <c r="AC13" s="98"/>
      <c r="AD13" s="98"/>
      <c r="AE13" s="98"/>
      <c r="AF13" s="103"/>
      <c r="AG13" s="103"/>
      <c r="AH13" s="98"/>
      <c r="AI13" s="107"/>
      <c r="AJ13" s="108"/>
      <c r="AK13" s="107"/>
      <c r="AL13" s="178"/>
      <c r="AM13" s="178"/>
      <c r="AN13" s="178"/>
      <c r="AO13" s="178"/>
      <c r="AP13" s="178"/>
      <c r="AQ13" s="178"/>
      <c r="AR13" s="178"/>
      <c r="AS13" s="178"/>
      <c r="AT13" s="179"/>
      <c r="AU13" s="179"/>
      <c r="AV13" s="180"/>
      <c r="AW13" s="100"/>
      <c r="AX13" s="102" t="str">
        <f t="shared" si="23"/>
        <v>-</v>
      </c>
      <c r="AY13" s="151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51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4"/>
        <v/>
      </c>
      <c r="BH13" s="119" t="str">
        <f t="shared" si="7"/>
        <v/>
      </c>
      <c r="BI13" s="120" t="str">
        <f t="shared" si="25"/>
        <v/>
      </c>
      <c r="BJ13" s="151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51"/>
      <c r="BP13" s="124" t="str">
        <f t="shared" si="12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3"/>
        <v/>
      </c>
      <c r="BU13" s="151"/>
      <c r="BV13" s="132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8"/>
        <v/>
      </c>
      <c r="CA13" s="128" t="str">
        <f t="shared" si="29"/>
        <v/>
      </c>
      <c r="CB13" s="151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51"/>
    </row>
    <row r="14" spans="1:86" s="115" customFormat="1" ht="12.4" customHeight="1" thickBot="1" x14ac:dyDescent="0.25">
      <c r="A14" s="96">
        <f t="shared" si="30"/>
        <v>46306</v>
      </c>
      <c r="B14" s="97" t="str">
        <f t="shared" si="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98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178"/>
      <c r="AM14" s="178"/>
      <c r="AN14" s="178"/>
      <c r="AO14" s="178"/>
      <c r="AP14" s="178"/>
      <c r="AQ14" s="178"/>
      <c r="AR14" s="178"/>
      <c r="AS14" s="178"/>
      <c r="AT14" s="179"/>
      <c r="AU14" s="179"/>
      <c r="AV14" s="180"/>
      <c r="AW14" s="100"/>
      <c r="AX14" s="102" t="str">
        <f t="shared" si="23"/>
        <v>-</v>
      </c>
      <c r="AY14" s="151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51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4"/>
        <v/>
      </c>
      <c r="BH14" s="119" t="str">
        <f t="shared" si="7"/>
        <v/>
      </c>
      <c r="BI14" s="120" t="str">
        <f t="shared" si="25"/>
        <v/>
      </c>
      <c r="BJ14" s="151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51"/>
      <c r="BP14" s="124" t="str">
        <f t="shared" si="12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3"/>
        <v/>
      </c>
      <c r="BU14" s="151"/>
      <c r="BV14" s="132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8"/>
        <v/>
      </c>
      <c r="CA14" s="128" t="str">
        <f t="shared" si="29"/>
        <v/>
      </c>
      <c r="CB14" s="151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51"/>
    </row>
    <row r="15" spans="1:86" s="115" customFormat="1" ht="12.4" customHeight="1" thickBot="1" x14ac:dyDescent="0.25">
      <c r="A15" s="96">
        <f t="shared" si="30"/>
        <v>46307</v>
      </c>
      <c r="B15" s="97" t="str">
        <f t="shared" si="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98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178"/>
      <c r="AM15" s="178"/>
      <c r="AN15" s="178"/>
      <c r="AO15" s="178"/>
      <c r="AP15" s="178"/>
      <c r="AQ15" s="178"/>
      <c r="AR15" s="178"/>
      <c r="AS15" s="178"/>
      <c r="AT15" s="179"/>
      <c r="AU15" s="179"/>
      <c r="AV15" s="180"/>
      <c r="AW15" s="100"/>
      <c r="AX15" s="102" t="str">
        <f t="shared" si="23"/>
        <v>-</v>
      </c>
      <c r="AY15" s="151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51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24"/>
        <v/>
      </c>
      <c r="BH15" s="119" t="str">
        <f t="shared" si="7"/>
        <v/>
      </c>
      <c r="BI15" s="120" t="str">
        <f t="shared" si="25"/>
        <v/>
      </c>
      <c r="BJ15" s="151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51"/>
      <c r="BP15" s="124" t="str">
        <f t="shared" si="12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3"/>
        <v/>
      </c>
      <c r="BU15" s="151"/>
      <c r="BV15" s="132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 t="shared" si="28"/>
        <v/>
      </c>
      <c r="CA15" s="128" t="str">
        <f t="shared" si="29"/>
        <v/>
      </c>
      <c r="CB15" s="151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51"/>
    </row>
    <row r="16" spans="1:86" s="115" customFormat="1" ht="12.4" customHeight="1" thickBot="1" x14ac:dyDescent="0.25">
      <c r="A16" s="96">
        <f t="shared" si="30"/>
        <v>46308</v>
      </c>
      <c r="B16" s="97" t="str">
        <f t="shared" si="0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178"/>
      <c r="AM16" s="178"/>
      <c r="AN16" s="178"/>
      <c r="AO16" s="178"/>
      <c r="AP16" s="178"/>
      <c r="AQ16" s="178"/>
      <c r="AR16" s="178"/>
      <c r="AS16" s="178"/>
      <c r="AT16" s="179"/>
      <c r="AU16" s="179"/>
      <c r="AV16" s="180"/>
      <c r="AW16" s="100"/>
      <c r="AX16" s="102" t="str">
        <f t="shared" si="23"/>
        <v>-</v>
      </c>
      <c r="AY16" s="151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51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24"/>
        <v/>
      </c>
      <c r="BH16" s="119" t="str">
        <f t="shared" si="7"/>
        <v/>
      </c>
      <c r="BI16" s="120" t="str">
        <f t="shared" si="25"/>
        <v/>
      </c>
      <c r="BJ16" s="151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51"/>
      <c r="BP16" s="124" t="str">
        <f t="shared" si="12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3"/>
        <v/>
      </c>
      <c r="BU16" s="151"/>
      <c r="BV16" s="132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 t="shared" si="28"/>
        <v/>
      </c>
      <c r="CA16" s="128" t="str">
        <f t="shared" si="29"/>
        <v/>
      </c>
      <c r="CB16" s="151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51"/>
    </row>
    <row r="17" spans="1:86" s="115" customFormat="1" ht="12.4" customHeight="1" thickBot="1" x14ac:dyDescent="0.25">
      <c r="A17" s="96">
        <f t="shared" si="30"/>
        <v>46309</v>
      </c>
      <c r="B17" s="97" t="str">
        <f t="shared" si="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178"/>
      <c r="AM17" s="178"/>
      <c r="AN17" s="178"/>
      <c r="AO17" s="178"/>
      <c r="AP17" s="178"/>
      <c r="AQ17" s="178"/>
      <c r="AR17" s="178"/>
      <c r="AS17" s="178"/>
      <c r="AT17" s="179"/>
      <c r="AU17" s="179"/>
      <c r="AV17" s="180"/>
      <c r="AW17" s="100"/>
      <c r="AX17" s="102" t="str">
        <f t="shared" si="23"/>
        <v>-</v>
      </c>
      <c r="AY17" s="151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51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4"/>
        <v/>
      </c>
      <c r="BH17" s="119" t="str">
        <f t="shared" si="7"/>
        <v/>
      </c>
      <c r="BI17" s="120" t="str">
        <f t="shared" si="25"/>
        <v/>
      </c>
      <c r="BJ17" s="151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51"/>
      <c r="BP17" s="124" t="str">
        <f t="shared" si="12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3"/>
        <v/>
      </c>
      <c r="BU17" s="151"/>
      <c r="BV17" s="132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8"/>
        <v/>
      </c>
      <c r="CA17" s="128" t="str">
        <f t="shared" si="29"/>
        <v/>
      </c>
      <c r="CB17" s="151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51"/>
    </row>
    <row r="18" spans="1:86" s="115" customFormat="1" ht="12.4" customHeight="1" thickBot="1" x14ac:dyDescent="0.25">
      <c r="A18" s="96">
        <f t="shared" si="30"/>
        <v>46310</v>
      </c>
      <c r="B18" s="97" t="str">
        <f t="shared" si="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178"/>
      <c r="AM18" s="178"/>
      <c r="AN18" s="178"/>
      <c r="AO18" s="178"/>
      <c r="AP18" s="178"/>
      <c r="AQ18" s="178"/>
      <c r="AR18" s="178"/>
      <c r="AS18" s="178"/>
      <c r="AT18" s="179"/>
      <c r="AU18" s="179"/>
      <c r="AV18" s="180"/>
      <c r="AW18" s="100"/>
      <c r="AX18" s="102" t="str">
        <f t="shared" si="23"/>
        <v>-</v>
      </c>
      <c r="AY18" s="151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51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4"/>
        <v/>
      </c>
      <c r="BH18" s="119" t="str">
        <f t="shared" si="7"/>
        <v/>
      </c>
      <c r="BI18" s="120" t="str">
        <f t="shared" si="25"/>
        <v/>
      </c>
      <c r="BJ18" s="151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51"/>
      <c r="BP18" s="124" t="str">
        <f t="shared" si="12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3"/>
        <v/>
      </c>
      <c r="BU18" s="151"/>
      <c r="BV18" s="132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8"/>
        <v/>
      </c>
      <c r="CA18" s="128" t="str">
        <f t="shared" si="29"/>
        <v/>
      </c>
      <c r="CB18" s="151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51"/>
    </row>
    <row r="19" spans="1:86" s="115" customFormat="1" ht="12.4" customHeight="1" thickBot="1" x14ac:dyDescent="0.25">
      <c r="A19" s="96">
        <f t="shared" si="30"/>
        <v>46311</v>
      </c>
      <c r="B19" s="97" t="str">
        <f t="shared" si="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178"/>
      <c r="AM19" s="178"/>
      <c r="AN19" s="178"/>
      <c r="AO19" s="178"/>
      <c r="AP19" s="178"/>
      <c r="AQ19" s="178"/>
      <c r="AR19" s="178"/>
      <c r="AS19" s="178"/>
      <c r="AT19" s="179"/>
      <c r="AU19" s="179"/>
      <c r="AV19" s="180"/>
      <c r="AW19" s="100"/>
      <c r="AX19" s="102" t="str">
        <f t="shared" si="23"/>
        <v>-</v>
      </c>
      <c r="AY19" s="151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51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4"/>
        <v/>
      </c>
      <c r="BH19" s="119" t="str">
        <f t="shared" si="7"/>
        <v/>
      </c>
      <c r="BI19" s="120" t="str">
        <f t="shared" si="25"/>
        <v/>
      </c>
      <c r="BJ19" s="151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51"/>
      <c r="BP19" s="124" t="str">
        <f t="shared" si="12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3"/>
        <v/>
      </c>
      <c r="BU19" s="151"/>
      <c r="BV19" s="132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8"/>
        <v/>
      </c>
      <c r="CA19" s="128" t="str">
        <f t="shared" si="29"/>
        <v/>
      </c>
      <c r="CB19" s="151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51"/>
    </row>
    <row r="20" spans="1:86" s="115" customFormat="1" ht="12.4" customHeight="1" thickBot="1" x14ac:dyDescent="0.25">
      <c r="A20" s="96">
        <f t="shared" si="30"/>
        <v>46312</v>
      </c>
      <c r="B20" s="97" t="str">
        <f t="shared" si="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178"/>
      <c r="AM20" s="178"/>
      <c r="AN20" s="178"/>
      <c r="AO20" s="178"/>
      <c r="AP20" s="178"/>
      <c r="AQ20" s="178"/>
      <c r="AR20" s="178"/>
      <c r="AS20" s="178"/>
      <c r="AT20" s="179"/>
      <c r="AU20" s="179"/>
      <c r="AV20" s="180"/>
      <c r="AW20" s="100"/>
      <c r="AX20" s="102" t="str">
        <f t="shared" si="23"/>
        <v>-</v>
      </c>
      <c r="AY20" s="151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51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4"/>
        <v/>
      </c>
      <c r="BH20" s="119" t="str">
        <f t="shared" si="7"/>
        <v/>
      </c>
      <c r="BI20" s="120" t="str">
        <f t="shared" si="25"/>
        <v/>
      </c>
      <c r="BJ20" s="151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51"/>
      <c r="BP20" s="124" t="str">
        <f t="shared" si="12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3"/>
        <v/>
      </c>
      <c r="BU20" s="151"/>
      <c r="BV20" s="132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8"/>
        <v/>
      </c>
      <c r="CA20" s="128" t="str">
        <f t="shared" si="29"/>
        <v/>
      </c>
      <c r="CB20" s="151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51"/>
    </row>
    <row r="21" spans="1:86" s="115" customFormat="1" ht="12.4" customHeight="1" thickBot="1" x14ac:dyDescent="0.25">
      <c r="A21" s="96">
        <f t="shared" si="30"/>
        <v>46313</v>
      </c>
      <c r="B21" s="97" t="str">
        <f t="shared" si="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178"/>
      <c r="AM21" s="178"/>
      <c r="AN21" s="178"/>
      <c r="AO21" s="178"/>
      <c r="AP21" s="178"/>
      <c r="AQ21" s="178"/>
      <c r="AR21" s="178"/>
      <c r="AS21" s="178"/>
      <c r="AT21" s="179"/>
      <c r="AU21" s="179"/>
      <c r="AV21" s="180"/>
      <c r="AW21" s="100"/>
      <c r="AX21" s="102" t="str">
        <f t="shared" si="23"/>
        <v>-</v>
      </c>
      <c r="AY21" s="151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51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4"/>
        <v/>
      </c>
      <c r="BH21" s="119" t="str">
        <f t="shared" si="7"/>
        <v/>
      </c>
      <c r="BI21" s="120" t="str">
        <f t="shared" si="25"/>
        <v/>
      </c>
      <c r="BJ21" s="151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51"/>
      <c r="BP21" s="124" t="str">
        <f t="shared" si="12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3"/>
        <v/>
      </c>
      <c r="BU21" s="151"/>
      <c r="BV21" s="132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8"/>
        <v/>
      </c>
      <c r="CA21" s="128" t="str">
        <f t="shared" si="29"/>
        <v/>
      </c>
      <c r="CB21" s="151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51"/>
    </row>
    <row r="22" spans="1:86" s="115" customFormat="1" ht="12.4" customHeight="1" thickBot="1" x14ac:dyDescent="0.25">
      <c r="A22" s="96">
        <f t="shared" si="30"/>
        <v>46314</v>
      </c>
      <c r="B22" s="97" t="str">
        <f t="shared" si="0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178"/>
      <c r="AM22" s="178"/>
      <c r="AN22" s="178"/>
      <c r="AO22" s="178"/>
      <c r="AP22" s="178"/>
      <c r="AQ22" s="178"/>
      <c r="AR22" s="178"/>
      <c r="AS22" s="178"/>
      <c r="AT22" s="179"/>
      <c r="AU22" s="179"/>
      <c r="AV22" s="180"/>
      <c r="AW22" s="100"/>
      <c r="AX22" s="102" t="str">
        <f t="shared" si="23"/>
        <v>-</v>
      </c>
      <c r="AY22" s="151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51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4"/>
        <v/>
      </c>
      <c r="BH22" s="119" t="str">
        <f t="shared" si="7"/>
        <v/>
      </c>
      <c r="BI22" s="120" t="str">
        <f t="shared" si="25"/>
        <v/>
      </c>
      <c r="BJ22" s="151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51"/>
      <c r="BP22" s="124" t="str">
        <f t="shared" si="12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3"/>
        <v/>
      </c>
      <c r="BU22" s="151"/>
      <c r="BV22" s="132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8"/>
        <v/>
      </c>
      <c r="CA22" s="128" t="str">
        <f t="shared" si="29"/>
        <v/>
      </c>
      <c r="CB22" s="151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51"/>
    </row>
    <row r="23" spans="1:86" s="115" customFormat="1" ht="12.4" customHeight="1" thickBot="1" x14ac:dyDescent="0.25">
      <c r="A23" s="96">
        <f t="shared" si="30"/>
        <v>46315</v>
      </c>
      <c r="B23" s="97" t="str">
        <f t="shared" si="0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178"/>
      <c r="AM23" s="178"/>
      <c r="AN23" s="178"/>
      <c r="AO23" s="178"/>
      <c r="AP23" s="178"/>
      <c r="AQ23" s="178"/>
      <c r="AR23" s="178"/>
      <c r="AS23" s="178"/>
      <c r="AT23" s="179"/>
      <c r="AU23" s="179"/>
      <c r="AV23" s="180"/>
      <c r="AW23" s="100"/>
      <c r="AX23" s="102" t="str">
        <f t="shared" si="23"/>
        <v>-</v>
      </c>
      <c r="AY23" s="151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51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24"/>
        <v/>
      </c>
      <c r="BH23" s="119" t="str">
        <f t="shared" si="7"/>
        <v/>
      </c>
      <c r="BI23" s="120" t="str">
        <f t="shared" si="25"/>
        <v/>
      </c>
      <c r="BJ23" s="151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51"/>
      <c r="BP23" s="124" t="str">
        <f t="shared" si="12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3"/>
        <v/>
      </c>
      <c r="BU23" s="151"/>
      <c r="BV23" s="132" t="str">
        <f t="shared" si="14"/>
        <v/>
      </c>
      <c r="BW23" s="127" t="str">
        <f t="shared" si="15"/>
        <v/>
      </c>
      <c r="BX23" s="127" t="str">
        <f t="shared" si="16"/>
        <v/>
      </c>
      <c r="BY23" s="127" t="str">
        <f t="shared" si="17"/>
        <v/>
      </c>
      <c r="BZ23" s="127" t="str">
        <f t="shared" si="28"/>
        <v/>
      </c>
      <c r="CA23" s="128" t="str">
        <f t="shared" si="29"/>
        <v/>
      </c>
      <c r="CB23" s="151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51"/>
    </row>
    <row r="24" spans="1:86" s="115" customFormat="1" ht="12.4" customHeight="1" thickBot="1" x14ac:dyDescent="0.25">
      <c r="A24" s="96">
        <f t="shared" si="30"/>
        <v>46316</v>
      </c>
      <c r="B24" s="97" t="str">
        <f t="shared" si="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178"/>
      <c r="AM24" s="178"/>
      <c r="AN24" s="178"/>
      <c r="AO24" s="178"/>
      <c r="AP24" s="178"/>
      <c r="AQ24" s="178"/>
      <c r="AR24" s="178"/>
      <c r="AS24" s="178"/>
      <c r="AT24" s="179"/>
      <c r="AU24" s="179"/>
      <c r="AV24" s="180"/>
      <c r="AW24" s="100"/>
      <c r="AX24" s="102" t="str">
        <f t="shared" si="23"/>
        <v>-</v>
      </c>
      <c r="AY24" s="151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51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24"/>
        <v/>
      </c>
      <c r="BH24" s="119" t="str">
        <f t="shared" si="7"/>
        <v/>
      </c>
      <c r="BI24" s="120" t="str">
        <f t="shared" si="25"/>
        <v/>
      </c>
      <c r="BJ24" s="151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51"/>
      <c r="BP24" s="124" t="str">
        <f t="shared" si="12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3"/>
        <v/>
      </c>
      <c r="BU24" s="151"/>
      <c r="BV24" s="132" t="str">
        <f t="shared" si="14"/>
        <v/>
      </c>
      <c r="BW24" s="127" t="str">
        <f t="shared" si="15"/>
        <v/>
      </c>
      <c r="BX24" s="127" t="str">
        <f t="shared" si="16"/>
        <v/>
      </c>
      <c r="BY24" s="127" t="str">
        <f t="shared" si="17"/>
        <v/>
      </c>
      <c r="BZ24" s="127" t="str">
        <f t="shared" si="28"/>
        <v/>
      </c>
      <c r="CA24" s="128" t="str">
        <f t="shared" si="29"/>
        <v/>
      </c>
      <c r="CB24" s="151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51"/>
    </row>
    <row r="25" spans="1:86" s="115" customFormat="1" ht="12.4" customHeight="1" thickBot="1" x14ac:dyDescent="0.25">
      <c r="A25" s="96">
        <f t="shared" si="30"/>
        <v>46317</v>
      </c>
      <c r="B25" s="97" t="str">
        <f t="shared" si="0"/>
        <v>Thu</v>
      </c>
      <c r="C25" s="98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178"/>
      <c r="AM25" s="178"/>
      <c r="AN25" s="178"/>
      <c r="AO25" s="178"/>
      <c r="AP25" s="178"/>
      <c r="AQ25" s="178"/>
      <c r="AR25" s="178"/>
      <c r="AS25" s="178"/>
      <c r="AT25" s="179"/>
      <c r="AU25" s="179"/>
      <c r="AV25" s="180"/>
      <c r="AW25" s="100"/>
      <c r="AX25" s="102" t="str">
        <f t="shared" si="23"/>
        <v>-</v>
      </c>
      <c r="AY25" s="151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51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4"/>
        <v/>
      </c>
      <c r="BH25" s="119" t="str">
        <f t="shared" si="7"/>
        <v/>
      </c>
      <c r="BI25" s="120" t="str">
        <f t="shared" si="25"/>
        <v/>
      </c>
      <c r="BJ25" s="151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51"/>
      <c r="BP25" s="124" t="str">
        <f t="shared" si="12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3"/>
        <v/>
      </c>
      <c r="BU25" s="151"/>
      <c r="BV25" s="132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8"/>
        <v/>
      </c>
      <c r="CA25" s="128" t="str">
        <f t="shared" si="29"/>
        <v/>
      </c>
      <c r="CB25" s="151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51"/>
    </row>
    <row r="26" spans="1:86" s="115" customFormat="1" ht="12.4" customHeight="1" thickBot="1" x14ac:dyDescent="0.25">
      <c r="A26" s="96">
        <f t="shared" si="30"/>
        <v>46318</v>
      </c>
      <c r="B26" s="97" t="str">
        <f>+TEXT(A26,"DDD")</f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178"/>
      <c r="AM26" s="178"/>
      <c r="AN26" s="178"/>
      <c r="AO26" s="178"/>
      <c r="AP26" s="178"/>
      <c r="AQ26" s="178"/>
      <c r="AR26" s="178"/>
      <c r="AS26" s="178"/>
      <c r="AT26" s="179"/>
      <c r="AU26" s="179"/>
      <c r="AV26" s="180"/>
      <c r="AW26" s="100"/>
      <c r="AX26" s="102" t="str">
        <f t="shared" si="23"/>
        <v>-</v>
      </c>
      <c r="AY26" s="151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51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4"/>
        <v/>
      </c>
      <c r="BH26" s="119" t="str">
        <f t="shared" si="7"/>
        <v/>
      </c>
      <c r="BI26" s="120" t="str">
        <f t="shared" si="25"/>
        <v/>
      </c>
      <c r="BJ26" s="151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51"/>
      <c r="BP26" s="124" t="str">
        <f t="shared" si="12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3"/>
        <v/>
      </c>
      <c r="BU26" s="151"/>
      <c r="BV26" s="132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8"/>
        <v/>
      </c>
      <c r="CA26" s="128" t="str">
        <f t="shared" si="29"/>
        <v/>
      </c>
      <c r="CB26" s="151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51"/>
    </row>
    <row r="27" spans="1:86" s="115" customFormat="1" ht="12.4" customHeight="1" thickBot="1" x14ac:dyDescent="0.25">
      <c r="A27" s="96">
        <f t="shared" si="30"/>
        <v>46319</v>
      </c>
      <c r="B27" s="97" t="str">
        <f t="shared" si="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178"/>
      <c r="AM27" s="178"/>
      <c r="AN27" s="178"/>
      <c r="AO27" s="178"/>
      <c r="AP27" s="178"/>
      <c r="AQ27" s="178"/>
      <c r="AR27" s="178"/>
      <c r="AS27" s="178"/>
      <c r="AT27" s="179"/>
      <c r="AU27" s="179"/>
      <c r="AV27" s="180"/>
      <c r="AW27" s="100"/>
      <c r="AX27" s="102" t="str">
        <f t="shared" si="23"/>
        <v>-</v>
      </c>
      <c r="AY27" s="151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51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4"/>
        <v/>
      </c>
      <c r="BH27" s="119" t="str">
        <f t="shared" si="7"/>
        <v/>
      </c>
      <c r="BI27" s="120" t="str">
        <f t="shared" si="25"/>
        <v/>
      </c>
      <c r="BJ27" s="151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51"/>
      <c r="BP27" s="124" t="str">
        <f t="shared" si="12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3"/>
        <v/>
      </c>
      <c r="BU27" s="151"/>
      <c r="BV27" s="132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8"/>
        <v/>
      </c>
      <c r="CA27" s="128" t="str">
        <f t="shared" si="29"/>
        <v/>
      </c>
      <c r="CB27" s="151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51"/>
    </row>
    <row r="28" spans="1:86" s="115" customFormat="1" ht="12.4" customHeight="1" thickBot="1" x14ac:dyDescent="0.25">
      <c r="A28" s="96">
        <f t="shared" si="30"/>
        <v>46320</v>
      </c>
      <c r="B28" s="97" t="str">
        <f t="shared" si="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178"/>
      <c r="AM28" s="178"/>
      <c r="AN28" s="178"/>
      <c r="AO28" s="178"/>
      <c r="AP28" s="178"/>
      <c r="AQ28" s="178"/>
      <c r="AR28" s="178"/>
      <c r="AS28" s="178"/>
      <c r="AT28" s="179"/>
      <c r="AU28" s="179"/>
      <c r="AV28" s="180"/>
      <c r="AW28" s="100"/>
      <c r="AX28" s="102" t="str">
        <f t="shared" si="23"/>
        <v>-</v>
      </c>
      <c r="AY28" s="151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51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4"/>
        <v/>
      </c>
      <c r="BH28" s="119" t="str">
        <f t="shared" si="7"/>
        <v/>
      </c>
      <c r="BI28" s="120" t="str">
        <f t="shared" si="25"/>
        <v/>
      </c>
      <c r="BJ28" s="151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51"/>
      <c r="BP28" s="124" t="str">
        <f t="shared" si="12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3"/>
        <v/>
      </c>
      <c r="BU28" s="151"/>
      <c r="BV28" s="132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8"/>
        <v/>
      </c>
      <c r="CA28" s="128" t="str">
        <f t="shared" si="29"/>
        <v/>
      </c>
      <c r="CB28" s="151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51"/>
    </row>
    <row r="29" spans="1:86" s="115" customFormat="1" ht="12.4" customHeight="1" thickBot="1" x14ac:dyDescent="0.25">
      <c r="A29" s="96">
        <f t="shared" si="30"/>
        <v>46321</v>
      </c>
      <c r="B29" s="97" t="str">
        <f t="shared" si="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178"/>
      <c r="AM29" s="178"/>
      <c r="AN29" s="178"/>
      <c r="AO29" s="178"/>
      <c r="AP29" s="178"/>
      <c r="AQ29" s="178"/>
      <c r="AR29" s="178"/>
      <c r="AS29" s="178"/>
      <c r="AT29" s="179"/>
      <c r="AU29" s="179"/>
      <c r="AV29" s="180"/>
      <c r="AW29" s="100"/>
      <c r="AX29" s="102"/>
      <c r="AY29" s="151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51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4"/>
        <v/>
      </c>
      <c r="BH29" s="119" t="str">
        <f t="shared" si="7"/>
        <v/>
      </c>
      <c r="BI29" s="120" t="str">
        <f t="shared" si="25"/>
        <v/>
      </c>
      <c r="BJ29" s="151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51"/>
      <c r="BP29" s="124" t="str">
        <f t="shared" si="12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3"/>
        <v/>
      </c>
      <c r="BU29" s="151"/>
      <c r="BV29" s="132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8"/>
        <v/>
      </c>
      <c r="CA29" s="128" t="str">
        <f t="shared" si="29"/>
        <v/>
      </c>
      <c r="CB29" s="151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51"/>
    </row>
    <row r="30" spans="1:86" s="115" customFormat="1" ht="12.4" customHeight="1" thickBot="1" x14ac:dyDescent="0.25">
      <c r="A30" s="96">
        <f t="shared" si="30"/>
        <v>46322</v>
      </c>
      <c r="B30" s="97" t="str">
        <f t="shared" si="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178"/>
      <c r="AM30" s="178"/>
      <c r="AN30" s="178"/>
      <c r="AO30" s="178"/>
      <c r="AP30" s="178"/>
      <c r="AQ30" s="178"/>
      <c r="AR30" s="178"/>
      <c r="AS30" s="178"/>
      <c r="AT30" s="179"/>
      <c r="AU30" s="179"/>
      <c r="AV30" s="180"/>
      <c r="AW30" s="100"/>
      <c r="AX30" s="102" t="str">
        <f t="shared" si="23"/>
        <v>-</v>
      </c>
      <c r="AY30" s="151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51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4"/>
        <v/>
      </c>
      <c r="BH30" s="119" t="str">
        <f t="shared" si="7"/>
        <v/>
      </c>
      <c r="BI30" s="120" t="str">
        <f t="shared" si="25"/>
        <v/>
      </c>
      <c r="BJ30" s="151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51"/>
      <c r="BP30" s="124" t="str">
        <f t="shared" si="12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3"/>
        <v/>
      </c>
      <c r="BU30" s="151"/>
      <c r="BV30" s="132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8"/>
        <v/>
      </c>
      <c r="CA30" s="128" t="str">
        <f t="shared" si="29"/>
        <v/>
      </c>
      <c r="CB30" s="151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51"/>
    </row>
    <row r="31" spans="1:86" s="115" customFormat="1" ht="12.4" customHeight="1" thickBot="1" x14ac:dyDescent="0.25">
      <c r="A31" s="96">
        <f t="shared" si="30"/>
        <v>46323</v>
      </c>
      <c r="B31" s="97" t="str">
        <f>+TEXT(A31,"DDD")</f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178"/>
      <c r="AM31" s="178"/>
      <c r="AN31" s="178"/>
      <c r="AO31" s="178"/>
      <c r="AP31" s="178"/>
      <c r="AQ31" s="178"/>
      <c r="AR31" s="178"/>
      <c r="AS31" s="178"/>
      <c r="AT31" s="179"/>
      <c r="AU31" s="179"/>
      <c r="AV31" s="180"/>
      <c r="AW31" s="100"/>
      <c r="AX31" s="102" t="str">
        <f t="shared" si="23"/>
        <v>-</v>
      </c>
      <c r="AY31" s="151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51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4"/>
        <v/>
      </c>
      <c r="BH31" s="119" t="str">
        <f t="shared" si="7"/>
        <v/>
      </c>
      <c r="BI31" s="120" t="str">
        <f t="shared" si="25"/>
        <v/>
      </c>
      <c r="BJ31" s="151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51"/>
      <c r="BP31" s="124" t="str">
        <f t="shared" si="12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3"/>
        <v/>
      </c>
      <c r="BU31" s="151"/>
      <c r="BV31" s="132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8"/>
        <v/>
      </c>
      <c r="CA31" s="128" t="str">
        <f t="shared" si="29"/>
        <v/>
      </c>
      <c r="CB31" s="151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51"/>
    </row>
    <row r="32" spans="1:86" s="115" customFormat="1" ht="12.4" customHeight="1" thickBot="1" x14ac:dyDescent="0.25">
      <c r="A32" s="96">
        <f t="shared" si="30"/>
        <v>46324</v>
      </c>
      <c r="B32" s="97" t="str">
        <f>+TEXT(A32,"DDD")</f>
        <v>Thu</v>
      </c>
      <c r="C32" s="98"/>
      <c r="D32" s="98"/>
      <c r="E32" s="103"/>
      <c r="F32" s="98"/>
      <c r="G32" s="98"/>
      <c r="H32" s="104"/>
      <c r="I32" s="104"/>
      <c r="J32" s="105"/>
      <c r="K32" s="106"/>
      <c r="L32" s="98"/>
      <c r="M32" s="98"/>
      <c r="N32" s="98"/>
      <c r="O32" s="98"/>
      <c r="P32" s="103"/>
      <c r="Q32" s="98"/>
      <c r="R32" s="98"/>
      <c r="S32" s="98"/>
      <c r="T32" s="98"/>
      <c r="U32" s="98"/>
      <c r="V32" s="103"/>
      <c r="W32" s="103"/>
      <c r="X32" s="98"/>
      <c r="Y32" s="98"/>
      <c r="Z32" s="98"/>
      <c r="AA32" s="98"/>
      <c r="AB32" s="98"/>
      <c r="AC32" s="98"/>
      <c r="AD32" s="98"/>
      <c r="AE32" s="98"/>
      <c r="AF32" s="103"/>
      <c r="AG32" s="103"/>
      <c r="AH32" s="98"/>
      <c r="AI32" s="107"/>
      <c r="AJ32" s="108"/>
      <c r="AK32" s="107"/>
      <c r="AL32" s="178"/>
      <c r="AM32" s="178"/>
      <c r="AN32" s="178"/>
      <c r="AO32" s="178"/>
      <c r="AP32" s="178"/>
      <c r="AQ32" s="178"/>
      <c r="AR32" s="178"/>
      <c r="AS32" s="178"/>
      <c r="AT32" s="179"/>
      <c r="AU32" s="179"/>
      <c r="AV32" s="180"/>
      <c r="AW32" s="100"/>
      <c r="AX32" s="102" t="str">
        <f>IFERROR(AN32/AW32,"-")</f>
        <v>-</v>
      </c>
      <c r="AY32" s="151"/>
      <c r="AZ32" s="116" t="str">
        <f t="shared" si="1"/>
        <v/>
      </c>
      <c r="BA32" s="117" t="str">
        <f t="shared" si="2"/>
        <v/>
      </c>
      <c r="BB32" s="116" t="str">
        <f t="shared" si="3"/>
        <v/>
      </c>
      <c r="BC32" s="151"/>
      <c r="BD32" s="118" t="str">
        <f t="shared" si="4"/>
        <v/>
      </c>
      <c r="BE32" s="119" t="str">
        <f t="shared" si="5"/>
        <v/>
      </c>
      <c r="BF32" s="119" t="str">
        <f t="shared" si="6"/>
        <v/>
      </c>
      <c r="BG32" s="119" t="str">
        <f>+IF(SUM(AO32:AR32)&gt;0,AO32/AN32,"")</f>
        <v/>
      </c>
      <c r="BH32" s="119" t="str">
        <f t="shared" si="7"/>
        <v/>
      </c>
      <c r="BI32" s="120" t="str">
        <f>+IF(SUM(AO32:AR32)&gt;0,AQ32/AN32,"")</f>
        <v/>
      </c>
      <c r="BJ32" s="151"/>
      <c r="BK32" s="121" t="str">
        <f t="shared" si="8"/>
        <v/>
      </c>
      <c r="BL32" s="122" t="str">
        <f t="shared" si="9"/>
        <v/>
      </c>
      <c r="BM32" s="122" t="str">
        <f t="shared" si="10"/>
        <v/>
      </c>
      <c r="BN32" s="123" t="str">
        <f t="shared" si="11"/>
        <v/>
      </c>
      <c r="BO32" s="151"/>
      <c r="BP32" s="124" t="str">
        <f t="shared" si="12"/>
        <v/>
      </c>
      <c r="BQ32" s="125">
        <v>0</v>
      </c>
      <c r="BR32" s="125" t="str">
        <f>IF(AJ32&gt;0,(AK32/AJ32),"")</f>
        <v/>
      </c>
      <c r="BS32" s="125" t="str">
        <f>IF(AJ32&gt;0,(AK32/AJ32),"")</f>
        <v/>
      </c>
      <c r="BT32" s="126" t="str">
        <f t="shared" si="13"/>
        <v/>
      </c>
      <c r="BU32" s="151"/>
      <c r="BV32" s="132" t="str">
        <f t="shared" si="14"/>
        <v/>
      </c>
      <c r="BW32" s="127" t="str">
        <f t="shared" si="15"/>
        <v/>
      </c>
      <c r="BX32" s="127" t="str">
        <f t="shared" si="16"/>
        <v/>
      </c>
      <c r="BY32" s="127" t="str">
        <f t="shared" si="17"/>
        <v/>
      </c>
      <c r="BZ32" s="127" t="str">
        <f>IF(AN32&gt;0,(AJ32/AN32),"")</f>
        <v/>
      </c>
      <c r="CA32" s="128" t="str">
        <f>IF(AN32&gt;0,(AK32/AN32),"")</f>
        <v/>
      </c>
      <c r="CB32" s="151"/>
      <c r="CC32" s="129" t="str">
        <f t="shared" si="18"/>
        <v>-</v>
      </c>
      <c r="CD32" s="130" t="str">
        <f t="shared" si="19"/>
        <v>-</v>
      </c>
      <c r="CE32" s="130" t="str">
        <f t="shared" si="20"/>
        <v>-</v>
      </c>
      <c r="CF32" s="130" t="str">
        <f t="shared" si="21"/>
        <v>-</v>
      </c>
      <c r="CG32" s="131" t="str">
        <f t="shared" si="22"/>
        <v>-</v>
      </c>
      <c r="CH32" s="151"/>
    </row>
    <row r="33" spans="1:86" s="115" customFormat="1" ht="12.4" customHeight="1" thickBot="1" x14ac:dyDescent="0.25">
      <c r="A33" s="96">
        <f t="shared" si="30"/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178"/>
      <c r="AM33" s="178"/>
      <c r="AN33" s="178"/>
      <c r="AO33" s="178"/>
      <c r="AP33" s="178"/>
      <c r="AQ33" s="178"/>
      <c r="AR33" s="178"/>
      <c r="AS33" s="178"/>
      <c r="AT33" s="179"/>
      <c r="AU33" s="179"/>
      <c r="AV33" s="180"/>
      <c r="AW33" s="100"/>
      <c r="AX33" s="102" t="str">
        <f>IFERROR(AN33/AW33,"-")</f>
        <v>-</v>
      </c>
      <c r="AY33" s="151"/>
      <c r="AZ33" s="116" t="str">
        <f t="shared" si="1"/>
        <v/>
      </c>
      <c r="BA33" s="117" t="str">
        <f t="shared" si="2"/>
        <v/>
      </c>
      <c r="BB33" s="116" t="str">
        <f t="shared" si="3"/>
        <v/>
      </c>
      <c r="BC33" s="151"/>
      <c r="BD33" s="118" t="str">
        <f t="shared" si="4"/>
        <v/>
      </c>
      <c r="BE33" s="119" t="str">
        <f t="shared" si="5"/>
        <v/>
      </c>
      <c r="BF33" s="119" t="str">
        <f t="shared" si="6"/>
        <v/>
      </c>
      <c r="BG33" s="119" t="str">
        <f>+IF(SUM(AO33:AR33)&gt;0,AO33/AN33,"")</f>
        <v/>
      </c>
      <c r="BH33" s="119" t="str">
        <f t="shared" si="7"/>
        <v/>
      </c>
      <c r="BI33" s="120" t="str">
        <f>+IF(SUM(AO33:AR33)&gt;0,AQ33/AN33,"")</f>
        <v/>
      </c>
      <c r="BJ33" s="151"/>
      <c r="BK33" s="121" t="str">
        <f t="shared" si="8"/>
        <v/>
      </c>
      <c r="BL33" s="122" t="str">
        <f t="shared" si="9"/>
        <v/>
      </c>
      <c r="BM33" s="122" t="str">
        <f t="shared" si="10"/>
        <v/>
      </c>
      <c r="BN33" s="123" t="str">
        <f t="shared" si="11"/>
        <v/>
      </c>
      <c r="BO33" s="151"/>
      <c r="BP33" s="124" t="str">
        <f t="shared" si="12"/>
        <v/>
      </c>
      <c r="BQ33" s="125">
        <v>0</v>
      </c>
      <c r="BR33" s="125" t="str">
        <f>IF(AJ33&gt;0,(AK33/AJ33),"")</f>
        <v/>
      </c>
      <c r="BS33" s="125" t="str">
        <f>IF(AJ33&gt;0,(AK33/AJ33),"")</f>
        <v/>
      </c>
      <c r="BT33" s="126" t="str">
        <f t="shared" si="13"/>
        <v/>
      </c>
      <c r="BU33" s="151"/>
      <c r="BV33" s="132" t="str">
        <f t="shared" si="14"/>
        <v/>
      </c>
      <c r="BW33" s="127" t="str">
        <f t="shared" si="15"/>
        <v/>
      </c>
      <c r="BX33" s="127" t="str">
        <f t="shared" si="16"/>
        <v/>
      </c>
      <c r="BY33" s="127" t="str">
        <f t="shared" si="17"/>
        <v/>
      </c>
      <c r="BZ33" s="127" t="str">
        <f>IF(AN33&gt;0,(AJ33/AN33),"")</f>
        <v/>
      </c>
      <c r="CA33" s="128" t="str">
        <f>IF(AN33&gt;0,(AK33/AN33),"")</f>
        <v/>
      </c>
      <c r="CB33" s="151"/>
      <c r="CC33" s="129" t="str">
        <f t="shared" si="18"/>
        <v>-</v>
      </c>
      <c r="CD33" s="130" t="str">
        <f t="shared" si="19"/>
        <v>-</v>
      </c>
      <c r="CE33" s="130" t="str">
        <f t="shared" si="20"/>
        <v>-</v>
      </c>
      <c r="CF33" s="130" t="str">
        <f t="shared" si="21"/>
        <v>-</v>
      </c>
      <c r="CG33" s="131" t="str">
        <f t="shared" si="22"/>
        <v>-</v>
      </c>
      <c r="CH33" s="151"/>
    </row>
    <row r="34" spans="1:86" s="115" customFormat="1" ht="12.4" customHeight="1" thickBot="1" x14ac:dyDescent="0.25">
      <c r="A34" s="96">
        <f t="shared" si="30"/>
        <v>46326</v>
      </c>
      <c r="B34" s="97" t="str">
        <f>+TEXT(A34,"DDD")</f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178"/>
      <c r="AM34" s="178"/>
      <c r="AN34" s="178"/>
      <c r="AO34" s="178"/>
      <c r="AP34" s="178"/>
      <c r="AQ34" s="178"/>
      <c r="AR34" s="178"/>
      <c r="AS34" s="178"/>
      <c r="AT34" s="179"/>
      <c r="AU34" s="179"/>
      <c r="AV34" s="180"/>
      <c r="AW34" s="100"/>
      <c r="AX34" s="102" t="str">
        <f>IFERROR(AN34/AW34,"-")</f>
        <v>-</v>
      </c>
      <c r="AY34" s="151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51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>+IF(SUM(AO34:AR34)&gt;0,AO34/AN34,"")</f>
        <v/>
      </c>
      <c r="BH34" s="119" t="str">
        <f t="shared" si="7"/>
        <v/>
      </c>
      <c r="BI34" s="120" t="str">
        <f>+IF(SUM(AO34:AR34)&gt;0,AQ34/AN34,"")</f>
        <v/>
      </c>
      <c r="BJ34" s="151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51"/>
      <c r="BP34" s="124" t="str">
        <f t="shared" si="12"/>
        <v/>
      </c>
      <c r="BQ34" s="125">
        <v>0</v>
      </c>
      <c r="BR34" s="125" t="str">
        <f>IF(AJ34&gt;0,(AK34/AJ34),"")</f>
        <v/>
      </c>
      <c r="BS34" s="125" t="str">
        <f>IF(AJ34&gt;0,(AK34/AJ34),"")</f>
        <v/>
      </c>
      <c r="BT34" s="126" t="str">
        <f t="shared" si="13"/>
        <v/>
      </c>
      <c r="BU34" s="151"/>
      <c r="BV34" s="132" t="str">
        <f t="shared" si="14"/>
        <v/>
      </c>
      <c r="BW34" s="127" t="str">
        <f t="shared" si="15"/>
        <v/>
      </c>
      <c r="BX34" s="127" t="str">
        <f t="shared" si="16"/>
        <v/>
      </c>
      <c r="BY34" s="127" t="str">
        <f t="shared" si="17"/>
        <v/>
      </c>
      <c r="BZ34" s="127" t="str">
        <f>IF(AN34&gt;0,(AJ34/AN34),"")</f>
        <v/>
      </c>
      <c r="CA34" s="128" t="str">
        <f>IF(AN34&gt;0,(AK34/AN34),"")</f>
        <v/>
      </c>
      <c r="CB34" s="151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51"/>
    </row>
    <row r="35" spans="1:86" s="115" customFormat="1" ht="13.15" customHeight="1" thickBot="1" x14ac:dyDescent="0.25">
      <c r="A35" s="235" t="s">
        <v>68</v>
      </c>
      <c r="B35" s="236"/>
      <c r="C35" s="109" t="e">
        <f>AVERAGE(C4:C34)</f>
        <v>#DIV/0!</v>
      </c>
      <c r="D35" s="109" t="e">
        <f t="shared" ref="D35:AW35" si="31">AVERAGE(D4:D34)</f>
        <v>#DIV/0!</v>
      </c>
      <c r="E35" s="109" t="e">
        <f t="shared" si="31"/>
        <v>#DIV/0!</v>
      </c>
      <c r="F35" s="109" t="e">
        <f t="shared" si="31"/>
        <v>#DIV/0!</v>
      </c>
      <c r="G35" s="109" t="e">
        <f t="shared" si="31"/>
        <v>#DIV/0!</v>
      </c>
      <c r="H35" s="109" t="e">
        <f t="shared" si="31"/>
        <v>#DIV/0!</v>
      </c>
      <c r="I35" s="109" t="e">
        <f t="shared" si="31"/>
        <v>#DIV/0!</v>
      </c>
      <c r="J35" s="109" t="e">
        <f t="shared" si="31"/>
        <v>#DIV/0!</v>
      </c>
      <c r="K35" s="109" t="e">
        <f t="shared" si="31"/>
        <v>#DIV/0!</v>
      </c>
      <c r="L35" s="109" t="e">
        <f t="shared" si="31"/>
        <v>#DIV/0!</v>
      </c>
      <c r="M35" s="109" t="e">
        <f t="shared" si="31"/>
        <v>#DIV/0!</v>
      </c>
      <c r="N35" s="109" t="e">
        <f t="shared" si="31"/>
        <v>#DIV/0!</v>
      </c>
      <c r="O35" s="109" t="e">
        <f t="shared" si="31"/>
        <v>#DIV/0!</v>
      </c>
      <c r="P35" s="109" t="e">
        <f t="shared" si="31"/>
        <v>#DIV/0!</v>
      </c>
      <c r="Q35" s="109" t="e">
        <f t="shared" si="31"/>
        <v>#DIV/0!</v>
      </c>
      <c r="R35" s="109" t="e">
        <f t="shared" si="31"/>
        <v>#DIV/0!</v>
      </c>
      <c r="S35" s="109" t="e">
        <f t="shared" si="31"/>
        <v>#DIV/0!</v>
      </c>
      <c r="T35" s="109" t="e">
        <f t="shared" si="31"/>
        <v>#DIV/0!</v>
      </c>
      <c r="U35" s="109" t="e">
        <f t="shared" si="31"/>
        <v>#DIV/0!</v>
      </c>
      <c r="V35" s="109" t="e">
        <f t="shared" si="31"/>
        <v>#DIV/0!</v>
      </c>
      <c r="W35" s="109" t="e">
        <f t="shared" si="31"/>
        <v>#DIV/0!</v>
      </c>
      <c r="X35" s="109" t="e">
        <f t="shared" si="31"/>
        <v>#DIV/0!</v>
      </c>
      <c r="Y35" s="109" t="e">
        <f t="shared" si="31"/>
        <v>#DIV/0!</v>
      </c>
      <c r="Z35" s="109" t="e">
        <f t="shared" si="31"/>
        <v>#DIV/0!</v>
      </c>
      <c r="AA35" s="109" t="e">
        <f t="shared" si="31"/>
        <v>#DIV/0!</v>
      </c>
      <c r="AB35" s="109" t="e">
        <f t="shared" si="31"/>
        <v>#DIV/0!</v>
      </c>
      <c r="AC35" s="109" t="e">
        <f t="shared" si="31"/>
        <v>#DIV/0!</v>
      </c>
      <c r="AD35" s="109" t="e">
        <f t="shared" si="31"/>
        <v>#DIV/0!</v>
      </c>
      <c r="AE35" s="109" t="e">
        <f t="shared" si="31"/>
        <v>#DIV/0!</v>
      </c>
      <c r="AF35" s="109" t="e">
        <f t="shared" si="31"/>
        <v>#DIV/0!</v>
      </c>
      <c r="AG35" s="109" t="e">
        <f t="shared" si="31"/>
        <v>#DIV/0!</v>
      </c>
      <c r="AH35" s="109" t="e">
        <f t="shared" si="31"/>
        <v>#DIV/0!</v>
      </c>
      <c r="AI35" s="109" t="e">
        <f t="shared" si="31"/>
        <v>#DIV/0!</v>
      </c>
      <c r="AJ35" s="109" t="e">
        <f t="shared" si="31"/>
        <v>#DIV/0!</v>
      </c>
      <c r="AK35" s="109" t="e">
        <f t="shared" si="31"/>
        <v>#DIV/0!</v>
      </c>
      <c r="AL35" s="109" t="e">
        <f t="shared" si="31"/>
        <v>#DIV/0!</v>
      </c>
      <c r="AM35" s="109" t="e">
        <f t="shared" si="31"/>
        <v>#DIV/0!</v>
      </c>
      <c r="AN35" s="109" t="e">
        <f t="shared" si="31"/>
        <v>#DIV/0!</v>
      </c>
      <c r="AO35" s="109" t="e">
        <f t="shared" si="31"/>
        <v>#DIV/0!</v>
      </c>
      <c r="AP35" s="109" t="e">
        <f t="shared" si="31"/>
        <v>#DIV/0!</v>
      </c>
      <c r="AQ35" s="109" t="e">
        <f t="shared" si="31"/>
        <v>#DIV/0!</v>
      </c>
      <c r="AR35" s="109" t="e">
        <f t="shared" si="31"/>
        <v>#DIV/0!</v>
      </c>
      <c r="AS35" s="109" t="e">
        <f t="shared" si="31"/>
        <v>#DIV/0!</v>
      </c>
      <c r="AT35" s="109" t="e">
        <f t="shared" si="31"/>
        <v>#DIV/0!</v>
      </c>
      <c r="AU35" s="109" t="e">
        <f t="shared" si="31"/>
        <v>#DIV/0!</v>
      </c>
      <c r="AV35" s="109" t="e">
        <f t="shared" si="31"/>
        <v>#DIV/0!</v>
      </c>
      <c r="AW35" s="109" t="e">
        <f t="shared" si="31"/>
        <v>#DIV/0!</v>
      </c>
      <c r="AX35" s="110" t="str">
        <f t="shared" si="23"/>
        <v>-</v>
      </c>
      <c r="AY35" s="151"/>
      <c r="AZ35" s="133" t="e">
        <f t="shared" si="1"/>
        <v>#DIV/0!</v>
      </c>
      <c r="BA35" s="134" t="e">
        <f t="shared" si="2"/>
        <v>#DIV/0!</v>
      </c>
      <c r="BB35" s="135" t="e">
        <f t="shared" si="3"/>
        <v>#DIV/0!</v>
      </c>
      <c r="BC35" s="151"/>
      <c r="BD35" s="133" t="e">
        <f t="shared" si="4"/>
        <v>#DIV/0!</v>
      </c>
      <c r="BE35" s="136" t="e">
        <f t="shared" si="5"/>
        <v>#DIV/0!</v>
      </c>
      <c r="BF35" s="136" t="e">
        <f t="shared" si="6"/>
        <v>#DIV/0!</v>
      </c>
      <c r="BG35" s="136" t="e">
        <f t="shared" si="24"/>
        <v>#DIV/0!</v>
      </c>
      <c r="BH35" s="136" t="e">
        <f t="shared" si="7"/>
        <v>#DIV/0!</v>
      </c>
      <c r="BI35" s="135" t="e">
        <f t="shared" si="25"/>
        <v>#DIV/0!</v>
      </c>
      <c r="BJ35" s="151"/>
      <c r="BK35" s="133" t="e">
        <f t="shared" si="8"/>
        <v>#DIV/0!</v>
      </c>
      <c r="BL35" s="136" t="e">
        <f t="shared" si="9"/>
        <v>#DIV/0!</v>
      </c>
      <c r="BM35" s="136" t="e">
        <f t="shared" si="10"/>
        <v>#DIV/0!</v>
      </c>
      <c r="BN35" s="135" t="e">
        <f t="shared" si="11"/>
        <v>#DIV/0!</v>
      </c>
      <c r="BO35" s="151"/>
      <c r="BP35" s="133" t="e">
        <f t="shared" si="12"/>
        <v>#DIV/0!</v>
      </c>
      <c r="BQ35" s="136">
        <v>0</v>
      </c>
      <c r="BR35" s="136" t="e">
        <f t="shared" si="26"/>
        <v>#DIV/0!</v>
      </c>
      <c r="BS35" s="136" t="e">
        <f t="shared" si="27"/>
        <v>#DIV/0!</v>
      </c>
      <c r="BT35" s="135" t="e">
        <f t="shared" si="13"/>
        <v>#DIV/0!</v>
      </c>
      <c r="BU35" s="151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8"/>
        <v>#DIV/0!</v>
      </c>
      <c r="CA35" s="139" t="e">
        <f t="shared" si="29"/>
        <v>#DIV/0!</v>
      </c>
      <c r="CB35" s="151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51"/>
    </row>
    <row r="36" spans="1:86" s="115" customFormat="1" ht="13.15" customHeight="1" thickBot="1" x14ac:dyDescent="0.25">
      <c r="A36" s="235" t="s">
        <v>69</v>
      </c>
      <c r="B36" s="236"/>
      <c r="C36" s="111">
        <f>SUM(C4:C34)</f>
        <v>0</v>
      </c>
      <c r="D36" s="111">
        <f t="shared" ref="D36:T36" si="32">SUM(D4:D34)</f>
        <v>0</v>
      </c>
      <c r="E36" s="111">
        <f t="shared" si="32"/>
        <v>0</v>
      </c>
      <c r="F36" s="111">
        <f t="shared" si="32"/>
        <v>0</v>
      </c>
      <c r="G36" s="111">
        <f t="shared" si="32"/>
        <v>0</v>
      </c>
      <c r="H36" s="111">
        <f t="shared" si="32"/>
        <v>0</v>
      </c>
      <c r="I36" s="111">
        <f t="shared" si="32"/>
        <v>0</v>
      </c>
      <c r="J36" s="111">
        <f t="shared" si="32"/>
        <v>0</v>
      </c>
      <c r="K36" s="111">
        <f t="shared" si="32"/>
        <v>0</v>
      </c>
      <c r="L36" s="111">
        <f t="shared" si="32"/>
        <v>0</v>
      </c>
      <c r="M36" s="111">
        <f t="shared" si="32"/>
        <v>0</v>
      </c>
      <c r="N36" s="111">
        <f t="shared" si="32"/>
        <v>0</v>
      </c>
      <c r="O36" s="111">
        <f t="shared" si="32"/>
        <v>0</v>
      </c>
      <c r="P36" s="111">
        <f t="shared" si="32"/>
        <v>0</v>
      </c>
      <c r="Q36" s="111">
        <f t="shared" si="32"/>
        <v>0</v>
      </c>
      <c r="R36" s="111">
        <f t="shared" si="32"/>
        <v>0</v>
      </c>
      <c r="S36" s="111">
        <f t="shared" si="32"/>
        <v>0</v>
      </c>
      <c r="T36" s="111">
        <f t="shared" si="32"/>
        <v>0</v>
      </c>
      <c r="U36" s="111">
        <f>SUM(U4:U34)</f>
        <v>0</v>
      </c>
      <c r="V36" s="111">
        <f t="shared" ref="V36:AW36" si="33">SUM(V4:V34)</f>
        <v>0</v>
      </c>
      <c r="W36" s="111">
        <f t="shared" si="33"/>
        <v>0</v>
      </c>
      <c r="X36" s="111">
        <f t="shared" si="33"/>
        <v>0</v>
      </c>
      <c r="Y36" s="111">
        <f t="shared" si="33"/>
        <v>0</v>
      </c>
      <c r="Z36" s="111">
        <f t="shared" si="33"/>
        <v>0</v>
      </c>
      <c r="AA36" s="111">
        <f t="shared" si="33"/>
        <v>0</v>
      </c>
      <c r="AB36" s="111">
        <f t="shared" si="33"/>
        <v>0</v>
      </c>
      <c r="AC36" s="111">
        <f t="shared" si="33"/>
        <v>0</v>
      </c>
      <c r="AD36" s="111">
        <f t="shared" si="33"/>
        <v>0</v>
      </c>
      <c r="AE36" s="111">
        <f t="shared" si="33"/>
        <v>0</v>
      </c>
      <c r="AF36" s="111">
        <f t="shared" si="33"/>
        <v>0</v>
      </c>
      <c r="AG36" s="111">
        <f t="shared" si="33"/>
        <v>0</v>
      </c>
      <c r="AH36" s="111">
        <f t="shared" si="33"/>
        <v>0</v>
      </c>
      <c r="AI36" s="111">
        <f t="shared" si="33"/>
        <v>0</v>
      </c>
      <c r="AJ36" s="111">
        <f t="shared" si="33"/>
        <v>0</v>
      </c>
      <c r="AK36" s="111">
        <f t="shared" si="33"/>
        <v>0</v>
      </c>
      <c r="AL36" s="111">
        <f t="shared" si="33"/>
        <v>0</v>
      </c>
      <c r="AM36" s="111">
        <f t="shared" si="33"/>
        <v>0</v>
      </c>
      <c r="AN36" s="111">
        <f t="shared" si="33"/>
        <v>0</v>
      </c>
      <c r="AO36" s="111">
        <f t="shared" si="33"/>
        <v>0</v>
      </c>
      <c r="AP36" s="111">
        <f t="shared" si="33"/>
        <v>0</v>
      </c>
      <c r="AQ36" s="111">
        <f t="shared" si="33"/>
        <v>0</v>
      </c>
      <c r="AR36" s="111">
        <f t="shared" si="33"/>
        <v>0</v>
      </c>
      <c r="AS36" s="111">
        <f t="shared" si="33"/>
        <v>0</v>
      </c>
      <c r="AT36" s="111">
        <f t="shared" si="33"/>
        <v>0</v>
      </c>
      <c r="AU36" s="111">
        <f t="shared" si="33"/>
        <v>0</v>
      </c>
      <c r="AV36" s="111">
        <f t="shared" si="33"/>
        <v>0</v>
      </c>
      <c r="AW36" s="111">
        <f t="shared" si="33"/>
        <v>0</v>
      </c>
      <c r="AX36" s="112" t="str">
        <f t="shared" si="23"/>
        <v>-</v>
      </c>
      <c r="AY36" s="156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56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 t="shared" si="24"/>
        <v/>
      </c>
      <c r="BH36" s="144" t="str">
        <f t="shared" si="7"/>
        <v/>
      </c>
      <c r="BI36" s="143" t="str">
        <f t="shared" si="25"/>
        <v/>
      </c>
      <c r="BJ36" s="156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56"/>
      <c r="BP36" s="141" t="str">
        <f t="shared" si="12"/>
        <v/>
      </c>
      <c r="BQ36" s="144">
        <v>0</v>
      </c>
      <c r="BR36" s="144" t="str">
        <f t="shared" si="26"/>
        <v/>
      </c>
      <c r="BS36" s="144" t="str">
        <f t="shared" si="27"/>
        <v/>
      </c>
      <c r="BT36" s="143" t="str">
        <f t="shared" si="13"/>
        <v/>
      </c>
      <c r="BU36" s="156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8"/>
        <v/>
      </c>
      <c r="CA36" s="147" t="str">
        <f t="shared" si="29"/>
        <v/>
      </c>
      <c r="CB36" s="156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56"/>
    </row>
    <row r="37" spans="1:86" x14ac:dyDescent="0.2"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</sheetData>
  <mergeCells count="88">
    <mergeCell ref="AZ1:BB1"/>
    <mergeCell ref="BD1:BI1"/>
    <mergeCell ref="BK1:BN1"/>
    <mergeCell ref="BP1:BT1"/>
    <mergeCell ref="CC1:CG1"/>
    <mergeCell ref="BV1:CA1"/>
    <mergeCell ref="CG2:CG3"/>
    <mergeCell ref="A35:B35"/>
    <mergeCell ref="A36:B36"/>
    <mergeCell ref="CA2:CA3"/>
    <mergeCell ref="CC2:CC3"/>
    <mergeCell ref="CD2:CD3"/>
    <mergeCell ref="CE2:CE3"/>
    <mergeCell ref="CF2:CF3"/>
    <mergeCell ref="BT2:BT3"/>
    <mergeCell ref="BV2:BV3"/>
    <mergeCell ref="BW2:BW3"/>
    <mergeCell ref="BX2:BX3"/>
    <mergeCell ref="BY2:BY3"/>
    <mergeCell ref="BZ2:BZ3"/>
    <mergeCell ref="BM2:BM3"/>
    <mergeCell ref="BN2:BN3"/>
    <mergeCell ref="BP2:BP3"/>
    <mergeCell ref="BR2:BR3"/>
    <mergeCell ref="BS2:BS3"/>
    <mergeCell ref="BG2:BG3"/>
    <mergeCell ref="BH2:BH3"/>
    <mergeCell ref="BI2:BI3"/>
    <mergeCell ref="BK2:BK3"/>
    <mergeCell ref="BL2:BL3"/>
    <mergeCell ref="BQ2:BQ3"/>
    <mergeCell ref="BA2:BA3"/>
    <mergeCell ref="BB2:BB3"/>
    <mergeCell ref="BD2:BD3"/>
    <mergeCell ref="BE2:BE3"/>
    <mergeCell ref="BF2:BF3"/>
    <mergeCell ref="AU2:AU3"/>
    <mergeCell ref="AV2:AV3"/>
    <mergeCell ref="AW2:AW3"/>
    <mergeCell ref="AX2:AX3"/>
    <mergeCell ref="AZ2:AZ3"/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H2:AH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E2:E3"/>
    <mergeCell ref="V2:V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B1"/>
    <mergeCell ref="A2:A3"/>
    <mergeCell ref="B2:B3"/>
    <mergeCell ref="C2:C3"/>
    <mergeCell ref="D2:D3"/>
    <mergeCell ref="W2:W3"/>
    <mergeCell ref="X2:X3"/>
    <mergeCell ref="F2:F3"/>
    <mergeCell ref="G2:G3"/>
    <mergeCell ref="H2:H3"/>
    <mergeCell ref="I2:I3"/>
    <mergeCell ref="U2:U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CY37"/>
  <sheetViews>
    <sheetView showGridLines="0" zoomScaleNormal="100" workbookViewId="0">
      <selection sqref="A1:B1"/>
    </sheetView>
  </sheetViews>
  <sheetFormatPr defaultColWidth="0" defaultRowHeight="11.25" x14ac:dyDescent="0.2"/>
  <cols>
    <col min="1" max="1" width="9.42578125" style="36" bestFit="1" customWidth="1"/>
    <col min="2" max="2" width="4.5703125" style="36" customWidth="1"/>
    <col min="3" max="3" width="15.42578125" style="36" bestFit="1" customWidth="1"/>
    <col min="4" max="4" width="18.7109375" style="36" bestFit="1" customWidth="1"/>
    <col min="5" max="5" width="19.85546875" style="36" bestFit="1" customWidth="1"/>
    <col min="6" max="6" width="15.85546875" style="36" bestFit="1" customWidth="1"/>
    <col min="7" max="7" width="5.5703125" style="36" bestFit="1" customWidth="1"/>
    <col min="8" max="8" width="18.42578125" style="36" bestFit="1" customWidth="1"/>
    <col min="9" max="9" width="8.85546875" style="36" bestFit="1" customWidth="1"/>
    <col min="10" max="10" width="9.42578125" style="36" customWidth="1"/>
    <col min="11" max="11" width="10.85546875" style="36" bestFit="1" customWidth="1"/>
    <col min="12" max="12" width="7.140625" style="36" bestFit="1" customWidth="1"/>
    <col min="13" max="13" width="5.85546875" style="36" bestFit="1" customWidth="1"/>
    <col min="14" max="14" width="4.42578125" style="36" bestFit="1" customWidth="1"/>
    <col min="15" max="15" width="4.7109375" style="36" bestFit="1" customWidth="1"/>
    <col min="16" max="16" width="4.5703125" style="36" bestFit="1" customWidth="1"/>
    <col min="17" max="17" width="5.42578125" style="36" bestFit="1" customWidth="1"/>
    <col min="18" max="18" width="4" style="36" bestFit="1" customWidth="1"/>
    <col min="19" max="19" width="4.42578125" style="36" bestFit="1" customWidth="1"/>
    <col min="20" max="20" width="3.5703125" style="36" bestFit="1" customWidth="1"/>
    <col min="21" max="21" width="5.85546875" style="36" bestFit="1" customWidth="1"/>
    <col min="22" max="23" width="3.28515625" style="36" bestFit="1" customWidth="1"/>
    <col min="24" max="24" width="5" style="36" bestFit="1" customWidth="1"/>
    <col min="25" max="25" width="3.85546875" style="36" bestFit="1" customWidth="1"/>
    <col min="26" max="26" width="3.42578125" style="36" bestFit="1" customWidth="1"/>
    <col min="27" max="27" width="5.5703125" style="36" bestFit="1" customWidth="1"/>
    <col min="28" max="28" width="5.7109375" style="36" customWidth="1"/>
    <col min="29" max="29" width="4" style="36" bestFit="1" customWidth="1"/>
    <col min="30" max="30" width="3.140625" style="36" bestFit="1" customWidth="1"/>
    <col min="31" max="31" width="5.42578125" style="36" bestFit="1" customWidth="1"/>
    <col min="32" max="34" width="4.42578125" style="36" bestFit="1" customWidth="1"/>
    <col min="35" max="35" width="13.140625" style="36" bestFit="1" customWidth="1"/>
    <col min="36" max="36" width="15.5703125" style="36" bestFit="1" customWidth="1"/>
    <col min="37" max="37" width="16.140625" style="36" bestFit="1" customWidth="1"/>
    <col min="38" max="38" width="15.28515625" style="36" bestFit="1" customWidth="1"/>
    <col min="39" max="39" width="15.7109375" style="36" bestFit="1" customWidth="1"/>
    <col min="40" max="40" width="16.140625" style="36" bestFit="1" customWidth="1"/>
    <col min="41" max="41" width="9.85546875" style="36" bestFit="1" customWidth="1"/>
    <col min="42" max="42" width="13.7109375" style="36" bestFit="1" customWidth="1"/>
    <col min="43" max="43" width="11" style="36" bestFit="1" customWidth="1"/>
    <col min="44" max="44" width="10.140625" style="36" bestFit="1" customWidth="1"/>
    <col min="45" max="45" width="12.42578125" style="38" bestFit="1" customWidth="1"/>
    <col min="46" max="46" width="12.140625" style="36" bestFit="1" customWidth="1"/>
    <col min="47" max="47" width="10.7109375" style="36" customWidth="1"/>
    <col min="48" max="48" width="16.140625" style="36" bestFit="1" customWidth="1"/>
    <col min="49" max="50" width="16" style="36" bestFit="1" customWidth="1"/>
    <col min="51" max="51" width="2.42578125" style="36" customWidth="1"/>
    <col min="52" max="52" width="16.28515625" style="36" bestFit="1" customWidth="1"/>
    <col min="53" max="53" width="11.85546875" style="36" bestFit="1" customWidth="1"/>
    <col min="54" max="54" width="12.7109375" style="36" bestFit="1" customWidth="1"/>
    <col min="55" max="55" width="1.5703125" style="36" customWidth="1"/>
    <col min="56" max="56" width="12.5703125" style="36" bestFit="1" customWidth="1"/>
    <col min="57" max="57" width="13.28515625" style="36" bestFit="1" customWidth="1"/>
    <col min="58" max="58" width="20.28515625" style="36" bestFit="1" customWidth="1"/>
    <col min="59" max="59" width="9.42578125" style="36" bestFit="1" customWidth="1"/>
    <col min="60" max="60" width="14.7109375" style="36" bestFit="1" customWidth="1"/>
    <col min="61" max="61" width="10.5703125" style="36" bestFit="1" customWidth="1"/>
    <col min="62" max="62" width="2.140625" style="36" customWidth="1"/>
    <col min="63" max="63" width="20.140625" style="36" bestFit="1" customWidth="1"/>
    <col min="64" max="64" width="25.28515625" style="36" bestFit="1" customWidth="1"/>
    <col min="65" max="65" width="14" style="36" bestFit="1" customWidth="1"/>
    <col min="66" max="66" width="18" style="36" bestFit="1" customWidth="1"/>
    <col min="67" max="67" width="1.85546875" style="36" customWidth="1"/>
    <col min="68" max="68" width="9.140625" style="36" bestFit="1" customWidth="1"/>
    <col min="69" max="69" width="12.85546875" style="36" bestFit="1" customWidth="1"/>
    <col min="70" max="70" width="14" style="36" bestFit="1" customWidth="1"/>
    <col min="71" max="71" width="13.7109375" style="36" bestFit="1" customWidth="1"/>
    <col min="72" max="72" width="7.85546875" style="36" bestFit="1" customWidth="1"/>
    <col min="73" max="73" width="1.85546875" style="36" customWidth="1"/>
    <col min="74" max="74" width="18.42578125" style="36" bestFit="1" customWidth="1"/>
    <col min="75" max="75" width="14.42578125" style="36" bestFit="1" customWidth="1"/>
    <col min="76" max="76" width="18.42578125" style="36" bestFit="1" customWidth="1"/>
    <col min="77" max="77" width="18.85546875" style="36" bestFit="1" customWidth="1"/>
    <col min="78" max="78" width="18" style="36" bestFit="1" customWidth="1"/>
    <col min="79" max="79" width="18.5703125" style="36" bestFit="1" customWidth="1"/>
    <col min="80" max="80" width="2" style="36" customWidth="1"/>
    <col min="81" max="82" width="7.5703125" style="36" bestFit="1" customWidth="1"/>
    <col min="83" max="83" width="6.5703125" style="36" bestFit="1" customWidth="1"/>
    <col min="84" max="84" width="8.5703125" style="36" bestFit="1" customWidth="1"/>
    <col min="85" max="85" width="8.42578125" style="36" bestFit="1" customWidth="1"/>
    <col min="86" max="103" width="0" style="36" hidden="1" customWidth="1"/>
    <col min="104" max="16384" width="10.7109375" style="36" hidden="1"/>
  </cols>
  <sheetData>
    <row r="1" spans="1:86" s="27" customFormat="1" ht="13.15" customHeight="1" thickBot="1" x14ac:dyDescent="0.25">
      <c r="A1" s="269" t="s">
        <v>0</v>
      </c>
      <c r="B1" s="270"/>
      <c r="C1" s="88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2"/>
      <c r="AY1" s="39"/>
      <c r="AZ1" s="271" t="s">
        <v>1</v>
      </c>
      <c r="BA1" s="272"/>
      <c r="BB1" s="273"/>
      <c r="BC1" s="39"/>
      <c r="BD1" s="256" t="s">
        <v>2</v>
      </c>
      <c r="BE1" s="257"/>
      <c r="BF1" s="257"/>
      <c r="BG1" s="257"/>
      <c r="BH1" s="257"/>
      <c r="BI1" s="258"/>
      <c r="BJ1" s="39"/>
      <c r="BK1" s="256" t="s">
        <v>3</v>
      </c>
      <c r="BL1" s="257"/>
      <c r="BM1" s="257"/>
      <c r="BN1" s="258"/>
      <c r="BO1" s="39"/>
      <c r="BP1" s="256" t="s">
        <v>4</v>
      </c>
      <c r="BQ1" s="257"/>
      <c r="BR1" s="257"/>
      <c r="BS1" s="257"/>
      <c r="BT1" s="258"/>
      <c r="BU1" s="39"/>
      <c r="BV1" s="256" t="s">
        <v>5</v>
      </c>
      <c r="BW1" s="257"/>
      <c r="BX1" s="257"/>
      <c r="BY1" s="257"/>
      <c r="BZ1" s="257"/>
      <c r="CA1" s="258"/>
      <c r="CB1" s="39"/>
      <c r="CC1" s="256" t="s">
        <v>6</v>
      </c>
      <c r="CD1" s="257"/>
      <c r="CE1" s="257"/>
      <c r="CF1" s="257"/>
      <c r="CG1" s="258"/>
      <c r="CH1" s="39"/>
    </row>
    <row r="2" spans="1:86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87</v>
      </c>
      <c r="V2" s="259" t="s">
        <v>78</v>
      </c>
      <c r="W2" s="259" t="s">
        <v>24</v>
      </c>
      <c r="X2" s="259" t="s">
        <v>85</v>
      </c>
      <c r="Y2" s="259" t="s">
        <v>25</v>
      </c>
      <c r="Z2" s="259" t="s">
        <v>70</v>
      </c>
      <c r="AA2" s="259" t="s">
        <v>79</v>
      </c>
      <c r="AB2" s="259" t="s">
        <v>76</v>
      </c>
      <c r="AC2" s="259" t="s">
        <v>77</v>
      </c>
      <c r="AD2" s="259" t="s">
        <v>80</v>
      </c>
      <c r="AE2" s="259" t="s">
        <v>75</v>
      </c>
      <c r="AF2" s="259" t="s">
        <v>74</v>
      </c>
      <c r="AG2" s="259" t="s">
        <v>72</v>
      </c>
      <c r="AH2" s="259" t="s">
        <v>73</v>
      </c>
      <c r="AI2" s="259" t="s">
        <v>26</v>
      </c>
      <c r="AJ2" s="259" t="s">
        <v>27</v>
      </c>
      <c r="AK2" s="259" t="s">
        <v>28</v>
      </c>
      <c r="AL2" s="276" t="s">
        <v>29</v>
      </c>
      <c r="AM2" s="276" t="s">
        <v>30</v>
      </c>
      <c r="AN2" s="286" t="s">
        <v>31</v>
      </c>
      <c r="AO2" s="286" t="s">
        <v>32</v>
      </c>
      <c r="AP2" s="286" t="s">
        <v>33</v>
      </c>
      <c r="AQ2" s="286" t="s">
        <v>34</v>
      </c>
      <c r="AR2" s="286" t="s">
        <v>35</v>
      </c>
      <c r="AS2" s="286" t="s">
        <v>36</v>
      </c>
      <c r="AT2" s="315" t="s">
        <v>37</v>
      </c>
      <c r="AU2" s="278" t="s">
        <v>82</v>
      </c>
      <c r="AV2" s="278" t="s">
        <v>81</v>
      </c>
      <c r="AW2" s="280" t="s">
        <v>38</v>
      </c>
      <c r="AX2" s="282" t="s">
        <v>39</v>
      </c>
      <c r="AY2" s="39"/>
      <c r="AZ2" s="284" t="s">
        <v>40</v>
      </c>
      <c r="BA2" s="311" t="s">
        <v>41</v>
      </c>
      <c r="BB2" s="313" t="s">
        <v>42</v>
      </c>
      <c r="BC2" s="39"/>
      <c r="BD2" s="292" t="s">
        <v>43</v>
      </c>
      <c r="BE2" s="294" t="s">
        <v>44</v>
      </c>
      <c r="BF2" s="294" t="s">
        <v>45</v>
      </c>
      <c r="BG2" s="294" t="s">
        <v>46</v>
      </c>
      <c r="BH2" s="294" t="s">
        <v>47</v>
      </c>
      <c r="BI2" s="298" t="s">
        <v>48</v>
      </c>
      <c r="BJ2" s="39"/>
      <c r="BK2" s="302" t="s">
        <v>49</v>
      </c>
      <c r="BL2" s="303" t="s">
        <v>50</v>
      </c>
      <c r="BM2" s="303" t="s">
        <v>51</v>
      </c>
      <c r="BN2" s="310" t="s">
        <v>52</v>
      </c>
      <c r="BO2" s="39"/>
      <c r="BP2" s="292" t="s">
        <v>53</v>
      </c>
      <c r="BQ2" s="294" t="s">
        <v>54</v>
      </c>
      <c r="BR2" s="296" t="s">
        <v>67</v>
      </c>
      <c r="BS2" s="294" t="s">
        <v>55</v>
      </c>
      <c r="BT2" s="298" t="s">
        <v>86</v>
      </c>
      <c r="BU2" s="39"/>
      <c r="BV2" s="300" t="s">
        <v>56</v>
      </c>
      <c r="BW2" s="290" t="s">
        <v>57</v>
      </c>
      <c r="BX2" s="290" t="s">
        <v>58</v>
      </c>
      <c r="BY2" s="259" t="s">
        <v>59</v>
      </c>
      <c r="BZ2" s="290" t="s">
        <v>60</v>
      </c>
      <c r="CA2" s="306" t="s">
        <v>61</v>
      </c>
      <c r="CB2" s="39"/>
      <c r="CC2" s="308" t="s">
        <v>62</v>
      </c>
      <c r="CD2" s="296" t="s">
        <v>63</v>
      </c>
      <c r="CE2" s="296" t="s">
        <v>64</v>
      </c>
      <c r="CF2" s="296" t="s">
        <v>65</v>
      </c>
      <c r="CG2" s="304" t="s">
        <v>66</v>
      </c>
      <c r="CH2" s="39"/>
    </row>
    <row r="3" spans="1:86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77"/>
      <c r="AM3" s="277"/>
      <c r="AN3" s="287"/>
      <c r="AO3" s="287"/>
      <c r="AP3" s="287"/>
      <c r="AQ3" s="287"/>
      <c r="AR3" s="287"/>
      <c r="AS3" s="287"/>
      <c r="AT3" s="316"/>
      <c r="AU3" s="279"/>
      <c r="AV3" s="279"/>
      <c r="AW3" s="281"/>
      <c r="AX3" s="283" t="s">
        <v>38</v>
      </c>
      <c r="AY3" s="39"/>
      <c r="AZ3" s="285"/>
      <c r="BA3" s="312"/>
      <c r="BB3" s="314"/>
      <c r="BC3" s="39"/>
      <c r="BD3" s="293"/>
      <c r="BE3" s="295"/>
      <c r="BF3" s="295"/>
      <c r="BG3" s="295"/>
      <c r="BH3" s="295"/>
      <c r="BI3" s="299"/>
      <c r="BJ3" s="39"/>
      <c r="BK3" s="293"/>
      <c r="BL3" s="295"/>
      <c r="BM3" s="295"/>
      <c r="BN3" s="299"/>
      <c r="BO3" s="39"/>
      <c r="BP3" s="293"/>
      <c r="BQ3" s="295"/>
      <c r="BR3" s="297"/>
      <c r="BS3" s="295"/>
      <c r="BT3" s="299"/>
      <c r="BU3" s="39"/>
      <c r="BV3" s="301"/>
      <c r="BW3" s="291"/>
      <c r="BX3" s="291"/>
      <c r="BY3" s="260"/>
      <c r="BZ3" s="291"/>
      <c r="CA3" s="307"/>
      <c r="CB3" s="39"/>
      <c r="CC3" s="309"/>
      <c r="CD3" s="297"/>
      <c r="CE3" s="297"/>
      <c r="CF3" s="297"/>
      <c r="CG3" s="305"/>
      <c r="CH3" s="39"/>
    </row>
    <row r="4" spans="1:86" s="27" customFormat="1" ht="12.4" customHeight="1" thickBot="1" x14ac:dyDescent="0.25">
      <c r="A4" s="43">
        <f>EL_DEL_CD2_JO_!A4</f>
        <v>46296</v>
      </c>
      <c r="B4" s="44" t="str">
        <f t="shared" ref="B4:B30" si="0">+TEXT(A4,"DDD")</f>
        <v>Thu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2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1"/>
      <c r="AM4" s="61"/>
      <c r="AN4" s="61"/>
      <c r="AO4" s="61"/>
      <c r="AP4" s="61"/>
      <c r="AQ4" s="61"/>
      <c r="AR4" s="61"/>
      <c r="AS4" s="61"/>
      <c r="AT4" s="60"/>
      <c r="AU4" s="60"/>
      <c r="AV4" s="60"/>
      <c r="AW4" s="60"/>
      <c r="AX4" s="10" t="str">
        <f t="shared" ref="AX4:AX31" si="1">IFERROR(AN4/AW4,"-")</f>
        <v>-</v>
      </c>
      <c r="AY4" s="39"/>
      <c r="AZ4" s="1" t="str">
        <f t="shared" ref="AZ4:AZ36" si="2">IF(E4&gt;0,F4/E4,"")</f>
        <v/>
      </c>
      <c r="BA4" s="11" t="str">
        <f t="shared" ref="BA4:BA36" si="3">+IF(E4&gt;0,G4/E4,"")</f>
        <v/>
      </c>
      <c r="BB4" s="1" t="str">
        <f t="shared" ref="BB4:BB36" si="4">+IF(E4&gt;0,AJ4/E4,"")</f>
        <v/>
      </c>
      <c r="BC4" s="39"/>
      <c r="BD4" s="53" t="str">
        <f t="shared" ref="BD4:BD36" si="5">+IF(G4&gt;0,I4/G4,"")</f>
        <v/>
      </c>
      <c r="BE4" s="12" t="str">
        <f t="shared" ref="BE4:BE36" si="6">+IF(G4&gt;0,J4/G4,"")</f>
        <v/>
      </c>
      <c r="BF4" s="12" t="str">
        <f t="shared" ref="BF4:BF36" si="7">+IF(I4&gt;0,L4/I4,"")</f>
        <v/>
      </c>
      <c r="BG4" s="12" t="str">
        <f>+IF(SUM(AO4:AR4)&gt;0,AO4/AN4,"")</f>
        <v/>
      </c>
      <c r="BH4" s="12" t="str">
        <f t="shared" ref="BH4:BH36" si="8">+IF(G4&gt;0,K4/G4,"")</f>
        <v/>
      </c>
      <c r="BI4" s="54" t="str">
        <f>+IF(SUM(AO4:AR4)&gt;0,AQ4/AN4,"")</f>
        <v/>
      </c>
      <c r="BJ4" s="39"/>
      <c r="BK4" s="55" t="str">
        <f t="shared" ref="BK4:BK36" si="9">+IF(E4&gt;0,(AJ4/E4),"")</f>
        <v/>
      </c>
      <c r="BL4" s="13" t="str">
        <f t="shared" ref="BL4:BL36" si="10">+IF(E4&gt;0,(AJ4/F4),"")</f>
        <v/>
      </c>
      <c r="BM4" s="13" t="str">
        <f t="shared" ref="BM4:BM36" si="11">+IF(E4&gt;0,(AJ4/G4),"")</f>
        <v/>
      </c>
      <c r="BN4" s="56" t="str">
        <f t="shared" ref="BN4:BN36" si="12">+IF(E4&gt;0,(AJ4/J4),"")</f>
        <v/>
      </c>
      <c r="BO4" s="39"/>
      <c r="BP4" s="14" t="str">
        <f t="shared" ref="BP4:BP36" si="13">IF(AJ4&gt;0,(N4/AJ4),"")</f>
        <v/>
      </c>
      <c r="BQ4" s="15">
        <v>0</v>
      </c>
      <c r="BR4" s="15" t="str">
        <f>IF(AJ4&gt;0,(AK4/AJ4),"")</f>
        <v/>
      </c>
      <c r="BS4" s="15" t="str">
        <f>IF(AJ4&gt;0,(AK4/AJ4),"")</f>
        <v/>
      </c>
      <c r="BT4" s="16" t="str">
        <f t="shared" ref="BT4:BT36" si="14">IF(J4&gt;0,AD4/J4,"")</f>
        <v/>
      </c>
      <c r="BU4" s="39"/>
      <c r="BV4" s="28" t="str">
        <f t="shared" ref="BV4:BV36" si="15">IF(AN4&gt;0,(E4/AN4),"")</f>
        <v/>
      </c>
      <c r="BW4" s="28" t="str">
        <f t="shared" ref="BW4:BW36" si="16">IF(AN4&gt;0,(G4/AN4),"")</f>
        <v/>
      </c>
      <c r="BX4" s="28" t="str">
        <f t="shared" ref="BX4:BX36" si="17">IF(AN4&gt;0,(J4/AN4),"")</f>
        <v/>
      </c>
      <c r="BY4" s="28" t="str">
        <f t="shared" ref="BY4:BY36" si="18">IF(AN4&gt;0,(K4/AN4),"")</f>
        <v/>
      </c>
      <c r="BZ4" s="28" t="str">
        <f>IF(AN4&gt;0,(AJ4/AN4),"")</f>
        <v/>
      </c>
      <c r="CA4" s="52" t="str">
        <f>IF(AN4&gt;0,(AK4/AN4),"")</f>
        <v/>
      </c>
      <c r="CB4" s="39"/>
      <c r="CC4" s="49" t="str">
        <f t="shared" ref="CC4:CC36" si="19">IFERROR(((AN4-AO4)*3600)/J4,"-")</f>
        <v>-</v>
      </c>
      <c r="CD4" s="29" t="str">
        <f t="shared" ref="CD4:CD36" si="20">IFERROR((AR4*3600)/J4,"-")</f>
        <v>-</v>
      </c>
      <c r="CE4" s="29" t="str">
        <f t="shared" ref="CE4:CE36" si="21">IFERROR((AQ4*3600)/J4,"-")</f>
        <v>-</v>
      </c>
      <c r="CF4" s="29" t="str">
        <f t="shared" ref="CF4:CF36" si="22">IFERROR((AO4*3600)/J4,"-")</f>
        <v>-</v>
      </c>
      <c r="CG4" s="50" t="str">
        <f t="shared" ref="CG4:CG36" si="23">IFERROR((AP4*3600)/J4,"-")</f>
        <v>-</v>
      </c>
      <c r="CH4" s="39"/>
    </row>
    <row r="5" spans="1:86" s="27" customFormat="1" ht="12.4" customHeight="1" thickBot="1" x14ac:dyDescent="0.25">
      <c r="A5" s="43">
        <f>A4+1</f>
        <v>46297</v>
      </c>
      <c r="B5" s="44" t="str">
        <f t="shared" si="0"/>
        <v>Fri</v>
      </c>
      <c r="C5" s="2"/>
      <c r="D5" s="2"/>
      <c r="E5" s="3"/>
      <c r="F5" s="2"/>
      <c r="G5" s="2"/>
      <c r="H5" s="4"/>
      <c r="I5" s="4"/>
      <c r="J5" s="57"/>
      <c r="K5" s="5"/>
      <c r="L5" s="2"/>
      <c r="M5" s="2"/>
      <c r="N5" s="2"/>
      <c r="O5" s="2"/>
      <c r="P5" s="3"/>
      <c r="Q5" s="2"/>
      <c r="R5" s="2"/>
      <c r="S5" s="2"/>
      <c r="T5" s="2"/>
      <c r="U5" s="2"/>
      <c r="V5" s="3"/>
      <c r="W5" s="3"/>
      <c r="X5" s="2"/>
      <c r="Y5" s="2"/>
      <c r="Z5" s="2"/>
      <c r="AA5" s="2"/>
      <c r="AB5" s="2"/>
      <c r="AC5" s="2"/>
      <c r="AD5" s="2"/>
      <c r="AE5" s="2"/>
      <c r="AF5" s="3"/>
      <c r="AG5" s="3"/>
      <c r="AH5" s="2"/>
      <c r="AI5" s="6"/>
      <c r="AJ5" s="7"/>
      <c r="AK5" s="6"/>
      <c r="AL5" s="59"/>
      <c r="AM5" s="59"/>
      <c r="AN5" s="59"/>
      <c r="AO5" s="59"/>
      <c r="AP5" s="59"/>
      <c r="AQ5" s="59"/>
      <c r="AR5" s="59"/>
      <c r="AS5" s="59"/>
      <c r="AT5" s="8"/>
      <c r="AU5" s="8"/>
      <c r="AV5" s="9"/>
      <c r="AW5" s="8"/>
      <c r="AX5" s="10" t="str">
        <f t="shared" si="1"/>
        <v>-</v>
      </c>
      <c r="AY5" s="39"/>
      <c r="AZ5" s="1" t="str">
        <f t="shared" si="2"/>
        <v/>
      </c>
      <c r="BA5" s="11" t="str">
        <f t="shared" si="3"/>
        <v/>
      </c>
      <c r="BB5" s="1" t="str">
        <f t="shared" si="4"/>
        <v/>
      </c>
      <c r="BC5" s="39"/>
      <c r="BD5" s="53" t="str">
        <f t="shared" si="5"/>
        <v/>
      </c>
      <c r="BE5" s="12" t="str">
        <f t="shared" si="6"/>
        <v/>
      </c>
      <c r="BF5" s="12" t="str">
        <f t="shared" si="7"/>
        <v/>
      </c>
      <c r="BG5" s="12" t="str">
        <f t="shared" ref="BG5:BG36" si="24">+IF(SUM(AO5:AR5)&gt;0,AO5/AN5,"")</f>
        <v/>
      </c>
      <c r="BH5" s="12" t="str">
        <f t="shared" si="8"/>
        <v/>
      </c>
      <c r="BI5" s="54" t="str">
        <f t="shared" ref="BI5:BI36" si="25">+IF(SUM(AO5:AR5)&gt;0,AQ5/AN5,"")</f>
        <v/>
      </c>
      <c r="BJ5" s="39"/>
      <c r="BK5" s="55" t="str">
        <f t="shared" si="9"/>
        <v/>
      </c>
      <c r="BL5" s="13" t="str">
        <f t="shared" si="10"/>
        <v/>
      </c>
      <c r="BM5" s="13" t="str">
        <f t="shared" si="11"/>
        <v/>
      </c>
      <c r="BN5" s="56" t="str">
        <f t="shared" si="12"/>
        <v/>
      </c>
      <c r="BO5" s="39"/>
      <c r="BP5" s="14" t="str">
        <f t="shared" si="13"/>
        <v/>
      </c>
      <c r="BQ5" s="15">
        <v>0</v>
      </c>
      <c r="BR5" s="15" t="str">
        <f t="shared" ref="BR5:BR36" si="26">IF(AJ5&gt;0,(AK5/AJ5),"")</f>
        <v/>
      </c>
      <c r="BS5" s="15" t="str">
        <f t="shared" ref="BS5:BS36" si="27">IF(AJ5&gt;0,(AK5/AJ5),"")</f>
        <v/>
      </c>
      <c r="BT5" s="16" t="str">
        <f t="shared" si="14"/>
        <v/>
      </c>
      <c r="BU5" s="39"/>
      <c r="BV5" s="51" t="str">
        <f t="shared" si="15"/>
        <v/>
      </c>
      <c r="BW5" s="28" t="str">
        <f t="shared" si="16"/>
        <v/>
      </c>
      <c r="BX5" s="28" t="str">
        <f t="shared" si="17"/>
        <v/>
      </c>
      <c r="BY5" s="28" t="str">
        <f t="shared" si="18"/>
        <v/>
      </c>
      <c r="BZ5" s="28" t="str">
        <f t="shared" ref="BZ5:BZ36" si="28">IF(AN5&gt;0,(AJ5/AN5),"")</f>
        <v/>
      </c>
      <c r="CA5" s="52" t="str">
        <f t="shared" ref="CA5:CA36" si="29">IF(AN5&gt;0,(AK5/AN5),"")</f>
        <v/>
      </c>
      <c r="CB5" s="39"/>
      <c r="CC5" s="49" t="str">
        <f t="shared" si="19"/>
        <v>-</v>
      </c>
      <c r="CD5" s="29" t="str">
        <f t="shared" si="20"/>
        <v>-</v>
      </c>
      <c r="CE5" s="29" t="str">
        <f t="shared" si="21"/>
        <v>-</v>
      </c>
      <c r="CF5" s="29" t="str">
        <f t="shared" si="22"/>
        <v>-</v>
      </c>
      <c r="CG5" s="50" t="str">
        <f t="shared" si="23"/>
        <v>-</v>
      </c>
      <c r="CH5" s="39"/>
    </row>
    <row r="6" spans="1:86" s="27" customFormat="1" ht="12.4" customHeight="1" thickBot="1" x14ac:dyDescent="0.25">
      <c r="A6" s="43">
        <f t="shared" ref="A6:A34" si="30">A5+1</f>
        <v>46298</v>
      </c>
      <c r="B6" s="44" t="str">
        <f t="shared" si="0"/>
        <v>Sat</v>
      </c>
      <c r="C6" s="2"/>
      <c r="D6" s="2"/>
      <c r="E6" s="3"/>
      <c r="F6" s="2"/>
      <c r="G6" s="2"/>
      <c r="H6" s="4"/>
      <c r="I6" s="4"/>
      <c r="J6" s="57"/>
      <c r="K6" s="5"/>
      <c r="L6" s="2"/>
      <c r="M6" s="2"/>
      <c r="N6" s="2"/>
      <c r="O6" s="2"/>
      <c r="P6" s="3"/>
      <c r="Q6" s="2"/>
      <c r="R6" s="2"/>
      <c r="S6" s="2"/>
      <c r="T6" s="2"/>
      <c r="U6" s="2"/>
      <c r="V6" s="3"/>
      <c r="W6" s="3"/>
      <c r="X6" s="2"/>
      <c r="Y6" s="2"/>
      <c r="Z6" s="2"/>
      <c r="AA6" s="2"/>
      <c r="AB6" s="2"/>
      <c r="AC6" s="2"/>
      <c r="AD6" s="2"/>
      <c r="AE6" s="2"/>
      <c r="AF6" s="3"/>
      <c r="AG6" s="3"/>
      <c r="AH6" s="2"/>
      <c r="AI6" s="6"/>
      <c r="AJ6" s="7"/>
      <c r="AK6" s="6"/>
      <c r="AL6" s="61"/>
      <c r="AM6" s="61"/>
      <c r="AN6" s="61"/>
      <c r="AO6" s="61"/>
      <c r="AP6" s="61"/>
      <c r="AQ6" s="61"/>
      <c r="AR6" s="61"/>
      <c r="AS6" s="61"/>
      <c r="AT6" s="60"/>
      <c r="AU6" s="60"/>
      <c r="AV6" s="60"/>
      <c r="AW6" s="60"/>
      <c r="AX6" s="10" t="str">
        <f t="shared" si="1"/>
        <v>-</v>
      </c>
      <c r="AY6" s="39"/>
      <c r="AZ6" s="1" t="str">
        <f t="shared" si="2"/>
        <v/>
      </c>
      <c r="BA6" s="11" t="str">
        <f t="shared" si="3"/>
        <v/>
      </c>
      <c r="BB6" s="1" t="str">
        <f t="shared" si="4"/>
        <v/>
      </c>
      <c r="BC6" s="39"/>
      <c r="BD6" s="53" t="str">
        <f t="shared" si="5"/>
        <v/>
      </c>
      <c r="BE6" s="12" t="str">
        <f t="shared" si="6"/>
        <v/>
      </c>
      <c r="BF6" s="12" t="str">
        <f t="shared" si="7"/>
        <v/>
      </c>
      <c r="BG6" s="12" t="str">
        <f t="shared" si="24"/>
        <v/>
      </c>
      <c r="BH6" s="12" t="str">
        <f t="shared" si="8"/>
        <v/>
      </c>
      <c r="BI6" s="54" t="str">
        <f t="shared" si="25"/>
        <v/>
      </c>
      <c r="BJ6" s="39"/>
      <c r="BK6" s="55" t="str">
        <f t="shared" si="9"/>
        <v/>
      </c>
      <c r="BL6" s="13" t="str">
        <f t="shared" si="10"/>
        <v/>
      </c>
      <c r="BM6" s="13" t="str">
        <f t="shared" si="11"/>
        <v/>
      </c>
      <c r="BN6" s="56" t="str">
        <f t="shared" si="12"/>
        <v/>
      </c>
      <c r="BO6" s="39"/>
      <c r="BP6" s="14" t="str">
        <f t="shared" si="13"/>
        <v/>
      </c>
      <c r="BQ6" s="15">
        <v>0</v>
      </c>
      <c r="BR6" s="15" t="str">
        <f t="shared" si="26"/>
        <v/>
      </c>
      <c r="BS6" s="15" t="str">
        <f t="shared" si="27"/>
        <v/>
      </c>
      <c r="BT6" s="16" t="str">
        <f t="shared" si="14"/>
        <v/>
      </c>
      <c r="BU6" s="39"/>
      <c r="BV6" s="51" t="str">
        <f t="shared" si="15"/>
        <v/>
      </c>
      <c r="BW6" s="28" t="str">
        <f t="shared" si="16"/>
        <v/>
      </c>
      <c r="BX6" s="28" t="str">
        <f t="shared" si="17"/>
        <v/>
      </c>
      <c r="BY6" s="28" t="str">
        <f t="shared" si="18"/>
        <v/>
      </c>
      <c r="BZ6" s="28" t="str">
        <f t="shared" si="28"/>
        <v/>
      </c>
      <c r="CA6" s="52" t="str">
        <f t="shared" si="29"/>
        <v/>
      </c>
      <c r="CB6" s="39"/>
      <c r="CC6" s="49" t="str">
        <f t="shared" si="19"/>
        <v>-</v>
      </c>
      <c r="CD6" s="29" t="str">
        <f t="shared" si="20"/>
        <v>-</v>
      </c>
      <c r="CE6" s="29" t="str">
        <f t="shared" si="21"/>
        <v>-</v>
      </c>
      <c r="CF6" s="29" t="str">
        <f t="shared" si="22"/>
        <v>-</v>
      </c>
      <c r="CG6" s="50" t="str">
        <f t="shared" si="23"/>
        <v>-</v>
      </c>
      <c r="CH6" s="39"/>
    </row>
    <row r="7" spans="1:86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2"/>
      <c r="D7" s="2"/>
      <c r="E7" s="3"/>
      <c r="F7" s="2"/>
      <c r="G7" s="2"/>
      <c r="H7" s="4"/>
      <c r="I7" s="4"/>
      <c r="J7" s="57"/>
      <c r="K7" s="5"/>
      <c r="L7" s="2"/>
      <c r="M7" s="2"/>
      <c r="N7" s="2"/>
      <c r="O7" s="2"/>
      <c r="P7" s="3"/>
      <c r="Q7" s="2"/>
      <c r="R7" s="2"/>
      <c r="S7" s="2"/>
      <c r="T7" s="2"/>
      <c r="U7" s="2"/>
      <c r="V7" s="3"/>
      <c r="W7" s="3"/>
      <c r="X7" s="2"/>
      <c r="Y7" s="2"/>
      <c r="Z7" s="2"/>
      <c r="AA7" s="2"/>
      <c r="AB7" s="2"/>
      <c r="AC7" s="2"/>
      <c r="AD7" s="2"/>
      <c r="AE7" s="2"/>
      <c r="AF7" s="3"/>
      <c r="AG7" s="3"/>
      <c r="AH7" s="2"/>
      <c r="AI7" s="6"/>
      <c r="AJ7" s="7"/>
      <c r="AK7" s="6"/>
      <c r="AL7" s="59"/>
      <c r="AM7" s="59"/>
      <c r="AN7" s="59"/>
      <c r="AO7" s="59"/>
      <c r="AP7" s="59"/>
      <c r="AQ7" s="59"/>
      <c r="AR7" s="59"/>
      <c r="AS7" s="59"/>
      <c r="AT7" s="8"/>
      <c r="AU7" s="8"/>
      <c r="AV7" s="9"/>
      <c r="AW7" s="8"/>
      <c r="AX7" s="10" t="str">
        <f t="shared" si="1"/>
        <v>-</v>
      </c>
      <c r="AY7" s="39"/>
      <c r="AZ7" s="1" t="str">
        <f t="shared" si="2"/>
        <v/>
      </c>
      <c r="BA7" s="11" t="str">
        <f t="shared" si="3"/>
        <v/>
      </c>
      <c r="BB7" s="1" t="str">
        <f t="shared" si="4"/>
        <v/>
      </c>
      <c r="BC7" s="39"/>
      <c r="BD7" s="53" t="str">
        <f t="shared" si="5"/>
        <v/>
      </c>
      <c r="BE7" s="12" t="str">
        <f t="shared" si="6"/>
        <v/>
      </c>
      <c r="BF7" s="12" t="str">
        <f t="shared" si="7"/>
        <v/>
      </c>
      <c r="BG7" s="12" t="str">
        <f t="shared" si="24"/>
        <v/>
      </c>
      <c r="BH7" s="12" t="str">
        <f t="shared" si="8"/>
        <v/>
      </c>
      <c r="BI7" s="54" t="str">
        <f t="shared" si="25"/>
        <v/>
      </c>
      <c r="BJ7" s="39"/>
      <c r="BK7" s="55" t="str">
        <f t="shared" si="9"/>
        <v/>
      </c>
      <c r="BL7" s="13" t="str">
        <f t="shared" si="10"/>
        <v/>
      </c>
      <c r="BM7" s="13" t="str">
        <f t="shared" si="11"/>
        <v/>
      </c>
      <c r="BN7" s="56" t="str">
        <f t="shared" si="12"/>
        <v/>
      </c>
      <c r="BO7" s="39"/>
      <c r="BP7" s="14" t="str">
        <f t="shared" si="13"/>
        <v/>
      </c>
      <c r="BQ7" s="15">
        <v>0</v>
      </c>
      <c r="BR7" s="15" t="str">
        <f t="shared" si="26"/>
        <v/>
      </c>
      <c r="BS7" s="15" t="str">
        <f t="shared" si="27"/>
        <v/>
      </c>
      <c r="BT7" s="16" t="str">
        <f t="shared" si="14"/>
        <v/>
      </c>
      <c r="BU7" s="39"/>
      <c r="BV7" s="51" t="str">
        <f t="shared" si="15"/>
        <v/>
      </c>
      <c r="BW7" s="28" t="str">
        <f t="shared" si="16"/>
        <v/>
      </c>
      <c r="BX7" s="28" t="str">
        <f t="shared" si="17"/>
        <v/>
      </c>
      <c r="BY7" s="28" t="str">
        <f t="shared" si="18"/>
        <v/>
      </c>
      <c r="BZ7" s="28" t="str">
        <f t="shared" si="28"/>
        <v/>
      </c>
      <c r="CA7" s="52" t="str">
        <f t="shared" si="29"/>
        <v/>
      </c>
      <c r="CB7" s="39"/>
      <c r="CC7" s="49" t="str">
        <f t="shared" si="19"/>
        <v>-</v>
      </c>
      <c r="CD7" s="29" t="str">
        <f t="shared" si="20"/>
        <v>-</v>
      </c>
      <c r="CE7" s="29" t="str">
        <f t="shared" si="21"/>
        <v>-</v>
      </c>
      <c r="CF7" s="29" t="str">
        <f t="shared" si="22"/>
        <v>-</v>
      </c>
      <c r="CG7" s="50" t="str">
        <f t="shared" si="23"/>
        <v>-</v>
      </c>
      <c r="CH7" s="39"/>
    </row>
    <row r="8" spans="1:86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2"/>
      <c r="D8" s="2"/>
      <c r="E8" s="3"/>
      <c r="F8" s="2"/>
      <c r="G8" s="2"/>
      <c r="H8" s="4"/>
      <c r="I8" s="4"/>
      <c r="J8" s="57"/>
      <c r="K8" s="5"/>
      <c r="L8" s="2"/>
      <c r="M8" s="2"/>
      <c r="N8" s="2"/>
      <c r="O8" s="2"/>
      <c r="P8" s="3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  <c r="AD8" s="2"/>
      <c r="AE8" s="2"/>
      <c r="AF8" s="3"/>
      <c r="AG8" s="3"/>
      <c r="AH8" s="2"/>
      <c r="AI8" s="6"/>
      <c r="AJ8" s="7"/>
      <c r="AK8" s="6"/>
      <c r="AL8" s="59"/>
      <c r="AM8" s="59"/>
      <c r="AN8" s="59"/>
      <c r="AO8" s="59"/>
      <c r="AP8" s="59"/>
      <c r="AQ8" s="59"/>
      <c r="AR8" s="59"/>
      <c r="AS8" s="59"/>
      <c r="AT8" s="8"/>
      <c r="AU8" s="8"/>
      <c r="AV8" s="9"/>
      <c r="AW8" s="8"/>
      <c r="AX8" s="10" t="str">
        <f t="shared" si="1"/>
        <v>-</v>
      </c>
      <c r="AY8" s="39"/>
      <c r="AZ8" s="1" t="str">
        <f t="shared" si="2"/>
        <v/>
      </c>
      <c r="BA8" s="11" t="str">
        <f t="shared" si="3"/>
        <v/>
      </c>
      <c r="BB8" s="1" t="str">
        <f t="shared" si="4"/>
        <v/>
      </c>
      <c r="BC8" s="39"/>
      <c r="BD8" s="53" t="str">
        <f t="shared" si="5"/>
        <v/>
      </c>
      <c r="BE8" s="12" t="str">
        <f t="shared" si="6"/>
        <v/>
      </c>
      <c r="BF8" s="12" t="str">
        <f t="shared" si="7"/>
        <v/>
      </c>
      <c r="BG8" s="12" t="str">
        <f t="shared" si="24"/>
        <v/>
      </c>
      <c r="BH8" s="12" t="str">
        <f t="shared" si="8"/>
        <v/>
      </c>
      <c r="BI8" s="54" t="str">
        <f t="shared" si="25"/>
        <v/>
      </c>
      <c r="BJ8" s="39"/>
      <c r="BK8" s="55" t="str">
        <f t="shared" si="9"/>
        <v/>
      </c>
      <c r="BL8" s="13" t="str">
        <f t="shared" si="10"/>
        <v/>
      </c>
      <c r="BM8" s="13" t="str">
        <f t="shared" si="11"/>
        <v/>
      </c>
      <c r="BN8" s="56" t="str">
        <f t="shared" si="12"/>
        <v/>
      </c>
      <c r="BO8" s="39"/>
      <c r="BP8" s="14" t="str">
        <f t="shared" si="13"/>
        <v/>
      </c>
      <c r="BQ8" s="15">
        <v>0</v>
      </c>
      <c r="BR8" s="15" t="str">
        <f t="shared" si="26"/>
        <v/>
      </c>
      <c r="BS8" s="15" t="str">
        <f t="shared" si="27"/>
        <v/>
      </c>
      <c r="BT8" s="16" t="str">
        <f t="shared" si="14"/>
        <v/>
      </c>
      <c r="BU8" s="39"/>
      <c r="BV8" s="51" t="str">
        <f t="shared" si="15"/>
        <v/>
      </c>
      <c r="BW8" s="28" t="str">
        <f t="shared" si="16"/>
        <v/>
      </c>
      <c r="BX8" s="28" t="str">
        <f t="shared" si="17"/>
        <v/>
      </c>
      <c r="BY8" s="28" t="str">
        <f t="shared" si="18"/>
        <v/>
      </c>
      <c r="BZ8" s="28" t="str">
        <f t="shared" si="28"/>
        <v/>
      </c>
      <c r="CA8" s="52" t="str">
        <f t="shared" si="29"/>
        <v/>
      </c>
      <c r="CB8" s="39"/>
      <c r="CC8" s="49" t="str">
        <f t="shared" si="19"/>
        <v>-</v>
      </c>
      <c r="CD8" s="29" t="str">
        <f t="shared" si="20"/>
        <v>-</v>
      </c>
      <c r="CE8" s="29" t="str">
        <f t="shared" si="21"/>
        <v>-</v>
      </c>
      <c r="CF8" s="29" t="str">
        <f t="shared" si="22"/>
        <v>-</v>
      </c>
      <c r="CG8" s="50" t="str">
        <f t="shared" si="23"/>
        <v>-</v>
      </c>
      <c r="CH8" s="39"/>
    </row>
    <row r="9" spans="1:86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2"/>
      <c r="D9" s="2"/>
      <c r="E9" s="3"/>
      <c r="F9" s="2"/>
      <c r="G9" s="2"/>
      <c r="H9" s="4"/>
      <c r="I9" s="4"/>
      <c r="J9" s="57"/>
      <c r="K9" s="5"/>
      <c r="L9" s="2"/>
      <c r="M9" s="2"/>
      <c r="N9" s="2"/>
      <c r="O9" s="2"/>
      <c r="P9" s="3"/>
      <c r="Q9" s="2"/>
      <c r="R9" s="2"/>
      <c r="S9" s="2"/>
      <c r="T9" s="2"/>
      <c r="U9" s="2"/>
      <c r="V9" s="3"/>
      <c r="W9" s="3"/>
      <c r="X9" s="2"/>
      <c r="Y9" s="2"/>
      <c r="Z9" s="2"/>
      <c r="AA9" s="2"/>
      <c r="AB9" s="2"/>
      <c r="AC9" s="2"/>
      <c r="AD9" s="2"/>
      <c r="AE9" s="2"/>
      <c r="AF9" s="3"/>
      <c r="AG9" s="3"/>
      <c r="AH9" s="2"/>
      <c r="AI9" s="6"/>
      <c r="AJ9" s="7"/>
      <c r="AK9" s="6"/>
      <c r="AL9" s="59"/>
      <c r="AM9" s="59"/>
      <c r="AN9" s="59"/>
      <c r="AO9" s="59"/>
      <c r="AP9" s="59"/>
      <c r="AQ9" s="59"/>
      <c r="AR9" s="59"/>
      <c r="AS9" s="59"/>
      <c r="AT9" s="8"/>
      <c r="AU9" s="8"/>
      <c r="AV9" s="9"/>
      <c r="AW9" s="8"/>
      <c r="AX9" s="10" t="str">
        <f t="shared" si="1"/>
        <v>-</v>
      </c>
      <c r="AY9" s="39"/>
      <c r="AZ9" s="1" t="str">
        <f t="shared" si="2"/>
        <v/>
      </c>
      <c r="BA9" s="11" t="str">
        <f t="shared" si="3"/>
        <v/>
      </c>
      <c r="BB9" s="1" t="str">
        <f t="shared" si="4"/>
        <v/>
      </c>
      <c r="BC9" s="39"/>
      <c r="BD9" s="53" t="str">
        <f t="shared" si="5"/>
        <v/>
      </c>
      <c r="BE9" s="12" t="str">
        <f t="shared" si="6"/>
        <v/>
      </c>
      <c r="BF9" s="12" t="str">
        <f t="shared" si="7"/>
        <v/>
      </c>
      <c r="BG9" s="12" t="str">
        <f t="shared" si="24"/>
        <v/>
      </c>
      <c r="BH9" s="12" t="str">
        <f t="shared" si="8"/>
        <v/>
      </c>
      <c r="BI9" s="54" t="str">
        <f t="shared" si="25"/>
        <v/>
      </c>
      <c r="BJ9" s="39"/>
      <c r="BK9" s="55" t="str">
        <f t="shared" si="9"/>
        <v/>
      </c>
      <c r="BL9" s="13" t="str">
        <f t="shared" si="10"/>
        <v/>
      </c>
      <c r="BM9" s="13" t="str">
        <f t="shared" si="11"/>
        <v/>
      </c>
      <c r="BN9" s="56" t="str">
        <f t="shared" si="12"/>
        <v/>
      </c>
      <c r="BO9" s="39"/>
      <c r="BP9" s="14" t="str">
        <f t="shared" si="13"/>
        <v/>
      </c>
      <c r="BQ9" s="15">
        <v>0</v>
      </c>
      <c r="BR9" s="15" t="str">
        <f t="shared" si="26"/>
        <v/>
      </c>
      <c r="BS9" s="15" t="str">
        <f t="shared" si="27"/>
        <v/>
      </c>
      <c r="BT9" s="16" t="str">
        <f t="shared" si="14"/>
        <v/>
      </c>
      <c r="BU9" s="39"/>
      <c r="BV9" s="51" t="str">
        <f t="shared" si="15"/>
        <v/>
      </c>
      <c r="BW9" s="28" t="str">
        <f t="shared" si="16"/>
        <v/>
      </c>
      <c r="BX9" s="28" t="str">
        <f t="shared" si="17"/>
        <v/>
      </c>
      <c r="BY9" s="28" t="str">
        <f t="shared" si="18"/>
        <v/>
      </c>
      <c r="BZ9" s="28" t="str">
        <f t="shared" si="28"/>
        <v/>
      </c>
      <c r="CA9" s="52" t="str">
        <f t="shared" si="29"/>
        <v/>
      </c>
      <c r="CB9" s="39"/>
      <c r="CC9" s="49" t="str">
        <f t="shared" si="19"/>
        <v>-</v>
      </c>
      <c r="CD9" s="29" t="str">
        <f t="shared" si="20"/>
        <v>-</v>
      </c>
      <c r="CE9" s="29" t="str">
        <f t="shared" si="21"/>
        <v>-</v>
      </c>
      <c r="CF9" s="29" t="str">
        <f t="shared" si="22"/>
        <v>-</v>
      </c>
      <c r="CG9" s="50" t="str">
        <f t="shared" si="23"/>
        <v>-</v>
      </c>
      <c r="CH9" s="39"/>
    </row>
    <row r="10" spans="1:86" s="27" customFormat="1" ht="12.4" customHeight="1" thickBot="1" x14ac:dyDescent="0.25">
      <c r="A10" s="43">
        <f t="shared" si="30"/>
        <v>46302</v>
      </c>
      <c r="B10" s="44" t="str">
        <f>+TEXT(A10,"DDD")</f>
        <v>Wed</v>
      </c>
      <c r="C10" s="2"/>
      <c r="D10" s="2"/>
      <c r="E10" s="3"/>
      <c r="F10" s="2"/>
      <c r="G10" s="2"/>
      <c r="H10" s="4"/>
      <c r="I10" s="4"/>
      <c r="J10" s="57"/>
      <c r="K10" s="5"/>
      <c r="L10" s="2"/>
      <c r="M10" s="2"/>
      <c r="N10" s="2"/>
      <c r="O10" s="2"/>
      <c r="P10" s="3"/>
      <c r="Q10" s="2"/>
      <c r="R10" s="2"/>
      <c r="S10" s="2"/>
      <c r="T10" s="2"/>
      <c r="U10" s="2"/>
      <c r="V10" s="3"/>
      <c r="W10" s="3"/>
      <c r="X10" s="2"/>
      <c r="Y10" s="2"/>
      <c r="Z10" s="2"/>
      <c r="AA10" s="2"/>
      <c r="AB10" s="2"/>
      <c r="AC10" s="2"/>
      <c r="AD10" s="2"/>
      <c r="AE10" s="2"/>
      <c r="AF10" s="3"/>
      <c r="AG10" s="3"/>
      <c r="AH10" s="2"/>
      <c r="AI10" s="6"/>
      <c r="AJ10" s="7"/>
      <c r="AK10" s="6"/>
      <c r="AL10" s="59"/>
      <c r="AM10" s="59"/>
      <c r="AN10" s="59"/>
      <c r="AO10" s="59"/>
      <c r="AP10" s="59"/>
      <c r="AQ10" s="59"/>
      <c r="AR10" s="59"/>
      <c r="AS10" s="59"/>
      <c r="AT10" s="8"/>
      <c r="AU10" s="8"/>
      <c r="AV10" s="9"/>
      <c r="AW10" s="8"/>
      <c r="AX10" s="10" t="str">
        <f t="shared" si="1"/>
        <v>-</v>
      </c>
      <c r="AY10" s="39"/>
      <c r="AZ10" s="1" t="str">
        <f t="shared" si="2"/>
        <v/>
      </c>
      <c r="BA10" s="11" t="str">
        <f t="shared" si="3"/>
        <v/>
      </c>
      <c r="BB10" s="1" t="str">
        <f t="shared" si="4"/>
        <v/>
      </c>
      <c r="BC10" s="39"/>
      <c r="BD10" s="53" t="str">
        <f t="shared" si="5"/>
        <v/>
      </c>
      <c r="BE10" s="12" t="str">
        <f t="shared" si="6"/>
        <v/>
      </c>
      <c r="BF10" s="12" t="str">
        <f t="shared" si="7"/>
        <v/>
      </c>
      <c r="BG10" s="12" t="str">
        <f t="shared" si="24"/>
        <v/>
      </c>
      <c r="BH10" s="12" t="str">
        <f t="shared" si="8"/>
        <v/>
      </c>
      <c r="BI10" s="54" t="str">
        <f t="shared" si="25"/>
        <v/>
      </c>
      <c r="BJ10" s="39"/>
      <c r="BK10" s="55" t="str">
        <f t="shared" si="9"/>
        <v/>
      </c>
      <c r="BL10" s="13" t="str">
        <f t="shared" si="10"/>
        <v/>
      </c>
      <c r="BM10" s="13" t="str">
        <f t="shared" si="11"/>
        <v/>
      </c>
      <c r="BN10" s="56" t="str">
        <f t="shared" si="12"/>
        <v/>
      </c>
      <c r="BO10" s="39"/>
      <c r="BP10" s="14" t="str">
        <f t="shared" si="13"/>
        <v/>
      </c>
      <c r="BQ10" s="15">
        <v>0</v>
      </c>
      <c r="BR10" s="15" t="str">
        <f t="shared" si="26"/>
        <v/>
      </c>
      <c r="BS10" s="15" t="str">
        <f t="shared" si="27"/>
        <v/>
      </c>
      <c r="BT10" s="16" t="str">
        <f t="shared" si="14"/>
        <v/>
      </c>
      <c r="BU10" s="39"/>
      <c r="BV10" s="51" t="str">
        <f t="shared" si="15"/>
        <v/>
      </c>
      <c r="BW10" s="28" t="str">
        <f t="shared" si="16"/>
        <v/>
      </c>
      <c r="BX10" s="28" t="str">
        <f t="shared" si="17"/>
        <v/>
      </c>
      <c r="BY10" s="28" t="str">
        <f t="shared" si="18"/>
        <v/>
      </c>
      <c r="BZ10" s="28" t="str">
        <f t="shared" si="28"/>
        <v/>
      </c>
      <c r="CA10" s="52" t="str">
        <f t="shared" si="29"/>
        <v/>
      </c>
      <c r="CB10" s="39"/>
      <c r="CC10" s="49" t="str">
        <f t="shared" si="19"/>
        <v>-</v>
      </c>
      <c r="CD10" s="29" t="str">
        <f t="shared" si="20"/>
        <v>-</v>
      </c>
      <c r="CE10" s="29" t="str">
        <f t="shared" si="21"/>
        <v>-</v>
      </c>
      <c r="CF10" s="29" t="str">
        <f t="shared" si="22"/>
        <v>-</v>
      </c>
      <c r="CG10" s="50" t="str">
        <f t="shared" si="23"/>
        <v>-</v>
      </c>
      <c r="CH10" s="39"/>
    </row>
    <row r="11" spans="1:86" s="27" customFormat="1" ht="12.4" customHeight="1" thickBot="1" x14ac:dyDescent="0.25">
      <c r="A11" s="43">
        <f t="shared" si="30"/>
        <v>46303</v>
      </c>
      <c r="B11" s="44" t="str">
        <f>+TEXT(A11,"DDD")</f>
        <v>Thu</v>
      </c>
      <c r="C11" s="2"/>
      <c r="D11" s="2"/>
      <c r="E11" s="3"/>
      <c r="F11" s="2"/>
      <c r="G11" s="2"/>
      <c r="H11" s="4"/>
      <c r="I11" s="4"/>
      <c r="J11" s="57"/>
      <c r="K11" s="5"/>
      <c r="L11" s="2"/>
      <c r="M11" s="2"/>
      <c r="N11" s="2"/>
      <c r="O11" s="2"/>
      <c r="P11" s="3"/>
      <c r="Q11" s="2"/>
      <c r="R11" s="2"/>
      <c r="S11" s="2"/>
      <c r="T11" s="2"/>
      <c r="U11" s="2"/>
      <c r="V11" s="3"/>
      <c r="W11" s="3"/>
      <c r="X11" s="2"/>
      <c r="Y11" s="2"/>
      <c r="Z11" s="2"/>
      <c r="AA11" s="2"/>
      <c r="AB11" s="2"/>
      <c r="AC11" s="2"/>
      <c r="AD11" s="2"/>
      <c r="AE11" s="2"/>
      <c r="AF11" s="3"/>
      <c r="AG11" s="3"/>
      <c r="AH11" s="2"/>
      <c r="AI11" s="6"/>
      <c r="AJ11" s="7"/>
      <c r="AK11" s="6"/>
      <c r="AL11" s="59"/>
      <c r="AM11" s="59"/>
      <c r="AN11" s="59"/>
      <c r="AO11" s="59"/>
      <c r="AP11" s="59"/>
      <c r="AQ11" s="59"/>
      <c r="AR11" s="59"/>
      <c r="AS11" s="59"/>
      <c r="AT11" s="8"/>
      <c r="AU11" s="8"/>
      <c r="AV11" s="9"/>
      <c r="AW11" s="8"/>
      <c r="AX11" s="10" t="str">
        <f t="shared" si="1"/>
        <v>-</v>
      </c>
      <c r="AY11" s="39"/>
      <c r="AZ11" s="1" t="str">
        <f t="shared" si="2"/>
        <v/>
      </c>
      <c r="BA11" s="11" t="str">
        <f t="shared" si="3"/>
        <v/>
      </c>
      <c r="BB11" s="1" t="str">
        <f t="shared" si="4"/>
        <v/>
      </c>
      <c r="BC11" s="39"/>
      <c r="BD11" s="53" t="str">
        <f t="shared" si="5"/>
        <v/>
      </c>
      <c r="BE11" s="12" t="str">
        <f t="shared" si="6"/>
        <v/>
      </c>
      <c r="BF11" s="12" t="str">
        <f t="shared" si="7"/>
        <v/>
      </c>
      <c r="BG11" s="12" t="str">
        <f t="shared" si="24"/>
        <v/>
      </c>
      <c r="BH11" s="12" t="str">
        <f t="shared" si="8"/>
        <v/>
      </c>
      <c r="BI11" s="54" t="str">
        <f t="shared" si="25"/>
        <v/>
      </c>
      <c r="BJ11" s="39"/>
      <c r="BK11" s="55" t="str">
        <f t="shared" si="9"/>
        <v/>
      </c>
      <c r="BL11" s="13" t="str">
        <f t="shared" si="10"/>
        <v/>
      </c>
      <c r="BM11" s="13" t="str">
        <f t="shared" si="11"/>
        <v/>
      </c>
      <c r="BN11" s="56" t="str">
        <f t="shared" si="12"/>
        <v/>
      </c>
      <c r="BO11" s="39"/>
      <c r="BP11" s="14" t="str">
        <f t="shared" si="13"/>
        <v/>
      </c>
      <c r="BQ11" s="15">
        <v>0</v>
      </c>
      <c r="BR11" s="15" t="str">
        <f t="shared" si="26"/>
        <v/>
      </c>
      <c r="BS11" s="15" t="str">
        <f t="shared" si="27"/>
        <v/>
      </c>
      <c r="BT11" s="16" t="str">
        <f t="shared" si="14"/>
        <v/>
      </c>
      <c r="BU11" s="39"/>
      <c r="BV11" s="51" t="str">
        <f t="shared" si="15"/>
        <v/>
      </c>
      <c r="BW11" s="28" t="str">
        <f t="shared" si="16"/>
        <v/>
      </c>
      <c r="BX11" s="28" t="str">
        <f t="shared" si="17"/>
        <v/>
      </c>
      <c r="BY11" s="28" t="str">
        <f t="shared" si="18"/>
        <v/>
      </c>
      <c r="BZ11" s="28" t="str">
        <f t="shared" si="28"/>
        <v/>
      </c>
      <c r="CA11" s="52" t="str">
        <f t="shared" si="29"/>
        <v/>
      </c>
      <c r="CB11" s="39"/>
      <c r="CC11" s="49" t="str">
        <f t="shared" si="19"/>
        <v>-</v>
      </c>
      <c r="CD11" s="29" t="str">
        <f t="shared" si="20"/>
        <v>-</v>
      </c>
      <c r="CE11" s="29" t="str">
        <f t="shared" si="21"/>
        <v>-</v>
      </c>
      <c r="CF11" s="29" t="str">
        <f t="shared" si="22"/>
        <v>-</v>
      </c>
      <c r="CG11" s="50" t="str">
        <f t="shared" si="23"/>
        <v>-</v>
      </c>
      <c r="CH11" s="39"/>
    </row>
    <row r="12" spans="1:86" s="27" customFormat="1" ht="12.4" customHeight="1" thickBot="1" x14ac:dyDescent="0.25">
      <c r="A12" s="43">
        <f t="shared" si="30"/>
        <v>46304</v>
      </c>
      <c r="B12" s="44" t="str">
        <f>+TEXT(A12,"DDD")</f>
        <v>Fri</v>
      </c>
      <c r="C12" s="2"/>
      <c r="D12" s="2"/>
      <c r="E12" s="3"/>
      <c r="F12" s="2"/>
      <c r="G12" s="2"/>
      <c r="H12" s="4"/>
      <c r="I12" s="4"/>
      <c r="J12" s="57"/>
      <c r="K12" s="5"/>
      <c r="L12" s="2"/>
      <c r="M12" s="2"/>
      <c r="N12" s="2"/>
      <c r="O12" s="2"/>
      <c r="P12" s="3"/>
      <c r="Q12" s="2"/>
      <c r="R12" s="2"/>
      <c r="S12" s="2"/>
      <c r="T12" s="2"/>
      <c r="U12" s="2"/>
      <c r="V12" s="3"/>
      <c r="W12" s="3"/>
      <c r="X12" s="2"/>
      <c r="Y12" s="2"/>
      <c r="Z12" s="2"/>
      <c r="AA12" s="2"/>
      <c r="AB12" s="2"/>
      <c r="AC12" s="2"/>
      <c r="AD12" s="2"/>
      <c r="AE12" s="2"/>
      <c r="AF12" s="3"/>
      <c r="AG12" s="3"/>
      <c r="AH12" s="2"/>
      <c r="AI12" s="6"/>
      <c r="AJ12" s="7"/>
      <c r="AK12" s="6"/>
      <c r="AL12" s="59"/>
      <c r="AM12" s="59"/>
      <c r="AN12" s="59"/>
      <c r="AO12" s="59"/>
      <c r="AP12" s="59"/>
      <c r="AQ12" s="59"/>
      <c r="AR12" s="59"/>
      <c r="AS12" s="59"/>
      <c r="AT12" s="8"/>
      <c r="AU12" s="8"/>
      <c r="AV12" s="9"/>
      <c r="AW12" s="8"/>
      <c r="AX12" s="10" t="str">
        <f t="shared" si="1"/>
        <v>-</v>
      </c>
      <c r="AY12" s="39"/>
      <c r="AZ12" s="1" t="str">
        <f t="shared" si="2"/>
        <v/>
      </c>
      <c r="BA12" s="11" t="str">
        <f t="shared" si="3"/>
        <v/>
      </c>
      <c r="BB12" s="1" t="str">
        <f t="shared" si="4"/>
        <v/>
      </c>
      <c r="BC12" s="39"/>
      <c r="BD12" s="53" t="str">
        <f t="shared" si="5"/>
        <v/>
      </c>
      <c r="BE12" s="12" t="str">
        <f t="shared" si="6"/>
        <v/>
      </c>
      <c r="BF12" s="12" t="str">
        <f t="shared" si="7"/>
        <v/>
      </c>
      <c r="BG12" s="12" t="str">
        <f t="shared" si="24"/>
        <v/>
      </c>
      <c r="BH12" s="12" t="str">
        <f t="shared" si="8"/>
        <v/>
      </c>
      <c r="BI12" s="54" t="str">
        <f t="shared" si="25"/>
        <v/>
      </c>
      <c r="BJ12" s="39"/>
      <c r="BK12" s="55" t="str">
        <f t="shared" si="9"/>
        <v/>
      </c>
      <c r="BL12" s="13" t="str">
        <f t="shared" si="10"/>
        <v/>
      </c>
      <c r="BM12" s="13" t="str">
        <f t="shared" si="11"/>
        <v/>
      </c>
      <c r="BN12" s="56" t="str">
        <f t="shared" si="12"/>
        <v/>
      </c>
      <c r="BO12" s="39"/>
      <c r="BP12" s="14" t="str">
        <f t="shared" si="13"/>
        <v/>
      </c>
      <c r="BQ12" s="15">
        <v>0</v>
      </c>
      <c r="BR12" s="15" t="str">
        <f t="shared" si="26"/>
        <v/>
      </c>
      <c r="BS12" s="15" t="str">
        <f t="shared" si="27"/>
        <v/>
      </c>
      <c r="BT12" s="16" t="str">
        <f t="shared" si="14"/>
        <v/>
      </c>
      <c r="BU12" s="39"/>
      <c r="BV12" s="51" t="str">
        <f t="shared" si="15"/>
        <v/>
      </c>
      <c r="BW12" s="28" t="str">
        <f t="shared" si="16"/>
        <v/>
      </c>
      <c r="BX12" s="28" t="str">
        <f t="shared" si="17"/>
        <v/>
      </c>
      <c r="BY12" s="28" t="str">
        <f t="shared" si="18"/>
        <v/>
      </c>
      <c r="BZ12" s="28" t="str">
        <f t="shared" si="28"/>
        <v/>
      </c>
      <c r="CA12" s="52" t="str">
        <f t="shared" si="29"/>
        <v/>
      </c>
      <c r="CB12" s="39"/>
      <c r="CC12" s="49" t="str">
        <f t="shared" si="19"/>
        <v>-</v>
      </c>
      <c r="CD12" s="29" t="str">
        <f t="shared" si="20"/>
        <v>-</v>
      </c>
      <c r="CE12" s="29" t="str">
        <f t="shared" si="21"/>
        <v>-</v>
      </c>
      <c r="CF12" s="29" t="str">
        <f t="shared" si="22"/>
        <v>-</v>
      </c>
      <c r="CG12" s="50" t="str">
        <f t="shared" si="23"/>
        <v>-</v>
      </c>
      <c r="CH12" s="39"/>
    </row>
    <row r="13" spans="1:86" s="27" customFormat="1" ht="12.4" customHeight="1" thickBot="1" x14ac:dyDescent="0.25">
      <c r="A13" s="43">
        <f t="shared" si="30"/>
        <v>46305</v>
      </c>
      <c r="B13" s="44" t="str">
        <f>+TEXT(A13,"DDD")</f>
        <v>Sat</v>
      </c>
      <c r="C13" s="2"/>
      <c r="D13" s="2"/>
      <c r="E13" s="3"/>
      <c r="F13" s="2"/>
      <c r="G13" s="2"/>
      <c r="H13" s="4"/>
      <c r="I13" s="4"/>
      <c r="J13" s="57"/>
      <c r="K13" s="5"/>
      <c r="L13" s="2"/>
      <c r="M13" s="2"/>
      <c r="N13" s="2"/>
      <c r="O13" s="2"/>
      <c r="P13" s="3"/>
      <c r="Q13" s="2"/>
      <c r="R13" s="2"/>
      <c r="S13" s="2"/>
      <c r="T13" s="2"/>
      <c r="U13" s="2"/>
      <c r="V13" s="3"/>
      <c r="W13" s="3"/>
      <c r="X13" s="2"/>
      <c r="Y13" s="2"/>
      <c r="Z13" s="2"/>
      <c r="AA13" s="2"/>
      <c r="AB13" s="2"/>
      <c r="AC13" s="2"/>
      <c r="AD13" s="2"/>
      <c r="AE13" s="2"/>
      <c r="AF13" s="3"/>
      <c r="AG13" s="3"/>
      <c r="AH13" s="2"/>
      <c r="AI13" s="6"/>
      <c r="AJ13" s="7"/>
      <c r="AK13" s="6"/>
      <c r="AL13" s="59"/>
      <c r="AM13" s="59"/>
      <c r="AN13" s="59"/>
      <c r="AO13" s="59"/>
      <c r="AP13" s="59"/>
      <c r="AQ13" s="59"/>
      <c r="AR13" s="59"/>
      <c r="AS13" s="59"/>
      <c r="AT13" s="8"/>
      <c r="AU13" s="8"/>
      <c r="AV13" s="9"/>
      <c r="AW13" s="8"/>
      <c r="AX13" s="10" t="str">
        <f t="shared" si="1"/>
        <v>-</v>
      </c>
      <c r="AY13" s="39"/>
      <c r="AZ13" s="1" t="str">
        <f t="shared" si="2"/>
        <v/>
      </c>
      <c r="BA13" s="11" t="str">
        <f t="shared" si="3"/>
        <v/>
      </c>
      <c r="BB13" s="1" t="str">
        <f t="shared" si="4"/>
        <v/>
      </c>
      <c r="BC13" s="39"/>
      <c r="BD13" s="53" t="str">
        <f t="shared" si="5"/>
        <v/>
      </c>
      <c r="BE13" s="12" t="str">
        <f t="shared" si="6"/>
        <v/>
      </c>
      <c r="BF13" s="12" t="str">
        <f t="shared" si="7"/>
        <v/>
      </c>
      <c r="BG13" s="12" t="str">
        <f t="shared" si="24"/>
        <v/>
      </c>
      <c r="BH13" s="12" t="str">
        <f t="shared" si="8"/>
        <v/>
      </c>
      <c r="BI13" s="54" t="str">
        <f t="shared" si="25"/>
        <v/>
      </c>
      <c r="BJ13" s="39"/>
      <c r="BK13" s="55" t="str">
        <f t="shared" si="9"/>
        <v/>
      </c>
      <c r="BL13" s="13" t="str">
        <f t="shared" si="10"/>
        <v/>
      </c>
      <c r="BM13" s="13" t="str">
        <f t="shared" si="11"/>
        <v/>
      </c>
      <c r="BN13" s="56" t="str">
        <f t="shared" si="12"/>
        <v/>
      </c>
      <c r="BO13" s="39"/>
      <c r="BP13" s="14" t="str">
        <f t="shared" si="13"/>
        <v/>
      </c>
      <c r="BQ13" s="15">
        <v>0</v>
      </c>
      <c r="BR13" s="15" t="str">
        <f t="shared" si="26"/>
        <v/>
      </c>
      <c r="BS13" s="15" t="str">
        <f t="shared" si="27"/>
        <v/>
      </c>
      <c r="BT13" s="16" t="str">
        <f t="shared" si="14"/>
        <v/>
      </c>
      <c r="BU13" s="39"/>
      <c r="BV13" s="51" t="str">
        <f t="shared" si="15"/>
        <v/>
      </c>
      <c r="BW13" s="28" t="str">
        <f t="shared" si="16"/>
        <v/>
      </c>
      <c r="BX13" s="28" t="str">
        <f t="shared" si="17"/>
        <v/>
      </c>
      <c r="BY13" s="28" t="str">
        <f t="shared" si="18"/>
        <v/>
      </c>
      <c r="BZ13" s="28" t="str">
        <f t="shared" si="28"/>
        <v/>
      </c>
      <c r="CA13" s="52" t="str">
        <f t="shared" si="29"/>
        <v/>
      </c>
      <c r="CB13" s="39"/>
      <c r="CC13" s="49" t="str">
        <f t="shared" si="19"/>
        <v>-</v>
      </c>
      <c r="CD13" s="29" t="str">
        <f t="shared" si="20"/>
        <v>-</v>
      </c>
      <c r="CE13" s="29" t="str">
        <f t="shared" si="21"/>
        <v>-</v>
      </c>
      <c r="CF13" s="29" t="str">
        <f t="shared" si="22"/>
        <v>-</v>
      </c>
      <c r="CG13" s="50" t="str">
        <f t="shared" si="23"/>
        <v>-</v>
      </c>
      <c r="CH13" s="39"/>
    </row>
    <row r="14" spans="1:86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1"/>
      <c r="AM14" s="61"/>
      <c r="AN14" s="61"/>
      <c r="AO14" s="61"/>
      <c r="AP14" s="61"/>
      <c r="AQ14" s="61"/>
      <c r="AR14" s="61"/>
      <c r="AS14" s="61"/>
      <c r="AT14" s="60"/>
      <c r="AU14" s="60"/>
      <c r="AV14" s="60"/>
      <c r="AW14" s="60"/>
      <c r="AX14" s="10" t="str">
        <f t="shared" si="1"/>
        <v>-</v>
      </c>
      <c r="AY14" s="39"/>
      <c r="AZ14" s="1" t="str">
        <f t="shared" si="2"/>
        <v/>
      </c>
      <c r="BA14" s="11" t="str">
        <f t="shared" si="3"/>
        <v/>
      </c>
      <c r="BB14" s="1" t="str">
        <f t="shared" si="4"/>
        <v/>
      </c>
      <c r="BC14" s="39"/>
      <c r="BD14" s="53" t="str">
        <f t="shared" si="5"/>
        <v/>
      </c>
      <c r="BE14" s="12" t="str">
        <f t="shared" si="6"/>
        <v/>
      </c>
      <c r="BF14" s="12" t="str">
        <f t="shared" si="7"/>
        <v/>
      </c>
      <c r="BG14" s="12" t="str">
        <f t="shared" si="24"/>
        <v/>
      </c>
      <c r="BH14" s="12" t="str">
        <f t="shared" si="8"/>
        <v/>
      </c>
      <c r="BI14" s="54" t="str">
        <f t="shared" si="25"/>
        <v/>
      </c>
      <c r="BJ14" s="39"/>
      <c r="BK14" s="55" t="str">
        <f t="shared" si="9"/>
        <v/>
      </c>
      <c r="BL14" s="13" t="str">
        <f t="shared" si="10"/>
        <v/>
      </c>
      <c r="BM14" s="13" t="str">
        <f t="shared" si="11"/>
        <v/>
      </c>
      <c r="BN14" s="56" t="str">
        <f t="shared" si="12"/>
        <v/>
      </c>
      <c r="BO14" s="39"/>
      <c r="BP14" s="14" t="str">
        <f t="shared" si="13"/>
        <v/>
      </c>
      <c r="BQ14" s="15">
        <v>0</v>
      </c>
      <c r="BR14" s="15" t="str">
        <f t="shared" si="26"/>
        <v/>
      </c>
      <c r="BS14" s="15" t="str">
        <f t="shared" si="27"/>
        <v/>
      </c>
      <c r="BT14" s="16" t="str">
        <f t="shared" si="14"/>
        <v/>
      </c>
      <c r="BU14" s="39"/>
      <c r="BV14" s="51" t="str">
        <f t="shared" si="15"/>
        <v/>
      </c>
      <c r="BW14" s="28" t="str">
        <f t="shared" si="16"/>
        <v/>
      </c>
      <c r="BX14" s="28" t="str">
        <f t="shared" si="17"/>
        <v/>
      </c>
      <c r="BY14" s="28" t="str">
        <f t="shared" si="18"/>
        <v/>
      </c>
      <c r="BZ14" s="28" t="str">
        <f t="shared" si="28"/>
        <v/>
      </c>
      <c r="CA14" s="52" t="str">
        <f t="shared" si="29"/>
        <v/>
      </c>
      <c r="CB14" s="39"/>
      <c r="CC14" s="49" t="str">
        <f t="shared" si="19"/>
        <v>-</v>
      </c>
      <c r="CD14" s="29" t="str">
        <f t="shared" si="20"/>
        <v>-</v>
      </c>
      <c r="CE14" s="29" t="str">
        <f t="shared" si="21"/>
        <v>-</v>
      </c>
      <c r="CF14" s="29" t="str">
        <f t="shared" si="22"/>
        <v>-</v>
      </c>
      <c r="CG14" s="50" t="str">
        <f t="shared" si="23"/>
        <v>-</v>
      </c>
      <c r="CH14" s="39"/>
    </row>
    <row r="15" spans="1:86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2"/>
      <c r="D15" s="2"/>
      <c r="E15" s="3"/>
      <c r="F15" s="2"/>
      <c r="G15" s="2"/>
      <c r="H15" s="4"/>
      <c r="I15" s="4"/>
      <c r="J15" s="57"/>
      <c r="K15" s="5"/>
      <c r="L15" s="2"/>
      <c r="M15" s="2"/>
      <c r="N15" s="2"/>
      <c r="O15" s="2"/>
      <c r="P15" s="3"/>
      <c r="Q15" s="2"/>
      <c r="R15" s="2"/>
      <c r="S15" s="2"/>
      <c r="T15" s="2"/>
      <c r="U15" s="60"/>
      <c r="V15" s="3"/>
      <c r="W15" s="3"/>
      <c r="X15" s="2"/>
      <c r="Y15" s="2"/>
      <c r="Z15" s="2"/>
      <c r="AA15" s="2"/>
      <c r="AB15" s="2"/>
      <c r="AC15" s="2"/>
      <c r="AD15" s="2"/>
      <c r="AE15" s="2"/>
      <c r="AF15" s="3"/>
      <c r="AG15" s="3"/>
      <c r="AH15" s="2"/>
      <c r="AI15" s="6"/>
      <c r="AJ15" s="7"/>
      <c r="AK15" s="6"/>
      <c r="AL15" s="61"/>
      <c r="AM15" s="61"/>
      <c r="AN15" s="61"/>
      <c r="AO15" s="61"/>
      <c r="AP15" s="61"/>
      <c r="AQ15" s="61"/>
      <c r="AR15" s="61"/>
      <c r="AS15" s="61"/>
      <c r="AT15" s="60"/>
      <c r="AU15" s="60"/>
      <c r="AV15" s="60"/>
      <c r="AW15" s="60"/>
      <c r="AX15" s="10" t="str">
        <f t="shared" si="1"/>
        <v>-</v>
      </c>
      <c r="AY15" s="39"/>
      <c r="AZ15" s="1" t="str">
        <f t="shared" si="2"/>
        <v/>
      </c>
      <c r="BA15" s="11" t="str">
        <f t="shared" si="3"/>
        <v/>
      </c>
      <c r="BB15" s="1" t="str">
        <f t="shared" si="4"/>
        <v/>
      </c>
      <c r="BC15" s="39"/>
      <c r="BD15" s="53" t="str">
        <f t="shared" si="5"/>
        <v/>
      </c>
      <c r="BE15" s="12" t="str">
        <f t="shared" si="6"/>
        <v/>
      </c>
      <c r="BF15" s="12" t="str">
        <f t="shared" si="7"/>
        <v/>
      </c>
      <c r="BG15" s="12" t="str">
        <f t="shared" si="24"/>
        <v/>
      </c>
      <c r="BH15" s="12" t="str">
        <f t="shared" si="8"/>
        <v/>
      </c>
      <c r="BI15" s="54" t="str">
        <f t="shared" si="25"/>
        <v/>
      </c>
      <c r="BJ15" s="39"/>
      <c r="BK15" s="55" t="str">
        <f t="shared" si="9"/>
        <v/>
      </c>
      <c r="BL15" s="13" t="str">
        <f t="shared" si="10"/>
        <v/>
      </c>
      <c r="BM15" s="13" t="str">
        <f t="shared" si="11"/>
        <v/>
      </c>
      <c r="BN15" s="56" t="str">
        <f t="shared" si="12"/>
        <v/>
      </c>
      <c r="BO15" s="39"/>
      <c r="BP15" s="14" t="str">
        <f t="shared" si="13"/>
        <v/>
      </c>
      <c r="BQ15" s="15">
        <v>0</v>
      </c>
      <c r="BR15" s="15" t="str">
        <f t="shared" si="26"/>
        <v/>
      </c>
      <c r="BS15" s="15" t="str">
        <f t="shared" si="27"/>
        <v/>
      </c>
      <c r="BT15" s="16" t="str">
        <f t="shared" si="14"/>
        <v/>
      </c>
      <c r="BU15" s="39"/>
      <c r="BV15" s="51" t="str">
        <f t="shared" si="15"/>
        <v/>
      </c>
      <c r="BW15" s="28" t="str">
        <f t="shared" si="16"/>
        <v/>
      </c>
      <c r="BX15" s="28" t="str">
        <f t="shared" si="17"/>
        <v/>
      </c>
      <c r="BY15" s="28" t="str">
        <f t="shared" si="18"/>
        <v/>
      </c>
      <c r="BZ15" s="28" t="str">
        <f t="shared" si="28"/>
        <v/>
      </c>
      <c r="CA15" s="52" t="str">
        <f t="shared" si="29"/>
        <v/>
      </c>
      <c r="CB15" s="39"/>
      <c r="CC15" s="49" t="str">
        <f t="shared" si="19"/>
        <v>-</v>
      </c>
      <c r="CD15" s="29" t="str">
        <f t="shared" si="20"/>
        <v>-</v>
      </c>
      <c r="CE15" s="29" t="str">
        <f t="shared" si="21"/>
        <v>-</v>
      </c>
      <c r="CF15" s="29" t="str">
        <f t="shared" si="22"/>
        <v>-</v>
      </c>
      <c r="CG15" s="50" t="str">
        <f t="shared" si="23"/>
        <v>-</v>
      </c>
      <c r="CH15" s="39"/>
    </row>
    <row r="16" spans="1:86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2"/>
      <c r="D16" s="2"/>
      <c r="E16" s="3"/>
      <c r="F16" s="2"/>
      <c r="G16" s="2"/>
      <c r="H16" s="4"/>
      <c r="I16" s="4"/>
      <c r="J16" s="62"/>
      <c r="K16" s="5"/>
      <c r="L16" s="2"/>
      <c r="M16" s="2"/>
      <c r="N16" s="2"/>
      <c r="O16" s="2"/>
      <c r="P16" s="3"/>
      <c r="Q16" s="2"/>
      <c r="R16" s="2"/>
      <c r="S16" s="2"/>
      <c r="T16" s="2"/>
      <c r="U16" s="2"/>
      <c r="V16" s="3"/>
      <c r="W16" s="3"/>
      <c r="X16" s="2"/>
      <c r="Y16" s="2"/>
      <c r="Z16" s="2"/>
      <c r="AA16" s="2"/>
      <c r="AB16" s="2"/>
      <c r="AC16" s="2"/>
      <c r="AD16" s="2"/>
      <c r="AE16" s="2"/>
      <c r="AF16" s="3"/>
      <c r="AG16" s="3"/>
      <c r="AH16" s="2"/>
      <c r="AI16" s="6"/>
      <c r="AJ16" s="7"/>
      <c r="AK16" s="6"/>
      <c r="AL16" s="59"/>
      <c r="AM16" s="59"/>
      <c r="AN16" s="59"/>
      <c r="AO16" s="59"/>
      <c r="AP16" s="59"/>
      <c r="AQ16" s="59"/>
      <c r="AR16" s="59"/>
      <c r="AS16" s="59"/>
      <c r="AT16" s="8"/>
      <c r="AU16" s="8"/>
      <c r="AV16" s="9"/>
      <c r="AW16" s="8"/>
      <c r="AX16" s="10" t="str">
        <f t="shared" si="1"/>
        <v>-</v>
      </c>
      <c r="AY16" s="39"/>
      <c r="AZ16" s="1" t="str">
        <f t="shared" si="2"/>
        <v/>
      </c>
      <c r="BA16" s="11" t="str">
        <f t="shared" si="3"/>
        <v/>
      </c>
      <c r="BB16" s="1" t="str">
        <f t="shared" si="4"/>
        <v/>
      </c>
      <c r="BC16" s="39"/>
      <c r="BD16" s="53" t="str">
        <f t="shared" si="5"/>
        <v/>
      </c>
      <c r="BE16" s="12" t="str">
        <f t="shared" si="6"/>
        <v/>
      </c>
      <c r="BF16" s="12" t="str">
        <f t="shared" si="7"/>
        <v/>
      </c>
      <c r="BG16" s="12" t="str">
        <f t="shared" si="24"/>
        <v/>
      </c>
      <c r="BH16" s="12" t="str">
        <f t="shared" si="8"/>
        <v/>
      </c>
      <c r="BI16" s="54" t="str">
        <f t="shared" si="25"/>
        <v/>
      </c>
      <c r="BJ16" s="39"/>
      <c r="BK16" s="55" t="str">
        <f t="shared" si="9"/>
        <v/>
      </c>
      <c r="BL16" s="13" t="str">
        <f t="shared" si="10"/>
        <v/>
      </c>
      <c r="BM16" s="13" t="str">
        <f t="shared" si="11"/>
        <v/>
      </c>
      <c r="BN16" s="56" t="str">
        <f t="shared" si="12"/>
        <v/>
      </c>
      <c r="BO16" s="39"/>
      <c r="BP16" s="14" t="str">
        <f t="shared" si="13"/>
        <v/>
      </c>
      <c r="BQ16" s="15">
        <v>0</v>
      </c>
      <c r="BR16" s="15" t="str">
        <f t="shared" si="26"/>
        <v/>
      </c>
      <c r="BS16" s="15" t="str">
        <f t="shared" si="27"/>
        <v/>
      </c>
      <c r="BT16" s="16" t="str">
        <f t="shared" si="14"/>
        <v/>
      </c>
      <c r="BU16" s="39"/>
      <c r="BV16" s="51" t="str">
        <f t="shared" si="15"/>
        <v/>
      </c>
      <c r="BW16" s="28" t="str">
        <f t="shared" si="16"/>
        <v/>
      </c>
      <c r="BX16" s="28" t="str">
        <f t="shared" si="17"/>
        <v/>
      </c>
      <c r="BY16" s="28" t="str">
        <f t="shared" si="18"/>
        <v/>
      </c>
      <c r="BZ16" s="28" t="str">
        <f t="shared" si="28"/>
        <v/>
      </c>
      <c r="CA16" s="52" t="str">
        <f t="shared" si="29"/>
        <v/>
      </c>
      <c r="CB16" s="39"/>
      <c r="CC16" s="49" t="str">
        <f t="shared" si="19"/>
        <v>-</v>
      </c>
      <c r="CD16" s="29" t="str">
        <f t="shared" si="20"/>
        <v>-</v>
      </c>
      <c r="CE16" s="29" t="str">
        <f t="shared" si="21"/>
        <v>-</v>
      </c>
      <c r="CF16" s="29" t="str">
        <f t="shared" si="22"/>
        <v>-</v>
      </c>
      <c r="CG16" s="50" t="str">
        <f t="shared" si="23"/>
        <v>-</v>
      </c>
      <c r="CH16" s="39"/>
    </row>
    <row r="17" spans="1:86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2"/>
      <c r="D17" s="2"/>
      <c r="E17" s="3"/>
      <c r="F17" s="2"/>
      <c r="G17" s="2"/>
      <c r="H17" s="4"/>
      <c r="I17" s="4"/>
      <c r="J17" s="57"/>
      <c r="K17" s="5"/>
      <c r="L17" s="2"/>
      <c r="M17" s="2"/>
      <c r="N17" s="2"/>
      <c r="O17" s="2"/>
      <c r="P17" s="3"/>
      <c r="Q17" s="2"/>
      <c r="R17" s="2"/>
      <c r="S17" s="2"/>
      <c r="T17" s="2"/>
      <c r="U17" s="2"/>
      <c r="V17" s="3"/>
      <c r="W17" s="3"/>
      <c r="X17" s="2"/>
      <c r="Y17" s="2"/>
      <c r="Z17" s="2"/>
      <c r="AA17" s="2"/>
      <c r="AB17" s="2"/>
      <c r="AC17" s="2"/>
      <c r="AD17" s="2"/>
      <c r="AE17" s="2"/>
      <c r="AF17" s="3"/>
      <c r="AG17" s="3"/>
      <c r="AH17" s="2"/>
      <c r="AI17" s="6"/>
      <c r="AJ17" s="7"/>
      <c r="AK17" s="6"/>
      <c r="AL17" s="59"/>
      <c r="AM17" s="59"/>
      <c r="AN17" s="59"/>
      <c r="AO17" s="59"/>
      <c r="AP17" s="59"/>
      <c r="AQ17" s="59"/>
      <c r="AR17" s="59"/>
      <c r="AS17" s="59"/>
      <c r="AT17" s="8"/>
      <c r="AU17" s="8"/>
      <c r="AV17" s="9"/>
      <c r="AW17" s="8"/>
      <c r="AX17" s="10" t="str">
        <f t="shared" si="1"/>
        <v>-</v>
      </c>
      <c r="AY17" s="39"/>
      <c r="AZ17" s="1" t="str">
        <f t="shared" si="2"/>
        <v/>
      </c>
      <c r="BA17" s="11" t="str">
        <f t="shared" si="3"/>
        <v/>
      </c>
      <c r="BB17" s="1" t="str">
        <f t="shared" si="4"/>
        <v/>
      </c>
      <c r="BC17" s="39"/>
      <c r="BD17" s="53" t="str">
        <f t="shared" si="5"/>
        <v/>
      </c>
      <c r="BE17" s="12" t="str">
        <f t="shared" si="6"/>
        <v/>
      </c>
      <c r="BF17" s="12" t="str">
        <f t="shared" si="7"/>
        <v/>
      </c>
      <c r="BG17" s="12" t="str">
        <f t="shared" si="24"/>
        <v/>
      </c>
      <c r="BH17" s="12" t="str">
        <f t="shared" si="8"/>
        <v/>
      </c>
      <c r="BI17" s="54" t="str">
        <f t="shared" si="25"/>
        <v/>
      </c>
      <c r="BJ17" s="39"/>
      <c r="BK17" s="55" t="str">
        <f t="shared" si="9"/>
        <v/>
      </c>
      <c r="BL17" s="13" t="str">
        <f t="shared" si="10"/>
        <v/>
      </c>
      <c r="BM17" s="13" t="str">
        <f t="shared" si="11"/>
        <v/>
      </c>
      <c r="BN17" s="56" t="str">
        <f t="shared" si="12"/>
        <v/>
      </c>
      <c r="BO17" s="39"/>
      <c r="BP17" s="14" t="str">
        <f t="shared" si="13"/>
        <v/>
      </c>
      <c r="BQ17" s="15">
        <v>0</v>
      </c>
      <c r="BR17" s="15" t="str">
        <f t="shared" si="26"/>
        <v/>
      </c>
      <c r="BS17" s="15" t="str">
        <f t="shared" si="27"/>
        <v/>
      </c>
      <c r="BT17" s="16" t="str">
        <f t="shared" si="14"/>
        <v/>
      </c>
      <c r="BU17" s="39"/>
      <c r="BV17" s="51" t="str">
        <f t="shared" si="15"/>
        <v/>
      </c>
      <c r="BW17" s="28" t="str">
        <f t="shared" si="16"/>
        <v/>
      </c>
      <c r="BX17" s="28" t="str">
        <f t="shared" si="17"/>
        <v/>
      </c>
      <c r="BY17" s="28" t="str">
        <f t="shared" si="18"/>
        <v/>
      </c>
      <c r="BZ17" s="28" t="str">
        <f t="shared" si="28"/>
        <v/>
      </c>
      <c r="CA17" s="52" t="str">
        <f t="shared" si="29"/>
        <v/>
      </c>
      <c r="CB17" s="39"/>
      <c r="CC17" s="49" t="str">
        <f t="shared" si="19"/>
        <v>-</v>
      </c>
      <c r="CD17" s="29" t="str">
        <f t="shared" si="20"/>
        <v>-</v>
      </c>
      <c r="CE17" s="29" t="str">
        <f t="shared" si="21"/>
        <v>-</v>
      </c>
      <c r="CF17" s="29" t="str">
        <f t="shared" si="22"/>
        <v>-</v>
      </c>
      <c r="CG17" s="50" t="str">
        <f t="shared" si="23"/>
        <v>-</v>
      </c>
      <c r="CH17" s="39"/>
    </row>
    <row r="18" spans="1:86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2"/>
      <c r="D18" s="2"/>
      <c r="E18" s="3"/>
      <c r="F18" s="2"/>
      <c r="G18" s="2"/>
      <c r="H18" s="4"/>
      <c r="I18" s="4"/>
      <c r="J18" s="57"/>
      <c r="K18" s="5"/>
      <c r="L18" s="2"/>
      <c r="M18" s="2"/>
      <c r="N18" s="2"/>
      <c r="O18" s="2"/>
      <c r="P18" s="3"/>
      <c r="Q18" s="2"/>
      <c r="R18" s="2"/>
      <c r="S18" s="2"/>
      <c r="T18" s="2"/>
      <c r="U18" s="2"/>
      <c r="V18" s="3"/>
      <c r="W18" s="3"/>
      <c r="X18" s="2"/>
      <c r="Y18" s="2"/>
      <c r="Z18" s="2"/>
      <c r="AA18" s="2"/>
      <c r="AB18" s="2"/>
      <c r="AC18" s="2"/>
      <c r="AD18" s="2"/>
      <c r="AE18" s="2"/>
      <c r="AF18" s="3"/>
      <c r="AG18" s="3"/>
      <c r="AH18" s="2"/>
      <c r="AI18" s="6"/>
      <c r="AJ18" s="7"/>
      <c r="AK18" s="6"/>
      <c r="AL18" s="59"/>
      <c r="AM18" s="59"/>
      <c r="AN18" s="59"/>
      <c r="AO18" s="59"/>
      <c r="AP18" s="59"/>
      <c r="AQ18" s="59"/>
      <c r="AR18" s="59"/>
      <c r="AS18" s="59"/>
      <c r="AT18" s="8"/>
      <c r="AU18" s="8"/>
      <c r="AV18" s="9"/>
      <c r="AW18" s="8"/>
      <c r="AX18" s="10" t="str">
        <f t="shared" si="1"/>
        <v>-</v>
      </c>
      <c r="AY18" s="39"/>
      <c r="AZ18" s="1" t="str">
        <f t="shared" si="2"/>
        <v/>
      </c>
      <c r="BA18" s="11" t="str">
        <f t="shared" si="3"/>
        <v/>
      </c>
      <c r="BB18" s="1" t="str">
        <f t="shared" si="4"/>
        <v/>
      </c>
      <c r="BC18" s="39"/>
      <c r="BD18" s="53" t="str">
        <f t="shared" si="5"/>
        <v/>
      </c>
      <c r="BE18" s="12" t="str">
        <f t="shared" si="6"/>
        <v/>
      </c>
      <c r="BF18" s="12" t="str">
        <f t="shared" si="7"/>
        <v/>
      </c>
      <c r="BG18" s="12" t="str">
        <f t="shared" si="24"/>
        <v/>
      </c>
      <c r="BH18" s="12" t="str">
        <f t="shared" si="8"/>
        <v/>
      </c>
      <c r="BI18" s="54" t="str">
        <f t="shared" si="25"/>
        <v/>
      </c>
      <c r="BJ18" s="39"/>
      <c r="BK18" s="55" t="str">
        <f t="shared" si="9"/>
        <v/>
      </c>
      <c r="BL18" s="13" t="str">
        <f t="shared" si="10"/>
        <v/>
      </c>
      <c r="BM18" s="13" t="str">
        <f t="shared" si="11"/>
        <v/>
      </c>
      <c r="BN18" s="56" t="str">
        <f t="shared" si="12"/>
        <v/>
      </c>
      <c r="BO18" s="39"/>
      <c r="BP18" s="14" t="str">
        <f t="shared" si="13"/>
        <v/>
      </c>
      <c r="BQ18" s="15">
        <v>0</v>
      </c>
      <c r="BR18" s="15" t="str">
        <f t="shared" si="26"/>
        <v/>
      </c>
      <c r="BS18" s="15" t="str">
        <f t="shared" si="27"/>
        <v/>
      </c>
      <c r="BT18" s="16" t="str">
        <f t="shared" si="14"/>
        <v/>
      </c>
      <c r="BU18" s="39"/>
      <c r="BV18" s="51" t="str">
        <f t="shared" si="15"/>
        <v/>
      </c>
      <c r="BW18" s="28" t="str">
        <f t="shared" si="16"/>
        <v/>
      </c>
      <c r="BX18" s="28" t="str">
        <f t="shared" si="17"/>
        <v/>
      </c>
      <c r="BY18" s="28" t="str">
        <f t="shared" si="18"/>
        <v/>
      </c>
      <c r="BZ18" s="28" t="str">
        <f t="shared" si="28"/>
        <v/>
      </c>
      <c r="CA18" s="52" t="str">
        <f t="shared" si="29"/>
        <v/>
      </c>
      <c r="CB18" s="39"/>
      <c r="CC18" s="49" t="str">
        <f t="shared" si="19"/>
        <v>-</v>
      </c>
      <c r="CD18" s="29" t="str">
        <f t="shared" si="20"/>
        <v>-</v>
      </c>
      <c r="CE18" s="29" t="str">
        <f t="shared" si="21"/>
        <v>-</v>
      </c>
      <c r="CF18" s="29" t="str">
        <f t="shared" si="22"/>
        <v>-</v>
      </c>
      <c r="CG18" s="50" t="str">
        <f t="shared" si="23"/>
        <v>-</v>
      </c>
      <c r="CH18" s="39"/>
    </row>
    <row r="19" spans="1:86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2"/>
      <c r="D19" s="2"/>
      <c r="E19" s="3"/>
      <c r="F19" s="2"/>
      <c r="G19" s="2"/>
      <c r="H19" s="4"/>
      <c r="I19" s="4"/>
      <c r="J19" s="57"/>
      <c r="K19" s="5"/>
      <c r="L19" s="2"/>
      <c r="M19" s="2"/>
      <c r="N19" s="2"/>
      <c r="O19" s="2"/>
      <c r="P19" s="3"/>
      <c r="Q19" s="2"/>
      <c r="R19" s="2"/>
      <c r="S19" s="2"/>
      <c r="T19" s="2"/>
      <c r="U19" s="2"/>
      <c r="V19" s="3"/>
      <c r="W19" s="3"/>
      <c r="X19" s="2"/>
      <c r="Y19" s="2"/>
      <c r="Z19" s="2"/>
      <c r="AA19" s="2"/>
      <c r="AB19" s="2"/>
      <c r="AC19" s="2"/>
      <c r="AD19" s="2"/>
      <c r="AE19" s="2"/>
      <c r="AF19" s="3"/>
      <c r="AG19" s="3"/>
      <c r="AH19" s="2"/>
      <c r="AI19" s="6"/>
      <c r="AJ19" s="7"/>
      <c r="AK19" s="6"/>
      <c r="AL19" s="59"/>
      <c r="AM19" s="59"/>
      <c r="AN19" s="59"/>
      <c r="AO19" s="59"/>
      <c r="AP19" s="59"/>
      <c r="AQ19" s="59"/>
      <c r="AR19" s="59"/>
      <c r="AS19" s="59"/>
      <c r="AT19" s="8"/>
      <c r="AU19" s="8"/>
      <c r="AV19" s="9"/>
      <c r="AW19" s="8"/>
      <c r="AX19" s="10" t="str">
        <f t="shared" si="1"/>
        <v>-</v>
      </c>
      <c r="AY19" s="39"/>
      <c r="AZ19" s="1" t="str">
        <f t="shared" si="2"/>
        <v/>
      </c>
      <c r="BA19" s="11" t="str">
        <f t="shared" si="3"/>
        <v/>
      </c>
      <c r="BB19" s="1" t="str">
        <f t="shared" si="4"/>
        <v/>
      </c>
      <c r="BC19" s="39"/>
      <c r="BD19" s="53" t="str">
        <f t="shared" si="5"/>
        <v/>
      </c>
      <c r="BE19" s="12" t="str">
        <f t="shared" si="6"/>
        <v/>
      </c>
      <c r="BF19" s="12" t="str">
        <f t="shared" si="7"/>
        <v/>
      </c>
      <c r="BG19" s="12" t="str">
        <f t="shared" si="24"/>
        <v/>
      </c>
      <c r="BH19" s="12" t="str">
        <f t="shared" si="8"/>
        <v/>
      </c>
      <c r="BI19" s="54" t="str">
        <f t="shared" si="25"/>
        <v/>
      </c>
      <c r="BJ19" s="39"/>
      <c r="BK19" s="55" t="str">
        <f t="shared" si="9"/>
        <v/>
      </c>
      <c r="BL19" s="13" t="str">
        <f t="shared" si="10"/>
        <v/>
      </c>
      <c r="BM19" s="13" t="str">
        <f t="shared" si="11"/>
        <v/>
      </c>
      <c r="BN19" s="56" t="str">
        <f t="shared" si="12"/>
        <v/>
      </c>
      <c r="BO19" s="39"/>
      <c r="BP19" s="14" t="str">
        <f t="shared" si="13"/>
        <v/>
      </c>
      <c r="BQ19" s="15">
        <v>0</v>
      </c>
      <c r="BR19" s="15" t="str">
        <f t="shared" si="26"/>
        <v/>
      </c>
      <c r="BS19" s="15" t="str">
        <f t="shared" si="27"/>
        <v/>
      </c>
      <c r="BT19" s="16" t="str">
        <f t="shared" si="14"/>
        <v/>
      </c>
      <c r="BU19" s="39"/>
      <c r="BV19" s="51" t="str">
        <f t="shared" si="15"/>
        <v/>
      </c>
      <c r="BW19" s="28" t="str">
        <f t="shared" si="16"/>
        <v/>
      </c>
      <c r="BX19" s="28" t="str">
        <f t="shared" si="17"/>
        <v/>
      </c>
      <c r="BY19" s="28" t="str">
        <f t="shared" si="18"/>
        <v/>
      </c>
      <c r="BZ19" s="28" t="str">
        <f t="shared" si="28"/>
        <v/>
      </c>
      <c r="CA19" s="52" t="str">
        <f t="shared" si="29"/>
        <v/>
      </c>
      <c r="CB19" s="39"/>
      <c r="CC19" s="49" t="str">
        <f t="shared" si="19"/>
        <v>-</v>
      </c>
      <c r="CD19" s="29" t="str">
        <f t="shared" si="20"/>
        <v>-</v>
      </c>
      <c r="CE19" s="29" t="str">
        <f t="shared" si="21"/>
        <v>-</v>
      </c>
      <c r="CF19" s="29" t="str">
        <f t="shared" si="22"/>
        <v>-</v>
      </c>
      <c r="CG19" s="50" t="str">
        <f t="shared" si="23"/>
        <v>-</v>
      </c>
      <c r="CH19" s="39"/>
    </row>
    <row r="20" spans="1:86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2"/>
      <c r="D20" s="2"/>
      <c r="E20" s="3"/>
      <c r="F20" s="2"/>
      <c r="G20" s="2"/>
      <c r="H20" s="4"/>
      <c r="I20" s="4"/>
      <c r="J20" s="57"/>
      <c r="K20" s="5"/>
      <c r="L20" s="2"/>
      <c r="M20" s="2"/>
      <c r="N20" s="2"/>
      <c r="O20" s="2"/>
      <c r="P20" s="3"/>
      <c r="Q20" s="2"/>
      <c r="R20" s="2"/>
      <c r="S20" s="2"/>
      <c r="T20" s="2"/>
      <c r="U20" s="2"/>
      <c r="V20" s="3"/>
      <c r="W20" s="3"/>
      <c r="X20" s="2"/>
      <c r="Y20" s="2"/>
      <c r="Z20" s="2"/>
      <c r="AA20" s="2"/>
      <c r="AB20" s="2"/>
      <c r="AC20" s="2"/>
      <c r="AD20" s="2"/>
      <c r="AE20" s="2"/>
      <c r="AF20" s="3"/>
      <c r="AG20" s="3"/>
      <c r="AH20" s="2"/>
      <c r="AI20" s="6"/>
      <c r="AJ20" s="7"/>
      <c r="AK20" s="6"/>
      <c r="AL20" s="59"/>
      <c r="AM20" s="59"/>
      <c r="AN20" s="59"/>
      <c r="AO20" s="59"/>
      <c r="AP20" s="59"/>
      <c r="AQ20" s="59"/>
      <c r="AR20" s="59"/>
      <c r="AS20" s="59"/>
      <c r="AT20" s="8"/>
      <c r="AU20" s="8"/>
      <c r="AV20" s="9"/>
      <c r="AW20" s="8"/>
      <c r="AX20" s="10" t="str">
        <f t="shared" si="1"/>
        <v>-</v>
      </c>
      <c r="AY20" s="39"/>
      <c r="AZ20" s="1" t="str">
        <f t="shared" si="2"/>
        <v/>
      </c>
      <c r="BA20" s="11" t="str">
        <f t="shared" si="3"/>
        <v/>
      </c>
      <c r="BB20" s="1" t="str">
        <f t="shared" si="4"/>
        <v/>
      </c>
      <c r="BC20" s="39"/>
      <c r="BD20" s="53" t="str">
        <f t="shared" si="5"/>
        <v/>
      </c>
      <c r="BE20" s="12" t="str">
        <f t="shared" si="6"/>
        <v/>
      </c>
      <c r="BF20" s="12" t="str">
        <f t="shared" si="7"/>
        <v/>
      </c>
      <c r="BG20" s="12" t="str">
        <f t="shared" si="24"/>
        <v/>
      </c>
      <c r="BH20" s="12" t="str">
        <f t="shared" si="8"/>
        <v/>
      </c>
      <c r="BI20" s="54" t="str">
        <f t="shared" si="25"/>
        <v/>
      </c>
      <c r="BJ20" s="39"/>
      <c r="BK20" s="55" t="str">
        <f t="shared" si="9"/>
        <v/>
      </c>
      <c r="BL20" s="13" t="str">
        <f t="shared" si="10"/>
        <v/>
      </c>
      <c r="BM20" s="13" t="str">
        <f t="shared" si="11"/>
        <v/>
      </c>
      <c r="BN20" s="56" t="str">
        <f t="shared" si="12"/>
        <v/>
      </c>
      <c r="BO20" s="39"/>
      <c r="BP20" s="14" t="str">
        <f t="shared" si="13"/>
        <v/>
      </c>
      <c r="BQ20" s="15">
        <v>0</v>
      </c>
      <c r="BR20" s="15" t="str">
        <f t="shared" si="26"/>
        <v/>
      </c>
      <c r="BS20" s="15" t="str">
        <f t="shared" si="27"/>
        <v/>
      </c>
      <c r="BT20" s="16" t="str">
        <f t="shared" si="14"/>
        <v/>
      </c>
      <c r="BU20" s="39"/>
      <c r="BV20" s="51" t="str">
        <f t="shared" si="15"/>
        <v/>
      </c>
      <c r="BW20" s="28" t="str">
        <f t="shared" si="16"/>
        <v/>
      </c>
      <c r="BX20" s="28" t="str">
        <f t="shared" si="17"/>
        <v/>
      </c>
      <c r="BY20" s="28" t="str">
        <f t="shared" si="18"/>
        <v/>
      </c>
      <c r="BZ20" s="28" t="str">
        <f t="shared" si="28"/>
        <v/>
      </c>
      <c r="CA20" s="52" t="str">
        <f t="shared" si="29"/>
        <v/>
      </c>
      <c r="CB20" s="39"/>
      <c r="CC20" s="49" t="str">
        <f t="shared" si="19"/>
        <v>-</v>
      </c>
      <c r="CD20" s="29" t="str">
        <f t="shared" si="20"/>
        <v>-</v>
      </c>
      <c r="CE20" s="29" t="str">
        <f t="shared" si="21"/>
        <v>-</v>
      </c>
      <c r="CF20" s="29" t="str">
        <f t="shared" si="22"/>
        <v>-</v>
      </c>
      <c r="CG20" s="50" t="str">
        <f t="shared" si="23"/>
        <v>-</v>
      </c>
      <c r="CH20" s="39"/>
    </row>
    <row r="21" spans="1:86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2"/>
      <c r="D21" s="2"/>
      <c r="E21" s="3"/>
      <c r="F21" s="2"/>
      <c r="G21" s="2"/>
      <c r="H21" s="4"/>
      <c r="I21" s="4"/>
      <c r="J21" s="57"/>
      <c r="K21" s="5"/>
      <c r="L21" s="2"/>
      <c r="M21" s="2"/>
      <c r="N21" s="2"/>
      <c r="O21" s="2"/>
      <c r="P21" s="3"/>
      <c r="Q21" s="2"/>
      <c r="R21" s="2"/>
      <c r="S21" s="2"/>
      <c r="T21" s="2"/>
      <c r="U21" s="2"/>
      <c r="V21" s="3"/>
      <c r="W21" s="3"/>
      <c r="X21" s="2"/>
      <c r="Y21" s="2"/>
      <c r="Z21" s="2"/>
      <c r="AA21" s="2"/>
      <c r="AB21" s="2"/>
      <c r="AC21" s="2"/>
      <c r="AD21" s="2"/>
      <c r="AE21" s="2"/>
      <c r="AF21" s="3"/>
      <c r="AG21" s="3"/>
      <c r="AH21" s="2"/>
      <c r="AI21" s="6"/>
      <c r="AJ21" s="7"/>
      <c r="AK21" s="6"/>
      <c r="AL21" s="59"/>
      <c r="AM21" s="59"/>
      <c r="AN21" s="59"/>
      <c r="AO21" s="59"/>
      <c r="AP21" s="59"/>
      <c r="AQ21" s="59"/>
      <c r="AR21" s="59"/>
      <c r="AS21" s="59"/>
      <c r="AT21" s="8"/>
      <c r="AU21" s="8"/>
      <c r="AV21" s="9"/>
      <c r="AW21" s="8"/>
      <c r="AX21" s="10" t="str">
        <f t="shared" si="1"/>
        <v>-</v>
      </c>
      <c r="AY21" s="39"/>
      <c r="AZ21" s="1" t="str">
        <f t="shared" si="2"/>
        <v/>
      </c>
      <c r="BA21" s="11" t="str">
        <f t="shared" si="3"/>
        <v/>
      </c>
      <c r="BB21" s="1" t="str">
        <f t="shared" si="4"/>
        <v/>
      </c>
      <c r="BC21" s="39"/>
      <c r="BD21" s="53" t="str">
        <f t="shared" si="5"/>
        <v/>
      </c>
      <c r="BE21" s="12" t="str">
        <f t="shared" si="6"/>
        <v/>
      </c>
      <c r="BF21" s="12" t="str">
        <f t="shared" si="7"/>
        <v/>
      </c>
      <c r="BG21" s="12" t="str">
        <f t="shared" si="24"/>
        <v/>
      </c>
      <c r="BH21" s="12" t="str">
        <f t="shared" si="8"/>
        <v/>
      </c>
      <c r="BI21" s="54" t="str">
        <f t="shared" si="25"/>
        <v/>
      </c>
      <c r="BJ21" s="39"/>
      <c r="BK21" s="55" t="str">
        <f t="shared" si="9"/>
        <v/>
      </c>
      <c r="BL21" s="13" t="str">
        <f t="shared" si="10"/>
        <v/>
      </c>
      <c r="BM21" s="13" t="str">
        <f t="shared" si="11"/>
        <v/>
      </c>
      <c r="BN21" s="56" t="str">
        <f t="shared" si="12"/>
        <v/>
      </c>
      <c r="BO21" s="39"/>
      <c r="BP21" s="14" t="str">
        <f t="shared" si="13"/>
        <v/>
      </c>
      <c r="BQ21" s="15">
        <v>0</v>
      </c>
      <c r="BR21" s="15" t="str">
        <f t="shared" si="26"/>
        <v/>
      </c>
      <c r="BS21" s="15" t="str">
        <f t="shared" si="27"/>
        <v/>
      </c>
      <c r="BT21" s="16" t="str">
        <f t="shared" si="14"/>
        <v/>
      </c>
      <c r="BU21" s="39"/>
      <c r="BV21" s="51" t="str">
        <f t="shared" si="15"/>
        <v/>
      </c>
      <c r="BW21" s="28" t="str">
        <f t="shared" si="16"/>
        <v/>
      </c>
      <c r="BX21" s="28" t="str">
        <f t="shared" si="17"/>
        <v/>
      </c>
      <c r="BY21" s="28" t="str">
        <f t="shared" si="18"/>
        <v/>
      </c>
      <c r="BZ21" s="28" t="str">
        <f t="shared" si="28"/>
        <v/>
      </c>
      <c r="CA21" s="52" t="str">
        <f t="shared" si="29"/>
        <v/>
      </c>
      <c r="CB21" s="39"/>
      <c r="CC21" s="49" t="str">
        <f t="shared" si="19"/>
        <v>-</v>
      </c>
      <c r="CD21" s="29" t="str">
        <f t="shared" si="20"/>
        <v>-</v>
      </c>
      <c r="CE21" s="29" t="str">
        <f t="shared" si="21"/>
        <v>-</v>
      </c>
      <c r="CF21" s="29" t="str">
        <f t="shared" si="22"/>
        <v>-</v>
      </c>
      <c r="CG21" s="50" t="str">
        <f t="shared" si="23"/>
        <v>-</v>
      </c>
      <c r="CH21" s="39"/>
    </row>
    <row r="22" spans="1:86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2"/>
      <c r="D22" s="2"/>
      <c r="E22" s="3"/>
      <c r="F22" s="2"/>
      <c r="G22" s="2"/>
      <c r="H22" s="4"/>
      <c r="I22" s="4"/>
      <c r="J22" s="57"/>
      <c r="K22" s="5"/>
      <c r="L22" s="2"/>
      <c r="M22" s="2"/>
      <c r="N22" s="2"/>
      <c r="O22" s="2"/>
      <c r="P22" s="3"/>
      <c r="Q22" s="2"/>
      <c r="R22" s="2"/>
      <c r="S22" s="2"/>
      <c r="T22" s="2"/>
      <c r="U22" s="2"/>
      <c r="V22" s="3"/>
      <c r="W22" s="3"/>
      <c r="X22" s="2"/>
      <c r="Y22" s="2"/>
      <c r="Z22" s="2"/>
      <c r="AA22" s="2"/>
      <c r="AB22" s="2"/>
      <c r="AC22" s="2"/>
      <c r="AD22" s="2"/>
      <c r="AE22" s="2"/>
      <c r="AF22" s="3"/>
      <c r="AG22" s="3"/>
      <c r="AH22" s="2"/>
      <c r="AI22" s="6"/>
      <c r="AJ22" s="7"/>
      <c r="AK22" s="6"/>
      <c r="AL22" s="59"/>
      <c r="AM22" s="59"/>
      <c r="AN22" s="59"/>
      <c r="AO22" s="59"/>
      <c r="AP22" s="59"/>
      <c r="AQ22" s="59"/>
      <c r="AR22" s="59"/>
      <c r="AS22" s="59"/>
      <c r="AT22" s="8"/>
      <c r="AU22" s="8"/>
      <c r="AV22" s="9"/>
      <c r="AW22" s="8"/>
      <c r="AX22" s="10" t="str">
        <f t="shared" si="1"/>
        <v>-</v>
      </c>
      <c r="AY22" s="39"/>
      <c r="AZ22" s="1" t="str">
        <f t="shared" si="2"/>
        <v/>
      </c>
      <c r="BA22" s="11" t="str">
        <f t="shared" si="3"/>
        <v/>
      </c>
      <c r="BB22" s="1" t="str">
        <f t="shared" si="4"/>
        <v/>
      </c>
      <c r="BC22" s="39"/>
      <c r="BD22" s="53" t="str">
        <f t="shared" si="5"/>
        <v/>
      </c>
      <c r="BE22" s="12" t="str">
        <f t="shared" si="6"/>
        <v/>
      </c>
      <c r="BF22" s="12" t="str">
        <f t="shared" si="7"/>
        <v/>
      </c>
      <c r="BG22" s="12" t="str">
        <f t="shared" si="24"/>
        <v/>
      </c>
      <c r="BH22" s="12" t="str">
        <f t="shared" si="8"/>
        <v/>
      </c>
      <c r="BI22" s="54" t="str">
        <f t="shared" si="25"/>
        <v/>
      </c>
      <c r="BJ22" s="39"/>
      <c r="BK22" s="55" t="str">
        <f t="shared" si="9"/>
        <v/>
      </c>
      <c r="BL22" s="13" t="str">
        <f t="shared" si="10"/>
        <v/>
      </c>
      <c r="BM22" s="13" t="str">
        <f t="shared" si="11"/>
        <v/>
      </c>
      <c r="BN22" s="56" t="str">
        <f t="shared" si="12"/>
        <v/>
      </c>
      <c r="BO22" s="39"/>
      <c r="BP22" s="14" t="str">
        <f t="shared" si="13"/>
        <v/>
      </c>
      <c r="BQ22" s="15">
        <v>0</v>
      </c>
      <c r="BR22" s="15" t="str">
        <f t="shared" si="26"/>
        <v/>
      </c>
      <c r="BS22" s="15" t="str">
        <f t="shared" si="27"/>
        <v/>
      </c>
      <c r="BT22" s="16" t="str">
        <f t="shared" si="14"/>
        <v/>
      </c>
      <c r="BU22" s="39"/>
      <c r="BV22" s="51" t="str">
        <f t="shared" si="15"/>
        <v/>
      </c>
      <c r="BW22" s="28" t="str">
        <f t="shared" si="16"/>
        <v/>
      </c>
      <c r="BX22" s="28" t="str">
        <f t="shared" si="17"/>
        <v/>
      </c>
      <c r="BY22" s="28" t="str">
        <f t="shared" si="18"/>
        <v/>
      </c>
      <c r="BZ22" s="28" t="str">
        <f t="shared" si="28"/>
        <v/>
      </c>
      <c r="CA22" s="52" t="str">
        <f t="shared" si="29"/>
        <v/>
      </c>
      <c r="CB22" s="39"/>
      <c r="CC22" s="49" t="str">
        <f t="shared" si="19"/>
        <v>-</v>
      </c>
      <c r="CD22" s="29" t="str">
        <f t="shared" si="20"/>
        <v>-</v>
      </c>
      <c r="CE22" s="29" t="str">
        <f t="shared" si="21"/>
        <v>-</v>
      </c>
      <c r="CF22" s="29" t="str">
        <f t="shared" si="22"/>
        <v>-</v>
      </c>
      <c r="CG22" s="50" t="str">
        <f t="shared" si="23"/>
        <v>-</v>
      </c>
      <c r="CH22" s="39"/>
    </row>
    <row r="23" spans="1:86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2"/>
      <c r="D23" s="2"/>
      <c r="E23" s="3"/>
      <c r="F23" s="2"/>
      <c r="G23" s="2"/>
      <c r="H23" s="4"/>
      <c r="I23" s="4"/>
      <c r="J23" s="57"/>
      <c r="K23" s="5"/>
      <c r="L23" s="2"/>
      <c r="M23" s="2"/>
      <c r="N23" s="2"/>
      <c r="O23" s="2"/>
      <c r="P23" s="3"/>
      <c r="Q23" s="2"/>
      <c r="R23" s="2"/>
      <c r="S23" s="2"/>
      <c r="T23" s="2"/>
      <c r="U23" s="2"/>
      <c r="V23" s="3"/>
      <c r="W23" s="3"/>
      <c r="X23" s="2"/>
      <c r="Y23" s="2"/>
      <c r="Z23" s="2"/>
      <c r="AA23" s="2"/>
      <c r="AB23" s="2"/>
      <c r="AC23" s="2"/>
      <c r="AD23" s="2"/>
      <c r="AE23" s="2"/>
      <c r="AF23" s="3"/>
      <c r="AG23" s="3"/>
      <c r="AH23" s="2"/>
      <c r="AI23" s="6"/>
      <c r="AJ23" s="7"/>
      <c r="AK23" s="6"/>
      <c r="AL23" s="59"/>
      <c r="AM23" s="59"/>
      <c r="AN23" s="59"/>
      <c r="AO23" s="59"/>
      <c r="AP23" s="59"/>
      <c r="AQ23" s="59"/>
      <c r="AR23" s="59"/>
      <c r="AS23" s="59"/>
      <c r="AT23" s="8"/>
      <c r="AU23" s="8"/>
      <c r="AV23" s="9"/>
      <c r="AW23" s="8"/>
      <c r="AX23" s="10" t="str">
        <f t="shared" si="1"/>
        <v>-</v>
      </c>
      <c r="AY23" s="39"/>
      <c r="AZ23" s="1" t="str">
        <f t="shared" si="2"/>
        <v/>
      </c>
      <c r="BA23" s="11" t="str">
        <f t="shared" si="3"/>
        <v/>
      </c>
      <c r="BB23" s="1" t="str">
        <f t="shared" si="4"/>
        <v/>
      </c>
      <c r="BC23" s="39"/>
      <c r="BD23" s="53" t="str">
        <f t="shared" si="5"/>
        <v/>
      </c>
      <c r="BE23" s="12" t="str">
        <f t="shared" si="6"/>
        <v/>
      </c>
      <c r="BF23" s="12" t="str">
        <f t="shared" si="7"/>
        <v/>
      </c>
      <c r="BG23" s="12" t="str">
        <f t="shared" si="24"/>
        <v/>
      </c>
      <c r="BH23" s="12" t="str">
        <f t="shared" si="8"/>
        <v/>
      </c>
      <c r="BI23" s="54" t="str">
        <f t="shared" si="25"/>
        <v/>
      </c>
      <c r="BJ23" s="39"/>
      <c r="BK23" s="55" t="str">
        <f t="shared" si="9"/>
        <v/>
      </c>
      <c r="BL23" s="13" t="str">
        <f t="shared" si="10"/>
        <v/>
      </c>
      <c r="BM23" s="13" t="str">
        <f t="shared" si="11"/>
        <v/>
      </c>
      <c r="BN23" s="56" t="str">
        <f t="shared" si="12"/>
        <v/>
      </c>
      <c r="BO23" s="39"/>
      <c r="BP23" s="14" t="str">
        <f t="shared" si="13"/>
        <v/>
      </c>
      <c r="BQ23" s="15">
        <v>0</v>
      </c>
      <c r="BR23" s="15" t="str">
        <f t="shared" si="26"/>
        <v/>
      </c>
      <c r="BS23" s="15" t="str">
        <f t="shared" si="27"/>
        <v/>
      </c>
      <c r="BT23" s="16" t="str">
        <f t="shared" si="14"/>
        <v/>
      </c>
      <c r="BU23" s="39"/>
      <c r="BV23" s="51" t="str">
        <f t="shared" si="15"/>
        <v/>
      </c>
      <c r="BW23" s="28" t="str">
        <f t="shared" si="16"/>
        <v/>
      </c>
      <c r="BX23" s="28" t="str">
        <f t="shared" si="17"/>
        <v/>
      </c>
      <c r="BY23" s="28" t="str">
        <f t="shared" si="18"/>
        <v/>
      </c>
      <c r="BZ23" s="28" t="str">
        <f t="shared" si="28"/>
        <v/>
      </c>
      <c r="CA23" s="52" t="str">
        <f t="shared" si="29"/>
        <v/>
      </c>
      <c r="CB23" s="39"/>
      <c r="CC23" s="49" t="str">
        <f t="shared" si="19"/>
        <v>-</v>
      </c>
      <c r="CD23" s="29" t="str">
        <f t="shared" si="20"/>
        <v>-</v>
      </c>
      <c r="CE23" s="29" t="str">
        <f t="shared" si="21"/>
        <v>-</v>
      </c>
      <c r="CF23" s="29" t="str">
        <f t="shared" si="22"/>
        <v>-</v>
      </c>
      <c r="CG23" s="50" t="str">
        <f t="shared" si="23"/>
        <v>-</v>
      </c>
      <c r="CH23" s="39"/>
    </row>
    <row r="24" spans="1:86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2"/>
      <c r="D24" s="2"/>
      <c r="E24" s="3"/>
      <c r="F24" s="2"/>
      <c r="G24" s="2"/>
      <c r="H24" s="4"/>
      <c r="I24" s="4"/>
      <c r="J24" s="57"/>
      <c r="K24" s="5"/>
      <c r="L24" s="2"/>
      <c r="M24" s="2"/>
      <c r="N24" s="2"/>
      <c r="O24" s="2"/>
      <c r="P24" s="3"/>
      <c r="Q24" s="2"/>
      <c r="R24" s="2"/>
      <c r="S24" s="2"/>
      <c r="T24" s="2"/>
      <c r="U24" s="2"/>
      <c r="V24" s="3"/>
      <c r="W24" s="3"/>
      <c r="X24" s="2"/>
      <c r="Y24" s="2"/>
      <c r="Z24" s="2"/>
      <c r="AA24" s="2"/>
      <c r="AB24" s="2"/>
      <c r="AC24" s="2"/>
      <c r="AD24" s="2"/>
      <c r="AE24" s="2"/>
      <c r="AF24" s="3"/>
      <c r="AG24" s="3"/>
      <c r="AH24" s="2"/>
      <c r="AI24" s="6"/>
      <c r="AJ24" s="7"/>
      <c r="AK24" s="6"/>
      <c r="AL24" s="59"/>
      <c r="AM24" s="59"/>
      <c r="AN24" s="59"/>
      <c r="AO24" s="59"/>
      <c r="AP24" s="59"/>
      <c r="AQ24" s="59"/>
      <c r="AR24" s="59"/>
      <c r="AS24" s="59"/>
      <c r="AT24" s="8"/>
      <c r="AU24" s="8"/>
      <c r="AV24" s="9"/>
      <c r="AW24" s="8"/>
      <c r="AX24" s="10" t="str">
        <f t="shared" si="1"/>
        <v>-</v>
      </c>
      <c r="AY24" s="39"/>
      <c r="AZ24" s="1" t="str">
        <f t="shared" si="2"/>
        <v/>
      </c>
      <c r="BA24" s="11" t="str">
        <f t="shared" si="3"/>
        <v/>
      </c>
      <c r="BB24" s="1" t="str">
        <f t="shared" si="4"/>
        <v/>
      </c>
      <c r="BC24" s="39"/>
      <c r="BD24" s="53" t="str">
        <f t="shared" si="5"/>
        <v/>
      </c>
      <c r="BE24" s="12" t="str">
        <f t="shared" si="6"/>
        <v/>
      </c>
      <c r="BF24" s="12" t="str">
        <f t="shared" si="7"/>
        <v/>
      </c>
      <c r="BG24" s="12" t="str">
        <f t="shared" si="24"/>
        <v/>
      </c>
      <c r="BH24" s="12" t="str">
        <f t="shared" si="8"/>
        <v/>
      </c>
      <c r="BI24" s="54" t="str">
        <f t="shared" si="25"/>
        <v/>
      </c>
      <c r="BJ24" s="39"/>
      <c r="BK24" s="55" t="str">
        <f t="shared" si="9"/>
        <v/>
      </c>
      <c r="BL24" s="13" t="str">
        <f t="shared" si="10"/>
        <v/>
      </c>
      <c r="BM24" s="13" t="str">
        <f t="shared" si="11"/>
        <v/>
      </c>
      <c r="BN24" s="56" t="str">
        <f t="shared" si="12"/>
        <v/>
      </c>
      <c r="BO24" s="39"/>
      <c r="BP24" s="14" t="str">
        <f t="shared" si="13"/>
        <v/>
      </c>
      <c r="BQ24" s="15">
        <v>0</v>
      </c>
      <c r="BR24" s="15" t="str">
        <f t="shared" si="26"/>
        <v/>
      </c>
      <c r="BS24" s="15" t="str">
        <f t="shared" si="27"/>
        <v/>
      </c>
      <c r="BT24" s="16" t="str">
        <f t="shared" si="14"/>
        <v/>
      </c>
      <c r="BU24" s="39"/>
      <c r="BV24" s="51" t="str">
        <f t="shared" si="15"/>
        <v/>
      </c>
      <c r="BW24" s="28" t="str">
        <f t="shared" si="16"/>
        <v/>
      </c>
      <c r="BX24" s="28" t="str">
        <f t="shared" si="17"/>
        <v/>
      </c>
      <c r="BY24" s="28" t="str">
        <f t="shared" si="18"/>
        <v/>
      </c>
      <c r="BZ24" s="28" t="str">
        <f t="shared" si="28"/>
        <v/>
      </c>
      <c r="CA24" s="52" t="str">
        <f t="shared" si="29"/>
        <v/>
      </c>
      <c r="CB24" s="39"/>
      <c r="CC24" s="49" t="str">
        <f t="shared" si="19"/>
        <v>-</v>
      </c>
      <c r="CD24" s="29" t="str">
        <f t="shared" si="20"/>
        <v>-</v>
      </c>
      <c r="CE24" s="29" t="str">
        <f t="shared" si="21"/>
        <v>-</v>
      </c>
      <c r="CF24" s="29" t="str">
        <f t="shared" si="22"/>
        <v>-</v>
      </c>
      <c r="CG24" s="50" t="str">
        <f t="shared" si="23"/>
        <v>-</v>
      </c>
      <c r="CH24" s="39"/>
    </row>
    <row r="25" spans="1:86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2"/>
      <c r="D25" s="2"/>
      <c r="E25" s="3"/>
      <c r="F25" s="2"/>
      <c r="G25" s="2"/>
      <c r="H25" s="4"/>
      <c r="I25" s="4"/>
      <c r="J25" s="57"/>
      <c r="K25" s="5"/>
      <c r="L25" s="2"/>
      <c r="M25" s="2"/>
      <c r="N25" s="2"/>
      <c r="O25" s="2"/>
      <c r="P25" s="3"/>
      <c r="Q25" s="2"/>
      <c r="R25" s="2"/>
      <c r="S25" s="2"/>
      <c r="T25" s="2"/>
      <c r="U25" s="2"/>
      <c r="V25" s="3"/>
      <c r="W25" s="3"/>
      <c r="X25" s="2"/>
      <c r="Y25" s="2"/>
      <c r="Z25" s="2"/>
      <c r="AA25" s="2"/>
      <c r="AB25" s="2"/>
      <c r="AC25" s="2"/>
      <c r="AD25" s="2"/>
      <c r="AE25" s="2"/>
      <c r="AF25" s="3"/>
      <c r="AG25" s="3"/>
      <c r="AH25" s="2"/>
      <c r="AI25" s="6"/>
      <c r="AJ25" s="7"/>
      <c r="AK25" s="6"/>
      <c r="AL25" s="59"/>
      <c r="AM25" s="59"/>
      <c r="AN25" s="59"/>
      <c r="AO25" s="59"/>
      <c r="AP25" s="59"/>
      <c r="AQ25" s="59"/>
      <c r="AR25" s="59"/>
      <c r="AS25" s="59"/>
      <c r="AT25" s="8"/>
      <c r="AU25" s="8"/>
      <c r="AV25" s="9"/>
      <c r="AW25" s="8"/>
      <c r="AX25" s="10" t="str">
        <f t="shared" si="1"/>
        <v>-</v>
      </c>
      <c r="AY25" s="39"/>
      <c r="AZ25" s="1" t="str">
        <f t="shared" si="2"/>
        <v/>
      </c>
      <c r="BA25" s="11" t="str">
        <f t="shared" si="3"/>
        <v/>
      </c>
      <c r="BB25" s="1" t="str">
        <f t="shared" si="4"/>
        <v/>
      </c>
      <c r="BC25" s="39"/>
      <c r="BD25" s="53" t="str">
        <f t="shared" si="5"/>
        <v/>
      </c>
      <c r="BE25" s="12" t="str">
        <f t="shared" si="6"/>
        <v/>
      </c>
      <c r="BF25" s="12" t="str">
        <f t="shared" si="7"/>
        <v/>
      </c>
      <c r="BG25" s="12" t="str">
        <f t="shared" si="24"/>
        <v/>
      </c>
      <c r="BH25" s="12" t="str">
        <f t="shared" si="8"/>
        <v/>
      </c>
      <c r="BI25" s="54" t="str">
        <f t="shared" si="25"/>
        <v/>
      </c>
      <c r="BJ25" s="39"/>
      <c r="BK25" s="55" t="str">
        <f t="shared" si="9"/>
        <v/>
      </c>
      <c r="BL25" s="13" t="str">
        <f t="shared" si="10"/>
        <v/>
      </c>
      <c r="BM25" s="13" t="str">
        <f t="shared" si="11"/>
        <v/>
      </c>
      <c r="BN25" s="56" t="str">
        <f t="shared" si="12"/>
        <v/>
      </c>
      <c r="BO25" s="39"/>
      <c r="BP25" s="14" t="str">
        <f t="shared" si="13"/>
        <v/>
      </c>
      <c r="BQ25" s="15">
        <v>0</v>
      </c>
      <c r="BR25" s="15" t="str">
        <f t="shared" si="26"/>
        <v/>
      </c>
      <c r="BS25" s="15" t="str">
        <f t="shared" si="27"/>
        <v/>
      </c>
      <c r="BT25" s="16" t="str">
        <f t="shared" si="14"/>
        <v/>
      </c>
      <c r="BU25" s="39"/>
      <c r="BV25" s="51" t="str">
        <f t="shared" si="15"/>
        <v/>
      </c>
      <c r="BW25" s="28" t="str">
        <f t="shared" si="16"/>
        <v/>
      </c>
      <c r="BX25" s="28" t="str">
        <f t="shared" si="17"/>
        <v/>
      </c>
      <c r="BY25" s="28" t="str">
        <f t="shared" si="18"/>
        <v/>
      </c>
      <c r="BZ25" s="28" t="str">
        <f t="shared" si="28"/>
        <v/>
      </c>
      <c r="CA25" s="52" t="str">
        <f t="shared" si="29"/>
        <v/>
      </c>
      <c r="CB25" s="39"/>
      <c r="CC25" s="49" t="str">
        <f t="shared" si="19"/>
        <v>-</v>
      </c>
      <c r="CD25" s="29" t="str">
        <f t="shared" si="20"/>
        <v>-</v>
      </c>
      <c r="CE25" s="29" t="str">
        <f t="shared" si="21"/>
        <v>-</v>
      </c>
      <c r="CF25" s="29" t="str">
        <f t="shared" si="22"/>
        <v>-</v>
      </c>
      <c r="CG25" s="50" t="str">
        <f t="shared" si="23"/>
        <v>-</v>
      </c>
      <c r="CH25" s="39"/>
    </row>
    <row r="26" spans="1:86" s="27" customFormat="1" ht="12.4" customHeight="1" thickBot="1" x14ac:dyDescent="0.25">
      <c r="A26" s="43">
        <f t="shared" si="30"/>
        <v>46318</v>
      </c>
      <c r="B26" s="44" t="str">
        <f>+TEXT(A26,"DDD")</f>
        <v>Fri</v>
      </c>
      <c r="C26" s="2"/>
      <c r="D26" s="2"/>
      <c r="E26" s="3"/>
      <c r="F26" s="2"/>
      <c r="G26" s="2"/>
      <c r="H26" s="4"/>
      <c r="I26" s="4"/>
      <c r="J26" s="57"/>
      <c r="K26" s="5"/>
      <c r="L26" s="2"/>
      <c r="M26" s="2"/>
      <c r="N26" s="2"/>
      <c r="O26" s="2"/>
      <c r="P26" s="3"/>
      <c r="Q26" s="2"/>
      <c r="R26" s="2"/>
      <c r="S26" s="2"/>
      <c r="T26" s="2"/>
      <c r="U26" s="2"/>
      <c r="V26" s="3"/>
      <c r="W26" s="3"/>
      <c r="X26" s="2"/>
      <c r="Y26" s="2"/>
      <c r="Z26" s="2"/>
      <c r="AA26" s="2"/>
      <c r="AB26" s="2"/>
      <c r="AC26" s="2"/>
      <c r="AD26" s="2"/>
      <c r="AE26" s="2"/>
      <c r="AF26" s="3"/>
      <c r="AG26" s="3"/>
      <c r="AH26" s="2"/>
      <c r="AI26" s="6"/>
      <c r="AJ26" s="7"/>
      <c r="AK26" s="6"/>
      <c r="AL26" s="59"/>
      <c r="AM26" s="59"/>
      <c r="AN26" s="59"/>
      <c r="AO26" s="59"/>
      <c r="AP26" s="59"/>
      <c r="AQ26" s="59"/>
      <c r="AR26" s="59"/>
      <c r="AS26" s="59"/>
      <c r="AT26" s="8"/>
      <c r="AU26" s="8"/>
      <c r="AV26" s="9"/>
      <c r="AW26" s="8"/>
      <c r="AX26" s="10" t="str">
        <f t="shared" si="1"/>
        <v>-</v>
      </c>
      <c r="AY26" s="39"/>
      <c r="AZ26" s="1" t="str">
        <f t="shared" si="2"/>
        <v/>
      </c>
      <c r="BA26" s="11" t="str">
        <f t="shared" si="3"/>
        <v/>
      </c>
      <c r="BB26" s="1" t="str">
        <f t="shared" si="4"/>
        <v/>
      </c>
      <c r="BC26" s="39"/>
      <c r="BD26" s="53" t="str">
        <f t="shared" si="5"/>
        <v/>
      </c>
      <c r="BE26" s="12" t="str">
        <f t="shared" si="6"/>
        <v/>
      </c>
      <c r="BF26" s="12" t="str">
        <f t="shared" si="7"/>
        <v/>
      </c>
      <c r="BG26" s="12" t="str">
        <f t="shared" si="24"/>
        <v/>
      </c>
      <c r="BH26" s="12" t="str">
        <f t="shared" si="8"/>
        <v/>
      </c>
      <c r="BI26" s="54" t="str">
        <f t="shared" si="25"/>
        <v/>
      </c>
      <c r="BJ26" s="39"/>
      <c r="BK26" s="55" t="str">
        <f t="shared" si="9"/>
        <v/>
      </c>
      <c r="BL26" s="13" t="str">
        <f t="shared" si="10"/>
        <v/>
      </c>
      <c r="BM26" s="13" t="str">
        <f t="shared" si="11"/>
        <v/>
      </c>
      <c r="BN26" s="56" t="str">
        <f t="shared" si="12"/>
        <v/>
      </c>
      <c r="BO26" s="39"/>
      <c r="BP26" s="14" t="str">
        <f t="shared" si="13"/>
        <v/>
      </c>
      <c r="BQ26" s="15">
        <v>0</v>
      </c>
      <c r="BR26" s="15" t="str">
        <f t="shared" si="26"/>
        <v/>
      </c>
      <c r="BS26" s="15" t="str">
        <f t="shared" si="27"/>
        <v/>
      </c>
      <c r="BT26" s="16" t="str">
        <f t="shared" si="14"/>
        <v/>
      </c>
      <c r="BU26" s="39"/>
      <c r="BV26" s="51" t="str">
        <f t="shared" si="15"/>
        <v/>
      </c>
      <c r="BW26" s="28" t="str">
        <f t="shared" si="16"/>
        <v/>
      </c>
      <c r="BX26" s="28" t="str">
        <f t="shared" si="17"/>
        <v/>
      </c>
      <c r="BY26" s="28" t="str">
        <f t="shared" si="18"/>
        <v/>
      </c>
      <c r="BZ26" s="28" t="str">
        <f t="shared" si="28"/>
        <v/>
      </c>
      <c r="CA26" s="52" t="str">
        <f t="shared" si="29"/>
        <v/>
      </c>
      <c r="CB26" s="39"/>
      <c r="CC26" s="49" t="str">
        <f t="shared" si="19"/>
        <v>-</v>
      </c>
      <c r="CD26" s="29" t="str">
        <f t="shared" si="20"/>
        <v>-</v>
      </c>
      <c r="CE26" s="29" t="str">
        <f t="shared" si="21"/>
        <v>-</v>
      </c>
      <c r="CF26" s="29" t="str">
        <f t="shared" si="22"/>
        <v>-</v>
      </c>
      <c r="CG26" s="50" t="str">
        <f t="shared" si="23"/>
        <v>-</v>
      </c>
      <c r="CH26" s="39"/>
    </row>
    <row r="27" spans="1:86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2"/>
      <c r="D27" s="2"/>
      <c r="E27" s="3"/>
      <c r="F27" s="2"/>
      <c r="G27" s="2"/>
      <c r="H27" s="4"/>
      <c r="I27" s="4"/>
      <c r="J27" s="57"/>
      <c r="K27" s="5"/>
      <c r="L27" s="2"/>
      <c r="M27" s="2"/>
      <c r="N27" s="2"/>
      <c r="O27" s="2"/>
      <c r="P27" s="3"/>
      <c r="Q27" s="2"/>
      <c r="R27" s="2"/>
      <c r="S27" s="2"/>
      <c r="T27" s="2"/>
      <c r="U27" s="2"/>
      <c r="V27" s="3"/>
      <c r="W27" s="3"/>
      <c r="X27" s="2"/>
      <c r="Y27" s="2"/>
      <c r="Z27" s="2"/>
      <c r="AA27" s="2"/>
      <c r="AB27" s="2"/>
      <c r="AC27" s="2"/>
      <c r="AD27" s="2"/>
      <c r="AE27" s="2"/>
      <c r="AF27" s="3"/>
      <c r="AG27" s="3"/>
      <c r="AH27" s="2"/>
      <c r="AI27" s="6"/>
      <c r="AJ27" s="7"/>
      <c r="AK27" s="6"/>
      <c r="AL27" s="59"/>
      <c r="AM27" s="59"/>
      <c r="AN27" s="59"/>
      <c r="AO27" s="59"/>
      <c r="AP27" s="59"/>
      <c r="AQ27" s="59"/>
      <c r="AR27" s="59"/>
      <c r="AS27" s="59"/>
      <c r="AT27" s="8"/>
      <c r="AU27" s="8"/>
      <c r="AV27" s="9"/>
      <c r="AW27" s="8"/>
      <c r="AX27" s="10" t="str">
        <f t="shared" si="1"/>
        <v>-</v>
      </c>
      <c r="AY27" s="39"/>
      <c r="AZ27" s="1" t="str">
        <f t="shared" si="2"/>
        <v/>
      </c>
      <c r="BA27" s="11" t="str">
        <f t="shared" si="3"/>
        <v/>
      </c>
      <c r="BB27" s="1" t="str">
        <f t="shared" si="4"/>
        <v/>
      </c>
      <c r="BC27" s="39"/>
      <c r="BD27" s="53" t="str">
        <f t="shared" si="5"/>
        <v/>
      </c>
      <c r="BE27" s="12" t="str">
        <f t="shared" si="6"/>
        <v/>
      </c>
      <c r="BF27" s="12" t="str">
        <f t="shared" si="7"/>
        <v/>
      </c>
      <c r="BG27" s="12" t="str">
        <f t="shared" si="24"/>
        <v/>
      </c>
      <c r="BH27" s="12" t="str">
        <f t="shared" si="8"/>
        <v/>
      </c>
      <c r="BI27" s="54" t="str">
        <f t="shared" si="25"/>
        <v/>
      </c>
      <c r="BJ27" s="39"/>
      <c r="BK27" s="55" t="str">
        <f t="shared" si="9"/>
        <v/>
      </c>
      <c r="BL27" s="13" t="str">
        <f t="shared" si="10"/>
        <v/>
      </c>
      <c r="BM27" s="13" t="str">
        <f t="shared" si="11"/>
        <v/>
      </c>
      <c r="BN27" s="56" t="str">
        <f t="shared" si="12"/>
        <v/>
      </c>
      <c r="BO27" s="39"/>
      <c r="BP27" s="14" t="str">
        <f t="shared" si="13"/>
        <v/>
      </c>
      <c r="BQ27" s="15">
        <v>0</v>
      </c>
      <c r="BR27" s="15" t="str">
        <f t="shared" si="26"/>
        <v/>
      </c>
      <c r="BS27" s="15" t="str">
        <f t="shared" si="27"/>
        <v/>
      </c>
      <c r="BT27" s="16" t="str">
        <f t="shared" si="14"/>
        <v/>
      </c>
      <c r="BU27" s="39"/>
      <c r="BV27" s="51" t="str">
        <f t="shared" si="15"/>
        <v/>
      </c>
      <c r="BW27" s="28" t="str">
        <f t="shared" si="16"/>
        <v/>
      </c>
      <c r="BX27" s="28" t="str">
        <f t="shared" si="17"/>
        <v/>
      </c>
      <c r="BY27" s="28" t="str">
        <f t="shared" si="18"/>
        <v/>
      </c>
      <c r="BZ27" s="28" t="str">
        <f t="shared" si="28"/>
        <v/>
      </c>
      <c r="CA27" s="52" t="str">
        <f t="shared" si="29"/>
        <v/>
      </c>
      <c r="CB27" s="39"/>
      <c r="CC27" s="49" t="str">
        <f t="shared" si="19"/>
        <v>-</v>
      </c>
      <c r="CD27" s="29" t="str">
        <f t="shared" si="20"/>
        <v>-</v>
      </c>
      <c r="CE27" s="29" t="str">
        <f t="shared" si="21"/>
        <v>-</v>
      </c>
      <c r="CF27" s="29" t="str">
        <f t="shared" si="22"/>
        <v>-</v>
      </c>
      <c r="CG27" s="50" t="str">
        <f t="shared" si="23"/>
        <v>-</v>
      </c>
      <c r="CH27" s="39"/>
    </row>
    <row r="28" spans="1:86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2"/>
      <c r="D28" s="2"/>
      <c r="E28" s="3"/>
      <c r="F28" s="2"/>
      <c r="G28" s="2"/>
      <c r="H28" s="4"/>
      <c r="I28" s="4"/>
      <c r="J28" s="57"/>
      <c r="K28" s="5"/>
      <c r="L28" s="2"/>
      <c r="M28" s="2"/>
      <c r="N28" s="2"/>
      <c r="O28" s="2"/>
      <c r="P28" s="3"/>
      <c r="Q28" s="2"/>
      <c r="R28" s="2"/>
      <c r="S28" s="2"/>
      <c r="T28" s="2"/>
      <c r="U28" s="2"/>
      <c r="V28" s="3"/>
      <c r="W28" s="3"/>
      <c r="X28" s="2"/>
      <c r="Y28" s="2"/>
      <c r="Z28" s="2"/>
      <c r="AA28" s="2"/>
      <c r="AB28" s="2"/>
      <c r="AC28" s="2"/>
      <c r="AD28" s="2"/>
      <c r="AE28" s="2"/>
      <c r="AF28" s="3"/>
      <c r="AG28" s="3"/>
      <c r="AH28" s="2"/>
      <c r="AI28" s="6"/>
      <c r="AJ28" s="7"/>
      <c r="AK28" s="6"/>
      <c r="AL28" s="59"/>
      <c r="AM28" s="59"/>
      <c r="AN28" s="59"/>
      <c r="AO28" s="59"/>
      <c r="AP28" s="59"/>
      <c r="AQ28" s="59"/>
      <c r="AR28" s="59"/>
      <c r="AS28" s="59"/>
      <c r="AT28" s="8"/>
      <c r="AU28" s="8"/>
      <c r="AV28" s="9"/>
      <c r="AW28" s="8"/>
      <c r="AX28" s="10" t="str">
        <f t="shared" si="1"/>
        <v>-</v>
      </c>
      <c r="AY28" s="39"/>
      <c r="AZ28" s="1" t="str">
        <f t="shared" si="2"/>
        <v/>
      </c>
      <c r="BA28" s="11" t="str">
        <f t="shared" si="3"/>
        <v/>
      </c>
      <c r="BB28" s="1" t="str">
        <f t="shared" si="4"/>
        <v/>
      </c>
      <c r="BC28" s="39"/>
      <c r="BD28" s="53" t="str">
        <f t="shared" si="5"/>
        <v/>
      </c>
      <c r="BE28" s="12" t="str">
        <f t="shared" si="6"/>
        <v/>
      </c>
      <c r="BF28" s="12" t="str">
        <f t="shared" si="7"/>
        <v/>
      </c>
      <c r="BG28" s="12" t="str">
        <f t="shared" si="24"/>
        <v/>
      </c>
      <c r="BH28" s="12" t="str">
        <f t="shared" si="8"/>
        <v/>
      </c>
      <c r="BI28" s="54" t="str">
        <f t="shared" si="25"/>
        <v/>
      </c>
      <c r="BJ28" s="39"/>
      <c r="BK28" s="55" t="str">
        <f t="shared" si="9"/>
        <v/>
      </c>
      <c r="BL28" s="13" t="str">
        <f t="shared" si="10"/>
        <v/>
      </c>
      <c r="BM28" s="13" t="str">
        <f t="shared" si="11"/>
        <v/>
      </c>
      <c r="BN28" s="56" t="str">
        <f t="shared" si="12"/>
        <v/>
      </c>
      <c r="BO28" s="39"/>
      <c r="BP28" s="14" t="str">
        <f t="shared" si="13"/>
        <v/>
      </c>
      <c r="BQ28" s="15">
        <v>0</v>
      </c>
      <c r="BR28" s="15" t="str">
        <f t="shared" si="26"/>
        <v/>
      </c>
      <c r="BS28" s="15" t="str">
        <f t="shared" si="27"/>
        <v/>
      </c>
      <c r="BT28" s="16" t="str">
        <f t="shared" si="14"/>
        <v/>
      </c>
      <c r="BU28" s="39"/>
      <c r="BV28" s="51" t="str">
        <f t="shared" si="15"/>
        <v/>
      </c>
      <c r="BW28" s="28" t="str">
        <f t="shared" si="16"/>
        <v/>
      </c>
      <c r="BX28" s="28" t="str">
        <f t="shared" si="17"/>
        <v/>
      </c>
      <c r="BY28" s="28" t="str">
        <f t="shared" si="18"/>
        <v/>
      </c>
      <c r="BZ28" s="28" t="str">
        <f t="shared" si="28"/>
        <v/>
      </c>
      <c r="CA28" s="52" t="str">
        <f t="shared" si="29"/>
        <v/>
      </c>
      <c r="CB28" s="39"/>
      <c r="CC28" s="49" t="str">
        <f t="shared" si="19"/>
        <v>-</v>
      </c>
      <c r="CD28" s="29" t="str">
        <f t="shared" si="20"/>
        <v>-</v>
      </c>
      <c r="CE28" s="29" t="str">
        <f t="shared" si="21"/>
        <v>-</v>
      </c>
      <c r="CF28" s="29" t="str">
        <f t="shared" si="22"/>
        <v>-</v>
      </c>
      <c r="CG28" s="50" t="str">
        <f t="shared" si="23"/>
        <v>-</v>
      </c>
      <c r="CH28" s="39"/>
    </row>
    <row r="29" spans="1:86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1"/>
      <c r="AM29" s="61"/>
      <c r="AN29" s="61"/>
      <c r="AO29" s="61"/>
      <c r="AP29" s="61"/>
      <c r="AQ29" s="61"/>
      <c r="AR29" s="61"/>
      <c r="AS29" s="61"/>
      <c r="AT29" s="60"/>
      <c r="AU29" s="60"/>
      <c r="AV29" s="60"/>
      <c r="AW29" s="60"/>
      <c r="AX29" s="10" t="str">
        <f t="shared" si="1"/>
        <v>-</v>
      </c>
      <c r="AY29" s="39"/>
      <c r="AZ29" s="1" t="str">
        <f t="shared" si="2"/>
        <v/>
      </c>
      <c r="BA29" s="11" t="str">
        <f t="shared" si="3"/>
        <v/>
      </c>
      <c r="BB29" s="1" t="str">
        <f t="shared" si="4"/>
        <v/>
      </c>
      <c r="BC29" s="39"/>
      <c r="BD29" s="53" t="str">
        <f t="shared" si="5"/>
        <v/>
      </c>
      <c r="BE29" s="12" t="str">
        <f t="shared" si="6"/>
        <v/>
      </c>
      <c r="BF29" s="12" t="str">
        <f t="shared" si="7"/>
        <v/>
      </c>
      <c r="BG29" s="12" t="str">
        <f t="shared" si="24"/>
        <v/>
      </c>
      <c r="BH29" s="12" t="str">
        <f t="shared" si="8"/>
        <v/>
      </c>
      <c r="BI29" s="54" t="str">
        <f t="shared" si="25"/>
        <v/>
      </c>
      <c r="BJ29" s="39"/>
      <c r="BK29" s="55" t="str">
        <f t="shared" si="9"/>
        <v/>
      </c>
      <c r="BL29" s="13" t="str">
        <f t="shared" si="10"/>
        <v/>
      </c>
      <c r="BM29" s="13" t="str">
        <f t="shared" si="11"/>
        <v/>
      </c>
      <c r="BN29" s="56" t="str">
        <f t="shared" si="12"/>
        <v/>
      </c>
      <c r="BO29" s="39"/>
      <c r="BP29" s="14" t="str">
        <f t="shared" si="13"/>
        <v/>
      </c>
      <c r="BQ29" s="15">
        <v>0</v>
      </c>
      <c r="BR29" s="15" t="str">
        <f t="shared" si="26"/>
        <v/>
      </c>
      <c r="BS29" s="15" t="str">
        <f t="shared" si="27"/>
        <v/>
      </c>
      <c r="BT29" s="16" t="str">
        <f t="shared" si="14"/>
        <v/>
      </c>
      <c r="BU29" s="39"/>
      <c r="BV29" s="51" t="str">
        <f t="shared" si="15"/>
        <v/>
      </c>
      <c r="BW29" s="28" t="str">
        <f t="shared" si="16"/>
        <v/>
      </c>
      <c r="BX29" s="28" t="str">
        <f t="shared" si="17"/>
        <v/>
      </c>
      <c r="BY29" s="28" t="str">
        <f t="shared" si="18"/>
        <v/>
      </c>
      <c r="BZ29" s="28" t="str">
        <f t="shared" si="28"/>
        <v/>
      </c>
      <c r="CA29" s="52" t="str">
        <f t="shared" si="29"/>
        <v/>
      </c>
      <c r="CB29" s="39"/>
      <c r="CC29" s="49" t="str">
        <f t="shared" si="19"/>
        <v>-</v>
      </c>
      <c r="CD29" s="29" t="str">
        <f t="shared" si="20"/>
        <v>-</v>
      </c>
      <c r="CE29" s="29" t="str">
        <f t="shared" si="21"/>
        <v>-</v>
      </c>
      <c r="CF29" s="29" t="str">
        <f t="shared" si="22"/>
        <v>-</v>
      </c>
      <c r="CG29" s="50" t="str">
        <f t="shared" si="23"/>
        <v>-</v>
      </c>
      <c r="CH29" s="39"/>
    </row>
    <row r="30" spans="1:86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2"/>
      <c r="D30" s="2"/>
      <c r="E30" s="3"/>
      <c r="F30" s="2"/>
      <c r="G30" s="2"/>
      <c r="H30" s="4"/>
      <c r="I30" s="4"/>
      <c r="J30" s="57"/>
      <c r="K30" s="5"/>
      <c r="L30" s="2"/>
      <c r="M30" s="2"/>
      <c r="N30" s="2"/>
      <c r="O30" s="2"/>
      <c r="P30" s="3"/>
      <c r="Q30" s="2"/>
      <c r="R30" s="2"/>
      <c r="S30" s="2"/>
      <c r="T30" s="2"/>
      <c r="U30" s="2"/>
      <c r="V30" s="3"/>
      <c r="W30" s="3"/>
      <c r="X30" s="2"/>
      <c r="Y30" s="2"/>
      <c r="Z30" s="2"/>
      <c r="AA30" s="2"/>
      <c r="AB30" s="2"/>
      <c r="AC30" s="2"/>
      <c r="AD30" s="2"/>
      <c r="AE30" s="2"/>
      <c r="AF30" s="3"/>
      <c r="AG30" s="3"/>
      <c r="AH30" s="2"/>
      <c r="AI30" s="6"/>
      <c r="AJ30" s="7"/>
      <c r="AK30" s="6"/>
      <c r="AL30" s="59"/>
      <c r="AM30" s="59"/>
      <c r="AN30" s="59"/>
      <c r="AO30" s="59"/>
      <c r="AP30" s="59"/>
      <c r="AQ30" s="59"/>
      <c r="AR30" s="59"/>
      <c r="AS30" s="59"/>
      <c r="AT30" s="8"/>
      <c r="AU30" s="8"/>
      <c r="AV30" s="9"/>
      <c r="AW30" s="8"/>
      <c r="AX30" s="10" t="str">
        <f t="shared" si="1"/>
        <v>-</v>
      </c>
      <c r="AY30" s="39"/>
      <c r="AZ30" s="1" t="str">
        <f t="shared" si="2"/>
        <v/>
      </c>
      <c r="BA30" s="11" t="str">
        <f t="shared" si="3"/>
        <v/>
      </c>
      <c r="BB30" s="1" t="str">
        <f t="shared" si="4"/>
        <v/>
      </c>
      <c r="BC30" s="39"/>
      <c r="BD30" s="53" t="str">
        <f t="shared" si="5"/>
        <v/>
      </c>
      <c r="BE30" s="12" t="str">
        <f t="shared" si="6"/>
        <v/>
      </c>
      <c r="BF30" s="12" t="str">
        <f t="shared" si="7"/>
        <v/>
      </c>
      <c r="BG30" s="12" t="str">
        <f t="shared" si="24"/>
        <v/>
      </c>
      <c r="BH30" s="12" t="str">
        <f t="shared" si="8"/>
        <v/>
      </c>
      <c r="BI30" s="54" t="str">
        <f t="shared" si="25"/>
        <v/>
      </c>
      <c r="BJ30" s="39"/>
      <c r="BK30" s="55" t="str">
        <f t="shared" si="9"/>
        <v/>
      </c>
      <c r="BL30" s="13" t="str">
        <f t="shared" si="10"/>
        <v/>
      </c>
      <c r="BM30" s="13" t="str">
        <f t="shared" si="11"/>
        <v/>
      </c>
      <c r="BN30" s="56" t="str">
        <f t="shared" si="12"/>
        <v/>
      </c>
      <c r="BO30" s="39"/>
      <c r="BP30" s="14" t="str">
        <f t="shared" si="13"/>
        <v/>
      </c>
      <c r="BQ30" s="15">
        <v>0</v>
      </c>
      <c r="BR30" s="15" t="str">
        <f t="shared" si="26"/>
        <v/>
      </c>
      <c r="BS30" s="15" t="str">
        <f t="shared" si="27"/>
        <v/>
      </c>
      <c r="BT30" s="16" t="str">
        <f t="shared" si="14"/>
        <v/>
      </c>
      <c r="BU30" s="39"/>
      <c r="BV30" s="51" t="str">
        <f t="shared" si="15"/>
        <v/>
      </c>
      <c r="BW30" s="28" t="str">
        <f t="shared" si="16"/>
        <v/>
      </c>
      <c r="BX30" s="28" t="str">
        <f t="shared" si="17"/>
        <v/>
      </c>
      <c r="BY30" s="28" t="str">
        <f t="shared" si="18"/>
        <v/>
      </c>
      <c r="BZ30" s="28" t="str">
        <f t="shared" si="28"/>
        <v/>
      </c>
      <c r="CA30" s="52" t="str">
        <f t="shared" si="29"/>
        <v/>
      </c>
      <c r="CB30" s="39"/>
      <c r="CC30" s="49" t="str">
        <f t="shared" si="19"/>
        <v>-</v>
      </c>
      <c r="CD30" s="29" t="str">
        <f t="shared" si="20"/>
        <v>-</v>
      </c>
      <c r="CE30" s="29" t="str">
        <f t="shared" si="21"/>
        <v>-</v>
      </c>
      <c r="CF30" s="29" t="str">
        <f t="shared" si="22"/>
        <v>-</v>
      </c>
      <c r="CG30" s="50" t="str">
        <f t="shared" si="23"/>
        <v>-</v>
      </c>
      <c r="CH30" s="39"/>
    </row>
    <row r="31" spans="1:86" s="27" customFormat="1" ht="12.4" customHeight="1" thickBot="1" x14ac:dyDescent="0.25">
      <c r="A31" s="43">
        <f t="shared" si="30"/>
        <v>46323</v>
      </c>
      <c r="B31" s="44" t="str">
        <f>+TEXT(A31,"DDD")</f>
        <v>Wed</v>
      </c>
      <c r="C31" s="2"/>
      <c r="D31" s="2"/>
      <c r="E31" s="3"/>
      <c r="F31" s="2"/>
      <c r="G31" s="2"/>
      <c r="H31" s="4"/>
      <c r="I31" s="4"/>
      <c r="J31" s="57"/>
      <c r="K31" s="5"/>
      <c r="L31" s="2"/>
      <c r="M31" s="2"/>
      <c r="N31" s="2"/>
      <c r="O31" s="2"/>
      <c r="P31" s="3"/>
      <c r="Q31" s="2"/>
      <c r="R31" s="2"/>
      <c r="S31" s="2"/>
      <c r="T31" s="2"/>
      <c r="U31" s="2"/>
      <c r="V31" s="3"/>
      <c r="W31" s="3"/>
      <c r="X31" s="2"/>
      <c r="Y31" s="2"/>
      <c r="Z31" s="2"/>
      <c r="AA31" s="2"/>
      <c r="AB31" s="2"/>
      <c r="AC31" s="2"/>
      <c r="AD31" s="2"/>
      <c r="AE31" s="2"/>
      <c r="AF31" s="3"/>
      <c r="AG31" s="3"/>
      <c r="AH31" s="2"/>
      <c r="AI31" s="6"/>
      <c r="AJ31" s="7"/>
      <c r="AK31" s="6"/>
      <c r="AL31" s="59"/>
      <c r="AM31" s="59"/>
      <c r="AN31" s="59"/>
      <c r="AO31" s="59"/>
      <c r="AP31" s="59"/>
      <c r="AQ31" s="59"/>
      <c r="AR31" s="59"/>
      <c r="AS31" s="59"/>
      <c r="AT31" s="8"/>
      <c r="AU31" s="8"/>
      <c r="AV31" s="9"/>
      <c r="AW31" s="8"/>
      <c r="AX31" s="10" t="str">
        <f t="shared" si="1"/>
        <v>-</v>
      </c>
      <c r="AY31" s="39"/>
      <c r="AZ31" s="1" t="str">
        <f t="shared" si="2"/>
        <v/>
      </c>
      <c r="BA31" s="11" t="str">
        <f t="shared" si="3"/>
        <v/>
      </c>
      <c r="BB31" s="1" t="str">
        <f t="shared" si="4"/>
        <v/>
      </c>
      <c r="BC31" s="39"/>
      <c r="BD31" s="53" t="str">
        <f t="shared" si="5"/>
        <v/>
      </c>
      <c r="BE31" s="12" t="str">
        <f t="shared" si="6"/>
        <v/>
      </c>
      <c r="BF31" s="12" t="str">
        <f t="shared" si="7"/>
        <v/>
      </c>
      <c r="BG31" s="12" t="str">
        <f t="shared" si="24"/>
        <v/>
      </c>
      <c r="BH31" s="12" t="str">
        <f t="shared" si="8"/>
        <v/>
      </c>
      <c r="BI31" s="54" t="str">
        <f t="shared" si="25"/>
        <v/>
      </c>
      <c r="BJ31" s="39"/>
      <c r="BK31" s="55" t="str">
        <f t="shared" si="9"/>
        <v/>
      </c>
      <c r="BL31" s="13" t="str">
        <f t="shared" si="10"/>
        <v/>
      </c>
      <c r="BM31" s="13" t="str">
        <f t="shared" si="11"/>
        <v/>
      </c>
      <c r="BN31" s="56" t="str">
        <f t="shared" si="12"/>
        <v/>
      </c>
      <c r="BO31" s="39"/>
      <c r="BP31" s="14" t="str">
        <f t="shared" si="13"/>
        <v/>
      </c>
      <c r="BQ31" s="15">
        <v>0</v>
      </c>
      <c r="BR31" s="15" t="str">
        <f t="shared" si="26"/>
        <v/>
      </c>
      <c r="BS31" s="15" t="str">
        <f t="shared" si="27"/>
        <v/>
      </c>
      <c r="BT31" s="16" t="str">
        <f t="shared" si="14"/>
        <v/>
      </c>
      <c r="BU31" s="39"/>
      <c r="BV31" s="51" t="str">
        <f t="shared" si="15"/>
        <v/>
      </c>
      <c r="BW31" s="28" t="str">
        <f t="shared" si="16"/>
        <v/>
      </c>
      <c r="BX31" s="28" t="str">
        <f t="shared" si="17"/>
        <v/>
      </c>
      <c r="BY31" s="28" t="str">
        <f t="shared" si="18"/>
        <v/>
      </c>
      <c r="BZ31" s="28" t="str">
        <f t="shared" si="28"/>
        <v/>
      </c>
      <c r="CA31" s="52" t="str">
        <f t="shared" si="29"/>
        <v/>
      </c>
      <c r="CB31" s="39"/>
      <c r="CC31" s="49" t="str">
        <f t="shared" si="19"/>
        <v>-</v>
      </c>
      <c r="CD31" s="29" t="str">
        <f t="shared" si="20"/>
        <v>-</v>
      </c>
      <c r="CE31" s="29" t="str">
        <f t="shared" si="21"/>
        <v>-</v>
      </c>
      <c r="CF31" s="29" t="str">
        <f t="shared" si="22"/>
        <v>-</v>
      </c>
      <c r="CG31" s="50" t="str">
        <f t="shared" si="23"/>
        <v>-</v>
      </c>
      <c r="CH31" s="39"/>
    </row>
    <row r="32" spans="1:86" s="27" customFormat="1" ht="12.4" customHeight="1" thickBot="1" x14ac:dyDescent="0.25">
      <c r="A32" s="43">
        <f t="shared" si="30"/>
        <v>46324</v>
      </c>
      <c r="B32" s="44" t="str">
        <f>+TEXT(A32,"DDD")</f>
        <v>Thu</v>
      </c>
      <c r="C32" s="2"/>
      <c r="D32" s="2"/>
      <c r="E32" s="3"/>
      <c r="F32" s="2"/>
      <c r="G32" s="2"/>
      <c r="H32" s="4"/>
      <c r="I32" s="4"/>
      <c r="J32" s="86"/>
      <c r="K32" s="5"/>
      <c r="L32" s="2"/>
      <c r="M32" s="2"/>
      <c r="N32" s="2"/>
      <c r="O32" s="2"/>
      <c r="P32" s="3"/>
      <c r="Q32" s="2"/>
      <c r="R32" s="2"/>
      <c r="S32" s="2"/>
      <c r="T32" s="2"/>
      <c r="U32" s="2"/>
      <c r="V32" s="3"/>
      <c r="W32" s="3"/>
      <c r="X32" s="2"/>
      <c r="Y32" s="2"/>
      <c r="Z32" s="2"/>
      <c r="AA32" s="2"/>
      <c r="AB32" s="2"/>
      <c r="AC32" s="2"/>
      <c r="AD32" s="2"/>
      <c r="AE32" s="2"/>
      <c r="AF32" s="3"/>
      <c r="AG32" s="3"/>
      <c r="AH32" s="2"/>
      <c r="AI32" s="6"/>
      <c r="AJ32" s="7"/>
      <c r="AK32" s="6"/>
      <c r="AL32" s="59"/>
      <c r="AM32" s="59"/>
      <c r="AN32" s="59"/>
      <c r="AO32" s="59"/>
      <c r="AP32" s="59"/>
      <c r="AQ32" s="59"/>
      <c r="AR32" s="59"/>
      <c r="AS32" s="59"/>
      <c r="AT32" s="8"/>
      <c r="AU32" s="8"/>
      <c r="AV32" s="9"/>
      <c r="AW32" s="8"/>
      <c r="AX32" s="10" t="str">
        <f>IFERROR(AN32/AW32,"-")</f>
        <v>-</v>
      </c>
      <c r="AY32" s="39"/>
      <c r="AZ32" s="1" t="str">
        <f t="shared" si="2"/>
        <v/>
      </c>
      <c r="BA32" s="11" t="str">
        <f t="shared" si="3"/>
        <v/>
      </c>
      <c r="BB32" s="1" t="str">
        <f t="shared" si="4"/>
        <v/>
      </c>
      <c r="BC32" s="39"/>
      <c r="BD32" s="53" t="str">
        <f t="shared" si="5"/>
        <v/>
      </c>
      <c r="BE32" s="12" t="str">
        <f t="shared" si="6"/>
        <v/>
      </c>
      <c r="BF32" s="12" t="str">
        <f t="shared" si="7"/>
        <v/>
      </c>
      <c r="BG32" s="12" t="str">
        <f>+IF(SUM(AO32:AR32)&gt;0,AO32/AN32,"")</f>
        <v/>
      </c>
      <c r="BH32" s="12" t="str">
        <f t="shared" si="8"/>
        <v/>
      </c>
      <c r="BI32" s="54" t="str">
        <f>+IF(SUM(AO32:AR32)&gt;0,AQ32/AN32,"")</f>
        <v/>
      </c>
      <c r="BJ32" s="39"/>
      <c r="BK32" s="55" t="str">
        <f t="shared" si="9"/>
        <v/>
      </c>
      <c r="BL32" s="13" t="str">
        <f t="shared" si="10"/>
        <v/>
      </c>
      <c r="BM32" s="13" t="str">
        <f t="shared" si="11"/>
        <v/>
      </c>
      <c r="BN32" s="56" t="str">
        <f t="shared" si="12"/>
        <v/>
      </c>
      <c r="BO32" s="39"/>
      <c r="BP32" s="14" t="str">
        <f t="shared" si="13"/>
        <v/>
      </c>
      <c r="BQ32" s="15">
        <v>0</v>
      </c>
      <c r="BR32" s="15" t="str">
        <f>IF(AJ32&gt;0,(AK32/AJ32),"")</f>
        <v/>
      </c>
      <c r="BS32" s="15" t="str">
        <f>IF(AJ32&gt;0,(AK32/AJ32),"")</f>
        <v/>
      </c>
      <c r="BT32" s="16" t="str">
        <f t="shared" si="14"/>
        <v/>
      </c>
      <c r="BU32" s="39"/>
      <c r="BV32" s="51" t="str">
        <f t="shared" si="15"/>
        <v/>
      </c>
      <c r="BW32" s="28" t="str">
        <f t="shared" si="16"/>
        <v/>
      </c>
      <c r="BX32" s="28" t="str">
        <f t="shared" si="17"/>
        <v/>
      </c>
      <c r="BY32" s="28" t="str">
        <f t="shared" si="18"/>
        <v/>
      </c>
      <c r="BZ32" s="28" t="str">
        <f>IF(AN32&gt;0,(AJ32/AN32),"")</f>
        <v/>
      </c>
      <c r="CA32" s="52" t="str">
        <f>IF(AN32&gt;0,(AK32/AN32),"")</f>
        <v/>
      </c>
      <c r="CB32" s="39"/>
      <c r="CC32" s="49" t="str">
        <f t="shared" si="19"/>
        <v>-</v>
      </c>
      <c r="CD32" s="29" t="str">
        <f t="shared" si="20"/>
        <v>-</v>
      </c>
      <c r="CE32" s="29" t="str">
        <f t="shared" si="21"/>
        <v>-</v>
      </c>
      <c r="CF32" s="29" t="str">
        <f t="shared" si="22"/>
        <v>-</v>
      </c>
      <c r="CG32" s="50" t="str">
        <f t="shared" si="23"/>
        <v>-</v>
      </c>
      <c r="CH32" s="39"/>
    </row>
    <row r="33" spans="1:86" s="27" customFormat="1" ht="12.4" customHeight="1" thickBot="1" x14ac:dyDescent="0.25">
      <c r="A33" s="43">
        <f t="shared" si="30"/>
        <v>46325</v>
      </c>
      <c r="B33" s="44" t="str">
        <f>+TEXT(A33,"DDD")</f>
        <v>Fri</v>
      </c>
      <c r="C33" s="2"/>
      <c r="D33" s="2"/>
      <c r="E33" s="3"/>
      <c r="F33" s="2"/>
      <c r="G33" s="2"/>
      <c r="H33" s="4"/>
      <c r="I33" s="4"/>
      <c r="J33" s="86"/>
      <c r="K33" s="5"/>
      <c r="L33" s="2"/>
      <c r="M33" s="2"/>
      <c r="N33" s="2"/>
      <c r="O33" s="2"/>
      <c r="P33" s="3"/>
      <c r="Q33" s="2"/>
      <c r="R33" s="2"/>
      <c r="S33" s="2"/>
      <c r="T33" s="2"/>
      <c r="U33" s="2"/>
      <c r="V33" s="3"/>
      <c r="W33" s="3"/>
      <c r="X33" s="2"/>
      <c r="Y33" s="2"/>
      <c r="Z33" s="2"/>
      <c r="AA33" s="2"/>
      <c r="AB33" s="2"/>
      <c r="AC33" s="2"/>
      <c r="AD33" s="2"/>
      <c r="AE33" s="2"/>
      <c r="AF33" s="3"/>
      <c r="AG33" s="3"/>
      <c r="AH33" s="2"/>
      <c r="AI33" s="6"/>
      <c r="AJ33" s="7"/>
      <c r="AK33" s="6"/>
      <c r="AL33" s="59"/>
      <c r="AM33" s="59"/>
      <c r="AN33" s="59"/>
      <c r="AO33" s="59"/>
      <c r="AP33" s="59"/>
      <c r="AQ33" s="59"/>
      <c r="AR33" s="59"/>
      <c r="AS33" s="59"/>
      <c r="AT33" s="8"/>
      <c r="AU33" s="8"/>
      <c r="AV33" s="9"/>
      <c r="AW33" s="8"/>
      <c r="AX33" s="10" t="str">
        <f>IFERROR(AN33/AW33,"-")</f>
        <v>-</v>
      </c>
      <c r="AY33" s="39"/>
      <c r="AZ33" s="1" t="str">
        <f t="shared" si="2"/>
        <v/>
      </c>
      <c r="BA33" s="11" t="str">
        <f t="shared" si="3"/>
        <v/>
      </c>
      <c r="BB33" s="1" t="str">
        <f t="shared" si="4"/>
        <v/>
      </c>
      <c r="BC33" s="39"/>
      <c r="BD33" s="53" t="str">
        <f t="shared" si="5"/>
        <v/>
      </c>
      <c r="BE33" s="12" t="str">
        <f t="shared" si="6"/>
        <v/>
      </c>
      <c r="BF33" s="12" t="str">
        <f t="shared" si="7"/>
        <v/>
      </c>
      <c r="BG33" s="12" t="str">
        <f>+IF(SUM(AO33:AR33)&gt;0,AO33/AN33,"")</f>
        <v/>
      </c>
      <c r="BH33" s="12" t="str">
        <f t="shared" si="8"/>
        <v/>
      </c>
      <c r="BI33" s="54" t="str">
        <f>+IF(SUM(AO33:AR33)&gt;0,AQ33/AN33,"")</f>
        <v/>
      </c>
      <c r="BJ33" s="39"/>
      <c r="BK33" s="55" t="str">
        <f t="shared" si="9"/>
        <v/>
      </c>
      <c r="BL33" s="13" t="str">
        <f t="shared" si="10"/>
        <v/>
      </c>
      <c r="BM33" s="13" t="str">
        <f t="shared" si="11"/>
        <v/>
      </c>
      <c r="BN33" s="56" t="str">
        <f t="shared" si="12"/>
        <v/>
      </c>
      <c r="BO33" s="39"/>
      <c r="BP33" s="14" t="str">
        <f t="shared" si="13"/>
        <v/>
      </c>
      <c r="BQ33" s="15">
        <v>0</v>
      </c>
      <c r="BR33" s="15" t="str">
        <f>IF(AJ33&gt;0,(AK33/AJ33),"")</f>
        <v/>
      </c>
      <c r="BS33" s="15" t="str">
        <f>IF(AJ33&gt;0,(AK33/AJ33),"")</f>
        <v/>
      </c>
      <c r="BT33" s="16" t="str">
        <f t="shared" si="14"/>
        <v/>
      </c>
      <c r="BU33" s="39"/>
      <c r="BV33" s="51" t="str">
        <f t="shared" si="15"/>
        <v/>
      </c>
      <c r="BW33" s="28" t="str">
        <f t="shared" si="16"/>
        <v/>
      </c>
      <c r="BX33" s="28" t="str">
        <f t="shared" si="17"/>
        <v/>
      </c>
      <c r="BY33" s="28" t="str">
        <f t="shared" si="18"/>
        <v/>
      </c>
      <c r="BZ33" s="28" t="str">
        <f>IF(AN33&gt;0,(AJ33/AN33),"")</f>
        <v/>
      </c>
      <c r="CA33" s="52" t="str">
        <f>IF(AN33&gt;0,(AK33/AN33),"")</f>
        <v/>
      </c>
      <c r="CB33" s="39"/>
      <c r="CC33" s="49" t="str">
        <f t="shared" si="19"/>
        <v>-</v>
      </c>
      <c r="CD33" s="29" t="str">
        <f t="shared" si="20"/>
        <v>-</v>
      </c>
      <c r="CE33" s="29" t="str">
        <f t="shared" si="21"/>
        <v>-</v>
      </c>
      <c r="CF33" s="29" t="str">
        <f t="shared" si="22"/>
        <v>-</v>
      </c>
      <c r="CG33" s="50" t="str">
        <f t="shared" si="23"/>
        <v>-</v>
      </c>
      <c r="CH33" s="39"/>
    </row>
    <row r="34" spans="1:86" s="27" customFormat="1" ht="12.4" customHeight="1" thickBot="1" x14ac:dyDescent="0.25">
      <c r="A34" s="43">
        <f t="shared" si="30"/>
        <v>46326</v>
      </c>
      <c r="B34" s="44" t="str">
        <f>+TEXT(A34,"DDD")</f>
        <v>Sat</v>
      </c>
      <c r="C34" s="2"/>
      <c r="D34" s="2"/>
      <c r="E34" s="3"/>
      <c r="F34" s="2"/>
      <c r="G34" s="2"/>
      <c r="H34" s="4"/>
      <c r="I34" s="4"/>
      <c r="J34" s="86"/>
      <c r="K34" s="5"/>
      <c r="L34" s="2"/>
      <c r="M34" s="2"/>
      <c r="N34" s="2"/>
      <c r="O34" s="2"/>
      <c r="P34" s="3"/>
      <c r="Q34" s="2"/>
      <c r="R34" s="2"/>
      <c r="S34" s="2"/>
      <c r="T34" s="2"/>
      <c r="U34" s="2"/>
      <c r="V34" s="3"/>
      <c r="W34" s="3"/>
      <c r="X34" s="2"/>
      <c r="Y34" s="2"/>
      <c r="Z34" s="2"/>
      <c r="AA34" s="2"/>
      <c r="AB34" s="2"/>
      <c r="AC34" s="2"/>
      <c r="AD34" s="2"/>
      <c r="AE34" s="2"/>
      <c r="AF34" s="3"/>
      <c r="AG34" s="3"/>
      <c r="AH34" s="2"/>
      <c r="AI34" s="6"/>
      <c r="AJ34" s="7"/>
      <c r="AK34" s="6"/>
      <c r="AL34" s="59"/>
      <c r="AM34" s="59"/>
      <c r="AN34" s="59"/>
      <c r="AO34" s="59"/>
      <c r="AP34" s="59"/>
      <c r="AQ34" s="59"/>
      <c r="AR34" s="59"/>
      <c r="AS34" s="59"/>
      <c r="AT34" s="8"/>
      <c r="AU34" s="8"/>
      <c r="AV34" s="9"/>
      <c r="AW34" s="8"/>
      <c r="AX34" s="10" t="str">
        <f>IFERROR(AN34/AW34,"-")</f>
        <v>-</v>
      </c>
      <c r="AY34" s="39"/>
      <c r="AZ34" s="1" t="str">
        <f t="shared" si="2"/>
        <v/>
      </c>
      <c r="BA34" s="11" t="str">
        <f t="shared" si="3"/>
        <v/>
      </c>
      <c r="BB34" s="1" t="str">
        <f t="shared" si="4"/>
        <v/>
      </c>
      <c r="BC34" s="39"/>
      <c r="BD34" s="53" t="str">
        <f t="shared" si="5"/>
        <v/>
      </c>
      <c r="BE34" s="12" t="str">
        <f t="shared" si="6"/>
        <v/>
      </c>
      <c r="BF34" s="12" t="str">
        <f t="shared" si="7"/>
        <v/>
      </c>
      <c r="BG34" s="12" t="str">
        <f>+IF(SUM(AO34:AR34)&gt;0,AO34/AN34,"")</f>
        <v/>
      </c>
      <c r="BH34" s="12" t="str">
        <f t="shared" si="8"/>
        <v/>
      </c>
      <c r="BI34" s="54" t="str">
        <f>+IF(SUM(AO34:AR34)&gt;0,AQ34/AN34,"")</f>
        <v/>
      </c>
      <c r="BJ34" s="39"/>
      <c r="BK34" s="55" t="str">
        <f t="shared" si="9"/>
        <v/>
      </c>
      <c r="BL34" s="13" t="str">
        <f t="shared" si="10"/>
        <v/>
      </c>
      <c r="BM34" s="13" t="str">
        <f t="shared" si="11"/>
        <v/>
      </c>
      <c r="BN34" s="56" t="str">
        <f t="shared" si="12"/>
        <v/>
      </c>
      <c r="BO34" s="39"/>
      <c r="BP34" s="14" t="str">
        <f t="shared" si="13"/>
        <v/>
      </c>
      <c r="BQ34" s="15">
        <v>0</v>
      </c>
      <c r="BR34" s="15" t="str">
        <f>IF(AJ34&gt;0,(AK34/AJ34),"")</f>
        <v/>
      </c>
      <c r="BS34" s="15" t="str">
        <f>IF(AJ34&gt;0,(AK34/AJ34),"")</f>
        <v/>
      </c>
      <c r="BT34" s="16" t="str">
        <f t="shared" si="14"/>
        <v/>
      </c>
      <c r="BU34" s="39"/>
      <c r="BV34" s="51" t="str">
        <f t="shared" si="15"/>
        <v/>
      </c>
      <c r="BW34" s="28" t="str">
        <f t="shared" si="16"/>
        <v/>
      </c>
      <c r="BX34" s="28" t="str">
        <f t="shared" si="17"/>
        <v/>
      </c>
      <c r="BY34" s="28" t="str">
        <f t="shared" si="18"/>
        <v/>
      </c>
      <c r="BZ34" s="28" t="str">
        <f>IF(AN34&gt;0,(AJ34/AN34),"")</f>
        <v/>
      </c>
      <c r="CA34" s="52" t="str">
        <f>IF(AN34&gt;0,(AK34/AN34),"")</f>
        <v/>
      </c>
      <c r="CB34" s="39"/>
      <c r="CC34" s="49" t="str">
        <f t="shared" si="19"/>
        <v>-</v>
      </c>
      <c r="CD34" s="29" t="str">
        <f t="shared" si="20"/>
        <v>-</v>
      </c>
      <c r="CE34" s="29" t="str">
        <f t="shared" si="21"/>
        <v>-</v>
      </c>
      <c r="CF34" s="29" t="str">
        <f t="shared" si="22"/>
        <v>-</v>
      </c>
      <c r="CG34" s="50" t="str">
        <f t="shared" si="23"/>
        <v>-</v>
      </c>
      <c r="CH34" s="39"/>
    </row>
    <row r="35" spans="1:86" s="27" customFormat="1" ht="13.15" customHeight="1" thickBot="1" x14ac:dyDescent="0.25">
      <c r="A35" s="288" t="s">
        <v>68</v>
      </c>
      <c r="B35" s="289"/>
      <c r="C35" s="45" t="e">
        <f>AVERAGE(C4:C34)</f>
        <v>#DIV/0!</v>
      </c>
      <c r="D35" s="45" t="e">
        <f t="shared" ref="D35:AW35" si="31">AVERAGE(D4:D34)</f>
        <v>#DIV/0!</v>
      </c>
      <c r="E35" s="45" t="e">
        <f t="shared" si="31"/>
        <v>#DIV/0!</v>
      </c>
      <c r="F35" s="45" t="e">
        <f t="shared" si="31"/>
        <v>#DIV/0!</v>
      </c>
      <c r="G35" s="45" t="e">
        <f t="shared" si="31"/>
        <v>#DIV/0!</v>
      </c>
      <c r="H35" s="45" t="e">
        <f t="shared" si="31"/>
        <v>#DIV/0!</v>
      </c>
      <c r="I35" s="45" t="e">
        <f t="shared" si="31"/>
        <v>#DIV/0!</v>
      </c>
      <c r="J35" s="45" t="e">
        <f t="shared" si="31"/>
        <v>#DIV/0!</v>
      </c>
      <c r="K35" s="45" t="e">
        <f t="shared" si="31"/>
        <v>#DIV/0!</v>
      </c>
      <c r="L35" s="45" t="e">
        <f t="shared" si="31"/>
        <v>#DIV/0!</v>
      </c>
      <c r="M35" s="45" t="e">
        <f t="shared" si="31"/>
        <v>#DIV/0!</v>
      </c>
      <c r="N35" s="45" t="e">
        <f t="shared" si="31"/>
        <v>#DIV/0!</v>
      </c>
      <c r="O35" s="45" t="e">
        <f t="shared" si="31"/>
        <v>#DIV/0!</v>
      </c>
      <c r="P35" s="45" t="e">
        <f t="shared" si="31"/>
        <v>#DIV/0!</v>
      </c>
      <c r="Q35" s="45" t="e">
        <f t="shared" si="31"/>
        <v>#DIV/0!</v>
      </c>
      <c r="R35" s="45" t="e">
        <f t="shared" si="31"/>
        <v>#DIV/0!</v>
      </c>
      <c r="S35" s="45" t="e">
        <f t="shared" si="31"/>
        <v>#DIV/0!</v>
      </c>
      <c r="T35" s="45" t="e">
        <f t="shared" si="31"/>
        <v>#DIV/0!</v>
      </c>
      <c r="U35" s="45" t="e">
        <f t="shared" si="31"/>
        <v>#DIV/0!</v>
      </c>
      <c r="V35" s="45" t="e">
        <f t="shared" si="31"/>
        <v>#DIV/0!</v>
      </c>
      <c r="W35" s="45" t="e">
        <f t="shared" si="31"/>
        <v>#DIV/0!</v>
      </c>
      <c r="X35" s="45" t="e">
        <f t="shared" si="31"/>
        <v>#DIV/0!</v>
      </c>
      <c r="Y35" s="45" t="e">
        <f t="shared" si="31"/>
        <v>#DIV/0!</v>
      </c>
      <c r="Z35" s="45" t="e">
        <f t="shared" si="31"/>
        <v>#DIV/0!</v>
      </c>
      <c r="AA35" s="45" t="e">
        <f t="shared" si="31"/>
        <v>#DIV/0!</v>
      </c>
      <c r="AB35" s="45" t="e">
        <f t="shared" si="31"/>
        <v>#DIV/0!</v>
      </c>
      <c r="AC35" s="45" t="e">
        <f t="shared" si="31"/>
        <v>#DIV/0!</v>
      </c>
      <c r="AD35" s="45" t="e">
        <f t="shared" si="31"/>
        <v>#DIV/0!</v>
      </c>
      <c r="AE35" s="45" t="e">
        <f t="shared" si="31"/>
        <v>#DIV/0!</v>
      </c>
      <c r="AF35" s="45" t="e">
        <f t="shared" si="31"/>
        <v>#DIV/0!</v>
      </c>
      <c r="AG35" s="45" t="e">
        <f t="shared" si="31"/>
        <v>#DIV/0!</v>
      </c>
      <c r="AH35" s="45" t="e">
        <f t="shared" si="31"/>
        <v>#DIV/0!</v>
      </c>
      <c r="AI35" s="45" t="e">
        <f t="shared" si="31"/>
        <v>#DIV/0!</v>
      </c>
      <c r="AJ35" s="45" t="e">
        <f t="shared" si="31"/>
        <v>#DIV/0!</v>
      </c>
      <c r="AK35" s="45" t="e">
        <f t="shared" si="31"/>
        <v>#DIV/0!</v>
      </c>
      <c r="AL35" s="45" t="e">
        <f t="shared" si="31"/>
        <v>#DIV/0!</v>
      </c>
      <c r="AM35" s="45" t="e">
        <f t="shared" si="31"/>
        <v>#DIV/0!</v>
      </c>
      <c r="AN35" s="45" t="e">
        <f t="shared" si="31"/>
        <v>#DIV/0!</v>
      </c>
      <c r="AO35" s="45" t="e">
        <f t="shared" si="31"/>
        <v>#DIV/0!</v>
      </c>
      <c r="AP35" s="45" t="e">
        <f t="shared" si="31"/>
        <v>#DIV/0!</v>
      </c>
      <c r="AQ35" s="45" t="e">
        <f t="shared" si="31"/>
        <v>#DIV/0!</v>
      </c>
      <c r="AR35" s="45" t="e">
        <f t="shared" si="31"/>
        <v>#DIV/0!</v>
      </c>
      <c r="AS35" s="45" t="e">
        <f t="shared" si="31"/>
        <v>#DIV/0!</v>
      </c>
      <c r="AT35" s="45" t="e">
        <f t="shared" si="31"/>
        <v>#DIV/0!</v>
      </c>
      <c r="AU35" s="45" t="e">
        <f t="shared" si="31"/>
        <v>#DIV/0!</v>
      </c>
      <c r="AV35" s="45" t="e">
        <f t="shared" si="31"/>
        <v>#DIV/0!</v>
      </c>
      <c r="AW35" s="45" t="e">
        <f t="shared" si="31"/>
        <v>#DIV/0!</v>
      </c>
      <c r="AX35" s="46" t="str">
        <f>IFERROR(AN35/AW35,"-")</f>
        <v>-</v>
      </c>
      <c r="AY35" s="39"/>
      <c r="AZ35" s="18" t="e">
        <f t="shared" si="2"/>
        <v>#DIV/0!</v>
      </c>
      <c r="BA35" s="19" t="e">
        <f t="shared" si="3"/>
        <v>#DIV/0!</v>
      </c>
      <c r="BB35" s="20" t="e">
        <f t="shared" si="4"/>
        <v>#DIV/0!</v>
      </c>
      <c r="BC35" s="39"/>
      <c r="BD35" s="18" t="e">
        <f t="shared" si="5"/>
        <v>#DIV/0!</v>
      </c>
      <c r="BE35" s="21" t="e">
        <f t="shared" si="6"/>
        <v>#DIV/0!</v>
      </c>
      <c r="BF35" s="21" t="e">
        <f t="shared" si="7"/>
        <v>#DIV/0!</v>
      </c>
      <c r="BG35" s="21" t="e">
        <f t="shared" si="24"/>
        <v>#DIV/0!</v>
      </c>
      <c r="BH35" s="21" t="e">
        <f t="shared" si="8"/>
        <v>#DIV/0!</v>
      </c>
      <c r="BI35" s="20" t="e">
        <f t="shared" si="25"/>
        <v>#DIV/0!</v>
      </c>
      <c r="BJ35" s="39"/>
      <c r="BK35" s="18" t="e">
        <f t="shared" si="9"/>
        <v>#DIV/0!</v>
      </c>
      <c r="BL35" s="21" t="e">
        <f t="shared" si="10"/>
        <v>#DIV/0!</v>
      </c>
      <c r="BM35" s="21" t="e">
        <f t="shared" si="11"/>
        <v>#DIV/0!</v>
      </c>
      <c r="BN35" s="20" t="e">
        <f t="shared" si="12"/>
        <v>#DIV/0!</v>
      </c>
      <c r="BO35" s="39"/>
      <c r="BP35" s="18" t="e">
        <f t="shared" si="13"/>
        <v>#DIV/0!</v>
      </c>
      <c r="BQ35" s="21">
        <v>0</v>
      </c>
      <c r="BR35" s="21" t="e">
        <f t="shared" si="26"/>
        <v>#DIV/0!</v>
      </c>
      <c r="BS35" s="21" t="e">
        <f t="shared" si="27"/>
        <v>#DIV/0!</v>
      </c>
      <c r="BT35" s="20" t="e">
        <f t="shared" si="14"/>
        <v>#DIV/0!</v>
      </c>
      <c r="BU35" s="39"/>
      <c r="BV35" s="30" t="e">
        <f t="shared" si="15"/>
        <v>#DIV/0!</v>
      </c>
      <c r="BW35" s="31" t="e">
        <f t="shared" si="16"/>
        <v>#DIV/0!</v>
      </c>
      <c r="BX35" s="31" t="e">
        <f t="shared" si="17"/>
        <v>#DIV/0!</v>
      </c>
      <c r="BY35" s="31" t="e">
        <f t="shared" si="18"/>
        <v>#DIV/0!</v>
      </c>
      <c r="BZ35" s="31" t="e">
        <f t="shared" si="28"/>
        <v>#DIV/0!</v>
      </c>
      <c r="CA35" s="32" t="e">
        <f t="shared" si="29"/>
        <v>#DIV/0!</v>
      </c>
      <c r="CB35" s="39"/>
      <c r="CC35" s="30" t="str">
        <f t="shared" si="19"/>
        <v>-</v>
      </c>
      <c r="CD35" s="31" t="str">
        <f t="shared" si="20"/>
        <v>-</v>
      </c>
      <c r="CE35" s="31" t="str">
        <f t="shared" si="21"/>
        <v>-</v>
      </c>
      <c r="CF35" s="31" t="str">
        <f t="shared" si="22"/>
        <v>-</v>
      </c>
      <c r="CG35" s="32" t="str">
        <f t="shared" si="23"/>
        <v>-</v>
      </c>
      <c r="CH35" s="39"/>
    </row>
    <row r="36" spans="1:86" s="27" customFormat="1" ht="13.15" customHeight="1" thickBot="1" x14ac:dyDescent="0.25">
      <c r="A36" s="288" t="s">
        <v>69</v>
      </c>
      <c r="B36" s="289"/>
      <c r="C36" s="47">
        <f>SUM(C4:C34)</f>
        <v>0</v>
      </c>
      <c r="D36" s="47">
        <f t="shared" ref="D36:AW36" si="32">SUM(D4:D34)</f>
        <v>0</v>
      </c>
      <c r="E36" s="47">
        <f t="shared" si="32"/>
        <v>0</v>
      </c>
      <c r="F36" s="47">
        <f t="shared" si="32"/>
        <v>0</v>
      </c>
      <c r="G36" s="47">
        <f t="shared" si="32"/>
        <v>0</v>
      </c>
      <c r="H36" s="47">
        <f t="shared" si="32"/>
        <v>0</v>
      </c>
      <c r="I36" s="47">
        <f t="shared" si="32"/>
        <v>0</v>
      </c>
      <c r="J36" s="47">
        <f t="shared" si="32"/>
        <v>0</v>
      </c>
      <c r="K36" s="47">
        <f t="shared" si="32"/>
        <v>0</v>
      </c>
      <c r="L36" s="47">
        <f t="shared" si="32"/>
        <v>0</v>
      </c>
      <c r="M36" s="47">
        <f t="shared" si="32"/>
        <v>0</v>
      </c>
      <c r="N36" s="47">
        <f t="shared" si="32"/>
        <v>0</v>
      </c>
      <c r="O36" s="47">
        <f t="shared" si="32"/>
        <v>0</v>
      </c>
      <c r="P36" s="47">
        <f t="shared" si="32"/>
        <v>0</v>
      </c>
      <c r="Q36" s="47">
        <f t="shared" si="32"/>
        <v>0</v>
      </c>
      <c r="R36" s="47">
        <f t="shared" si="32"/>
        <v>0</v>
      </c>
      <c r="S36" s="47">
        <f t="shared" si="32"/>
        <v>0</v>
      </c>
      <c r="T36" s="47">
        <f t="shared" si="32"/>
        <v>0</v>
      </c>
      <c r="U36" s="47">
        <f t="shared" si="32"/>
        <v>0</v>
      </c>
      <c r="V36" s="47">
        <f t="shared" si="32"/>
        <v>0</v>
      </c>
      <c r="W36" s="47">
        <f t="shared" si="32"/>
        <v>0</v>
      </c>
      <c r="X36" s="47">
        <f t="shared" si="32"/>
        <v>0</v>
      </c>
      <c r="Y36" s="47">
        <f t="shared" si="32"/>
        <v>0</v>
      </c>
      <c r="Z36" s="47">
        <f t="shared" si="32"/>
        <v>0</v>
      </c>
      <c r="AA36" s="47">
        <f t="shared" si="32"/>
        <v>0</v>
      </c>
      <c r="AB36" s="47">
        <f t="shared" si="32"/>
        <v>0</v>
      </c>
      <c r="AC36" s="47">
        <f t="shared" si="32"/>
        <v>0</v>
      </c>
      <c r="AD36" s="47">
        <f t="shared" si="32"/>
        <v>0</v>
      </c>
      <c r="AE36" s="47">
        <f t="shared" si="32"/>
        <v>0</v>
      </c>
      <c r="AF36" s="47">
        <f t="shared" si="32"/>
        <v>0</v>
      </c>
      <c r="AG36" s="47">
        <f t="shared" si="32"/>
        <v>0</v>
      </c>
      <c r="AH36" s="47">
        <f t="shared" si="32"/>
        <v>0</v>
      </c>
      <c r="AI36" s="47">
        <f t="shared" si="32"/>
        <v>0</v>
      </c>
      <c r="AJ36" s="47">
        <f t="shared" si="32"/>
        <v>0</v>
      </c>
      <c r="AK36" s="47">
        <f t="shared" si="32"/>
        <v>0</v>
      </c>
      <c r="AL36" s="47">
        <f t="shared" si="32"/>
        <v>0</v>
      </c>
      <c r="AM36" s="47">
        <f t="shared" si="32"/>
        <v>0</v>
      </c>
      <c r="AN36" s="47">
        <f t="shared" si="32"/>
        <v>0</v>
      </c>
      <c r="AO36" s="47">
        <f t="shared" si="32"/>
        <v>0</v>
      </c>
      <c r="AP36" s="47">
        <f t="shared" si="32"/>
        <v>0</v>
      </c>
      <c r="AQ36" s="47">
        <f t="shared" si="32"/>
        <v>0</v>
      </c>
      <c r="AR36" s="47">
        <f t="shared" si="32"/>
        <v>0</v>
      </c>
      <c r="AS36" s="47">
        <f t="shared" si="32"/>
        <v>0</v>
      </c>
      <c r="AT36" s="47">
        <f t="shared" si="32"/>
        <v>0</v>
      </c>
      <c r="AU36" s="47">
        <f t="shared" si="32"/>
        <v>0</v>
      </c>
      <c r="AV36" s="47">
        <f t="shared" si="32"/>
        <v>0</v>
      </c>
      <c r="AW36" s="47">
        <f t="shared" si="32"/>
        <v>0</v>
      </c>
      <c r="AX36" s="48" t="str">
        <f>IFERROR(AN36/AW36,"-")</f>
        <v>-</v>
      </c>
      <c r="AY36" s="40"/>
      <c r="AZ36" s="23" t="str">
        <f t="shared" si="2"/>
        <v/>
      </c>
      <c r="BA36" s="24" t="str">
        <f t="shared" si="3"/>
        <v/>
      </c>
      <c r="BB36" s="25" t="str">
        <f t="shared" si="4"/>
        <v/>
      </c>
      <c r="BC36" s="40"/>
      <c r="BD36" s="23" t="str">
        <f t="shared" si="5"/>
        <v/>
      </c>
      <c r="BE36" s="26" t="str">
        <f t="shared" si="6"/>
        <v/>
      </c>
      <c r="BF36" s="26" t="str">
        <f t="shared" si="7"/>
        <v/>
      </c>
      <c r="BG36" s="26" t="str">
        <f t="shared" si="24"/>
        <v/>
      </c>
      <c r="BH36" s="26" t="str">
        <f t="shared" si="8"/>
        <v/>
      </c>
      <c r="BI36" s="25" t="str">
        <f t="shared" si="25"/>
        <v/>
      </c>
      <c r="BJ36" s="40"/>
      <c r="BK36" s="23" t="str">
        <f t="shared" si="9"/>
        <v/>
      </c>
      <c r="BL36" s="26" t="str">
        <f t="shared" si="10"/>
        <v/>
      </c>
      <c r="BM36" s="26" t="str">
        <f t="shared" si="11"/>
        <v/>
      </c>
      <c r="BN36" s="25" t="str">
        <f t="shared" si="12"/>
        <v/>
      </c>
      <c r="BO36" s="40"/>
      <c r="BP36" s="23" t="str">
        <f t="shared" si="13"/>
        <v/>
      </c>
      <c r="BQ36" s="26">
        <v>0</v>
      </c>
      <c r="BR36" s="26" t="str">
        <f t="shared" si="26"/>
        <v/>
      </c>
      <c r="BS36" s="26" t="str">
        <f t="shared" si="27"/>
        <v/>
      </c>
      <c r="BT36" s="25" t="str">
        <f t="shared" si="14"/>
        <v/>
      </c>
      <c r="BU36" s="40"/>
      <c r="BV36" s="33" t="str">
        <f t="shared" si="15"/>
        <v/>
      </c>
      <c r="BW36" s="34" t="str">
        <f t="shared" si="16"/>
        <v/>
      </c>
      <c r="BX36" s="34" t="str">
        <f t="shared" si="17"/>
        <v/>
      </c>
      <c r="BY36" s="34" t="str">
        <f t="shared" si="18"/>
        <v/>
      </c>
      <c r="BZ36" s="34" t="str">
        <f t="shared" si="28"/>
        <v/>
      </c>
      <c r="CA36" s="35" t="str">
        <f t="shared" si="29"/>
        <v/>
      </c>
      <c r="CB36" s="40"/>
      <c r="CC36" s="33" t="str">
        <f t="shared" si="19"/>
        <v>-</v>
      </c>
      <c r="CD36" s="34" t="str">
        <f t="shared" si="20"/>
        <v>-</v>
      </c>
      <c r="CE36" s="34" t="str">
        <f t="shared" si="21"/>
        <v>-</v>
      </c>
      <c r="CF36" s="34" t="str">
        <f t="shared" si="22"/>
        <v>-</v>
      </c>
      <c r="CG36" s="35" t="str">
        <f t="shared" si="23"/>
        <v>-</v>
      </c>
      <c r="CH36" s="40"/>
    </row>
    <row r="37" spans="1:86" x14ac:dyDescent="0.2"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</sheetData>
  <mergeCells count="88">
    <mergeCell ref="AZ1:BB1"/>
    <mergeCell ref="BD1:BI1"/>
    <mergeCell ref="BK1:BN1"/>
    <mergeCell ref="BP1:BT1"/>
    <mergeCell ref="CC1:CG1"/>
    <mergeCell ref="BV1:CA1"/>
    <mergeCell ref="CG2:CG3"/>
    <mergeCell ref="A35:B35"/>
    <mergeCell ref="A36:B36"/>
    <mergeCell ref="CA2:CA3"/>
    <mergeCell ref="CC2:CC3"/>
    <mergeCell ref="CD2:CD3"/>
    <mergeCell ref="CE2:CE3"/>
    <mergeCell ref="CF2:CF3"/>
    <mergeCell ref="BT2:BT3"/>
    <mergeCell ref="BV2:BV3"/>
    <mergeCell ref="BW2:BW3"/>
    <mergeCell ref="BX2:BX3"/>
    <mergeCell ref="BY2:BY3"/>
    <mergeCell ref="BZ2:BZ3"/>
    <mergeCell ref="BM2:BM3"/>
    <mergeCell ref="BN2:BN3"/>
    <mergeCell ref="BP2:BP3"/>
    <mergeCell ref="BR2:BR3"/>
    <mergeCell ref="BS2:BS3"/>
    <mergeCell ref="BG2:BG3"/>
    <mergeCell ref="BH2:BH3"/>
    <mergeCell ref="BI2:BI3"/>
    <mergeCell ref="BK2:BK3"/>
    <mergeCell ref="BL2:BL3"/>
    <mergeCell ref="BQ2:BQ3"/>
    <mergeCell ref="BA2:BA3"/>
    <mergeCell ref="BB2:BB3"/>
    <mergeCell ref="BD2:BD3"/>
    <mergeCell ref="BE2:BE3"/>
    <mergeCell ref="BF2:BF3"/>
    <mergeCell ref="AU2:AU3"/>
    <mergeCell ref="AV2:AV3"/>
    <mergeCell ref="AW2:AW3"/>
    <mergeCell ref="AX2:AX3"/>
    <mergeCell ref="AZ2:AZ3"/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H2:AH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E2:E3"/>
    <mergeCell ref="V2:V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B1"/>
    <mergeCell ref="A2:A3"/>
    <mergeCell ref="B2:B3"/>
    <mergeCell ref="C2:C3"/>
    <mergeCell ref="D2:D3"/>
    <mergeCell ref="W2:W3"/>
    <mergeCell ref="X2:X3"/>
    <mergeCell ref="F2:F3"/>
    <mergeCell ref="G2:G3"/>
    <mergeCell ref="H2:H3"/>
    <mergeCell ref="I2:I3"/>
    <mergeCell ref="U2:U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CY37"/>
  <sheetViews>
    <sheetView showGridLines="0" zoomScaleNormal="100" workbookViewId="0">
      <selection sqref="A1:B1"/>
    </sheetView>
  </sheetViews>
  <sheetFormatPr defaultColWidth="0" defaultRowHeight="11.25" x14ac:dyDescent="0.2"/>
  <cols>
    <col min="1" max="1" width="9.42578125" style="36" customWidth="1"/>
    <col min="2" max="2" width="4.5703125" style="36" customWidth="1"/>
    <col min="3" max="3" width="15.42578125" style="36" customWidth="1"/>
    <col min="4" max="4" width="18.7109375" style="36" customWidth="1"/>
    <col min="5" max="5" width="19.85546875" style="36" customWidth="1"/>
    <col min="6" max="6" width="15.85546875" style="36" customWidth="1"/>
    <col min="7" max="7" width="5.5703125" style="36" customWidth="1"/>
    <col min="8" max="8" width="18.42578125" style="36" customWidth="1"/>
    <col min="9" max="9" width="8.85546875" style="36" customWidth="1"/>
    <col min="10" max="10" width="9.42578125" style="36" customWidth="1"/>
    <col min="11" max="11" width="10.85546875" style="36" customWidth="1"/>
    <col min="12" max="12" width="7.140625" style="36" customWidth="1"/>
    <col min="13" max="13" width="5.85546875" style="36" customWidth="1"/>
    <col min="14" max="14" width="4.42578125" style="36" customWidth="1"/>
    <col min="15" max="15" width="4.7109375" style="36" customWidth="1"/>
    <col min="16" max="16" width="4.5703125" style="36" customWidth="1"/>
    <col min="17" max="17" width="5.42578125" style="36" customWidth="1"/>
    <col min="18" max="18" width="4" style="36" customWidth="1"/>
    <col min="19" max="19" width="4.42578125" style="36" customWidth="1"/>
    <col min="20" max="20" width="3.5703125" style="36" customWidth="1"/>
    <col min="21" max="21" width="5.85546875" style="36" customWidth="1"/>
    <col min="22" max="23" width="3.28515625" style="36" customWidth="1"/>
    <col min="24" max="24" width="5" style="36" customWidth="1"/>
    <col min="25" max="25" width="3.85546875" style="36" customWidth="1"/>
    <col min="26" max="26" width="3.42578125" style="36" customWidth="1"/>
    <col min="27" max="27" width="5.5703125" style="36" customWidth="1"/>
    <col min="28" max="28" width="5.7109375" style="36" customWidth="1"/>
    <col min="29" max="29" width="4" style="36" customWidth="1"/>
    <col min="30" max="30" width="3.140625" style="36" customWidth="1"/>
    <col min="31" max="31" width="5.42578125" style="36" customWidth="1"/>
    <col min="32" max="34" width="4.42578125" style="36" customWidth="1"/>
    <col min="35" max="35" width="13.140625" style="36" customWidth="1"/>
    <col min="36" max="36" width="15.5703125" style="36" customWidth="1"/>
    <col min="37" max="37" width="16.140625" style="36" bestFit="1" customWidth="1"/>
    <col min="38" max="38" width="15.28515625" style="36" bestFit="1" customWidth="1"/>
    <col min="39" max="39" width="15.7109375" style="36" bestFit="1" customWidth="1"/>
    <col min="40" max="40" width="16.140625" style="36" customWidth="1"/>
    <col min="41" max="41" width="9.85546875" style="36" customWidth="1"/>
    <col min="42" max="42" width="13.7109375" style="36" customWidth="1"/>
    <col min="43" max="43" width="11" style="36" customWidth="1"/>
    <col min="44" max="44" width="10.140625" style="36" customWidth="1"/>
    <col min="45" max="45" width="12.42578125" style="38" bestFit="1" customWidth="1"/>
    <col min="46" max="46" width="12.140625" style="36" customWidth="1"/>
    <col min="47" max="47" width="10.7109375" style="36" customWidth="1"/>
    <col min="48" max="48" width="16.140625" style="36" customWidth="1"/>
    <col min="49" max="50" width="16" style="36" customWidth="1"/>
    <col min="51" max="51" width="1.85546875" style="36" customWidth="1"/>
    <col min="52" max="52" width="16.28515625" style="36" bestFit="1" customWidth="1"/>
    <col min="53" max="53" width="11.85546875" style="36" bestFit="1" customWidth="1"/>
    <col min="54" max="54" width="12.7109375" style="36" customWidth="1"/>
    <col min="55" max="55" width="2" style="36" customWidth="1"/>
    <col min="56" max="56" width="12.5703125" style="36" bestFit="1" customWidth="1"/>
    <col min="57" max="57" width="13.28515625" style="36" customWidth="1"/>
    <col min="58" max="58" width="20.28515625" style="36" bestFit="1" customWidth="1"/>
    <col min="59" max="59" width="9.42578125" style="36" customWidth="1"/>
    <col min="60" max="60" width="14.7109375" style="36" bestFit="1" customWidth="1"/>
    <col min="61" max="61" width="10.5703125" style="36" customWidth="1"/>
    <col min="62" max="62" width="1.5703125" style="36" customWidth="1"/>
    <col min="63" max="63" width="20.140625" style="36" customWidth="1"/>
    <col min="64" max="64" width="25.28515625" style="36" bestFit="1" customWidth="1"/>
    <col min="65" max="65" width="14" style="36" customWidth="1"/>
    <col min="66" max="66" width="18" style="36" customWidth="1"/>
    <col min="67" max="67" width="2.28515625" style="36" customWidth="1"/>
    <col min="68" max="68" width="9.140625" style="36" customWidth="1"/>
    <col min="69" max="69" width="12.85546875" style="36" bestFit="1" customWidth="1"/>
    <col min="70" max="70" width="14" style="36" bestFit="1" customWidth="1"/>
    <col min="71" max="71" width="13.7109375" style="36" bestFit="1" customWidth="1"/>
    <col min="72" max="72" width="7.85546875" style="36" customWidth="1"/>
    <col min="73" max="73" width="1.5703125" style="36" customWidth="1"/>
    <col min="74" max="74" width="18.42578125" style="36" customWidth="1"/>
    <col min="75" max="75" width="14.42578125" style="36" customWidth="1"/>
    <col min="76" max="76" width="18.42578125" style="36" customWidth="1"/>
    <col min="77" max="77" width="18.85546875" style="36" customWidth="1"/>
    <col min="78" max="78" width="18" style="36" customWidth="1"/>
    <col min="79" max="79" width="18.5703125" style="36" customWidth="1"/>
    <col min="80" max="80" width="2" style="36" customWidth="1"/>
    <col min="81" max="82" width="8.5703125" style="36" customWidth="1"/>
    <col min="83" max="84" width="7.5703125" style="36" customWidth="1"/>
    <col min="85" max="85" width="8.42578125" style="36" customWidth="1"/>
    <col min="86" max="103" width="0" style="36" hidden="1" customWidth="1"/>
    <col min="104" max="16384" width="10.7109375" style="36" hidden="1"/>
  </cols>
  <sheetData>
    <row r="1" spans="1:86" s="27" customFormat="1" ht="13.15" customHeight="1" thickBot="1" x14ac:dyDescent="0.25">
      <c r="A1" s="269" t="s">
        <v>0</v>
      </c>
      <c r="B1" s="27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2"/>
      <c r="AY1" s="39"/>
      <c r="AZ1" s="271" t="s">
        <v>1</v>
      </c>
      <c r="BA1" s="272"/>
      <c r="BB1" s="273"/>
      <c r="BC1" s="39"/>
      <c r="BD1" s="256" t="s">
        <v>2</v>
      </c>
      <c r="BE1" s="257"/>
      <c r="BF1" s="257"/>
      <c r="BG1" s="257"/>
      <c r="BH1" s="257"/>
      <c r="BI1" s="258"/>
      <c r="BJ1" s="39"/>
      <c r="BK1" s="256" t="s">
        <v>3</v>
      </c>
      <c r="BL1" s="257"/>
      <c r="BM1" s="257"/>
      <c r="BN1" s="258"/>
      <c r="BO1" s="39"/>
      <c r="BP1" s="256" t="s">
        <v>4</v>
      </c>
      <c r="BQ1" s="257"/>
      <c r="BR1" s="257"/>
      <c r="BS1" s="257"/>
      <c r="BT1" s="258"/>
      <c r="BU1" s="39"/>
      <c r="BV1" s="256" t="s">
        <v>5</v>
      </c>
      <c r="BW1" s="257"/>
      <c r="BX1" s="257"/>
      <c r="BY1" s="257"/>
      <c r="BZ1" s="257"/>
      <c r="CA1" s="258"/>
      <c r="CB1" s="39"/>
      <c r="CC1" s="256" t="s">
        <v>6</v>
      </c>
      <c r="CD1" s="257"/>
      <c r="CE1" s="257"/>
      <c r="CF1" s="257"/>
      <c r="CG1" s="258"/>
      <c r="CH1" s="39"/>
    </row>
    <row r="2" spans="1:86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87</v>
      </c>
      <c r="V2" s="259" t="s">
        <v>78</v>
      </c>
      <c r="W2" s="259" t="s">
        <v>24</v>
      </c>
      <c r="X2" s="259" t="s">
        <v>85</v>
      </c>
      <c r="Y2" s="259" t="s">
        <v>25</v>
      </c>
      <c r="Z2" s="259" t="s">
        <v>70</v>
      </c>
      <c r="AA2" s="259" t="s">
        <v>79</v>
      </c>
      <c r="AB2" s="259" t="s">
        <v>76</v>
      </c>
      <c r="AC2" s="259" t="s">
        <v>77</v>
      </c>
      <c r="AD2" s="259" t="s">
        <v>80</v>
      </c>
      <c r="AE2" s="259" t="s">
        <v>75</v>
      </c>
      <c r="AF2" s="259" t="s">
        <v>74</v>
      </c>
      <c r="AG2" s="259" t="s">
        <v>72</v>
      </c>
      <c r="AH2" s="259" t="s">
        <v>73</v>
      </c>
      <c r="AI2" s="259" t="s">
        <v>26</v>
      </c>
      <c r="AJ2" s="259" t="s">
        <v>27</v>
      </c>
      <c r="AK2" s="259" t="s">
        <v>28</v>
      </c>
      <c r="AL2" s="276" t="s">
        <v>29</v>
      </c>
      <c r="AM2" s="276" t="s">
        <v>30</v>
      </c>
      <c r="AN2" s="286" t="s">
        <v>31</v>
      </c>
      <c r="AO2" s="286" t="s">
        <v>32</v>
      </c>
      <c r="AP2" s="286" t="s">
        <v>33</v>
      </c>
      <c r="AQ2" s="286" t="s">
        <v>34</v>
      </c>
      <c r="AR2" s="286" t="s">
        <v>35</v>
      </c>
      <c r="AS2" s="286" t="s">
        <v>36</v>
      </c>
      <c r="AT2" s="315" t="s">
        <v>37</v>
      </c>
      <c r="AU2" s="278" t="s">
        <v>82</v>
      </c>
      <c r="AV2" s="278" t="s">
        <v>81</v>
      </c>
      <c r="AW2" s="280" t="s">
        <v>38</v>
      </c>
      <c r="AX2" s="282" t="s">
        <v>39</v>
      </c>
      <c r="AY2" s="39"/>
      <c r="AZ2" s="284" t="s">
        <v>40</v>
      </c>
      <c r="BA2" s="311" t="s">
        <v>41</v>
      </c>
      <c r="BB2" s="313" t="s">
        <v>42</v>
      </c>
      <c r="BC2" s="39"/>
      <c r="BD2" s="292" t="s">
        <v>43</v>
      </c>
      <c r="BE2" s="294" t="s">
        <v>44</v>
      </c>
      <c r="BF2" s="294" t="s">
        <v>45</v>
      </c>
      <c r="BG2" s="294" t="s">
        <v>46</v>
      </c>
      <c r="BH2" s="294" t="s">
        <v>47</v>
      </c>
      <c r="BI2" s="298" t="s">
        <v>48</v>
      </c>
      <c r="BJ2" s="39"/>
      <c r="BK2" s="302" t="s">
        <v>49</v>
      </c>
      <c r="BL2" s="303" t="s">
        <v>50</v>
      </c>
      <c r="BM2" s="303" t="s">
        <v>51</v>
      </c>
      <c r="BN2" s="310" t="s">
        <v>52</v>
      </c>
      <c r="BO2" s="39"/>
      <c r="BP2" s="292" t="s">
        <v>53</v>
      </c>
      <c r="BQ2" s="294" t="s">
        <v>54</v>
      </c>
      <c r="BR2" s="296" t="s">
        <v>67</v>
      </c>
      <c r="BS2" s="294" t="s">
        <v>55</v>
      </c>
      <c r="BT2" s="298" t="s">
        <v>86</v>
      </c>
      <c r="BU2" s="39"/>
      <c r="BV2" s="300" t="s">
        <v>56</v>
      </c>
      <c r="BW2" s="290" t="s">
        <v>57</v>
      </c>
      <c r="BX2" s="290" t="s">
        <v>58</v>
      </c>
      <c r="BY2" s="259" t="s">
        <v>59</v>
      </c>
      <c r="BZ2" s="290" t="s">
        <v>60</v>
      </c>
      <c r="CA2" s="306" t="s">
        <v>61</v>
      </c>
      <c r="CB2" s="39"/>
      <c r="CC2" s="308" t="s">
        <v>62</v>
      </c>
      <c r="CD2" s="296" t="s">
        <v>63</v>
      </c>
      <c r="CE2" s="296" t="s">
        <v>64</v>
      </c>
      <c r="CF2" s="296" t="s">
        <v>65</v>
      </c>
      <c r="CG2" s="304" t="s">
        <v>66</v>
      </c>
      <c r="CH2" s="39"/>
    </row>
    <row r="3" spans="1:86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77"/>
      <c r="AM3" s="277"/>
      <c r="AN3" s="287"/>
      <c r="AO3" s="287"/>
      <c r="AP3" s="287"/>
      <c r="AQ3" s="287"/>
      <c r="AR3" s="287"/>
      <c r="AS3" s="287"/>
      <c r="AT3" s="316"/>
      <c r="AU3" s="279"/>
      <c r="AV3" s="279"/>
      <c r="AW3" s="281"/>
      <c r="AX3" s="283" t="s">
        <v>38</v>
      </c>
      <c r="AY3" s="39"/>
      <c r="AZ3" s="285"/>
      <c r="BA3" s="312"/>
      <c r="BB3" s="314"/>
      <c r="BC3" s="39"/>
      <c r="BD3" s="293"/>
      <c r="BE3" s="295"/>
      <c r="BF3" s="295"/>
      <c r="BG3" s="295"/>
      <c r="BH3" s="295"/>
      <c r="BI3" s="299"/>
      <c r="BJ3" s="39"/>
      <c r="BK3" s="293"/>
      <c r="BL3" s="295"/>
      <c r="BM3" s="295"/>
      <c r="BN3" s="299"/>
      <c r="BO3" s="39"/>
      <c r="BP3" s="293"/>
      <c r="BQ3" s="295"/>
      <c r="BR3" s="297"/>
      <c r="BS3" s="295"/>
      <c r="BT3" s="299"/>
      <c r="BU3" s="39"/>
      <c r="BV3" s="301"/>
      <c r="BW3" s="291"/>
      <c r="BX3" s="291"/>
      <c r="BY3" s="260"/>
      <c r="BZ3" s="291"/>
      <c r="CA3" s="307"/>
      <c r="CB3" s="39"/>
      <c r="CC3" s="309"/>
      <c r="CD3" s="297"/>
      <c r="CE3" s="297"/>
      <c r="CF3" s="297"/>
      <c r="CG3" s="305"/>
      <c r="CH3" s="39"/>
    </row>
    <row r="4" spans="1:86" s="27" customFormat="1" ht="12.4" customHeight="1" thickBot="1" x14ac:dyDescent="0.25">
      <c r="A4" s="43">
        <f>EL_DEL_CD2_JO_!A4</f>
        <v>46296</v>
      </c>
      <c r="B4" s="44" t="str">
        <f t="shared" ref="B4:B30" si="0">+TEXT(A4,"DDD")</f>
        <v>Thu</v>
      </c>
      <c r="C4" s="2"/>
      <c r="D4" s="2"/>
      <c r="E4" s="3"/>
      <c r="F4" s="2"/>
      <c r="G4" s="2"/>
      <c r="H4" s="4"/>
      <c r="I4" s="4"/>
      <c r="J4" s="57"/>
      <c r="K4" s="5"/>
      <c r="L4" s="2"/>
      <c r="M4" s="2"/>
      <c r="N4" s="2"/>
      <c r="O4" s="2"/>
      <c r="P4" s="3"/>
      <c r="Q4" s="2"/>
      <c r="R4" s="2"/>
      <c r="S4" s="2"/>
      <c r="T4" s="2"/>
      <c r="U4" s="2"/>
      <c r="V4" s="3"/>
      <c r="W4" s="3"/>
      <c r="X4" s="2"/>
      <c r="Y4" s="2"/>
      <c r="Z4" s="2"/>
      <c r="AA4" s="2"/>
      <c r="AB4" s="2"/>
      <c r="AC4" s="2"/>
      <c r="AD4" s="2"/>
      <c r="AE4" s="2"/>
      <c r="AF4" s="3"/>
      <c r="AG4" s="3"/>
      <c r="AH4" s="2"/>
      <c r="AI4" s="6"/>
      <c r="AJ4" s="7"/>
      <c r="AK4" s="6"/>
      <c r="AL4" s="59"/>
      <c r="AM4" s="59"/>
      <c r="AN4" s="59"/>
      <c r="AO4" s="59"/>
      <c r="AP4" s="59"/>
      <c r="AQ4" s="59"/>
      <c r="AR4" s="59"/>
      <c r="AS4" s="59"/>
      <c r="AT4" s="8"/>
      <c r="AU4" s="8"/>
      <c r="AV4" s="9"/>
      <c r="AW4" s="8"/>
      <c r="AX4" s="10" t="str">
        <f t="shared" ref="AX4:AX36" si="1">IFERROR(AN4/AW4,"-")</f>
        <v>-</v>
      </c>
      <c r="AY4" s="39"/>
      <c r="AZ4" s="1" t="str">
        <f t="shared" ref="AZ4:AZ36" si="2">IF(E4&gt;0,F4/E4,"")</f>
        <v/>
      </c>
      <c r="BA4" s="11" t="str">
        <f t="shared" ref="BA4:BA36" si="3">+IF(E4&gt;0,G4/E4,"")</f>
        <v/>
      </c>
      <c r="BB4" s="1" t="str">
        <f t="shared" ref="BB4:BB36" si="4">+IF(E4&gt;0,AJ4/E4,"")</f>
        <v/>
      </c>
      <c r="BC4" s="39"/>
      <c r="BD4" s="53" t="str">
        <f t="shared" ref="BD4:BD36" si="5">+IF(G4&gt;0,I4/G4,"")</f>
        <v/>
      </c>
      <c r="BE4" s="12" t="str">
        <f t="shared" ref="BE4:BE36" si="6">+IF(G4&gt;0,J4/G4,"")</f>
        <v/>
      </c>
      <c r="BF4" s="12" t="str">
        <f t="shared" ref="BF4:BF36" si="7">+IF(I4&gt;0,L4/I4,"")</f>
        <v/>
      </c>
      <c r="BG4" s="12" t="str">
        <f>+IF(SUM(AO4:AR4)&gt;0,AO4/AN4,"")</f>
        <v/>
      </c>
      <c r="BH4" s="12" t="str">
        <f t="shared" ref="BH4:BH36" si="8">+IF(G4&gt;0,K4/G4,"")</f>
        <v/>
      </c>
      <c r="BI4" s="54" t="str">
        <f>+IF(SUM(AO4:AR4)&gt;0,AQ4/AN4,"")</f>
        <v/>
      </c>
      <c r="BJ4" s="39"/>
      <c r="BK4" s="55" t="str">
        <f t="shared" ref="BK4:BK36" si="9">+IF(E4&gt;0,(AJ4/E4),"")</f>
        <v/>
      </c>
      <c r="BL4" s="13" t="str">
        <f t="shared" ref="BL4:BL36" si="10">+IF(E4&gt;0,(AJ4/F4),"")</f>
        <v/>
      </c>
      <c r="BM4" s="13" t="str">
        <f t="shared" ref="BM4:BM36" si="11">+IF(E4&gt;0,(AJ4/G4),"")</f>
        <v/>
      </c>
      <c r="BN4" s="56" t="str">
        <f t="shared" ref="BN4:BN36" si="12">+IF(E4&gt;0,(AJ4/J4),"")</f>
        <v/>
      </c>
      <c r="BO4" s="39"/>
      <c r="BP4" s="14" t="str">
        <f t="shared" ref="BP4:BP36" si="13">IF(AJ4&gt;0,(N4/AJ4),"")</f>
        <v/>
      </c>
      <c r="BQ4" s="15">
        <v>0</v>
      </c>
      <c r="BR4" s="15" t="str">
        <f>IF(AJ4&gt;0,(AK4/AJ4),"")</f>
        <v/>
      </c>
      <c r="BS4" s="15" t="str">
        <f>IF(AJ4&gt;0,(AK4/AJ4),"")</f>
        <v/>
      </c>
      <c r="BT4" s="16" t="str">
        <f t="shared" ref="BT4:BT36" si="14">IF(J4&gt;0,AD4/J4,"")</f>
        <v/>
      </c>
      <c r="BU4" s="39"/>
      <c r="BV4" s="28" t="str">
        <f t="shared" ref="BV4:BV36" si="15">IF(AN4&gt;0,(E4/AN4),"")</f>
        <v/>
      </c>
      <c r="BW4" s="28" t="str">
        <f t="shared" ref="BW4:BW36" si="16">IF(AN4&gt;0,(G4/AN4),"")</f>
        <v/>
      </c>
      <c r="BX4" s="28" t="str">
        <f t="shared" ref="BX4:BX36" si="17">IF(AN4&gt;0,(J4/AN4),"")</f>
        <v/>
      </c>
      <c r="BY4" s="28" t="str">
        <f t="shared" ref="BY4:BY36" si="18">IF(AN4&gt;0,(K4/AN4),"")</f>
        <v/>
      </c>
      <c r="BZ4" s="28" t="str">
        <f>IF(AN4&gt;0,(AJ4/AN4),"")</f>
        <v/>
      </c>
      <c r="CA4" s="52" t="str">
        <f>IF(AN4&gt;0,(AK4/AN4),"")</f>
        <v/>
      </c>
      <c r="CB4" s="39"/>
      <c r="CC4" s="49" t="str">
        <f t="shared" ref="CC4:CC36" si="19">IFERROR(((AN4-AO4)*3600)/J4,"-")</f>
        <v>-</v>
      </c>
      <c r="CD4" s="29" t="str">
        <f t="shared" ref="CD4:CD36" si="20">IFERROR((AR4*3600)/J4,"-")</f>
        <v>-</v>
      </c>
      <c r="CE4" s="29" t="str">
        <f t="shared" ref="CE4:CE36" si="21">IFERROR((AQ4*3600)/J4,"-")</f>
        <v>-</v>
      </c>
      <c r="CF4" s="29" t="str">
        <f t="shared" ref="CF4:CF36" si="22">IFERROR((AO4*3600)/J4,"-")</f>
        <v>-</v>
      </c>
      <c r="CG4" s="50" t="str">
        <f t="shared" ref="CG4:CG36" si="23">IFERROR((AP4*3600)/J4,"-")</f>
        <v>-</v>
      </c>
      <c r="CH4" s="39"/>
    </row>
    <row r="5" spans="1:86" s="27" customFormat="1" ht="12.4" customHeight="1" thickBot="1" x14ac:dyDescent="0.25">
      <c r="A5" s="43">
        <f>A4+1</f>
        <v>46297</v>
      </c>
      <c r="B5" s="44" t="str">
        <f t="shared" si="0"/>
        <v>Fri</v>
      </c>
      <c r="C5" s="2"/>
      <c r="D5" s="2"/>
      <c r="E5" s="3"/>
      <c r="F5" s="2"/>
      <c r="G5" s="2"/>
      <c r="H5" s="4"/>
      <c r="I5" s="4"/>
      <c r="J5" s="57"/>
      <c r="K5" s="5"/>
      <c r="L5" s="2"/>
      <c r="M5" s="2"/>
      <c r="N5" s="2"/>
      <c r="O5" s="2"/>
      <c r="P5" s="3"/>
      <c r="Q5" s="2"/>
      <c r="R5" s="2"/>
      <c r="S5" s="2"/>
      <c r="T5" s="2"/>
      <c r="U5" s="2"/>
      <c r="V5" s="3"/>
      <c r="W5" s="3"/>
      <c r="X5" s="2"/>
      <c r="Y5" s="2"/>
      <c r="Z5" s="2"/>
      <c r="AA5" s="2"/>
      <c r="AB5" s="2"/>
      <c r="AC5" s="2"/>
      <c r="AD5" s="2"/>
      <c r="AE5" s="2"/>
      <c r="AF5" s="3"/>
      <c r="AG5" s="3"/>
      <c r="AH5" s="2"/>
      <c r="AI5" s="6"/>
      <c r="AJ5" s="7"/>
      <c r="AK5" s="6"/>
      <c r="AL5" s="59"/>
      <c r="AM5" s="59"/>
      <c r="AN5" s="59"/>
      <c r="AO5" s="59"/>
      <c r="AP5" s="59"/>
      <c r="AQ5" s="59"/>
      <c r="AR5" s="59"/>
      <c r="AS5" s="59"/>
      <c r="AT5" s="8"/>
      <c r="AU5" s="8"/>
      <c r="AV5" s="9"/>
      <c r="AW5" s="8"/>
      <c r="AX5" s="10" t="str">
        <f t="shared" si="1"/>
        <v>-</v>
      </c>
      <c r="AY5" s="39"/>
      <c r="AZ5" s="1" t="str">
        <f t="shared" si="2"/>
        <v/>
      </c>
      <c r="BA5" s="11" t="str">
        <f t="shared" si="3"/>
        <v/>
      </c>
      <c r="BB5" s="1" t="str">
        <f t="shared" si="4"/>
        <v/>
      </c>
      <c r="BC5" s="39"/>
      <c r="BD5" s="53" t="str">
        <f t="shared" si="5"/>
        <v/>
      </c>
      <c r="BE5" s="12" t="str">
        <f t="shared" si="6"/>
        <v/>
      </c>
      <c r="BF5" s="12" t="str">
        <f t="shared" si="7"/>
        <v/>
      </c>
      <c r="BG5" s="12" t="str">
        <f t="shared" ref="BG5:BG36" si="24">+IF(SUM(AO5:AR5)&gt;0,AO5/AN5,"")</f>
        <v/>
      </c>
      <c r="BH5" s="12" t="str">
        <f t="shared" si="8"/>
        <v/>
      </c>
      <c r="BI5" s="54" t="str">
        <f t="shared" ref="BI5:BI36" si="25">+IF(SUM(AO5:AR5)&gt;0,AQ5/AN5,"")</f>
        <v/>
      </c>
      <c r="BJ5" s="39"/>
      <c r="BK5" s="55" t="str">
        <f t="shared" si="9"/>
        <v/>
      </c>
      <c r="BL5" s="13" t="str">
        <f t="shared" si="10"/>
        <v/>
      </c>
      <c r="BM5" s="13" t="str">
        <f t="shared" si="11"/>
        <v/>
      </c>
      <c r="BN5" s="56" t="str">
        <f t="shared" si="12"/>
        <v/>
      </c>
      <c r="BO5" s="39"/>
      <c r="BP5" s="14" t="str">
        <f t="shared" si="13"/>
        <v/>
      </c>
      <c r="BQ5" s="15">
        <v>0</v>
      </c>
      <c r="BR5" s="15" t="str">
        <f t="shared" ref="BR5:BR36" si="26">IF(AJ5&gt;0,(AK5/AJ5),"")</f>
        <v/>
      </c>
      <c r="BS5" s="15" t="str">
        <f t="shared" ref="BS5:BS36" si="27">IF(AJ5&gt;0,(AK5/AJ5),"")</f>
        <v/>
      </c>
      <c r="BT5" s="16" t="str">
        <f t="shared" si="14"/>
        <v/>
      </c>
      <c r="BU5" s="39"/>
      <c r="BV5" s="51" t="str">
        <f t="shared" si="15"/>
        <v/>
      </c>
      <c r="BW5" s="28" t="str">
        <f t="shared" si="16"/>
        <v/>
      </c>
      <c r="BX5" s="28" t="str">
        <f t="shared" si="17"/>
        <v/>
      </c>
      <c r="BY5" s="28" t="str">
        <f t="shared" si="18"/>
        <v/>
      </c>
      <c r="BZ5" s="28" t="str">
        <f t="shared" ref="BZ5:BZ36" si="28">IF(AN5&gt;0,(AJ5/AN5),"")</f>
        <v/>
      </c>
      <c r="CA5" s="52" t="str">
        <f t="shared" ref="CA5:CA36" si="29">IF(AN5&gt;0,(AK5/AN5),"")</f>
        <v/>
      </c>
      <c r="CB5" s="39"/>
      <c r="CC5" s="49" t="str">
        <f t="shared" si="19"/>
        <v>-</v>
      </c>
      <c r="CD5" s="29" t="str">
        <f t="shared" si="20"/>
        <v>-</v>
      </c>
      <c r="CE5" s="29" t="str">
        <f t="shared" si="21"/>
        <v>-</v>
      </c>
      <c r="CF5" s="29" t="str">
        <f t="shared" si="22"/>
        <v>-</v>
      </c>
      <c r="CG5" s="50" t="str">
        <f t="shared" si="23"/>
        <v>-</v>
      </c>
      <c r="CH5" s="39"/>
    </row>
    <row r="6" spans="1:86" s="27" customFormat="1" ht="12.4" customHeight="1" thickBot="1" x14ac:dyDescent="0.25">
      <c r="A6" s="43">
        <f t="shared" ref="A6:A34" si="30">A5+1</f>
        <v>46298</v>
      </c>
      <c r="B6" s="44" t="str">
        <f t="shared" si="0"/>
        <v>Sat</v>
      </c>
      <c r="C6" s="2"/>
      <c r="D6" s="2"/>
      <c r="E6" s="3"/>
      <c r="F6" s="2"/>
      <c r="G6" s="2"/>
      <c r="H6" s="4"/>
      <c r="I6" s="4"/>
      <c r="J6" s="57"/>
      <c r="K6" s="5"/>
      <c r="L6" s="2"/>
      <c r="M6" s="2"/>
      <c r="N6" s="2"/>
      <c r="O6" s="2"/>
      <c r="P6" s="3"/>
      <c r="Q6" s="2"/>
      <c r="R6" s="2"/>
      <c r="S6" s="2"/>
      <c r="T6" s="2"/>
      <c r="U6" s="2"/>
      <c r="V6" s="3"/>
      <c r="W6" s="3"/>
      <c r="X6" s="2"/>
      <c r="Y6" s="2"/>
      <c r="Z6" s="2"/>
      <c r="AA6" s="2"/>
      <c r="AB6" s="2"/>
      <c r="AC6" s="2"/>
      <c r="AD6" s="2"/>
      <c r="AE6" s="2"/>
      <c r="AF6" s="3"/>
      <c r="AG6" s="3"/>
      <c r="AH6" s="2"/>
      <c r="AI6" s="6"/>
      <c r="AJ6" s="7"/>
      <c r="AK6" s="6"/>
      <c r="AL6" s="61"/>
      <c r="AM6" s="61"/>
      <c r="AN6" s="61"/>
      <c r="AO6" s="61"/>
      <c r="AP6" s="61"/>
      <c r="AQ6" s="61"/>
      <c r="AR6" s="61"/>
      <c r="AS6" s="61"/>
      <c r="AT6" s="60"/>
      <c r="AU6" s="60"/>
      <c r="AV6" s="60"/>
      <c r="AW6" s="60"/>
      <c r="AX6" s="10" t="str">
        <f t="shared" si="1"/>
        <v>-</v>
      </c>
      <c r="AY6" s="39"/>
      <c r="AZ6" s="1" t="str">
        <f t="shared" si="2"/>
        <v/>
      </c>
      <c r="BA6" s="11" t="str">
        <f t="shared" si="3"/>
        <v/>
      </c>
      <c r="BB6" s="1" t="str">
        <f t="shared" si="4"/>
        <v/>
      </c>
      <c r="BC6" s="39"/>
      <c r="BD6" s="53" t="str">
        <f t="shared" si="5"/>
        <v/>
      </c>
      <c r="BE6" s="12" t="str">
        <f t="shared" si="6"/>
        <v/>
      </c>
      <c r="BF6" s="12" t="str">
        <f t="shared" si="7"/>
        <v/>
      </c>
      <c r="BG6" s="12" t="str">
        <f t="shared" si="24"/>
        <v/>
      </c>
      <c r="BH6" s="12" t="str">
        <f t="shared" si="8"/>
        <v/>
      </c>
      <c r="BI6" s="54" t="str">
        <f t="shared" si="25"/>
        <v/>
      </c>
      <c r="BJ6" s="39"/>
      <c r="BK6" s="55" t="str">
        <f t="shared" si="9"/>
        <v/>
      </c>
      <c r="BL6" s="13" t="str">
        <f t="shared" si="10"/>
        <v/>
      </c>
      <c r="BM6" s="13" t="str">
        <f t="shared" si="11"/>
        <v/>
      </c>
      <c r="BN6" s="56" t="str">
        <f t="shared" si="12"/>
        <v/>
      </c>
      <c r="BO6" s="39"/>
      <c r="BP6" s="14" t="str">
        <f t="shared" si="13"/>
        <v/>
      </c>
      <c r="BQ6" s="15">
        <v>0</v>
      </c>
      <c r="BR6" s="15" t="str">
        <f t="shared" si="26"/>
        <v/>
      </c>
      <c r="BS6" s="15" t="str">
        <f t="shared" si="27"/>
        <v/>
      </c>
      <c r="BT6" s="16" t="str">
        <f t="shared" si="14"/>
        <v/>
      </c>
      <c r="BU6" s="39"/>
      <c r="BV6" s="51" t="str">
        <f t="shared" si="15"/>
        <v/>
      </c>
      <c r="BW6" s="28" t="str">
        <f t="shared" si="16"/>
        <v/>
      </c>
      <c r="BX6" s="28" t="str">
        <f t="shared" si="17"/>
        <v/>
      </c>
      <c r="BY6" s="28" t="str">
        <f t="shared" si="18"/>
        <v/>
      </c>
      <c r="BZ6" s="28" t="str">
        <f t="shared" si="28"/>
        <v/>
      </c>
      <c r="CA6" s="52" t="str">
        <f t="shared" si="29"/>
        <v/>
      </c>
      <c r="CB6" s="39"/>
      <c r="CC6" s="49" t="str">
        <f t="shared" si="19"/>
        <v>-</v>
      </c>
      <c r="CD6" s="29" t="str">
        <f t="shared" si="20"/>
        <v>-</v>
      </c>
      <c r="CE6" s="29" t="str">
        <f t="shared" si="21"/>
        <v>-</v>
      </c>
      <c r="CF6" s="29" t="str">
        <f t="shared" si="22"/>
        <v>-</v>
      </c>
      <c r="CG6" s="50" t="str">
        <f t="shared" si="23"/>
        <v>-</v>
      </c>
      <c r="CH6" s="39"/>
    </row>
    <row r="7" spans="1:86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2"/>
      <c r="D7" s="2"/>
      <c r="E7" s="3"/>
      <c r="F7" s="2"/>
      <c r="G7" s="2"/>
      <c r="H7" s="4"/>
      <c r="I7" s="4"/>
      <c r="J7" s="57"/>
      <c r="K7" s="5"/>
      <c r="L7" s="2"/>
      <c r="M7" s="2"/>
      <c r="N7" s="2"/>
      <c r="O7" s="2"/>
      <c r="P7" s="3"/>
      <c r="Q7" s="2"/>
      <c r="R7" s="2"/>
      <c r="S7" s="2"/>
      <c r="T7" s="2"/>
      <c r="U7" s="2"/>
      <c r="V7" s="3"/>
      <c r="W7" s="3"/>
      <c r="X7" s="2"/>
      <c r="Y7" s="2"/>
      <c r="Z7" s="2"/>
      <c r="AA7" s="2"/>
      <c r="AB7" s="2"/>
      <c r="AC7" s="2"/>
      <c r="AD7" s="2"/>
      <c r="AE7" s="2"/>
      <c r="AF7" s="3"/>
      <c r="AG7" s="3"/>
      <c r="AH7" s="2"/>
      <c r="AI7" s="6"/>
      <c r="AJ7" s="7"/>
      <c r="AK7" s="6"/>
      <c r="AL7" s="59"/>
      <c r="AM7" s="59"/>
      <c r="AN7" s="59"/>
      <c r="AO7" s="59"/>
      <c r="AP7" s="59"/>
      <c r="AQ7" s="59"/>
      <c r="AR7" s="59"/>
      <c r="AS7" s="59"/>
      <c r="AT7" s="8"/>
      <c r="AU7" s="8"/>
      <c r="AV7" s="9"/>
      <c r="AW7" s="8"/>
      <c r="AX7" s="10" t="str">
        <f t="shared" si="1"/>
        <v>-</v>
      </c>
      <c r="AY7" s="39"/>
      <c r="AZ7" s="1" t="str">
        <f t="shared" si="2"/>
        <v/>
      </c>
      <c r="BA7" s="11" t="str">
        <f t="shared" si="3"/>
        <v/>
      </c>
      <c r="BB7" s="1" t="str">
        <f t="shared" si="4"/>
        <v/>
      </c>
      <c r="BC7" s="39"/>
      <c r="BD7" s="53" t="str">
        <f t="shared" si="5"/>
        <v/>
      </c>
      <c r="BE7" s="12" t="str">
        <f t="shared" si="6"/>
        <v/>
      </c>
      <c r="BF7" s="12" t="str">
        <f t="shared" si="7"/>
        <v/>
      </c>
      <c r="BG7" s="12" t="str">
        <f t="shared" si="24"/>
        <v/>
      </c>
      <c r="BH7" s="12" t="str">
        <f t="shared" si="8"/>
        <v/>
      </c>
      <c r="BI7" s="54" t="str">
        <f t="shared" si="25"/>
        <v/>
      </c>
      <c r="BJ7" s="39"/>
      <c r="BK7" s="55" t="str">
        <f t="shared" si="9"/>
        <v/>
      </c>
      <c r="BL7" s="13" t="str">
        <f t="shared" si="10"/>
        <v/>
      </c>
      <c r="BM7" s="13" t="str">
        <f t="shared" si="11"/>
        <v/>
      </c>
      <c r="BN7" s="56" t="str">
        <f t="shared" si="12"/>
        <v/>
      </c>
      <c r="BO7" s="39"/>
      <c r="BP7" s="14" t="str">
        <f t="shared" si="13"/>
        <v/>
      </c>
      <c r="BQ7" s="15">
        <v>0</v>
      </c>
      <c r="BR7" s="15" t="str">
        <f t="shared" si="26"/>
        <v/>
      </c>
      <c r="BS7" s="15" t="str">
        <f t="shared" si="27"/>
        <v/>
      </c>
      <c r="BT7" s="16" t="str">
        <f t="shared" si="14"/>
        <v/>
      </c>
      <c r="BU7" s="39"/>
      <c r="BV7" s="51" t="str">
        <f t="shared" si="15"/>
        <v/>
      </c>
      <c r="BW7" s="28" t="str">
        <f t="shared" si="16"/>
        <v/>
      </c>
      <c r="BX7" s="28" t="str">
        <f t="shared" si="17"/>
        <v/>
      </c>
      <c r="BY7" s="28" t="str">
        <f t="shared" si="18"/>
        <v/>
      </c>
      <c r="BZ7" s="28" t="str">
        <f t="shared" si="28"/>
        <v/>
      </c>
      <c r="CA7" s="52" t="str">
        <f t="shared" si="29"/>
        <v/>
      </c>
      <c r="CB7" s="39"/>
      <c r="CC7" s="49" t="str">
        <f t="shared" si="19"/>
        <v>-</v>
      </c>
      <c r="CD7" s="29" t="str">
        <f t="shared" si="20"/>
        <v>-</v>
      </c>
      <c r="CE7" s="29" t="str">
        <f t="shared" si="21"/>
        <v>-</v>
      </c>
      <c r="CF7" s="29" t="str">
        <f t="shared" si="22"/>
        <v>-</v>
      </c>
      <c r="CG7" s="50" t="str">
        <f t="shared" si="23"/>
        <v>-</v>
      </c>
      <c r="CH7" s="39"/>
    </row>
    <row r="8" spans="1:86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2"/>
      <c r="D8" s="2"/>
      <c r="E8" s="3"/>
      <c r="F8" s="2"/>
      <c r="G8" s="2"/>
      <c r="H8" s="4"/>
      <c r="I8" s="4"/>
      <c r="J8" s="57"/>
      <c r="K8" s="5"/>
      <c r="L8" s="2"/>
      <c r="M8" s="2"/>
      <c r="N8" s="2"/>
      <c r="O8" s="2"/>
      <c r="P8" s="3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  <c r="AD8" s="2"/>
      <c r="AE8" s="2"/>
      <c r="AF8" s="3"/>
      <c r="AG8" s="3"/>
      <c r="AH8" s="2"/>
      <c r="AI8" s="6"/>
      <c r="AJ8" s="7"/>
      <c r="AK8" s="6"/>
      <c r="AL8" s="59"/>
      <c r="AM8" s="59"/>
      <c r="AN8" s="59"/>
      <c r="AO8" s="59"/>
      <c r="AP8" s="59"/>
      <c r="AQ8" s="59"/>
      <c r="AR8" s="59"/>
      <c r="AS8" s="59"/>
      <c r="AT8" s="8"/>
      <c r="AU8" s="8"/>
      <c r="AV8" s="9"/>
      <c r="AW8" s="8"/>
      <c r="AX8" s="10" t="str">
        <f t="shared" si="1"/>
        <v>-</v>
      </c>
      <c r="AY8" s="39"/>
      <c r="AZ8" s="1" t="str">
        <f t="shared" si="2"/>
        <v/>
      </c>
      <c r="BA8" s="11" t="str">
        <f t="shared" si="3"/>
        <v/>
      </c>
      <c r="BB8" s="1" t="str">
        <f t="shared" si="4"/>
        <v/>
      </c>
      <c r="BC8" s="39"/>
      <c r="BD8" s="53" t="str">
        <f t="shared" si="5"/>
        <v/>
      </c>
      <c r="BE8" s="12" t="str">
        <f t="shared" si="6"/>
        <v/>
      </c>
      <c r="BF8" s="12" t="str">
        <f t="shared" si="7"/>
        <v/>
      </c>
      <c r="BG8" s="12" t="str">
        <f t="shared" si="24"/>
        <v/>
      </c>
      <c r="BH8" s="12" t="str">
        <f t="shared" si="8"/>
        <v/>
      </c>
      <c r="BI8" s="54" t="str">
        <f t="shared" si="25"/>
        <v/>
      </c>
      <c r="BJ8" s="39"/>
      <c r="BK8" s="55" t="str">
        <f t="shared" si="9"/>
        <v/>
      </c>
      <c r="BL8" s="13" t="str">
        <f t="shared" si="10"/>
        <v/>
      </c>
      <c r="BM8" s="13" t="str">
        <f t="shared" si="11"/>
        <v/>
      </c>
      <c r="BN8" s="56" t="str">
        <f t="shared" si="12"/>
        <v/>
      </c>
      <c r="BO8" s="39"/>
      <c r="BP8" s="14" t="str">
        <f t="shared" si="13"/>
        <v/>
      </c>
      <c r="BQ8" s="15">
        <v>0</v>
      </c>
      <c r="BR8" s="15" t="str">
        <f t="shared" si="26"/>
        <v/>
      </c>
      <c r="BS8" s="15" t="str">
        <f t="shared" si="27"/>
        <v/>
      </c>
      <c r="BT8" s="16" t="str">
        <f t="shared" si="14"/>
        <v/>
      </c>
      <c r="BU8" s="39"/>
      <c r="BV8" s="51" t="str">
        <f t="shared" si="15"/>
        <v/>
      </c>
      <c r="BW8" s="28" t="str">
        <f t="shared" si="16"/>
        <v/>
      </c>
      <c r="BX8" s="28" t="str">
        <f t="shared" si="17"/>
        <v/>
      </c>
      <c r="BY8" s="28" t="str">
        <f t="shared" si="18"/>
        <v/>
      </c>
      <c r="BZ8" s="28" t="str">
        <f t="shared" si="28"/>
        <v/>
      </c>
      <c r="CA8" s="52" t="str">
        <f t="shared" si="29"/>
        <v/>
      </c>
      <c r="CB8" s="39"/>
      <c r="CC8" s="49" t="str">
        <f t="shared" si="19"/>
        <v>-</v>
      </c>
      <c r="CD8" s="29" t="str">
        <f t="shared" si="20"/>
        <v>-</v>
      </c>
      <c r="CE8" s="29" t="str">
        <f t="shared" si="21"/>
        <v>-</v>
      </c>
      <c r="CF8" s="29" t="str">
        <f t="shared" si="22"/>
        <v>-</v>
      </c>
      <c r="CG8" s="50" t="str">
        <f t="shared" si="23"/>
        <v>-</v>
      </c>
      <c r="CH8" s="39"/>
    </row>
    <row r="9" spans="1:86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2"/>
      <c r="D9" s="2"/>
      <c r="E9" s="3"/>
      <c r="F9" s="2"/>
      <c r="G9" s="2"/>
      <c r="H9" s="4"/>
      <c r="I9" s="4"/>
      <c r="J9" s="57"/>
      <c r="K9" s="5"/>
      <c r="L9" s="2"/>
      <c r="M9" s="2"/>
      <c r="N9" s="2"/>
      <c r="O9" s="2"/>
      <c r="P9" s="3"/>
      <c r="Q9" s="2"/>
      <c r="R9" s="2"/>
      <c r="S9" s="2"/>
      <c r="T9" s="2"/>
      <c r="U9" s="2"/>
      <c r="V9" s="3"/>
      <c r="W9" s="3"/>
      <c r="X9" s="2"/>
      <c r="Y9" s="2"/>
      <c r="Z9" s="2"/>
      <c r="AA9" s="2"/>
      <c r="AB9" s="2"/>
      <c r="AC9" s="2"/>
      <c r="AD9" s="2"/>
      <c r="AE9" s="2"/>
      <c r="AF9" s="3"/>
      <c r="AG9" s="3"/>
      <c r="AH9" s="2"/>
      <c r="AI9" s="6"/>
      <c r="AJ9" s="7"/>
      <c r="AK9" s="6"/>
      <c r="AL9" s="59"/>
      <c r="AM9" s="59"/>
      <c r="AN9" s="59"/>
      <c r="AO9" s="59"/>
      <c r="AP9" s="59"/>
      <c r="AQ9" s="59"/>
      <c r="AR9" s="59"/>
      <c r="AS9" s="59"/>
      <c r="AT9" s="8"/>
      <c r="AU9" s="8"/>
      <c r="AV9" s="9"/>
      <c r="AW9" s="8"/>
      <c r="AX9" s="10" t="str">
        <f t="shared" si="1"/>
        <v>-</v>
      </c>
      <c r="AY9" s="39"/>
      <c r="AZ9" s="1" t="str">
        <f t="shared" si="2"/>
        <v/>
      </c>
      <c r="BA9" s="11" t="str">
        <f t="shared" si="3"/>
        <v/>
      </c>
      <c r="BB9" s="1" t="str">
        <f t="shared" si="4"/>
        <v/>
      </c>
      <c r="BC9" s="39"/>
      <c r="BD9" s="53" t="str">
        <f t="shared" si="5"/>
        <v/>
      </c>
      <c r="BE9" s="12" t="str">
        <f t="shared" si="6"/>
        <v/>
      </c>
      <c r="BF9" s="12" t="str">
        <f t="shared" si="7"/>
        <v/>
      </c>
      <c r="BG9" s="12" t="str">
        <f t="shared" si="24"/>
        <v/>
      </c>
      <c r="BH9" s="12" t="str">
        <f t="shared" si="8"/>
        <v/>
      </c>
      <c r="BI9" s="54" t="str">
        <f t="shared" si="25"/>
        <v/>
      </c>
      <c r="BJ9" s="39"/>
      <c r="BK9" s="55" t="str">
        <f t="shared" si="9"/>
        <v/>
      </c>
      <c r="BL9" s="13" t="str">
        <f t="shared" si="10"/>
        <v/>
      </c>
      <c r="BM9" s="13" t="str">
        <f t="shared" si="11"/>
        <v/>
      </c>
      <c r="BN9" s="56" t="str">
        <f t="shared" si="12"/>
        <v/>
      </c>
      <c r="BO9" s="39"/>
      <c r="BP9" s="14" t="str">
        <f t="shared" si="13"/>
        <v/>
      </c>
      <c r="BQ9" s="15">
        <v>0</v>
      </c>
      <c r="BR9" s="15" t="str">
        <f t="shared" si="26"/>
        <v/>
      </c>
      <c r="BS9" s="15" t="str">
        <f t="shared" si="27"/>
        <v/>
      </c>
      <c r="BT9" s="16" t="str">
        <f t="shared" si="14"/>
        <v/>
      </c>
      <c r="BU9" s="39"/>
      <c r="BV9" s="51" t="str">
        <f t="shared" si="15"/>
        <v/>
      </c>
      <c r="BW9" s="28" t="str">
        <f t="shared" si="16"/>
        <v/>
      </c>
      <c r="BX9" s="28" t="str">
        <f t="shared" si="17"/>
        <v/>
      </c>
      <c r="BY9" s="28" t="str">
        <f t="shared" si="18"/>
        <v/>
      </c>
      <c r="BZ9" s="28" t="str">
        <f t="shared" si="28"/>
        <v/>
      </c>
      <c r="CA9" s="52" t="str">
        <f t="shared" si="29"/>
        <v/>
      </c>
      <c r="CB9" s="39"/>
      <c r="CC9" s="49" t="str">
        <f t="shared" si="19"/>
        <v>-</v>
      </c>
      <c r="CD9" s="29" t="str">
        <f t="shared" si="20"/>
        <v>-</v>
      </c>
      <c r="CE9" s="29" t="str">
        <f t="shared" si="21"/>
        <v>-</v>
      </c>
      <c r="CF9" s="29" t="str">
        <f t="shared" si="22"/>
        <v>-</v>
      </c>
      <c r="CG9" s="50" t="str">
        <f t="shared" si="23"/>
        <v>-</v>
      </c>
      <c r="CH9" s="39"/>
    </row>
    <row r="10" spans="1:86" s="27" customFormat="1" ht="12.4" customHeight="1" thickBot="1" x14ac:dyDescent="0.25">
      <c r="A10" s="43">
        <f t="shared" si="30"/>
        <v>46302</v>
      </c>
      <c r="B10" s="44" t="str">
        <f>+TEXT(A10,"DDD")</f>
        <v>Wed</v>
      </c>
      <c r="C10" s="2"/>
      <c r="D10" s="2"/>
      <c r="E10" s="3"/>
      <c r="F10" s="2"/>
      <c r="G10" s="2"/>
      <c r="H10" s="4"/>
      <c r="I10" s="4"/>
      <c r="J10" s="57"/>
      <c r="K10" s="5"/>
      <c r="L10" s="2"/>
      <c r="M10" s="2"/>
      <c r="N10" s="2"/>
      <c r="O10" s="2"/>
      <c r="P10" s="3"/>
      <c r="Q10" s="2"/>
      <c r="R10" s="2"/>
      <c r="S10" s="2"/>
      <c r="T10" s="2"/>
      <c r="U10" s="2"/>
      <c r="V10" s="3"/>
      <c r="W10" s="3"/>
      <c r="X10" s="2"/>
      <c r="Y10" s="2"/>
      <c r="Z10" s="2"/>
      <c r="AA10" s="2"/>
      <c r="AB10" s="2"/>
      <c r="AC10" s="2"/>
      <c r="AD10" s="2"/>
      <c r="AE10" s="2"/>
      <c r="AF10" s="3"/>
      <c r="AG10" s="3"/>
      <c r="AH10" s="2"/>
      <c r="AI10" s="6"/>
      <c r="AJ10" s="7"/>
      <c r="AK10" s="6"/>
      <c r="AL10" s="59"/>
      <c r="AM10" s="59"/>
      <c r="AN10" s="59"/>
      <c r="AO10" s="59"/>
      <c r="AP10" s="59"/>
      <c r="AQ10" s="59"/>
      <c r="AR10" s="59"/>
      <c r="AS10" s="59"/>
      <c r="AT10" s="8"/>
      <c r="AU10" s="8"/>
      <c r="AV10" s="9"/>
      <c r="AW10" s="8"/>
      <c r="AX10" s="10" t="str">
        <f t="shared" si="1"/>
        <v>-</v>
      </c>
      <c r="AY10" s="39"/>
      <c r="AZ10" s="1" t="str">
        <f t="shared" si="2"/>
        <v/>
      </c>
      <c r="BA10" s="11" t="str">
        <f t="shared" si="3"/>
        <v/>
      </c>
      <c r="BB10" s="1" t="str">
        <f t="shared" si="4"/>
        <v/>
      </c>
      <c r="BC10" s="39"/>
      <c r="BD10" s="53" t="str">
        <f t="shared" si="5"/>
        <v/>
      </c>
      <c r="BE10" s="12" t="str">
        <f t="shared" si="6"/>
        <v/>
      </c>
      <c r="BF10" s="12" t="str">
        <f t="shared" si="7"/>
        <v/>
      </c>
      <c r="BG10" s="12" t="str">
        <f t="shared" si="24"/>
        <v/>
      </c>
      <c r="BH10" s="12" t="str">
        <f t="shared" si="8"/>
        <v/>
      </c>
      <c r="BI10" s="54" t="str">
        <f t="shared" si="25"/>
        <v/>
      </c>
      <c r="BJ10" s="39"/>
      <c r="BK10" s="55" t="str">
        <f t="shared" si="9"/>
        <v/>
      </c>
      <c r="BL10" s="13" t="str">
        <f t="shared" si="10"/>
        <v/>
      </c>
      <c r="BM10" s="13" t="str">
        <f t="shared" si="11"/>
        <v/>
      </c>
      <c r="BN10" s="56" t="str">
        <f t="shared" si="12"/>
        <v/>
      </c>
      <c r="BO10" s="39"/>
      <c r="BP10" s="14" t="str">
        <f t="shared" si="13"/>
        <v/>
      </c>
      <c r="BQ10" s="15">
        <v>0</v>
      </c>
      <c r="BR10" s="15" t="str">
        <f t="shared" si="26"/>
        <v/>
      </c>
      <c r="BS10" s="15" t="str">
        <f t="shared" si="27"/>
        <v/>
      </c>
      <c r="BT10" s="16" t="str">
        <f t="shared" si="14"/>
        <v/>
      </c>
      <c r="BU10" s="39"/>
      <c r="BV10" s="51" t="str">
        <f t="shared" si="15"/>
        <v/>
      </c>
      <c r="BW10" s="28" t="str">
        <f t="shared" si="16"/>
        <v/>
      </c>
      <c r="BX10" s="28" t="str">
        <f t="shared" si="17"/>
        <v/>
      </c>
      <c r="BY10" s="28" t="str">
        <f t="shared" si="18"/>
        <v/>
      </c>
      <c r="BZ10" s="28" t="str">
        <f t="shared" si="28"/>
        <v/>
      </c>
      <c r="CA10" s="52" t="str">
        <f t="shared" si="29"/>
        <v/>
      </c>
      <c r="CB10" s="39"/>
      <c r="CC10" s="49" t="str">
        <f t="shared" si="19"/>
        <v>-</v>
      </c>
      <c r="CD10" s="29" t="str">
        <f t="shared" si="20"/>
        <v>-</v>
      </c>
      <c r="CE10" s="29" t="str">
        <f t="shared" si="21"/>
        <v>-</v>
      </c>
      <c r="CF10" s="29" t="str">
        <f t="shared" si="22"/>
        <v>-</v>
      </c>
      <c r="CG10" s="50" t="str">
        <f t="shared" si="23"/>
        <v>-</v>
      </c>
      <c r="CH10" s="39"/>
    </row>
    <row r="11" spans="1:86" s="27" customFormat="1" ht="12.4" customHeight="1" thickBot="1" x14ac:dyDescent="0.25">
      <c r="A11" s="43">
        <f t="shared" si="30"/>
        <v>46303</v>
      </c>
      <c r="B11" s="44" t="str">
        <f>+TEXT(A11,"DDD")</f>
        <v>Thu</v>
      </c>
      <c r="C11" s="2"/>
      <c r="D11" s="2"/>
      <c r="E11" s="3"/>
      <c r="F11" s="2"/>
      <c r="G11" s="2"/>
      <c r="H11" s="4"/>
      <c r="I11" s="4"/>
      <c r="J11" s="57"/>
      <c r="K11" s="5"/>
      <c r="L11" s="2"/>
      <c r="M11" s="2"/>
      <c r="N11" s="2"/>
      <c r="O11" s="2"/>
      <c r="P11" s="3"/>
      <c r="Q11" s="2"/>
      <c r="R11" s="2"/>
      <c r="S11" s="2"/>
      <c r="T11" s="2"/>
      <c r="U11" s="2"/>
      <c r="V11" s="3"/>
      <c r="W11" s="3"/>
      <c r="X11" s="2"/>
      <c r="Y11" s="2"/>
      <c r="Z11" s="2"/>
      <c r="AA11" s="2"/>
      <c r="AB11" s="2"/>
      <c r="AC11" s="2"/>
      <c r="AD11" s="2"/>
      <c r="AE11" s="2"/>
      <c r="AF11" s="3"/>
      <c r="AG11" s="3"/>
      <c r="AH11" s="2"/>
      <c r="AI11" s="6"/>
      <c r="AJ11" s="7"/>
      <c r="AK11" s="6"/>
      <c r="AL11" s="59"/>
      <c r="AM11" s="59"/>
      <c r="AN11" s="59"/>
      <c r="AO11" s="59"/>
      <c r="AP11" s="59"/>
      <c r="AQ11" s="59"/>
      <c r="AR11" s="59"/>
      <c r="AS11" s="59"/>
      <c r="AT11" s="8"/>
      <c r="AU11" s="8"/>
      <c r="AV11" s="9"/>
      <c r="AW11" s="8"/>
      <c r="AX11" s="10" t="str">
        <f t="shared" si="1"/>
        <v>-</v>
      </c>
      <c r="AY11" s="39"/>
      <c r="AZ11" s="1" t="str">
        <f t="shared" si="2"/>
        <v/>
      </c>
      <c r="BA11" s="11" t="str">
        <f t="shared" si="3"/>
        <v/>
      </c>
      <c r="BB11" s="1" t="str">
        <f t="shared" si="4"/>
        <v/>
      </c>
      <c r="BC11" s="39"/>
      <c r="BD11" s="53" t="str">
        <f t="shared" si="5"/>
        <v/>
      </c>
      <c r="BE11" s="12" t="str">
        <f t="shared" si="6"/>
        <v/>
      </c>
      <c r="BF11" s="12" t="str">
        <f t="shared" si="7"/>
        <v/>
      </c>
      <c r="BG11" s="12" t="str">
        <f t="shared" si="24"/>
        <v/>
      </c>
      <c r="BH11" s="12" t="str">
        <f t="shared" si="8"/>
        <v/>
      </c>
      <c r="BI11" s="54" t="str">
        <f t="shared" si="25"/>
        <v/>
      </c>
      <c r="BJ11" s="39"/>
      <c r="BK11" s="55" t="str">
        <f t="shared" si="9"/>
        <v/>
      </c>
      <c r="BL11" s="13" t="str">
        <f t="shared" si="10"/>
        <v/>
      </c>
      <c r="BM11" s="13" t="str">
        <f t="shared" si="11"/>
        <v/>
      </c>
      <c r="BN11" s="56" t="str">
        <f t="shared" si="12"/>
        <v/>
      </c>
      <c r="BO11" s="39"/>
      <c r="BP11" s="14" t="str">
        <f t="shared" si="13"/>
        <v/>
      </c>
      <c r="BQ11" s="15">
        <v>0</v>
      </c>
      <c r="BR11" s="15" t="str">
        <f t="shared" si="26"/>
        <v/>
      </c>
      <c r="BS11" s="15" t="str">
        <f t="shared" si="27"/>
        <v/>
      </c>
      <c r="BT11" s="16" t="str">
        <f t="shared" si="14"/>
        <v/>
      </c>
      <c r="BU11" s="39"/>
      <c r="BV11" s="51" t="str">
        <f t="shared" si="15"/>
        <v/>
      </c>
      <c r="BW11" s="28" t="str">
        <f t="shared" si="16"/>
        <v/>
      </c>
      <c r="BX11" s="28" t="str">
        <f t="shared" si="17"/>
        <v/>
      </c>
      <c r="BY11" s="28" t="str">
        <f t="shared" si="18"/>
        <v/>
      </c>
      <c r="BZ11" s="28" t="str">
        <f t="shared" si="28"/>
        <v/>
      </c>
      <c r="CA11" s="52" t="str">
        <f t="shared" si="29"/>
        <v/>
      </c>
      <c r="CB11" s="39"/>
      <c r="CC11" s="49" t="str">
        <f t="shared" si="19"/>
        <v>-</v>
      </c>
      <c r="CD11" s="29" t="str">
        <f t="shared" si="20"/>
        <v>-</v>
      </c>
      <c r="CE11" s="29" t="str">
        <f t="shared" si="21"/>
        <v>-</v>
      </c>
      <c r="CF11" s="29" t="str">
        <f t="shared" si="22"/>
        <v>-</v>
      </c>
      <c r="CG11" s="50" t="str">
        <f t="shared" si="23"/>
        <v>-</v>
      </c>
      <c r="CH11" s="39"/>
    </row>
    <row r="12" spans="1:86" s="27" customFormat="1" ht="12.4" customHeight="1" thickBot="1" x14ac:dyDescent="0.25">
      <c r="A12" s="43">
        <f t="shared" si="30"/>
        <v>46304</v>
      </c>
      <c r="B12" s="44" t="str">
        <f>+TEXT(A12,"DDD")</f>
        <v>Fri</v>
      </c>
      <c r="C12" s="2"/>
      <c r="D12" s="2"/>
      <c r="E12" s="3"/>
      <c r="F12" s="2"/>
      <c r="G12" s="2"/>
      <c r="H12" s="4"/>
      <c r="I12" s="4"/>
      <c r="J12" s="57"/>
      <c r="K12" s="5"/>
      <c r="L12" s="2"/>
      <c r="M12" s="2"/>
      <c r="N12" s="2"/>
      <c r="O12" s="2"/>
      <c r="P12" s="3"/>
      <c r="Q12" s="2"/>
      <c r="R12" s="2"/>
      <c r="S12" s="2"/>
      <c r="T12" s="2"/>
      <c r="U12" s="2"/>
      <c r="V12" s="3"/>
      <c r="W12" s="3"/>
      <c r="X12" s="2"/>
      <c r="Y12" s="2"/>
      <c r="Z12" s="2"/>
      <c r="AA12" s="2"/>
      <c r="AB12" s="2"/>
      <c r="AC12" s="2"/>
      <c r="AD12" s="2"/>
      <c r="AE12" s="2"/>
      <c r="AF12" s="3"/>
      <c r="AG12" s="3"/>
      <c r="AH12" s="2"/>
      <c r="AI12" s="6"/>
      <c r="AJ12" s="7"/>
      <c r="AK12" s="6"/>
      <c r="AL12" s="59"/>
      <c r="AM12" s="59"/>
      <c r="AN12" s="59"/>
      <c r="AO12" s="59"/>
      <c r="AP12" s="59"/>
      <c r="AQ12" s="59"/>
      <c r="AR12" s="59"/>
      <c r="AS12" s="59"/>
      <c r="AT12" s="8"/>
      <c r="AU12" s="8"/>
      <c r="AV12" s="9"/>
      <c r="AW12" s="8"/>
      <c r="AX12" s="10" t="str">
        <f t="shared" si="1"/>
        <v>-</v>
      </c>
      <c r="AY12" s="39"/>
      <c r="AZ12" s="1" t="str">
        <f t="shared" si="2"/>
        <v/>
      </c>
      <c r="BA12" s="11" t="str">
        <f t="shared" si="3"/>
        <v/>
      </c>
      <c r="BB12" s="1" t="str">
        <f t="shared" si="4"/>
        <v/>
      </c>
      <c r="BC12" s="39"/>
      <c r="BD12" s="53" t="str">
        <f t="shared" si="5"/>
        <v/>
      </c>
      <c r="BE12" s="12" t="str">
        <f t="shared" si="6"/>
        <v/>
      </c>
      <c r="BF12" s="12" t="str">
        <f t="shared" si="7"/>
        <v/>
      </c>
      <c r="BG12" s="12" t="str">
        <f t="shared" si="24"/>
        <v/>
      </c>
      <c r="BH12" s="12" t="str">
        <f t="shared" si="8"/>
        <v/>
      </c>
      <c r="BI12" s="54" t="str">
        <f t="shared" si="25"/>
        <v/>
      </c>
      <c r="BJ12" s="39"/>
      <c r="BK12" s="55" t="str">
        <f t="shared" si="9"/>
        <v/>
      </c>
      <c r="BL12" s="13" t="str">
        <f t="shared" si="10"/>
        <v/>
      </c>
      <c r="BM12" s="13" t="str">
        <f t="shared" si="11"/>
        <v/>
      </c>
      <c r="BN12" s="56" t="str">
        <f t="shared" si="12"/>
        <v/>
      </c>
      <c r="BO12" s="39"/>
      <c r="BP12" s="14" t="str">
        <f t="shared" si="13"/>
        <v/>
      </c>
      <c r="BQ12" s="15">
        <v>0</v>
      </c>
      <c r="BR12" s="15" t="str">
        <f t="shared" si="26"/>
        <v/>
      </c>
      <c r="BS12" s="15" t="str">
        <f t="shared" si="27"/>
        <v/>
      </c>
      <c r="BT12" s="16" t="str">
        <f t="shared" si="14"/>
        <v/>
      </c>
      <c r="BU12" s="39"/>
      <c r="BV12" s="51" t="str">
        <f t="shared" si="15"/>
        <v/>
      </c>
      <c r="BW12" s="28" t="str">
        <f t="shared" si="16"/>
        <v/>
      </c>
      <c r="BX12" s="28" t="str">
        <f t="shared" si="17"/>
        <v/>
      </c>
      <c r="BY12" s="28" t="str">
        <f t="shared" si="18"/>
        <v/>
      </c>
      <c r="BZ12" s="28" t="str">
        <f t="shared" si="28"/>
        <v/>
      </c>
      <c r="CA12" s="52" t="str">
        <f t="shared" si="29"/>
        <v/>
      </c>
      <c r="CB12" s="39"/>
      <c r="CC12" s="49" t="str">
        <f t="shared" si="19"/>
        <v>-</v>
      </c>
      <c r="CD12" s="29" t="str">
        <f t="shared" si="20"/>
        <v>-</v>
      </c>
      <c r="CE12" s="29" t="str">
        <f t="shared" si="21"/>
        <v>-</v>
      </c>
      <c r="CF12" s="29" t="str">
        <f t="shared" si="22"/>
        <v>-</v>
      </c>
      <c r="CG12" s="50" t="str">
        <f t="shared" si="23"/>
        <v>-</v>
      </c>
      <c r="CH12" s="39"/>
    </row>
    <row r="13" spans="1:86" s="27" customFormat="1" ht="12.4" customHeight="1" thickBot="1" x14ac:dyDescent="0.25">
      <c r="A13" s="43">
        <f t="shared" si="30"/>
        <v>46305</v>
      </c>
      <c r="B13" s="44" t="str">
        <f>+TEXT(A13,"DDD")</f>
        <v>Sat</v>
      </c>
      <c r="C13" s="2"/>
      <c r="D13" s="2"/>
      <c r="E13" s="3"/>
      <c r="F13" s="2"/>
      <c r="G13" s="2"/>
      <c r="H13" s="4"/>
      <c r="I13" s="4"/>
      <c r="J13" s="57"/>
      <c r="K13" s="5"/>
      <c r="L13" s="2"/>
      <c r="M13" s="2"/>
      <c r="N13" s="2"/>
      <c r="O13" s="2"/>
      <c r="P13" s="3"/>
      <c r="Q13" s="2"/>
      <c r="R13" s="2"/>
      <c r="S13" s="2"/>
      <c r="T13" s="2"/>
      <c r="U13" s="2"/>
      <c r="V13" s="3"/>
      <c r="W13" s="3"/>
      <c r="X13" s="2"/>
      <c r="Y13" s="2"/>
      <c r="Z13" s="2"/>
      <c r="AA13" s="2"/>
      <c r="AB13" s="2"/>
      <c r="AC13" s="2"/>
      <c r="AD13" s="2"/>
      <c r="AE13" s="2"/>
      <c r="AF13" s="3"/>
      <c r="AG13" s="3"/>
      <c r="AH13" s="2"/>
      <c r="AI13" s="6"/>
      <c r="AJ13" s="7"/>
      <c r="AK13" s="6"/>
      <c r="AL13" s="59"/>
      <c r="AM13" s="59"/>
      <c r="AN13" s="59"/>
      <c r="AO13" s="59"/>
      <c r="AP13" s="59"/>
      <c r="AQ13" s="59"/>
      <c r="AR13" s="59"/>
      <c r="AS13" s="59"/>
      <c r="AT13" s="8"/>
      <c r="AU13" s="8"/>
      <c r="AV13" s="9"/>
      <c r="AW13" s="8"/>
      <c r="AX13" s="10" t="str">
        <f t="shared" si="1"/>
        <v>-</v>
      </c>
      <c r="AY13" s="39"/>
      <c r="AZ13" s="1" t="str">
        <f t="shared" si="2"/>
        <v/>
      </c>
      <c r="BA13" s="11" t="str">
        <f t="shared" si="3"/>
        <v/>
      </c>
      <c r="BB13" s="1" t="str">
        <f t="shared" si="4"/>
        <v/>
      </c>
      <c r="BC13" s="39"/>
      <c r="BD13" s="53" t="str">
        <f t="shared" si="5"/>
        <v/>
      </c>
      <c r="BE13" s="12" t="str">
        <f t="shared" si="6"/>
        <v/>
      </c>
      <c r="BF13" s="12" t="str">
        <f t="shared" si="7"/>
        <v/>
      </c>
      <c r="BG13" s="12" t="str">
        <f t="shared" si="24"/>
        <v/>
      </c>
      <c r="BH13" s="12" t="str">
        <f t="shared" si="8"/>
        <v/>
      </c>
      <c r="BI13" s="54" t="str">
        <f t="shared" si="25"/>
        <v/>
      </c>
      <c r="BJ13" s="39"/>
      <c r="BK13" s="55" t="str">
        <f t="shared" si="9"/>
        <v/>
      </c>
      <c r="BL13" s="13" t="str">
        <f t="shared" si="10"/>
        <v/>
      </c>
      <c r="BM13" s="13" t="str">
        <f t="shared" si="11"/>
        <v/>
      </c>
      <c r="BN13" s="56" t="str">
        <f t="shared" si="12"/>
        <v/>
      </c>
      <c r="BO13" s="39"/>
      <c r="BP13" s="14" t="str">
        <f t="shared" si="13"/>
        <v/>
      </c>
      <c r="BQ13" s="15">
        <v>0</v>
      </c>
      <c r="BR13" s="15" t="str">
        <f t="shared" si="26"/>
        <v/>
      </c>
      <c r="BS13" s="15" t="str">
        <f t="shared" si="27"/>
        <v/>
      </c>
      <c r="BT13" s="16" t="str">
        <f t="shared" si="14"/>
        <v/>
      </c>
      <c r="BU13" s="39"/>
      <c r="BV13" s="51" t="str">
        <f t="shared" si="15"/>
        <v/>
      </c>
      <c r="BW13" s="28" t="str">
        <f t="shared" si="16"/>
        <v/>
      </c>
      <c r="BX13" s="28" t="str">
        <f t="shared" si="17"/>
        <v/>
      </c>
      <c r="BY13" s="28" t="str">
        <f t="shared" si="18"/>
        <v/>
      </c>
      <c r="BZ13" s="28" t="str">
        <f t="shared" si="28"/>
        <v/>
      </c>
      <c r="CA13" s="52" t="str">
        <f t="shared" si="29"/>
        <v/>
      </c>
      <c r="CB13" s="39"/>
      <c r="CC13" s="49" t="str">
        <f t="shared" si="19"/>
        <v>-</v>
      </c>
      <c r="CD13" s="29" t="str">
        <f t="shared" si="20"/>
        <v>-</v>
      </c>
      <c r="CE13" s="29" t="str">
        <f t="shared" si="21"/>
        <v>-</v>
      </c>
      <c r="CF13" s="29" t="str">
        <f t="shared" si="22"/>
        <v>-</v>
      </c>
      <c r="CG13" s="50" t="str">
        <f t="shared" si="23"/>
        <v>-</v>
      </c>
      <c r="CH13" s="39"/>
    </row>
    <row r="14" spans="1:86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1"/>
      <c r="AM14" s="61"/>
      <c r="AN14" s="61"/>
      <c r="AO14" s="61"/>
      <c r="AP14" s="61"/>
      <c r="AQ14" s="61"/>
      <c r="AR14" s="61"/>
      <c r="AS14" s="61"/>
      <c r="AT14" s="60"/>
      <c r="AU14" s="60"/>
      <c r="AV14" s="60"/>
      <c r="AW14" s="60"/>
      <c r="AX14" s="10" t="str">
        <f t="shared" si="1"/>
        <v>-</v>
      </c>
      <c r="AY14" s="39"/>
      <c r="AZ14" s="1" t="str">
        <f t="shared" si="2"/>
        <v/>
      </c>
      <c r="BA14" s="11" t="str">
        <f t="shared" si="3"/>
        <v/>
      </c>
      <c r="BB14" s="1" t="str">
        <f t="shared" si="4"/>
        <v/>
      </c>
      <c r="BC14" s="39"/>
      <c r="BD14" s="53" t="str">
        <f t="shared" si="5"/>
        <v/>
      </c>
      <c r="BE14" s="12" t="str">
        <f t="shared" si="6"/>
        <v/>
      </c>
      <c r="BF14" s="12" t="str">
        <f t="shared" si="7"/>
        <v/>
      </c>
      <c r="BG14" s="12" t="str">
        <f t="shared" si="24"/>
        <v/>
      </c>
      <c r="BH14" s="12" t="str">
        <f t="shared" si="8"/>
        <v/>
      </c>
      <c r="BI14" s="54" t="str">
        <f t="shared" si="25"/>
        <v/>
      </c>
      <c r="BJ14" s="39"/>
      <c r="BK14" s="55" t="str">
        <f t="shared" si="9"/>
        <v/>
      </c>
      <c r="BL14" s="13" t="str">
        <f t="shared" si="10"/>
        <v/>
      </c>
      <c r="BM14" s="13" t="str">
        <f t="shared" si="11"/>
        <v/>
      </c>
      <c r="BN14" s="56" t="str">
        <f t="shared" si="12"/>
        <v/>
      </c>
      <c r="BO14" s="39"/>
      <c r="BP14" s="14" t="str">
        <f t="shared" si="13"/>
        <v/>
      </c>
      <c r="BQ14" s="15">
        <v>0</v>
      </c>
      <c r="BR14" s="15" t="str">
        <f t="shared" si="26"/>
        <v/>
      </c>
      <c r="BS14" s="15" t="str">
        <f t="shared" si="27"/>
        <v/>
      </c>
      <c r="BT14" s="16" t="str">
        <f t="shared" si="14"/>
        <v/>
      </c>
      <c r="BU14" s="39"/>
      <c r="BV14" s="51" t="str">
        <f t="shared" si="15"/>
        <v/>
      </c>
      <c r="BW14" s="28" t="str">
        <f t="shared" si="16"/>
        <v/>
      </c>
      <c r="BX14" s="28" t="str">
        <f t="shared" si="17"/>
        <v/>
      </c>
      <c r="BY14" s="28" t="str">
        <f t="shared" si="18"/>
        <v/>
      </c>
      <c r="BZ14" s="28" t="str">
        <f t="shared" si="28"/>
        <v/>
      </c>
      <c r="CA14" s="52" t="str">
        <f t="shared" si="29"/>
        <v/>
      </c>
      <c r="CB14" s="39"/>
      <c r="CC14" s="49" t="str">
        <f t="shared" si="19"/>
        <v>-</v>
      </c>
      <c r="CD14" s="29" t="str">
        <f t="shared" si="20"/>
        <v>-</v>
      </c>
      <c r="CE14" s="29" t="str">
        <f t="shared" si="21"/>
        <v>-</v>
      </c>
      <c r="CF14" s="29" t="str">
        <f t="shared" si="22"/>
        <v>-</v>
      </c>
      <c r="CG14" s="50" t="str">
        <f t="shared" si="23"/>
        <v>-</v>
      </c>
      <c r="CH14" s="39"/>
    </row>
    <row r="15" spans="1:86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2"/>
      <c r="D15" s="2"/>
      <c r="E15" s="3"/>
      <c r="F15" s="2"/>
      <c r="G15" s="2"/>
      <c r="H15" s="4"/>
      <c r="I15" s="4"/>
      <c r="J15" s="57"/>
      <c r="K15" s="5"/>
      <c r="L15" s="2"/>
      <c r="M15" s="2"/>
      <c r="N15" s="2"/>
      <c r="O15" s="2"/>
      <c r="P15" s="3"/>
      <c r="Q15" s="2"/>
      <c r="R15" s="2"/>
      <c r="S15" s="2"/>
      <c r="T15" s="2"/>
      <c r="U15" s="60"/>
      <c r="V15" s="3"/>
      <c r="W15" s="3"/>
      <c r="X15" s="2"/>
      <c r="Y15" s="2"/>
      <c r="Z15" s="2"/>
      <c r="AA15" s="2"/>
      <c r="AB15" s="2"/>
      <c r="AC15" s="2"/>
      <c r="AD15" s="2"/>
      <c r="AE15" s="2"/>
      <c r="AF15" s="3"/>
      <c r="AG15" s="3"/>
      <c r="AH15" s="2"/>
      <c r="AI15" s="6"/>
      <c r="AJ15" s="7"/>
      <c r="AK15" s="6"/>
      <c r="AL15" s="61"/>
      <c r="AM15" s="61"/>
      <c r="AN15" s="61"/>
      <c r="AO15" s="61"/>
      <c r="AP15" s="61"/>
      <c r="AQ15" s="61"/>
      <c r="AR15" s="59"/>
      <c r="AS15" s="59"/>
      <c r="AT15" s="8"/>
      <c r="AU15" s="8"/>
      <c r="AV15" s="9"/>
      <c r="AW15" s="8"/>
      <c r="AX15" s="10" t="str">
        <f t="shared" si="1"/>
        <v>-</v>
      </c>
      <c r="AY15" s="39"/>
      <c r="AZ15" s="1" t="str">
        <f t="shared" si="2"/>
        <v/>
      </c>
      <c r="BA15" s="11" t="str">
        <f t="shared" si="3"/>
        <v/>
      </c>
      <c r="BB15" s="1" t="str">
        <f t="shared" si="4"/>
        <v/>
      </c>
      <c r="BC15" s="39"/>
      <c r="BD15" s="53" t="str">
        <f t="shared" si="5"/>
        <v/>
      </c>
      <c r="BE15" s="12" t="str">
        <f t="shared" si="6"/>
        <v/>
      </c>
      <c r="BF15" s="12" t="str">
        <f t="shared" si="7"/>
        <v/>
      </c>
      <c r="BG15" s="12" t="str">
        <f t="shared" si="24"/>
        <v/>
      </c>
      <c r="BH15" s="12" t="str">
        <f t="shared" si="8"/>
        <v/>
      </c>
      <c r="BI15" s="54" t="str">
        <f t="shared" si="25"/>
        <v/>
      </c>
      <c r="BJ15" s="39"/>
      <c r="BK15" s="55" t="str">
        <f t="shared" si="9"/>
        <v/>
      </c>
      <c r="BL15" s="13" t="str">
        <f t="shared" si="10"/>
        <v/>
      </c>
      <c r="BM15" s="13" t="str">
        <f t="shared" si="11"/>
        <v/>
      </c>
      <c r="BN15" s="56" t="str">
        <f t="shared" si="12"/>
        <v/>
      </c>
      <c r="BO15" s="39"/>
      <c r="BP15" s="14" t="str">
        <f t="shared" si="13"/>
        <v/>
      </c>
      <c r="BQ15" s="15">
        <v>0</v>
      </c>
      <c r="BR15" s="15" t="str">
        <f t="shared" si="26"/>
        <v/>
      </c>
      <c r="BS15" s="15" t="str">
        <f t="shared" si="27"/>
        <v/>
      </c>
      <c r="BT15" s="16" t="str">
        <f t="shared" si="14"/>
        <v/>
      </c>
      <c r="BU15" s="39"/>
      <c r="BV15" s="51" t="str">
        <f t="shared" si="15"/>
        <v/>
      </c>
      <c r="BW15" s="28" t="str">
        <f t="shared" si="16"/>
        <v/>
      </c>
      <c r="BX15" s="28" t="str">
        <f t="shared" si="17"/>
        <v/>
      </c>
      <c r="BY15" s="28" t="str">
        <f t="shared" si="18"/>
        <v/>
      </c>
      <c r="BZ15" s="28" t="str">
        <f t="shared" si="28"/>
        <v/>
      </c>
      <c r="CA15" s="52" t="str">
        <f t="shared" si="29"/>
        <v/>
      </c>
      <c r="CB15" s="39"/>
      <c r="CC15" s="49" t="str">
        <f t="shared" si="19"/>
        <v>-</v>
      </c>
      <c r="CD15" s="29" t="str">
        <f t="shared" si="20"/>
        <v>-</v>
      </c>
      <c r="CE15" s="29" t="str">
        <f t="shared" si="21"/>
        <v>-</v>
      </c>
      <c r="CF15" s="29" t="str">
        <f t="shared" si="22"/>
        <v>-</v>
      </c>
      <c r="CG15" s="50" t="str">
        <f t="shared" si="23"/>
        <v>-</v>
      </c>
      <c r="CH15" s="39"/>
    </row>
    <row r="16" spans="1:86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2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1"/>
      <c r="AM16" s="61"/>
      <c r="AN16" s="61"/>
      <c r="AO16" s="61"/>
      <c r="AP16" s="61"/>
      <c r="AQ16" s="61"/>
      <c r="AR16" s="61"/>
      <c r="AS16" s="61"/>
      <c r="AT16" s="60"/>
      <c r="AU16" s="60"/>
      <c r="AV16" s="60"/>
      <c r="AW16" s="60"/>
      <c r="AX16" s="10" t="str">
        <f t="shared" si="1"/>
        <v>-</v>
      </c>
      <c r="AY16" s="39"/>
      <c r="AZ16" s="1" t="str">
        <f t="shared" si="2"/>
        <v/>
      </c>
      <c r="BA16" s="11" t="str">
        <f t="shared" si="3"/>
        <v/>
      </c>
      <c r="BB16" s="1" t="str">
        <f t="shared" si="4"/>
        <v/>
      </c>
      <c r="BC16" s="39"/>
      <c r="BD16" s="53" t="str">
        <f t="shared" si="5"/>
        <v/>
      </c>
      <c r="BE16" s="12" t="str">
        <f t="shared" si="6"/>
        <v/>
      </c>
      <c r="BF16" s="12" t="str">
        <f t="shared" si="7"/>
        <v/>
      </c>
      <c r="BG16" s="12" t="str">
        <f t="shared" si="24"/>
        <v/>
      </c>
      <c r="BH16" s="12" t="str">
        <f t="shared" si="8"/>
        <v/>
      </c>
      <c r="BI16" s="54" t="str">
        <f t="shared" si="25"/>
        <v/>
      </c>
      <c r="BJ16" s="39"/>
      <c r="BK16" s="55" t="str">
        <f t="shared" si="9"/>
        <v/>
      </c>
      <c r="BL16" s="13" t="str">
        <f t="shared" si="10"/>
        <v/>
      </c>
      <c r="BM16" s="13" t="str">
        <f t="shared" si="11"/>
        <v/>
      </c>
      <c r="BN16" s="56" t="str">
        <f t="shared" si="12"/>
        <v/>
      </c>
      <c r="BO16" s="39"/>
      <c r="BP16" s="14" t="str">
        <f t="shared" si="13"/>
        <v/>
      </c>
      <c r="BQ16" s="15">
        <v>0</v>
      </c>
      <c r="BR16" s="15" t="str">
        <f t="shared" si="26"/>
        <v/>
      </c>
      <c r="BS16" s="15" t="str">
        <f t="shared" si="27"/>
        <v/>
      </c>
      <c r="BT16" s="16" t="str">
        <f t="shared" si="14"/>
        <v/>
      </c>
      <c r="BU16" s="39"/>
      <c r="BV16" s="51" t="str">
        <f t="shared" si="15"/>
        <v/>
      </c>
      <c r="BW16" s="28" t="str">
        <f t="shared" si="16"/>
        <v/>
      </c>
      <c r="BX16" s="28" t="str">
        <f t="shared" si="17"/>
        <v/>
      </c>
      <c r="BY16" s="28" t="str">
        <f t="shared" si="18"/>
        <v/>
      </c>
      <c r="BZ16" s="28" t="str">
        <f t="shared" si="28"/>
        <v/>
      </c>
      <c r="CA16" s="52" t="str">
        <f t="shared" si="29"/>
        <v/>
      </c>
      <c r="CB16" s="39"/>
      <c r="CC16" s="49" t="str">
        <f t="shared" si="19"/>
        <v>-</v>
      </c>
      <c r="CD16" s="29" t="str">
        <f t="shared" si="20"/>
        <v>-</v>
      </c>
      <c r="CE16" s="29" t="str">
        <f t="shared" si="21"/>
        <v>-</v>
      </c>
      <c r="CF16" s="29" t="str">
        <f t="shared" si="22"/>
        <v>-</v>
      </c>
      <c r="CG16" s="50" t="str">
        <f t="shared" si="23"/>
        <v>-</v>
      </c>
      <c r="CH16" s="39"/>
    </row>
    <row r="17" spans="1:86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2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1"/>
      <c r="AM17" s="61"/>
      <c r="AN17" s="61"/>
      <c r="AO17" s="61"/>
      <c r="AP17" s="61"/>
      <c r="AQ17" s="61"/>
      <c r="AR17" s="61"/>
      <c r="AS17" s="61"/>
      <c r="AT17" s="60"/>
      <c r="AU17" s="60"/>
      <c r="AV17" s="60"/>
      <c r="AW17" s="60"/>
      <c r="AX17" s="10" t="str">
        <f t="shared" si="1"/>
        <v>-</v>
      </c>
      <c r="AY17" s="39"/>
      <c r="AZ17" s="1" t="str">
        <f t="shared" si="2"/>
        <v/>
      </c>
      <c r="BA17" s="11" t="str">
        <f t="shared" si="3"/>
        <v/>
      </c>
      <c r="BB17" s="1" t="str">
        <f t="shared" si="4"/>
        <v/>
      </c>
      <c r="BC17" s="39"/>
      <c r="BD17" s="53" t="str">
        <f t="shared" si="5"/>
        <v/>
      </c>
      <c r="BE17" s="12" t="str">
        <f t="shared" si="6"/>
        <v/>
      </c>
      <c r="BF17" s="12" t="str">
        <f t="shared" si="7"/>
        <v/>
      </c>
      <c r="BG17" s="12" t="str">
        <f t="shared" si="24"/>
        <v/>
      </c>
      <c r="BH17" s="12" t="str">
        <f t="shared" si="8"/>
        <v/>
      </c>
      <c r="BI17" s="54" t="str">
        <f t="shared" si="25"/>
        <v/>
      </c>
      <c r="BJ17" s="39"/>
      <c r="BK17" s="55" t="str">
        <f t="shared" si="9"/>
        <v/>
      </c>
      <c r="BL17" s="13" t="str">
        <f t="shared" si="10"/>
        <v/>
      </c>
      <c r="BM17" s="13" t="str">
        <f t="shared" si="11"/>
        <v/>
      </c>
      <c r="BN17" s="56" t="str">
        <f t="shared" si="12"/>
        <v/>
      </c>
      <c r="BO17" s="39"/>
      <c r="BP17" s="14" t="str">
        <f t="shared" si="13"/>
        <v/>
      </c>
      <c r="BQ17" s="15">
        <v>0</v>
      </c>
      <c r="BR17" s="15" t="str">
        <f t="shared" si="26"/>
        <v/>
      </c>
      <c r="BS17" s="15" t="str">
        <f t="shared" si="27"/>
        <v/>
      </c>
      <c r="BT17" s="16" t="str">
        <f t="shared" si="14"/>
        <v/>
      </c>
      <c r="BU17" s="39"/>
      <c r="BV17" s="51" t="str">
        <f t="shared" si="15"/>
        <v/>
      </c>
      <c r="BW17" s="28" t="str">
        <f t="shared" si="16"/>
        <v/>
      </c>
      <c r="BX17" s="28" t="str">
        <f t="shared" si="17"/>
        <v/>
      </c>
      <c r="BY17" s="28" t="str">
        <f t="shared" si="18"/>
        <v/>
      </c>
      <c r="BZ17" s="28" t="str">
        <f t="shared" si="28"/>
        <v/>
      </c>
      <c r="CA17" s="52" t="str">
        <f t="shared" si="29"/>
        <v/>
      </c>
      <c r="CB17" s="39"/>
      <c r="CC17" s="49" t="str">
        <f t="shared" si="19"/>
        <v>-</v>
      </c>
      <c r="CD17" s="29" t="str">
        <f t="shared" si="20"/>
        <v>-</v>
      </c>
      <c r="CE17" s="29" t="str">
        <f t="shared" si="21"/>
        <v>-</v>
      </c>
      <c r="CF17" s="29" t="str">
        <f t="shared" si="22"/>
        <v>-</v>
      </c>
      <c r="CG17" s="50" t="str">
        <f t="shared" si="23"/>
        <v>-</v>
      </c>
      <c r="CH17" s="39"/>
    </row>
    <row r="18" spans="1:86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2"/>
      <c r="D18" s="2"/>
      <c r="E18" s="3"/>
      <c r="F18" s="2"/>
      <c r="G18" s="2"/>
      <c r="H18" s="4"/>
      <c r="I18" s="4"/>
      <c r="J18" s="57"/>
      <c r="K18" s="5"/>
      <c r="L18" s="2"/>
      <c r="M18" s="2"/>
      <c r="N18" s="2"/>
      <c r="O18" s="2"/>
      <c r="P18" s="3"/>
      <c r="Q18" s="2"/>
      <c r="R18" s="2"/>
      <c r="S18" s="2"/>
      <c r="T18" s="2"/>
      <c r="U18" s="2"/>
      <c r="V18" s="3"/>
      <c r="W18" s="3"/>
      <c r="X18" s="2"/>
      <c r="Y18" s="2"/>
      <c r="Z18" s="2"/>
      <c r="AA18" s="2"/>
      <c r="AB18" s="2"/>
      <c r="AC18" s="2"/>
      <c r="AD18" s="2"/>
      <c r="AE18" s="2"/>
      <c r="AF18" s="3"/>
      <c r="AG18" s="3"/>
      <c r="AH18" s="2"/>
      <c r="AI18" s="6"/>
      <c r="AJ18" s="7"/>
      <c r="AK18" s="6"/>
      <c r="AL18" s="59"/>
      <c r="AM18" s="59"/>
      <c r="AN18" s="59"/>
      <c r="AO18" s="59"/>
      <c r="AP18" s="59"/>
      <c r="AQ18" s="59"/>
      <c r="AR18" s="59"/>
      <c r="AS18" s="59"/>
      <c r="AT18" s="8"/>
      <c r="AU18" s="8"/>
      <c r="AV18" s="9"/>
      <c r="AW18" s="8"/>
      <c r="AX18" s="10" t="str">
        <f t="shared" si="1"/>
        <v>-</v>
      </c>
      <c r="AY18" s="39"/>
      <c r="AZ18" s="1" t="str">
        <f t="shared" si="2"/>
        <v/>
      </c>
      <c r="BA18" s="11" t="str">
        <f t="shared" si="3"/>
        <v/>
      </c>
      <c r="BB18" s="1" t="str">
        <f t="shared" si="4"/>
        <v/>
      </c>
      <c r="BC18" s="39"/>
      <c r="BD18" s="53" t="str">
        <f t="shared" si="5"/>
        <v/>
      </c>
      <c r="BE18" s="12" t="str">
        <f t="shared" si="6"/>
        <v/>
      </c>
      <c r="BF18" s="12" t="str">
        <f t="shared" si="7"/>
        <v/>
      </c>
      <c r="BG18" s="12" t="str">
        <f t="shared" si="24"/>
        <v/>
      </c>
      <c r="BH18" s="12" t="str">
        <f t="shared" si="8"/>
        <v/>
      </c>
      <c r="BI18" s="54" t="str">
        <f t="shared" si="25"/>
        <v/>
      </c>
      <c r="BJ18" s="39"/>
      <c r="BK18" s="55" t="str">
        <f t="shared" si="9"/>
        <v/>
      </c>
      <c r="BL18" s="13" t="str">
        <f t="shared" si="10"/>
        <v/>
      </c>
      <c r="BM18" s="13" t="str">
        <f t="shared" si="11"/>
        <v/>
      </c>
      <c r="BN18" s="56" t="str">
        <f t="shared" si="12"/>
        <v/>
      </c>
      <c r="BO18" s="39"/>
      <c r="BP18" s="14" t="str">
        <f t="shared" si="13"/>
        <v/>
      </c>
      <c r="BQ18" s="15">
        <v>0</v>
      </c>
      <c r="BR18" s="15" t="str">
        <f t="shared" si="26"/>
        <v/>
      </c>
      <c r="BS18" s="15" t="str">
        <f t="shared" si="27"/>
        <v/>
      </c>
      <c r="BT18" s="16" t="str">
        <f t="shared" si="14"/>
        <v/>
      </c>
      <c r="BU18" s="39"/>
      <c r="BV18" s="51" t="str">
        <f t="shared" si="15"/>
        <v/>
      </c>
      <c r="BW18" s="28" t="str">
        <f t="shared" si="16"/>
        <v/>
      </c>
      <c r="BX18" s="28" t="str">
        <f t="shared" si="17"/>
        <v/>
      </c>
      <c r="BY18" s="28" t="str">
        <f t="shared" si="18"/>
        <v/>
      </c>
      <c r="BZ18" s="28" t="str">
        <f t="shared" si="28"/>
        <v/>
      </c>
      <c r="CA18" s="52" t="str">
        <f t="shared" si="29"/>
        <v/>
      </c>
      <c r="CB18" s="39"/>
      <c r="CC18" s="49" t="str">
        <f t="shared" si="19"/>
        <v>-</v>
      </c>
      <c r="CD18" s="29" t="str">
        <f t="shared" si="20"/>
        <v>-</v>
      </c>
      <c r="CE18" s="29" t="str">
        <f t="shared" si="21"/>
        <v>-</v>
      </c>
      <c r="CF18" s="29" t="str">
        <f t="shared" si="22"/>
        <v>-</v>
      </c>
      <c r="CG18" s="50" t="str">
        <f t="shared" si="23"/>
        <v>-</v>
      </c>
      <c r="CH18" s="39"/>
    </row>
    <row r="19" spans="1:86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2"/>
      <c r="D19" s="2"/>
      <c r="E19" s="3"/>
      <c r="F19" s="2"/>
      <c r="G19" s="2"/>
      <c r="H19" s="4"/>
      <c r="I19" s="4"/>
      <c r="J19" s="57"/>
      <c r="K19" s="5"/>
      <c r="L19" s="2"/>
      <c r="M19" s="2"/>
      <c r="N19" s="2"/>
      <c r="O19" s="2"/>
      <c r="P19" s="3"/>
      <c r="Q19" s="2"/>
      <c r="R19" s="2"/>
      <c r="S19" s="2"/>
      <c r="T19" s="2"/>
      <c r="U19" s="2"/>
      <c r="V19" s="3"/>
      <c r="W19" s="3"/>
      <c r="X19" s="2"/>
      <c r="Y19" s="2"/>
      <c r="Z19" s="2"/>
      <c r="AA19" s="2"/>
      <c r="AB19" s="2"/>
      <c r="AC19" s="2"/>
      <c r="AD19" s="2"/>
      <c r="AE19" s="2"/>
      <c r="AF19" s="3"/>
      <c r="AG19" s="3"/>
      <c r="AH19" s="2"/>
      <c r="AI19" s="6"/>
      <c r="AJ19" s="7"/>
      <c r="AK19" s="6"/>
      <c r="AL19" s="59"/>
      <c r="AM19" s="59"/>
      <c r="AN19" s="59"/>
      <c r="AO19" s="59"/>
      <c r="AP19" s="59"/>
      <c r="AQ19" s="59"/>
      <c r="AR19" s="59"/>
      <c r="AS19" s="59"/>
      <c r="AT19" s="8"/>
      <c r="AU19" s="8"/>
      <c r="AV19" s="9"/>
      <c r="AW19" s="8"/>
      <c r="AX19" s="10" t="str">
        <f t="shared" si="1"/>
        <v>-</v>
      </c>
      <c r="AY19" s="39"/>
      <c r="AZ19" s="1" t="str">
        <f t="shared" si="2"/>
        <v/>
      </c>
      <c r="BA19" s="11" t="str">
        <f t="shared" si="3"/>
        <v/>
      </c>
      <c r="BB19" s="1" t="str">
        <f t="shared" si="4"/>
        <v/>
      </c>
      <c r="BC19" s="39"/>
      <c r="BD19" s="53" t="str">
        <f t="shared" si="5"/>
        <v/>
      </c>
      <c r="BE19" s="12" t="str">
        <f t="shared" si="6"/>
        <v/>
      </c>
      <c r="BF19" s="12" t="str">
        <f t="shared" si="7"/>
        <v/>
      </c>
      <c r="BG19" s="12" t="str">
        <f t="shared" si="24"/>
        <v/>
      </c>
      <c r="BH19" s="12" t="str">
        <f t="shared" si="8"/>
        <v/>
      </c>
      <c r="BI19" s="54" t="str">
        <f t="shared" si="25"/>
        <v/>
      </c>
      <c r="BJ19" s="39"/>
      <c r="BK19" s="55" t="str">
        <f t="shared" si="9"/>
        <v/>
      </c>
      <c r="BL19" s="13" t="str">
        <f t="shared" si="10"/>
        <v/>
      </c>
      <c r="BM19" s="13" t="str">
        <f t="shared" si="11"/>
        <v/>
      </c>
      <c r="BN19" s="56" t="str">
        <f t="shared" si="12"/>
        <v/>
      </c>
      <c r="BO19" s="39"/>
      <c r="BP19" s="14" t="str">
        <f t="shared" si="13"/>
        <v/>
      </c>
      <c r="BQ19" s="15">
        <v>0</v>
      </c>
      <c r="BR19" s="15" t="str">
        <f t="shared" si="26"/>
        <v/>
      </c>
      <c r="BS19" s="15" t="str">
        <f t="shared" si="27"/>
        <v/>
      </c>
      <c r="BT19" s="16" t="str">
        <f t="shared" si="14"/>
        <v/>
      </c>
      <c r="BU19" s="39"/>
      <c r="BV19" s="51" t="str">
        <f t="shared" si="15"/>
        <v/>
      </c>
      <c r="BW19" s="28" t="str">
        <f t="shared" si="16"/>
        <v/>
      </c>
      <c r="BX19" s="28" t="str">
        <f t="shared" si="17"/>
        <v/>
      </c>
      <c r="BY19" s="28" t="str">
        <f t="shared" si="18"/>
        <v/>
      </c>
      <c r="BZ19" s="28" t="str">
        <f t="shared" si="28"/>
        <v/>
      </c>
      <c r="CA19" s="52" t="str">
        <f t="shared" si="29"/>
        <v/>
      </c>
      <c r="CB19" s="39"/>
      <c r="CC19" s="49" t="str">
        <f t="shared" si="19"/>
        <v>-</v>
      </c>
      <c r="CD19" s="29" t="str">
        <f t="shared" si="20"/>
        <v>-</v>
      </c>
      <c r="CE19" s="29" t="str">
        <f t="shared" si="21"/>
        <v>-</v>
      </c>
      <c r="CF19" s="29" t="str">
        <f t="shared" si="22"/>
        <v>-</v>
      </c>
      <c r="CG19" s="50" t="str">
        <f t="shared" si="23"/>
        <v>-</v>
      </c>
      <c r="CH19" s="39"/>
    </row>
    <row r="20" spans="1:86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2"/>
      <c r="D20" s="2"/>
      <c r="E20" s="3"/>
      <c r="F20" s="2"/>
      <c r="G20" s="2"/>
      <c r="H20" s="4"/>
      <c r="I20" s="4"/>
      <c r="J20" s="57"/>
      <c r="K20" s="5"/>
      <c r="L20" s="2"/>
      <c r="M20" s="2"/>
      <c r="N20" s="2"/>
      <c r="O20" s="2"/>
      <c r="P20" s="3"/>
      <c r="Q20" s="2"/>
      <c r="R20" s="2"/>
      <c r="S20" s="2"/>
      <c r="T20" s="2"/>
      <c r="U20" s="2"/>
      <c r="V20" s="3"/>
      <c r="W20" s="3"/>
      <c r="X20" s="2"/>
      <c r="Y20" s="2"/>
      <c r="Z20" s="2"/>
      <c r="AA20" s="2"/>
      <c r="AB20" s="2"/>
      <c r="AC20" s="2"/>
      <c r="AD20" s="2"/>
      <c r="AE20" s="2"/>
      <c r="AF20" s="3"/>
      <c r="AG20" s="3"/>
      <c r="AH20" s="2"/>
      <c r="AI20" s="6"/>
      <c r="AJ20" s="7"/>
      <c r="AK20" s="6"/>
      <c r="AL20" s="59"/>
      <c r="AM20" s="59"/>
      <c r="AN20" s="59"/>
      <c r="AO20" s="59"/>
      <c r="AP20" s="59"/>
      <c r="AQ20" s="59"/>
      <c r="AR20" s="59"/>
      <c r="AS20" s="59"/>
      <c r="AT20" s="8"/>
      <c r="AU20" s="8"/>
      <c r="AV20" s="9"/>
      <c r="AW20" s="8"/>
      <c r="AX20" s="10" t="str">
        <f t="shared" si="1"/>
        <v>-</v>
      </c>
      <c r="AY20" s="39"/>
      <c r="AZ20" s="1" t="str">
        <f t="shared" si="2"/>
        <v/>
      </c>
      <c r="BA20" s="11" t="str">
        <f t="shared" si="3"/>
        <v/>
      </c>
      <c r="BB20" s="1" t="str">
        <f t="shared" si="4"/>
        <v/>
      </c>
      <c r="BC20" s="39"/>
      <c r="BD20" s="53" t="str">
        <f t="shared" si="5"/>
        <v/>
      </c>
      <c r="BE20" s="12" t="str">
        <f t="shared" si="6"/>
        <v/>
      </c>
      <c r="BF20" s="12" t="str">
        <f t="shared" si="7"/>
        <v/>
      </c>
      <c r="BG20" s="12" t="str">
        <f t="shared" si="24"/>
        <v/>
      </c>
      <c r="BH20" s="12" t="str">
        <f t="shared" si="8"/>
        <v/>
      </c>
      <c r="BI20" s="54" t="str">
        <f t="shared" si="25"/>
        <v/>
      </c>
      <c r="BJ20" s="39"/>
      <c r="BK20" s="55" t="str">
        <f t="shared" si="9"/>
        <v/>
      </c>
      <c r="BL20" s="13" t="str">
        <f t="shared" si="10"/>
        <v/>
      </c>
      <c r="BM20" s="13" t="str">
        <f t="shared" si="11"/>
        <v/>
      </c>
      <c r="BN20" s="56" t="str">
        <f t="shared" si="12"/>
        <v/>
      </c>
      <c r="BO20" s="39"/>
      <c r="BP20" s="14" t="str">
        <f t="shared" si="13"/>
        <v/>
      </c>
      <c r="BQ20" s="15">
        <v>0</v>
      </c>
      <c r="BR20" s="15" t="str">
        <f t="shared" si="26"/>
        <v/>
      </c>
      <c r="BS20" s="15" t="str">
        <f t="shared" si="27"/>
        <v/>
      </c>
      <c r="BT20" s="16" t="str">
        <f t="shared" si="14"/>
        <v/>
      </c>
      <c r="BU20" s="39"/>
      <c r="BV20" s="51" t="str">
        <f t="shared" si="15"/>
        <v/>
      </c>
      <c r="BW20" s="28" t="str">
        <f t="shared" si="16"/>
        <v/>
      </c>
      <c r="BX20" s="28" t="str">
        <f t="shared" si="17"/>
        <v/>
      </c>
      <c r="BY20" s="28" t="str">
        <f t="shared" si="18"/>
        <v/>
      </c>
      <c r="BZ20" s="28" t="str">
        <f t="shared" si="28"/>
        <v/>
      </c>
      <c r="CA20" s="52" t="str">
        <f t="shared" si="29"/>
        <v/>
      </c>
      <c r="CB20" s="39"/>
      <c r="CC20" s="49" t="str">
        <f t="shared" si="19"/>
        <v>-</v>
      </c>
      <c r="CD20" s="29" t="str">
        <f t="shared" si="20"/>
        <v>-</v>
      </c>
      <c r="CE20" s="29" t="str">
        <f t="shared" si="21"/>
        <v>-</v>
      </c>
      <c r="CF20" s="29" t="str">
        <f t="shared" si="22"/>
        <v>-</v>
      </c>
      <c r="CG20" s="50" t="str">
        <f t="shared" si="23"/>
        <v>-</v>
      </c>
      <c r="CH20" s="39"/>
    </row>
    <row r="21" spans="1:86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2"/>
      <c r="D21" s="2"/>
      <c r="E21" s="3"/>
      <c r="F21" s="2"/>
      <c r="G21" s="2"/>
      <c r="H21" s="4"/>
      <c r="I21" s="4"/>
      <c r="J21" s="57"/>
      <c r="K21" s="5"/>
      <c r="L21" s="2"/>
      <c r="M21" s="2"/>
      <c r="N21" s="2"/>
      <c r="O21" s="2"/>
      <c r="P21" s="3"/>
      <c r="Q21" s="2"/>
      <c r="R21" s="2"/>
      <c r="S21" s="2"/>
      <c r="T21" s="2"/>
      <c r="U21" s="2"/>
      <c r="V21" s="3"/>
      <c r="W21" s="3"/>
      <c r="X21" s="2"/>
      <c r="Y21" s="2"/>
      <c r="Z21" s="2"/>
      <c r="AA21" s="2"/>
      <c r="AB21" s="2"/>
      <c r="AC21" s="2"/>
      <c r="AD21" s="2"/>
      <c r="AE21" s="2"/>
      <c r="AF21" s="3"/>
      <c r="AG21" s="3"/>
      <c r="AH21" s="2"/>
      <c r="AI21" s="6"/>
      <c r="AJ21" s="7"/>
      <c r="AK21" s="6"/>
      <c r="AL21" s="59"/>
      <c r="AM21" s="59"/>
      <c r="AN21" s="59"/>
      <c r="AO21" s="59"/>
      <c r="AP21" s="59"/>
      <c r="AQ21" s="59"/>
      <c r="AR21" s="59"/>
      <c r="AS21" s="59"/>
      <c r="AT21" s="8"/>
      <c r="AU21" s="8"/>
      <c r="AV21" s="9"/>
      <c r="AW21" s="8"/>
      <c r="AX21" s="10" t="str">
        <f t="shared" si="1"/>
        <v>-</v>
      </c>
      <c r="AY21" s="39"/>
      <c r="AZ21" s="1" t="str">
        <f t="shared" si="2"/>
        <v/>
      </c>
      <c r="BA21" s="11" t="str">
        <f t="shared" si="3"/>
        <v/>
      </c>
      <c r="BB21" s="1" t="str">
        <f t="shared" si="4"/>
        <v/>
      </c>
      <c r="BC21" s="39"/>
      <c r="BD21" s="53" t="str">
        <f t="shared" si="5"/>
        <v/>
      </c>
      <c r="BE21" s="12" t="str">
        <f t="shared" si="6"/>
        <v/>
      </c>
      <c r="BF21" s="12" t="str">
        <f t="shared" si="7"/>
        <v/>
      </c>
      <c r="BG21" s="12" t="str">
        <f t="shared" si="24"/>
        <v/>
      </c>
      <c r="BH21" s="12" t="str">
        <f t="shared" si="8"/>
        <v/>
      </c>
      <c r="BI21" s="54" t="str">
        <f t="shared" si="25"/>
        <v/>
      </c>
      <c r="BJ21" s="39"/>
      <c r="BK21" s="55" t="str">
        <f t="shared" si="9"/>
        <v/>
      </c>
      <c r="BL21" s="13" t="str">
        <f t="shared" si="10"/>
        <v/>
      </c>
      <c r="BM21" s="13" t="str">
        <f t="shared" si="11"/>
        <v/>
      </c>
      <c r="BN21" s="56" t="str">
        <f t="shared" si="12"/>
        <v/>
      </c>
      <c r="BO21" s="39"/>
      <c r="BP21" s="14" t="str">
        <f t="shared" si="13"/>
        <v/>
      </c>
      <c r="BQ21" s="15">
        <v>0</v>
      </c>
      <c r="BR21" s="15" t="str">
        <f t="shared" si="26"/>
        <v/>
      </c>
      <c r="BS21" s="15" t="str">
        <f t="shared" si="27"/>
        <v/>
      </c>
      <c r="BT21" s="16" t="str">
        <f t="shared" si="14"/>
        <v/>
      </c>
      <c r="BU21" s="39"/>
      <c r="BV21" s="51" t="str">
        <f t="shared" si="15"/>
        <v/>
      </c>
      <c r="BW21" s="28" t="str">
        <f t="shared" si="16"/>
        <v/>
      </c>
      <c r="BX21" s="28" t="str">
        <f t="shared" si="17"/>
        <v/>
      </c>
      <c r="BY21" s="28" t="str">
        <f t="shared" si="18"/>
        <v/>
      </c>
      <c r="BZ21" s="28" t="str">
        <f t="shared" si="28"/>
        <v/>
      </c>
      <c r="CA21" s="52" t="str">
        <f t="shared" si="29"/>
        <v/>
      </c>
      <c r="CB21" s="39"/>
      <c r="CC21" s="49" t="str">
        <f t="shared" si="19"/>
        <v>-</v>
      </c>
      <c r="CD21" s="29" t="str">
        <f t="shared" si="20"/>
        <v>-</v>
      </c>
      <c r="CE21" s="29" t="str">
        <f t="shared" si="21"/>
        <v>-</v>
      </c>
      <c r="CF21" s="29" t="str">
        <f t="shared" si="22"/>
        <v>-</v>
      </c>
      <c r="CG21" s="50" t="str">
        <f t="shared" si="23"/>
        <v>-</v>
      </c>
      <c r="CH21" s="39"/>
    </row>
    <row r="22" spans="1:86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2"/>
      <c r="D22" s="2"/>
      <c r="E22" s="3"/>
      <c r="F22" s="2"/>
      <c r="G22" s="2"/>
      <c r="H22" s="4"/>
      <c r="I22" s="4"/>
      <c r="J22" s="57"/>
      <c r="K22" s="5"/>
      <c r="L22" s="2"/>
      <c r="M22" s="2"/>
      <c r="N22" s="2"/>
      <c r="O22" s="2"/>
      <c r="P22" s="3"/>
      <c r="Q22" s="2"/>
      <c r="R22" s="2"/>
      <c r="S22" s="2"/>
      <c r="T22" s="2"/>
      <c r="U22" s="2"/>
      <c r="V22" s="3"/>
      <c r="W22" s="3"/>
      <c r="X22" s="2"/>
      <c r="Y22" s="2"/>
      <c r="Z22" s="2"/>
      <c r="AA22" s="2"/>
      <c r="AB22" s="2"/>
      <c r="AC22" s="2"/>
      <c r="AD22" s="2"/>
      <c r="AE22" s="2"/>
      <c r="AF22" s="3"/>
      <c r="AG22" s="3"/>
      <c r="AH22" s="2"/>
      <c r="AI22" s="6"/>
      <c r="AJ22" s="7"/>
      <c r="AK22" s="6"/>
      <c r="AL22" s="59"/>
      <c r="AM22" s="59"/>
      <c r="AN22" s="59"/>
      <c r="AO22" s="59"/>
      <c r="AP22" s="59"/>
      <c r="AQ22" s="59"/>
      <c r="AR22" s="59"/>
      <c r="AS22" s="59"/>
      <c r="AT22" s="8"/>
      <c r="AU22" s="8"/>
      <c r="AV22" s="9"/>
      <c r="AW22" s="8"/>
      <c r="AX22" s="10" t="str">
        <f t="shared" si="1"/>
        <v>-</v>
      </c>
      <c r="AY22" s="39"/>
      <c r="AZ22" s="1" t="str">
        <f t="shared" si="2"/>
        <v/>
      </c>
      <c r="BA22" s="11" t="str">
        <f t="shared" si="3"/>
        <v/>
      </c>
      <c r="BB22" s="1" t="str">
        <f t="shared" si="4"/>
        <v/>
      </c>
      <c r="BC22" s="39"/>
      <c r="BD22" s="53" t="str">
        <f t="shared" si="5"/>
        <v/>
      </c>
      <c r="BE22" s="12" t="str">
        <f t="shared" si="6"/>
        <v/>
      </c>
      <c r="BF22" s="12" t="str">
        <f t="shared" si="7"/>
        <v/>
      </c>
      <c r="BG22" s="12" t="str">
        <f t="shared" si="24"/>
        <v/>
      </c>
      <c r="BH22" s="12" t="str">
        <f t="shared" si="8"/>
        <v/>
      </c>
      <c r="BI22" s="54" t="str">
        <f t="shared" si="25"/>
        <v/>
      </c>
      <c r="BJ22" s="39"/>
      <c r="BK22" s="55" t="str">
        <f t="shared" si="9"/>
        <v/>
      </c>
      <c r="BL22" s="13" t="str">
        <f t="shared" si="10"/>
        <v/>
      </c>
      <c r="BM22" s="13" t="str">
        <f t="shared" si="11"/>
        <v/>
      </c>
      <c r="BN22" s="56" t="str">
        <f t="shared" si="12"/>
        <v/>
      </c>
      <c r="BO22" s="39"/>
      <c r="BP22" s="14" t="str">
        <f t="shared" si="13"/>
        <v/>
      </c>
      <c r="BQ22" s="15">
        <v>0</v>
      </c>
      <c r="BR22" s="15" t="str">
        <f t="shared" si="26"/>
        <v/>
      </c>
      <c r="BS22" s="15" t="str">
        <f t="shared" si="27"/>
        <v/>
      </c>
      <c r="BT22" s="16" t="str">
        <f t="shared" si="14"/>
        <v/>
      </c>
      <c r="BU22" s="39"/>
      <c r="BV22" s="51" t="str">
        <f t="shared" si="15"/>
        <v/>
      </c>
      <c r="BW22" s="28" t="str">
        <f t="shared" si="16"/>
        <v/>
      </c>
      <c r="BX22" s="28" t="str">
        <f t="shared" si="17"/>
        <v/>
      </c>
      <c r="BY22" s="28" t="str">
        <f t="shared" si="18"/>
        <v/>
      </c>
      <c r="BZ22" s="28" t="str">
        <f t="shared" si="28"/>
        <v/>
      </c>
      <c r="CA22" s="52" t="str">
        <f t="shared" si="29"/>
        <v/>
      </c>
      <c r="CB22" s="39"/>
      <c r="CC22" s="49" t="str">
        <f t="shared" si="19"/>
        <v>-</v>
      </c>
      <c r="CD22" s="29" t="str">
        <f t="shared" si="20"/>
        <v>-</v>
      </c>
      <c r="CE22" s="29" t="str">
        <f t="shared" si="21"/>
        <v>-</v>
      </c>
      <c r="CF22" s="29" t="str">
        <f t="shared" si="22"/>
        <v>-</v>
      </c>
      <c r="CG22" s="50" t="str">
        <f t="shared" si="23"/>
        <v>-</v>
      </c>
      <c r="CH22" s="39"/>
    </row>
    <row r="23" spans="1:86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2"/>
      <c r="D23" s="2"/>
      <c r="E23" s="3"/>
      <c r="F23" s="2"/>
      <c r="G23" s="2"/>
      <c r="H23" s="4"/>
      <c r="I23" s="4"/>
      <c r="J23" s="57"/>
      <c r="K23" s="5"/>
      <c r="L23" s="2"/>
      <c r="M23" s="2"/>
      <c r="N23" s="2"/>
      <c r="O23" s="2"/>
      <c r="P23" s="3"/>
      <c r="Q23" s="2"/>
      <c r="R23" s="2"/>
      <c r="S23" s="2"/>
      <c r="T23" s="2"/>
      <c r="U23" s="2"/>
      <c r="V23" s="3"/>
      <c r="W23" s="3"/>
      <c r="X23" s="2"/>
      <c r="Y23" s="2"/>
      <c r="Z23" s="2"/>
      <c r="AA23" s="2"/>
      <c r="AB23" s="2"/>
      <c r="AC23" s="2"/>
      <c r="AD23" s="2"/>
      <c r="AE23" s="2"/>
      <c r="AF23" s="3"/>
      <c r="AG23" s="3"/>
      <c r="AH23" s="2"/>
      <c r="AI23" s="6"/>
      <c r="AJ23" s="7"/>
      <c r="AK23" s="6"/>
      <c r="AL23" s="59"/>
      <c r="AM23" s="59"/>
      <c r="AN23" s="59"/>
      <c r="AO23" s="59"/>
      <c r="AP23" s="59"/>
      <c r="AQ23" s="59"/>
      <c r="AR23" s="59"/>
      <c r="AS23" s="59"/>
      <c r="AT23" s="8"/>
      <c r="AU23" s="8"/>
      <c r="AV23" s="9"/>
      <c r="AW23" s="8"/>
      <c r="AX23" s="10" t="str">
        <f t="shared" si="1"/>
        <v>-</v>
      </c>
      <c r="AY23" s="39"/>
      <c r="AZ23" s="1" t="str">
        <f t="shared" si="2"/>
        <v/>
      </c>
      <c r="BA23" s="11" t="str">
        <f t="shared" si="3"/>
        <v/>
      </c>
      <c r="BB23" s="1" t="str">
        <f t="shared" si="4"/>
        <v/>
      </c>
      <c r="BC23" s="39"/>
      <c r="BD23" s="53" t="str">
        <f t="shared" si="5"/>
        <v/>
      </c>
      <c r="BE23" s="12" t="str">
        <f t="shared" si="6"/>
        <v/>
      </c>
      <c r="BF23" s="12" t="str">
        <f t="shared" si="7"/>
        <v/>
      </c>
      <c r="BG23" s="12" t="str">
        <f t="shared" si="24"/>
        <v/>
      </c>
      <c r="BH23" s="12" t="str">
        <f t="shared" si="8"/>
        <v/>
      </c>
      <c r="BI23" s="54" t="str">
        <f t="shared" si="25"/>
        <v/>
      </c>
      <c r="BJ23" s="39"/>
      <c r="BK23" s="55" t="str">
        <f t="shared" si="9"/>
        <v/>
      </c>
      <c r="BL23" s="13" t="str">
        <f t="shared" si="10"/>
        <v/>
      </c>
      <c r="BM23" s="13" t="str">
        <f t="shared" si="11"/>
        <v/>
      </c>
      <c r="BN23" s="56" t="str">
        <f t="shared" si="12"/>
        <v/>
      </c>
      <c r="BO23" s="39"/>
      <c r="BP23" s="14" t="str">
        <f t="shared" si="13"/>
        <v/>
      </c>
      <c r="BQ23" s="15">
        <v>0</v>
      </c>
      <c r="BR23" s="15" t="str">
        <f t="shared" si="26"/>
        <v/>
      </c>
      <c r="BS23" s="15" t="str">
        <f t="shared" si="27"/>
        <v/>
      </c>
      <c r="BT23" s="16" t="str">
        <f t="shared" si="14"/>
        <v/>
      </c>
      <c r="BU23" s="39"/>
      <c r="BV23" s="51" t="str">
        <f t="shared" si="15"/>
        <v/>
      </c>
      <c r="BW23" s="28" t="str">
        <f t="shared" si="16"/>
        <v/>
      </c>
      <c r="BX23" s="28" t="str">
        <f t="shared" si="17"/>
        <v/>
      </c>
      <c r="BY23" s="28" t="str">
        <f t="shared" si="18"/>
        <v/>
      </c>
      <c r="BZ23" s="28" t="str">
        <f t="shared" si="28"/>
        <v/>
      </c>
      <c r="CA23" s="52" t="str">
        <f t="shared" si="29"/>
        <v/>
      </c>
      <c r="CB23" s="39"/>
      <c r="CC23" s="49" t="str">
        <f t="shared" si="19"/>
        <v>-</v>
      </c>
      <c r="CD23" s="29" t="str">
        <f t="shared" si="20"/>
        <v>-</v>
      </c>
      <c r="CE23" s="29" t="str">
        <f t="shared" si="21"/>
        <v>-</v>
      </c>
      <c r="CF23" s="29" t="str">
        <f t="shared" si="22"/>
        <v>-</v>
      </c>
      <c r="CG23" s="50" t="str">
        <f t="shared" si="23"/>
        <v>-</v>
      </c>
      <c r="CH23" s="39"/>
    </row>
    <row r="24" spans="1:86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2"/>
      <c r="D24" s="2"/>
      <c r="E24" s="3"/>
      <c r="F24" s="2"/>
      <c r="G24" s="2"/>
      <c r="H24" s="4"/>
      <c r="I24" s="4"/>
      <c r="J24" s="57"/>
      <c r="K24" s="5"/>
      <c r="L24" s="2"/>
      <c r="M24" s="2"/>
      <c r="N24" s="2"/>
      <c r="O24" s="2"/>
      <c r="P24" s="3"/>
      <c r="Q24" s="2"/>
      <c r="R24" s="2"/>
      <c r="S24" s="2"/>
      <c r="T24" s="2"/>
      <c r="U24" s="2"/>
      <c r="V24" s="3"/>
      <c r="W24" s="3"/>
      <c r="X24" s="2"/>
      <c r="Y24" s="2"/>
      <c r="Z24" s="2"/>
      <c r="AA24" s="2"/>
      <c r="AB24" s="2"/>
      <c r="AC24" s="2"/>
      <c r="AD24" s="2"/>
      <c r="AE24" s="2"/>
      <c r="AF24" s="3"/>
      <c r="AG24" s="3"/>
      <c r="AH24" s="2"/>
      <c r="AI24" s="6"/>
      <c r="AJ24" s="7"/>
      <c r="AK24" s="6"/>
      <c r="AL24" s="59"/>
      <c r="AM24" s="59"/>
      <c r="AN24" s="59"/>
      <c r="AO24" s="59"/>
      <c r="AP24" s="59"/>
      <c r="AQ24" s="59"/>
      <c r="AR24" s="59"/>
      <c r="AS24" s="59"/>
      <c r="AT24" s="8"/>
      <c r="AU24" s="8"/>
      <c r="AV24" s="9"/>
      <c r="AW24" s="8"/>
      <c r="AX24" s="10" t="str">
        <f t="shared" si="1"/>
        <v>-</v>
      </c>
      <c r="AY24" s="39"/>
      <c r="AZ24" s="1" t="str">
        <f t="shared" si="2"/>
        <v/>
      </c>
      <c r="BA24" s="11" t="str">
        <f t="shared" si="3"/>
        <v/>
      </c>
      <c r="BB24" s="1" t="str">
        <f t="shared" si="4"/>
        <v/>
      </c>
      <c r="BC24" s="39"/>
      <c r="BD24" s="53" t="str">
        <f t="shared" si="5"/>
        <v/>
      </c>
      <c r="BE24" s="12" t="str">
        <f t="shared" si="6"/>
        <v/>
      </c>
      <c r="BF24" s="12" t="str">
        <f t="shared" si="7"/>
        <v/>
      </c>
      <c r="BG24" s="12" t="str">
        <f t="shared" si="24"/>
        <v/>
      </c>
      <c r="BH24" s="12" t="str">
        <f t="shared" si="8"/>
        <v/>
      </c>
      <c r="BI24" s="54" t="str">
        <f t="shared" si="25"/>
        <v/>
      </c>
      <c r="BJ24" s="39"/>
      <c r="BK24" s="55" t="str">
        <f t="shared" si="9"/>
        <v/>
      </c>
      <c r="BL24" s="13" t="str">
        <f t="shared" si="10"/>
        <v/>
      </c>
      <c r="BM24" s="13" t="str">
        <f t="shared" si="11"/>
        <v/>
      </c>
      <c r="BN24" s="56" t="str">
        <f t="shared" si="12"/>
        <v/>
      </c>
      <c r="BO24" s="39"/>
      <c r="BP24" s="14" t="str">
        <f t="shared" si="13"/>
        <v/>
      </c>
      <c r="BQ24" s="15">
        <v>0</v>
      </c>
      <c r="BR24" s="15" t="str">
        <f t="shared" si="26"/>
        <v/>
      </c>
      <c r="BS24" s="15" t="str">
        <f t="shared" si="27"/>
        <v/>
      </c>
      <c r="BT24" s="16" t="str">
        <f t="shared" si="14"/>
        <v/>
      </c>
      <c r="BU24" s="39"/>
      <c r="BV24" s="51" t="str">
        <f t="shared" si="15"/>
        <v/>
      </c>
      <c r="BW24" s="28" t="str">
        <f t="shared" si="16"/>
        <v/>
      </c>
      <c r="BX24" s="28" t="str">
        <f t="shared" si="17"/>
        <v/>
      </c>
      <c r="BY24" s="28" t="str">
        <f t="shared" si="18"/>
        <v/>
      </c>
      <c r="BZ24" s="28" t="str">
        <f t="shared" si="28"/>
        <v/>
      </c>
      <c r="CA24" s="52" t="str">
        <f t="shared" si="29"/>
        <v/>
      </c>
      <c r="CB24" s="39"/>
      <c r="CC24" s="49" t="str">
        <f t="shared" si="19"/>
        <v>-</v>
      </c>
      <c r="CD24" s="29" t="str">
        <f t="shared" si="20"/>
        <v>-</v>
      </c>
      <c r="CE24" s="29" t="str">
        <f t="shared" si="21"/>
        <v>-</v>
      </c>
      <c r="CF24" s="29" t="str">
        <f t="shared" si="22"/>
        <v>-</v>
      </c>
      <c r="CG24" s="50" t="str">
        <f t="shared" si="23"/>
        <v>-</v>
      </c>
      <c r="CH24" s="39"/>
    </row>
    <row r="25" spans="1:86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2"/>
      <c r="D25" s="2"/>
      <c r="E25" s="3"/>
      <c r="F25" s="2"/>
      <c r="G25" s="2"/>
      <c r="H25" s="4"/>
      <c r="I25" s="4"/>
      <c r="J25" s="57"/>
      <c r="K25" s="5"/>
      <c r="L25" s="2"/>
      <c r="M25" s="2"/>
      <c r="N25" s="2"/>
      <c r="O25" s="2"/>
      <c r="P25" s="3"/>
      <c r="Q25" s="2"/>
      <c r="R25" s="2"/>
      <c r="S25" s="2"/>
      <c r="T25" s="2"/>
      <c r="U25" s="2"/>
      <c r="V25" s="3"/>
      <c r="W25" s="3"/>
      <c r="X25" s="2"/>
      <c r="Y25" s="2"/>
      <c r="Z25" s="2"/>
      <c r="AA25" s="2"/>
      <c r="AB25" s="2"/>
      <c r="AC25" s="2"/>
      <c r="AD25" s="2"/>
      <c r="AE25" s="2"/>
      <c r="AF25" s="3"/>
      <c r="AG25" s="3"/>
      <c r="AH25" s="2"/>
      <c r="AI25" s="6"/>
      <c r="AJ25" s="7"/>
      <c r="AK25" s="6"/>
      <c r="AL25" s="59"/>
      <c r="AM25" s="59"/>
      <c r="AN25" s="59"/>
      <c r="AO25" s="59"/>
      <c r="AP25" s="59"/>
      <c r="AQ25" s="59"/>
      <c r="AR25" s="59"/>
      <c r="AS25" s="59"/>
      <c r="AT25" s="8"/>
      <c r="AU25" s="8"/>
      <c r="AV25" s="9"/>
      <c r="AW25" s="8"/>
      <c r="AX25" s="10" t="str">
        <f t="shared" si="1"/>
        <v>-</v>
      </c>
      <c r="AY25" s="39"/>
      <c r="AZ25" s="1" t="str">
        <f t="shared" si="2"/>
        <v/>
      </c>
      <c r="BA25" s="11" t="str">
        <f t="shared" si="3"/>
        <v/>
      </c>
      <c r="BB25" s="1" t="str">
        <f t="shared" si="4"/>
        <v/>
      </c>
      <c r="BC25" s="39"/>
      <c r="BD25" s="53" t="str">
        <f t="shared" si="5"/>
        <v/>
      </c>
      <c r="BE25" s="12" t="str">
        <f t="shared" si="6"/>
        <v/>
      </c>
      <c r="BF25" s="12" t="str">
        <f t="shared" si="7"/>
        <v/>
      </c>
      <c r="BG25" s="12" t="str">
        <f t="shared" si="24"/>
        <v/>
      </c>
      <c r="BH25" s="12" t="str">
        <f t="shared" si="8"/>
        <v/>
      </c>
      <c r="BI25" s="54" t="str">
        <f t="shared" si="25"/>
        <v/>
      </c>
      <c r="BJ25" s="39"/>
      <c r="BK25" s="55" t="str">
        <f t="shared" si="9"/>
        <v/>
      </c>
      <c r="BL25" s="13" t="str">
        <f t="shared" si="10"/>
        <v/>
      </c>
      <c r="BM25" s="13" t="str">
        <f t="shared" si="11"/>
        <v/>
      </c>
      <c r="BN25" s="56" t="str">
        <f t="shared" si="12"/>
        <v/>
      </c>
      <c r="BO25" s="39"/>
      <c r="BP25" s="14" t="str">
        <f t="shared" si="13"/>
        <v/>
      </c>
      <c r="BQ25" s="15">
        <v>0</v>
      </c>
      <c r="BR25" s="15" t="str">
        <f t="shared" si="26"/>
        <v/>
      </c>
      <c r="BS25" s="15" t="str">
        <f t="shared" si="27"/>
        <v/>
      </c>
      <c r="BT25" s="16" t="str">
        <f t="shared" si="14"/>
        <v/>
      </c>
      <c r="BU25" s="39"/>
      <c r="BV25" s="51" t="str">
        <f t="shared" si="15"/>
        <v/>
      </c>
      <c r="BW25" s="28" t="str">
        <f t="shared" si="16"/>
        <v/>
      </c>
      <c r="BX25" s="28" t="str">
        <f t="shared" si="17"/>
        <v/>
      </c>
      <c r="BY25" s="28" t="str">
        <f t="shared" si="18"/>
        <v/>
      </c>
      <c r="BZ25" s="28" t="str">
        <f t="shared" si="28"/>
        <v/>
      </c>
      <c r="CA25" s="52" t="str">
        <f t="shared" si="29"/>
        <v/>
      </c>
      <c r="CB25" s="39"/>
      <c r="CC25" s="49" t="str">
        <f t="shared" si="19"/>
        <v>-</v>
      </c>
      <c r="CD25" s="29" t="str">
        <f t="shared" si="20"/>
        <v>-</v>
      </c>
      <c r="CE25" s="29" t="str">
        <f t="shared" si="21"/>
        <v>-</v>
      </c>
      <c r="CF25" s="29" t="str">
        <f t="shared" si="22"/>
        <v>-</v>
      </c>
      <c r="CG25" s="50" t="str">
        <f t="shared" si="23"/>
        <v>-</v>
      </c>
      <c r="CH25" s="39"/>
    </row>
    <row r="26" spans="1:86" s="27" customFormat="1" ht="12.4" customHeight="1" thickBot="1" x14ac:dyDescent="0.25">
      <c r="A26" s="43">
        <f t="shared" si="30"/>
        <v>46318</v>
      </c>
      <c r="B26" s="44" t="str">
        <f>+TEXT(A26,"DDD")</f>
        <v>Fri</v>
      </c>
      <c r="C26" s="2"/>
      <c r="D26" s="2"/>
      <c r="E26" s="3"/>
      <c r="F26" s="2"/>
      <c r="G26" s="2"/>
      <c r="H26" s="4"/>
      <c r="I26" s="4"/>
      <c r="J26" s="57"/>
      <c r="K26" s="5"/>
      <c r="L26" s="2"/>
      <c r="M26" s="2"/>
      <c r="N26" s="2"/>
      <c r="O26" s="2"/>
      <c r="P26" s="3"/>
      <c r="Q26" s="2"/>
      <c r="R26" s="2"/>
      <c r="S26" s="2"/>
      <c r="T26" s="2"/>
      <c r="U26" s="2"/>
      <c r="V26" s="3"/>
      <c r="W26" s="3"/>
      <c r="X26" s="2"/>
      <c r="Y26" s="2"/>
      <c r="Z26" s="2"/>
      <c r="AA26" s="2"/>
      <c r="AB26" s="2"/>
      <c r="AC26" s="2"/>
      <c r="AD26" s="2"/>
      <c r="AE26" s="2"/>
      <c r="AF26" s="3"/>
      <c r="AG26" s="3"/>
      <c r="AH26" s="2"/>
      <c r="AI26" s="6"/>
      <c r="AJ26" s="7"/>
      <c r="AK26" s="6"/>
      <c r="AL26" s="59"/>
      <c r="AM26" s="59"/>
      <c r="AN26" s="59"/>
      <c r="AO26" s="59"/>
      <c r="AP26" s="59"/>
      <c r="AQ26" s="59"/>
      <c r="AR26" s="59"/>
      <c r="AS26" s="59"/>
      <c r="AT26" s="8"/>
      <c r="AU26" s="8"/>
      <c r="AV26" s="9"/>
      <c r="AW26" s="8"/>
      <c r="AX26" s="10" t="str">
        <f t="shared" si="1"/>
        <v>-</v>
      </c>
      <c r="AY26" s="39"/>
      <c r="AZ26" s="1" t="str">
        <f t="shared" si="2"/>
        <v/>
      </c>
      <c r="BA26" s="11" t="str">
        <f t="shared" si="3"/>
        <v/>
      </c>
      <c r="BB26" s="1" t="str">
        <f t="shared" si="4"/>
        <v/>
      </c>
      <c r="BC26" s="39"/>
      <c r="BD26" s="53" t="str">
        <f t="shared" si="5"/>
        <v/>
      </c>
      <c r="BE26" s="12" t="str">
        <f t="shared" si="6"/>
        <v/>
      </c>
      <c r="BF26" s="12" t="str">
        <f t="shared" si="7"/>
        <v/>
      </c>
      <c r="BG26" s="12" t="str">
        <f t="shared" si="24"/>
        <v/>
      </c>
      <c r="BH26" s="12" t="str">
        <f t="shared" si="8"/>
        <v/>
      </c>
      <c r="BI26" s="54" t="str">
        <f t="shared" si="25"/>
        <v/>
      </c>
      <c r="BJ26" s="39"/>
      <c r="BK26" s="55" t="str">
        <f t="shared" si="9"/>
        <v/>
      </c>
      <c r="BL26" s="13" t="str">
        <f t="shared" si="10"/>
        <v/>
      </c>
      <c r="BM26" s="13" t="str">
        <f t="shared" si="11"/>
        <v/>
      </c>
      <c r="BN26" s="56" t="str">
        <f t="shared" si="12"/>
        <v/>
      </c>
      <c r="BO26" s="39"/>
      <c r="BP26" s="14" t="str">
        <f t="shared" si="13"/>
        <v/>
      </c>
      <c r="BQ26" s="15">
        <v>0</v>
      </c>
      <c r="BR26" s="15" t="str">
        <f t="shared" si="26"/>
        <v/>
      </c>
      <c r="BS26" s="15" t="str">
        <f t="shared" si="27"/>
        <v/>
      </c>
      <c r="BT26" s="16" t="str">
        <f t="shared" si="14"/>
        <v/>
      </c>
      <c r="BU26" s="39"/>
      <c r="BV26" s="51" t="str">
        <f t="shared" si="15"/>
        <v/>
      </c>
      <c r="BW26" s="28" t="str">
        <f t="shared" si="16"/>
        <v/>
      </c>
      <c r="BX26" s="28" t="str">
        <f t="shared" si="17"/>
        <v/>
      </c>
      <c r="BY26" s="28" t="str">
        <f t="shared" si="18"/>
        <v/>
      </c>
      <c r="BZ26" s="28" t="str">
        <f t="shared" si="28"/>
        <v/>
      </c>
      <c r="CA26" s="52" t="str">
        <f t="shared" si="29"/>
        <v/>
      </c>
      <c r="CB26" s="39"/>
      <c r="CC26" s="49" t="str">
        <f t="shared" si="19"/>
        <v>-</v>
      </c>
      <c r="CD26" s="29" t="str">
        <f t="shared" si="20"/>
        <v>-</v>
      </c>
      <c r="CE26" s="29" t="str">
        <f t="shared" si="21"/>
        <v>-</v>
      </c>
      <c r="CF26" s="29" t="str">
        <f t="shared" si="22"/>
        <v>-</v>
      </c>
      <c r="CG26" s="50" t="str">
        <f t="shared" si="23"/>
        <v>-</v>
      </c>
      <c r="CH26" s="39"/>
    </row>
    <row r="27" spans="1:86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2"/>
      <c r="D27" s="2"/>
      <c r="E27" s="3"/>
      <c r="F27" s="2"/>
      <c r="G27" s="2"/>
      <c r="H27" s="4"/>
      <c r="I27" s="4"/>
      <c r="J27" s="57"/>
      <c r="K27" s="5"/>
      <c r="L27" s="2"/>
      <c r="M27" s="2"/>
      <c r="N27" s="2"/>
      <c r="O27" s="2"/>
      <c r="P27" s="3"/>
      <c r="Q27" s="2"/>
      <c r="R27" s="2"/>
      <c r="S27" s="2"/>
      <c r="T27" s="2"/>
      <c r="U27" s="2"/>
      <c r="V27" s="3"/>
      <c r="W27" s="3"/>
      <c r="X27" s="2"/>
      <c r="Y27" s="2"/>
      <c r="Z27" s="2"/>
      <c r="AA27" s="2"/>
      <c r="AB27" s="2"/>
      <c r="AC27" s="2"/>
      <c r="AD27" s="2"/>
      <c r="AE27" s="2"/>
      <c r="AF27" s="3"/>
      <c r="AG27" s="3"/>
      <c r="AH27" s="2"/>
      <c r="AI27" s="6"/>
      <c r="AJ27" s="7"/>
      <c r="AK27" s="6"/>
      <c r="AL27" s="59"/>
      <c r="AM27" s="59"/>
      <c r="AN27" s="59"/>
      <c r="AO27" s="59"/>
      <c r="AP27" s="59"/>
      <c r="AQ27" s="59"/>
      <c r="AR27" s="59"/>
      <c r="AS27" s="59"/>
      <c r="AT27" s="8"/>
      <c r="AU27" s="8"/>
      <c r="AV27" s="9"/>
      <c r="AW27" s="8"/>
      <c r="AX27" s="10" t="str">
        <f t="shared" si="1"/>
        <v>-</v>
      </c>
      <c r="AY27" s="39"/>
      <c r="AZ27" s="1" t="str">
        <f t="shared" si="2"/>
        <v/>
      </c>
      <c r="BA27" s="11" t="str">
        <f t="shared" si="3"/>
        <v/>
      </c>
      <c r="BB27" s="1" t="str">
        <f t="shared" si="4"/>
        <v/>
      </c>
      <c r="BC27" s="39"/>
      <c r="BD27" s="53" t="str">
        <f t="shared" si="5"/>
        <v/>
      </c>
      <c r="BE27" s="12" t="str">
        <f t="shared" si="6"/>
        <v/>
      </c>
      <c r="BF27" s="12" t="str">
        <f t="shared" si="7"/>
        <v/>
      </c>
      <c r="BG27" s="12" t="str">
        <f t="shared" si="24"/>
        <v/>
      </c>
      <c r="BH27" s="12" t="str">
        <f t="shared" si="8"/>
        <v/>
      </c>
      <c r="BI27" s="54" t="str">
        <f t="shared" si="25"/>
        <v/>
      </c>
      <c r="BJ27" s="39"/>
      <c r="BK27" s="55" t="str">
        <f t="shared" si="9"/>
        <v/>
      </c>
      <c r="BL27" s="13" t="str">
        <f t="shared" si="10"/>
        <v/>
      </c>
      <c r="BM27" s="13" t="str">
        <f t="shared" si="11"/>
        <v/>
      </c>
      <c r="BN27" s="56" t="str">
        <f t="shared" si="12"/>
        <v/>
      </c>
      <c r="BO27" s="39"/>
      <c r="BP27" s="14" t="str">
        <f t="shared" si="13"/>
        <v/>
      </c>
      <c r="BQ27" s="15">
        <v>0</v>
      </c>
      <c r="BR27" s="15" t="str">
        <f t="shared" si="26"/>
        <v/>
      </c>
      <c r="BS27" s="15" t="str">
        <f t="shared" si="27"/>
        <v/>
      </c>
      <c r="BT27" s="16" t="str">
        <f t="shared" si="14"/>
        <v/>
      </c>
      <c r="BU27" s="39"/>
      <c r="BV27" s="51" t="str">
        <f t="shared" si="15"/>
        <v/>
      </c>
      <c r="BW27" s="28" t="str">
        <f t="shared" si="16"/>
        <v/>
      </c>
      <c r="BX27" s="28" t="str">
        <f t="shared" si="17"/>
        <v/>
      </c>
      <c r="BY27" s="28" t="str">
        <f t="shared" si="18"/>
        <v/>
      </c>
      <c r="BZ27" s="28" t="str">
        <f t="shared" si="28"/>
        <v/>
      </c>
      <c r="CA27" s="52" t="str">
        <f t="shared" si="29"/>
        <v/>
      </c>
      <c r="CB27" s="39"/>
      <c r="CC27" s="49" t="str">
        <f t="shared" si="19"/>
        <v>-</v>
      </c>
      <c r="CD27" s="29" t="str">
        <f t="shared" si="20"/>
        <v>-</v>
      </c>
      <c r="CE27" s="29" t="str">
        <f t="shared" si="21"/>
        <v>-</v>
      </c>
      <c r="CF27" s="29" t="str">
        <f t="shared" si="22"/>
        <v>-</v>
      </c>
      <c r="CG27" s="50" t="str">
        <f t="shared" si="23"/>
        <v>-</v>
      </c>
      <c r="CH27" s="39"/>
    </row>
    <row r="28" spans="1:86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2"/>
      <c r="D28" s="2"/>
      <c r="E28" s="3"/>
      <c r="F28" s="2"/>
      <c r="G28" s="2"/>
      <c r="H28" s="4"/>
      <c r="I28" s="4"/>
      <c r="J28" s="57"/>
      <c r="K28" s="5"/>
      <c r="L28" s="2"/>
      <c r="M28" s="2"/>
      <c r="N28" s="2"/>
      <c r="O28" s="2"/>
      <c r="P28" s="3"/>
      <c r="Q28" s="2"/>
      <c r="R28" s="2"/>
      <c r="S28" s="2"/>
      <c r="T28" s="2"/>
      <c r="U28" s="2"/>
      <c r="V28" s="3"/>
      <c r="W28" s="3"/>
      <c r="X28" s="2"/>
      <c r="Y28" s="2"/>
      <c r="Z28" s="2"/>
      <c r="AA28" s="2"/>
      <c r="AB28" s="2"/>
      <c r="AC28" s="2"/>
      <c r="AD28" s="2"/>
      <c r="AE28" s="2"/>
      <c r="AF28" s="3"/>
      <c r="AG28" s="3"/>
      <c r="AH28" s="2"/>
      <c r="AI28" s="6"/>
      <c r="AJ28" s="7"/>
      <c r="AK28" s="6"/>
      <c r="AL28" s="59"/>
      <c r="AM28" s="59"/>
      <c r="AN28" s="59"/>
      <c r="AO28" s="59"/>
      <c r="AP28" s="59"/>
      <c r="AQ28" s="59"/>
      <c r="AR28" s="59"/>
      <c r="AS28" s="59"/>
      <c r="AT28" s="8"/>
      <c r="AU28" s="8"/>
      <c r="AV28" s="9"/>
      <c r="AW28" s="8"/>
      <c r="AX28" s="10" t="str">
        <f t="shared" si="1"/>
        <v>-</v>
      </c>
      <c r="AY28" s="39"/>
      <c r="AZ28" s="1" t="str">
        <f t="shared" si="2"/>
        <v/>
      </c>
      <c r="BA28" s="11" t="str">
        <f t="shared" si="3"/>
        <v/>
      </c>
      <c r="BB28" s="1" t="str">
        <f t="shared" si="4"/>
        <v/>
      </c>
      <c r="BC28" s="39"/>
      <c r="BD28" s="53" t="str">
        <f t="shared" si="5"/>
        <v/>
      </c>
      <c r="BE28" s="12" t="str">
        <f t="shared" si="6"/>
        <v/>
      </c>
      <c r="BF28" s="12" t="str">
        <f t="shared" si="7"/>
        <v/>
      </c>
      <c r="BG28" s="12" t="str">
        <f>+IF(SUM(AO28:AR28)&gt;0,AO28/AN28,"")</f>
        <v/>
      </c>
      <c r="BH28" s="12" t="str">
        <f t="shared" si="8"/>
        <v/>
      </c>
      <c r="BI28" s="54" t="str">
        <f>+IF(SUM(AO28:AR28)&gt;0,AQ28/AN28,"")</f>
        <v/>
      </c>
      <c r="BJ28" s="39"/>
      <c r="BK28" s="55" t="str">
        <f t="shared" si="9"/>
        <v/>
      </c>
      <c r="BL28" s="13" t="str">
        <f t="shared" si="10"/>
        <v/>
      </c>
      <c r="BM28" s="13" t="str">
        <f t="shared" si="11"/>
        <v/>
      </c>
      <c r="BN28" s="56" t="str">
        <f t="shared" si="12"/>
        <v/>
      </c>
      <c r="BO28" s="39"/>
      <c r="BP28" s="14" t="str">
        <f t="shared" si="13"/>
        <v/>
      </c>
      <c r="BQ28" s="15">
        <v>0</v>
      </c>
      <c r="BR28" s="15" t="str">
        <f>IF(AJ28&gt;0,(AK28/AJ28),"")</f>
        <v/>
      </c>
      <c r="BS28" s="15" t="str">
        <f>IF(AJ28&gt;0,(AK28/AJ28),"")</f>
        <v/>
      </c>
      <c r="BT28" s="16" t="str">
        <f t="shared" si="14"/>
        <v/>
      </c>
      <c r="BU28" s="39"/>
      <c r="BV28" s="51" t="str">
        <f t="shared" si="15"/>
        <v/>
      </c>
      <c r="BW28" s="28" t="str">
        <f t="shared" si="16"/>
        <v/>
      </c>
      <c r="BX28" s="28" t="str">
        <f t="shared" si="17"/>
        <v/>
      </c>
      <c r="BY28" s="28" t="str">
        <f t="shared" si="18"/>
        <v/>
      </c>
      <c r="BZ28" s="28" t="str">
        <f>IF(AN28&gt;0,(AJ28/AN28),"")</f>
        <v/>
      </c>
      <c r="CA28" s="52" t="str">
        <f>IF(AN28&gt;0,(AK28/AN28),"")</f>
        <v/>
      </c>
      <c r="CB28" s="39"/>
      <c r="CC28" s="49" t="str">
        <f t="shared" si="19"/>
        <v>-</v>
      </c>
      <c r="CD28" s="29" t="str">
        <f t="shared" si="20"/>
        <v>-</v>
      </c>
      <c r="CE28" s="29" t="str">
        <f t="shared" si="21"/>
        <v>-</v>
      </c>
      <c r="CF28" s="29" t="str">
        <f t="shared" si="22"/>
        <v>-</v>
      </c>
      <c r="CG28" s="50" t="str">
        <f t="shared" si="23"/>
        <v>-</v>
      </c>
      <c r="CH28" s="39"/>
    </row>
    <row r="29" spans="1:86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1"/>
      <c r="AM29" s="61"/>
      <c r="AN29" s="61"/>
      <c r="AO29" s="61"/>
      <c r="AP29" s="61"/>
      <c r="AQ29" s="61"/>
      <c r="AR29" s="61"/>
      <c r="AS29" s="61"/>
      <c r="AT29" s="60"/>
      <c r="AU29" s="60"/>
      <c r="AV29" s="60"/>
      <c r="AW29" s="60"/>
      <c r="AX29" s="10"/>
      <c r="AY29" s="39"/>
      <c r="AZ29" s="1" t="str">
        <f t="shared" si="2"/>
        <v/>
      </c>
      <c r="BA29" s="11" t="str">
        <f t="shared" si="3"/>
        <v/>
      </c>
      <c r="BB29" s="1" t="str">
        <f t="shared" si="4"/>
        <v/>
      </c>
      <c r="BC29" s="39"/>
      <c r="BD29" s="53" t="str">
        <f t="shared" si="5"/>
        <v/>
      </c>
      <c r="BE29" s="12" t="str">
        <f t="shared" si="6"/>
        <v/>
      </c>
      <c r="BF29" s="12" t="str">
        <f t="shared" si="7"/>
        <v/>
      </c>
      <c r="BG29" s="12" t="str">
        <f t="shared" si="24"/>
        <v/>
      </c>
      <c r="BH29" s="12" t="str">
        <f t="shared" si="8"/>
        <v/>
      </c>
      <c r="BI29" s="54" t="str">
        <f t="shared" si="25"/>
        <v/>
      </c>
      <c r="BJ29" s="39"/>
      <c r="BK29" s="55" t="str">
        <f t="shared" si="9"/>
        <v/>
      </c>
      <c r="BL29" s="13" t="str">
        <f t="shared" si="10"/>
        <v/>
      </c>
      <c r="BM29" s="13" t="str">
        <f t="shared" si="11"/>
        <v/>
      </c>
      <c r="BN29" s="56" t="str">
        <f t="shared" si="12"/>
        <v/>
      </c>
      <c r="BO29" s="39"/>
      <c r="BP29" s="14" t="str">
        <f t="shared" si="13"/>
        <v/>
      </c>
      <c r="BQ29" s="15">
        <v>0</v>
      </c>
      <c r="BR29" s="15" t="str">
        <f t="shared" si="26"/>
        <v/>
      </c>
      <c r="BS29" s="15" t="str">
        <f t="shared" si="27"/>
        <v/>
      </c>
      <c r="BT29" s="16" t="str">
        <f t="shared" si="14"/>
        <v/>
      </c>
      <c r="BU29" s="39"/>
      <c r="BV29" s="51" t="str">
        <f t="shared" si="15"/>
        <v/>
      </c>
      <c r="BW29" s="28" t="str">
        <f t="shared" si="16"/>
        <v/>
      </c>
      <c r="BX29" s="28" t="str">
        <f t="shared" si="17"/>
        <v/>
      </c>
      <c r="BY29" s="28" t="str">
        <f t="shared" si="18"/>
        <v/>
      </c>
      <c r="BZ29" s="28" t="str">
        <f t="shared" si="28"/>
        <v/>
      </c>
      <c r="CA29" s="52" t="str">
        <f t="shared" si="29"/>
        <v/>
      </c>
      <c r="CB29" s="39"/>
      <c r="CC29" s="49" t="str">
        <f t="shared" si="19"/>
        <v>-</v>
      </c>
      <c r="CD29" s="29" t="str">
        <f t="shared" si="20"/>
        <v>-</v>
      </c>
      <c r="CE29" s="29" t="str">
        <f t="shared" si="21"/>
        <v>-</v>
      </c>
      <c r="CF29" s="29" t="str">
        <f t="shared" si="22"/>
        <v>-</v>
      </c>
      <c r="CG29" s="50" t="str">
        <f t="shared" si="23"/>
        <v>-</v>
      </c>
      <c r="CH29" s="39"/>
    </row>
    <row r="30" spans="1:86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2"/>
      <c r="D30" s="2"/>
      <c r="E30" s="3"/>
      <c r="F30" s="2"/>
      <c r="G30" s="2"/>
      <c r="H30" s="4"/>
      <c r="I30" s="4"/>
      <c r="J30" s="57"/>
      <c r="K30" s="5"/>
      <c r="L30" s="2"/>
      <c r="M30" s="2"/>
      <c r="N30" s="2"/>
      <c r="O30" s="2"/>
      <c r="P30" s="3"/>
      <c r="Q30" s="2"/>
      <c r="R30" s="2"/>
      <c r="S30" s="2"/>
      <c r="T30" s="2"/>
      <c r="U30" s="2"/>
      <c r="V30" s="3"/>
      <c r="W30" s="3"/>
      <c r="X30" s="2"/>
      <c r="Y30" s="2"/>
      <c r="Z30" s="2"/>
      <c r="AA30" s="2"/>
      <c r="AB30" s="2"/>
      <c r="AC30" s="2"/>
      <c r="AD30" s="2"/>
      <c r="AE30" s="2"/>
      <c r="AF30" s="3"/>
      <c r="AG30" s="3"/>
      <c r="AH30" s="2"/>
      <c r="AI30" s="6"/>
      <c r="AJ30" s="7"/>
      <c r="AK30" s="6"/>
      <c r="AL30" s="59"/>
      <c r="AM30" s="59"/>
      <c r="AN30" s="59"/>
      <c r="AO30" s="59"/>
      <c r="AP30" s="59"/>
      <c r="AQ30" s="59"/>
      <c r="AR30" s="59"/>
      <c r="AS30" s="59"/>
      <c r="AT30" s="8"/>
      <c r="AU30" s="8"/>
      <c r="AV30" s="9"/>
      <c r="AW30" s="8"/>
      <c r="AX30" s="10" t="str">
        <f t="shared" si="1"/>
        <v>-</v>
      </c>
      <c r="AY30" s="39"/>
      <c r="AZ30" s="1" t="str">
        <f t="shared" si="2"/>
        <v/>
      </c>
      <c r="BA30" s="11" t="str">
        <f t="shared" si="3"/>
        <v/>
      </c>
      <c r="BB30" s="1" t="str">
        <f t="shared" si="4"/>
        <v/>
      </c>
      <c r="BC30" s="39"/>
      <c r="BD30" s="53" t="str">
        <f t="shared" si="5"/>
        <v/>
      </c>
      <c r="BE30" s="12" t="str">
        <f t="shared" si="6"/>
        <v/>
      </c>
      <c r="BF30" s="12" t="str">
        <f t="shared" si="7"/>
        <v/>
      </c>
      <c r="BG30" s="12" t="str">
        <f t="shared" si="24"/>
        <v/>
      </c>
      <c r="BH30" s="12" t="str">
        <f t="shared" si="8"/>
        <v/>
      </c>
      <c r="BI30" s="54" t="str">
        <f t="shared" si="25"/>
        <v/>
      </c>
      <c r="BJ30" s="39"/>
      <c r="BK30" s="55" t="str">
        <f t="shared" si="9"/>
        <v/>
      </c>
      <c r="BL30" s="13" t="str">
        <f t="shared" si="10"/>
        <v/>
      </c>
      <c r="BM30" s="13" t="str">
        <f t="shared" si="11"/>
        <v/>
      </c>
      <c r="BN30" s="56" t="str">
        <f t="shared" si="12"/>
        <v/>
      </c>
      <c r="BO30" s="39"/>
      <c r="BP30" s="14" t="str">
        <f t="shared" si="13"/>
        <v/>
      </c>
      <c r="BQ30" s="15">
        <v>0</v>
      </c>
      <c r="BR30" s="15" t="str">
        <f t="shared" si="26"/>
        <v/>
      </c>
      <c r="BS30" s="15" t="str">
        <f t="shared" si="27"/>
        <v/>
      </c>
      <c r="BT30" s="16" t="str">
        <f t="shared" si="14"/>
        <v/>
      </c>
      <c r="BU30" s="39"/>
      <c r="BV30" s="51" t="str">
        <f t="shared" si="15"/>
        <v/>
      </c>
      <c r="BW30" s="28" t="str">
        <f t="shared" si="16"/>
        <v/>
      </c>
      <c r="BX30" s="28" t="str">
        <f t="shared" si="17"/>
        <v/>
      </c>
      <c r="BY30" s="28" t="str">
        <f t="shared" si="18"/>
        <v/>
      </c>
      <c r="BZ30" s="28" t="str">
        <f t="shared" si="28"/>
        <v/>
      </c>
      <c r="CA30" s="52" t="str">
        <f t="shared" si="29"/>
        <v/>
      </c>
      <c r="CB30" s="39"/>
      <c r="CC30" s="49" t="str">
        <f t="shared" si="19"/>
        <v>-</v>
      </c>
      <c r="CD30" s="29" t="str">
        <f t="shared" si="20"/>
        <v>-</v>
      </c>
      <c r="CE30" s="29" t="str">
        <f t="shared" si="21"/>
        <v>-</v>
      </c>
      <c r="CF30" s="29" t="str">
        <f t="shared" si="22"/>
        <v>-</v>
      </c>
      <c r="CG30" s="50" t="str">
        <f t="shared" si="23"/>
        <v>-</v>
      </c>
      <c r="CH30" s="39"/>
    </row>
    <row r="31" spans="1:86" s="27" customFormat="1" ht="12.4" customHeight="1" thickBot="1" x14ac:dyDescent="0.25">
      <c r="A31" s="43">
        <f t="shared" si="30"/>
        <v>46323</v>
      </c>
      <c r="B31" s="44" t="str">
        <f>+TEXT(A31,"DDD")</f>
        <v>Wed</v>
      </c>
      <c r="C31" s="2"/>
      <c r="D31" s="2"/>
      <c r="E31" s="3"/>
      <c r="F31" s="2"/>
      <c r="G31" s="2"/>
      <c r="H31" s="4"/>
      <c r="I31" s="4"/>
      <c r="J31" s="57"/>
      <c r="K31" s="5"/>
      <c r="L31" s="2"/>
      <c r="M31" s="2"/>
      <c r="N31" s="2"/>
      <c r="O31" s="2"/>
      <c r="P31" s="3"/>
      <c r="Q31" s="2"/>
      <c r="R31" s="2"/>
      <c r="S31" s="2"/>
      <c r="T31" s="2"/>
      <c r="U31" s="2"/>
      <c r="V31" s="3"/>
      <c r="W31" s="3"/>
      <c r="X31" s="2"/>
      <c r="Y31" s="2"/>
      <c r="Z31" s="2"/>
      <c r="AA31" s="2"/>
      <c r="AB31" s="2"/>
      <c r="AC31" s="2"/>
      <c r="AD31" s="2"/>
      <c r="AE31" s="2"/>
      <c r="AF31" s="3"/>
      <c r="AG31" s="3"/>
      <c r="AH31" s="2"/>
      <c r="AI31" s="6"/>
      <c r="AJ31" s="7"/>
      <c r="AK31" s="6"/>
      <c r="AL31" s="59"/>
      <c r="AM31" s="59"/>
      <c r="AN31" s="59"/>
      <c r="AO31" s="59"/>
      <c r="AP31" s="59"/>
      <c r="AQ31" s="59"/>
      <c r="AR31" s="59"/>
      <c r="AS31" s="59"/>
      <c r="AT31" s="8"/>
      <c r="AU31" s="8"/>
      <c r="AV31" s="9"/>
      <c r="AW31" s="8"/>
      <c r="AX31" s="10" t="str">
        <f t="shared" si="1"/>
        <v>-</v>
      </c>
      <c r="AY31" s="39"/>
      <c r="AZ31" s="1" t="str">
        <f t="shared" si="2"/>
        <v/>
      </c>
      <c r="BA31" s="11" t="str">
        <f t="shared" si="3"/>
        <v/>
      </c>
      <c r="BB31" s="1" t="str">
        <f t="shared" si="4"/>
        <v/>
      </c>
      <c r="BC31" s="39"/>
      <c r="BD31" s="53" t="str">
        <f t="shared" si="5"/>
        <v/>
      </c>
      <c r="BE31" s="12" t="str">
        <f t="shared" si="6"/>
        <v/>
      </c>
      <c r="BF31" s="12" t="str">
        <f t="shared" si="7"/>
        <v/>
      </c>
      <c r="BG31" s="12" t="str">
        <f t="shared" si="24"/>
        <v/>
      </c>
      <c r="BH31" s="12" t="str">
        <f t="shared" si="8"/>
        <v/>
      </c>
      <c r="BI31" s="54" t="str">
        <f t="shared" si="25"/>
        <v/>
      </c>
      <c r="BJ31" s="39"/>
      <c r="BK31" s="55" t="str">
        <f t="shared" si="9"/>
        <v/>
      </c>
      <c r="BL31" s="13" t="str">
        <f t="shared" si="10"/>
        <v/>
      </c>
      <c r="BM31" s="13" t="str">
        <f t="shared" si="11"/>
        <v/>
      </c>
      <c r="BN31" s="56" t="str">
        <f t="shared" si="12"/>
        <v/>
      </c>
      <c r="BO31" s="39"/>
      <c r="BP31" s="14" t="str">
        <f t="shared" si="13"/>
        <v/>
      </c>
      <c r="BQ31" s="15">
        <v>0</v>
      </c>
      <c r="BR31" s="15" t="str">
        <f t="shared" si="26"/>
        <v/>
      </c>
      <c r="BS31" s="15" t="str">
        <f t="shared" si="27"/>
        <v/>
      </c>
      <c r="BT31" s="16" t="str">
        <f t="shared" si="14"/>
        <v/>
      </c>
      <c r="BU31" s="39"/>
      <c r="BV31" s="51" t="str">
        <f t="shared" si="15"/>
        <v/>
      </c>
      <c r="BW31" s="28" t="str">
        <f t="shared" si="16"/>
        <v/>
      </c>
      <c r="BX31" s="28" t="str">
        <f t="shared" si="17"/>
        <v/>
      </c>
      <c r="BY31" s="28" t="str">
        <f t="shared" si="18"/>
        <v/>
      </c>
      <c r="BZ31" s="28" t="str">
        <f t="shared" si="28"/>
        <v/>
      </c>
      <c r="CA31" s="52" t="str">
        <f t="shared" si="29"/>
        <v/>
      </c>
      <c r="CB31" s="39"/>
      <c r="CC31" s="49" t="str">
        <f t="shared" si="19"/>
        <v>-</v>
      </c>
      <c r="CD31" s="29" t="str">
        <f t="shared" si="20"/>
        <v>-</v>
      </c>
      <c r="CE31" s="29" t="str">
        <f t="shared" si="21"/>
        <v>-</v>
      </c>
      <c r="CF31" s="29" t="str">
        <f t="shared" si="22"/>
        <v>-</v>
      </c>
      <c r="CG31" s="50" t="str">
        <f t="shared" si="23"/>
        <v>-</v>
      </c>
      <c r="CH31" s="39"/>
    </row>
    <row r="32" spans="1:86" s="27" customFormat="1" ht="12.4" customHeight="1" thickBot="1" x14ac:dyDescent="0.25">
      <c r="A32" s="43">
        <f t="shared" si="30"/>
        <v>46324</v>
      </c>
      <c r="B32" s="44" t="str">
        <f>+TEXT(A32,"DDD")</f>
        <v>Thu</v>
      </c>
      <c r="C32" s="2"/>
      <c r="D32" s="2"/>
      <c r="E32" s="3"/>
      <c r="F32" s="2"/>
      <c r="G32" s="2"/>
      <c r="H32" s="4"/>
      <c r="I32" s="4"/>
      <c r="J32" s="86"/>
      <c r="K32" s="5"/>
      <c r="L32" s="2"/>
      <c r="M32" s="2"/>
      <c r="N32" s="2"/>
      <c r="O32" s="2"/>
      <c r="P32" s="3"/>
      <c r="Q32" s="2"/>
      <c r="R32" s="2"/>
      <c r="S32" s="2"/>
      <c r="T32" s="2"/>
      <c r="U32" s="2"/>
      <c r="V32" s="3"/>
      <c r="W32" s="3"/>
      <c r="X32" s="2"/>
      <c r="Y32" s="2"/>
      <c r="Z32" s="2"/>
      <c r="AA32" s="2"/>
      <c r="AB32" s="2"/>
      <c r="AC32" s="2"/>
      <c r="AD32" s="2"/>
      <c r="AE32" s="2"/>
      <c r="AF32" s="3"/>
      <c r="AG32" s="3"/>
      <c r="AH32" s="2"/>
      <c r="AI32" s="6"/>
      <c r="AJ32" s="7"/>
      <c r="AK32" s="6"/>
      <c r="AL32" s="59"/>
      <c r="AM32" s="59"/>
      <c r="AN32" s="59"/>
      <c r="AO32" s="59"/>
      <c r="AP32" s="59"/>
      <c r="AQ32" s="59"/>
      <c r="AR32" s="59"/>
      <c r="AS32" s="59"/>
      <c r="AT32" s="8"/>
      <c r="AU32" s="8"/>
      <c r="AV32" s="9"/>
      <c r="AW32" s="8"/>
      <c r="AX32" s="10" t="str">
        <f t="shared" si="1"/>
        <v>-</v>
      </c>
      <c r="AY32" s="39"/>
      <c r="AZ32" s="1" t="str">
        <f t="shared" si="2"/>
        <v/>
      </c>
      <c r="BA32" s="11" t="str">
        <f t="shared" si="3"/>
        <v/>
      </c>
      <c r="BB32" s="1" t="str">
        <f t="shared" si="4"/>
        <v/>
      </c>
      <c r="BC32" s="39"/>
      <c r="BD32" s="53" t="str">
        <f t="shared" si="5"/>
        <v/>
      </c>
      <c r="BE32" s="12" t="str">
        <f t="shared" si="6"/>
        <v/>
      </c>
      <c r="BF32" s="12" t="str">
        <f t="shared" si="7"/>
        <v/>
      </c>
      <c r="BG32" s="12" t="str">
        <f>+IF(SUM(AO32:AR32)&gt;0,AO32/AN32,"")</f>
        <v/>
      </c>
      <c r="BH32" s="12" t="str">
        <f t="shared" si="8"/>
        <v/>
      </c>
      <c r="BI32" s="54" t="str">
        <f>+IF(SUM(AO32:AR32)&gt;0,AQ32/AN32,"")</f>
        <v/>
      </c>
      <c r="BJ32" s="39"/>
      <c r="BK32" s="55" t="str">
        <f t="shared" si="9"/>
        <v/>
      </c>
      <c r="BL32" s="13" t="str">
        <f t="shared" si="10"/>
        <v/>
      </c>
      <c r="BM32" s="13" t="str">
        <f t="shared" si="11"/>
        <v/>
      </c>
      <c r="BN32" s="56" t="str">
        <f t="shared" si="12"/>
        <v/>
      </c>
      <c r="BO32" s="39"/>
      <c r="BP32" s="14" t="str">
        <f t="shared" si="13"/>
        <v/>
      </c>
      <c r="BQ32" s="15">
        <v>0</v>
      </c>
      <c r="BR32" s="15" t="str">
        <f>IF(AJ32&gt;0,(AK32/AJ32),"")</f>
        <v/>
      </c>
      <c r="BS32" s="15" t="str">
        <f>IF(AJ32&gt;0,(AK32/AJ32),"")</f>
        <v/>
      </c>
      <c r="BT32" s="16" t="str">
        <f t="shared" si="14"/>
        <v/>
      </c>
      <c r="BU32" s="39"/>
      <c r="BV32" s="51" t="str">
        <f t="shared" si="15"/>
        <v/>
      </c>
      <c r="BW32" s="28" t="str">
        <f t="shared" si="16"/>
        <v/>
      </c>
      <c r="BX32" s="28" t="str">
        <f t="shared" si="17"/>
        <v/>
      </c>
      <c r="BY32" s="28" t="str">
        <f t="shared" si="18"/>
        <v/>
      </c>
      <c r="BZ32" s="28" t="str">
        <f>IF(AN32&gt;0,(AJ32/AN32),"")</f>
        <v/>
      </c>
      <c r="CA32" s="52" t="str">
        <f>IF(AN32&gt;0,(AK32/AN32),"")</f>
        <v/>
      </c>
      <c r="CB32" s="39"/>
      <c r="CC32" s="49" t="str">
        <f t="shared" si="19"/>
        <v>-</v>
      </c>
      <c r="CD32" s="29" t="str">
        <f t="shared" si="20"/>
        <v>-</v>
      </c>
      <c r="CE32" s="29" t="str">
        <f t="shared" si="21"/>
        <v>-</v>
      </c>
      <c r="CF32" s="29" t="str">
        <f t="shared" si="22"/>
        <v>-</v>
      </c>
      <c r="CG32" s="50" t="str">
        <f t="shared" si="23"/>
        <v>-</v>
      </c>
      <c r="CH32" s="39"/>
    </row>
    <row r="33" spans="1:86" s="27" customFormat="1" ht="12.4" customHeight="1" thickBot="1" x14ac:dyDescent="0.25">
      <c r="A33" s="43">
        <f t="shared" si="30"/>
        <v>46325</v>
      </c>
      <c r="B33" s="44" t="str">
        <f>+TEXT(A33,"DDD")</f>
        <v>Fri</v>
      </c>
      <c r="C33" s="2"/>
      <c r="D33" s="2"/>
      <c r="E33" s="3"/>
      <c r="F33" s="2"/>
      <c r="G33" s="2"/>
      <c r="H33" s="4"/>
      <c r="I33" s="4"/>
      <c r="J33" s="86"/>
      <c r="K33" s="5"/>
      <c r="L33" s="2"/>
      <c r="M33" s="2"/>
      <c r="N33" s="2"/>
      <c r="O33" s="2"/>
      <c r="P33" s="3"/>
      <c r="Q33" s="2"/>
      <c r="R33" s="2"/>
      <c r="S33" s="2"/>
      <c r="T33" s="2"/>
      <c r="U33" s="2"/>
      <c r="V33" s="3"/>
      <c r="W33" s="3"/>
      <c r="X33" s="2"/>
      <c r="Y33" s="2"/>
      <c r="Z33" s="2"/>
      <c r="AA33" s="2"/>
      <c r="AB33" s="2"/>
      <c r="AC33" s="2"/>
      <c r="AD33" s="2"/>
      <c r="AE33" s="2"/>
      <c r="AF33" s="3"/>
      <c r="AG33" s="3"/>
      <c r="AH33" s="2"/>
      <c r="AI33" s="6"/>
      <c r="AJ33" s="7"/>
      <c r="AK33" s="6"/>
      <c r="AL33" s="59"/>
      <c r="AM33" s="59"/>
      <c r="AN33" s="59"/>
      <c r="AO33" s="59"/>
      <c r="AP33" s="59"/>
      <c r="AQ33" s="59"/>
      <c r="AR33" s="59"/>
      <c r="AS33" s="59"/>
      <c r="AT33" s="8"/>
      <c r="AU33" s="8"/>
      <c r="AV33" s="9"/>
      <c r="AW33" s="8"/>
      <c r="AX33" s="10" t="str">
        <f t="shared" si="1"/>
        <v>-</v>
      </c>
      <c r="AY33" s="39"/>
      <c r="AZ33" s="1" t="str">
        <f t="shared" si="2"/>
        <v/>
      </c>
      <c r="BA33" s="11" t="str">
        <f t="shared" si="3"/>
        <v/>
      </c>
      <c r="BB33" s="1" t="str">
        <f t="shared" si="4"/>
        <v/>
      </c>
      <c r="BC33" s="39"/>
      <c r="BD33" s="53" t="str">
        <f t="shared" si="5"/>
        <v/>
      </c>
      <c r="BE33" s="12" t="str">
        <f t="shared" si="6"/>
        <v/>
      </c>
      <c r="BF33" s="12" t="str">
        <f t="shared" si="7"/>
        <v/>
      </c>
      <c r="BG33" s="12" t="str">
        <f>+IF(SUM(AO33:AR33)&gt;0,AO33/AN33,"")</f>
        <v/>
      </c>
      <c r="BH33" s="12" t="str">
        <f t="shared" si="8"/>
        <v/>
      </c>
      <c r="BI33" s="54" t="str">
        <f>+IF(SUM(AO33:AR33)&gt;0,AQ33/AN33,"")</f>
        <v/>
      </c>
      <c r="BJ33" s="39"/>
      <c r="BK33" s="55" t="str">
        <f t="shared" si="9"/>
        <v/>
      </c>
      <c r="BL33" s="13" t="str">
        <f t="shared" si="10"/>
        <v/>
      </c>
      <c r="BM33" s="13" t="str">
        <f t="shared" si="11"/>
        <v/>
      </c>
      <c r="BN33" s="56" t="str">
        <f t="shared" si="12"/>
        <v/>
      </c>
      <c r="BO33" s="39"/>
      <c r="BP33" s="14" t="str">
        <f t="shared" si="13"/>
        <v/>
      </c>
      <c r="BQ33" s="15">
        <v>0</v>
      </c>
      <c r="BR33" s="15" t="str">
        <f>IF(AJ33&gt;0,(AK33/AJ33),"")</f>
        <v/>
      </c>
      <c r="BS33" s="15" t="str">
        <f>IF(AJ33&gt;0,(AK33/AJ33),"")</f>
        <v/>
      </c>
      <c r="BT33" s="16" t="str">
        <f t="shared" si="14"/>
        <v/>
      </c>
      <c r="BU33" s="39"/>
      <c r="BV33" s="51" t="str">
        <f t="shared" si="15"/>
        <v/>
      </c>
      <c r="BW33" s="28" t="str">
        <f t="shared" si="16"/>
        <v/>
      </c>
      <c r="BX33" s="28" t="str">
        <f t="shared" si="17"/>
        <v/>
      </c>
      <c r="BY33" s="28" t="str">
        <f t="shared" si="18"/>
        <v/>
      </c>
      <c r="BZ33" s="28" t="str">
        <f>IF(AN33&gt;0,(AJ33/AN33),"")</f>
        <v/>
      </c>
      <c r="CA33" s="52" t="str">
        <f>IF(AN33&gt;0,(AK33/AN33),"")</f>
        <v/>
      </c>
      <c r="CB33" s="39"/>
      <c r="CC33" s="49" t="str">
        <f t="shared" si="19"/>
        <v>-</v>
      </c>
      <c r="CD33" s="29" t="str">
        <f t="shared" si="20"/>
        <v>-</v>
      </c>
      <c r="CE33" s="29" t="str">
        <f t="shared" si="21"/>
        <v>-</v>
      </c>
      <c r="CF33" s="29" t="str">
        <f t="shared" si="22"/>
        <v>-</v>
      </c>
      <c r="CG33" s="50" t="str">
        <f t="shared" si="23"/>
        <v>-</v>
      </c>
      <c r="CH33" s="39"/>
    </row>
    <row r="34" spans="1:86" s="27" customFormat="1" ht="12.4" customHeight="1" thickBot="1" x14ac:dyDescent="0.25">
      <c r="A34" s="43">
        <f t="shared" si="30"/>
        <v>46326</v>
      </c>
      <c r="B34" s="44" t="str">
        <f>+TEXT(A34,"DDD")</f>
        <v>Sat</v>
      </c>
      <c r="C34" s="2"/>
      <c r="D34" s="2"/>
      <c r="E34" s="3"/>
      <c r="F34" s="2"/>
      <c r="G34" s="2"/>
      <c r="H34" s="4"/>
      <c r="I34" s="4"/>
      <c r="J34" s="86"/>
      <c r="K34" s="5"/>
      <c r="L34" s="2"/>
      <c r="M34" s="2"/>
      <c r="N34" s="2"/>
      <c r="O34" s="2"/>
      <c r="P34" s="3"/>
      <c r="Q34" s="2"/>
      <c r="R34" s="2"/>
      <c r="S34" s="2"/>
      <c r="T34" s="2"/>
      <c r="U34" s="2"/>
      <c r="V34" s="3"/>
      <c r="W34" s="3"/>
      <c r="X34" s="2"/>
      <c r="Y34" s="2"/>
      <c r="Z34" s="2"/>
      <c r="AA34" s="2"/>
      <c r="AB34" s="2"/>
      <c r="AC34" s="2"/>
      <c r="AD34" s="2"/>
      <c r="AE34" s="2"/>
      <c r="AF34" s="3"/>
      <c r="AG34" s="3"/>
      <c r="AH34" s="2"/>
      <c r="AI34" s="6"/>
      <c r="AJ34" s="7"/>
      <c r="AK34" s="6"/>
      <c r="AL34" s="59"/>
      <c r="AM34" s="59"/>
      <c r="AN34" s="59"/>
      <c r="AO34" s="59"/>
      <c r="AP34" s="59"/>
      <c r="AQ34" s="59"/>
      <c r="AR34" s="59"/>
      <c r="AS34" s="59"/>
      <c r="AT34" s="8"/>
      <c r="AU34" s="8"/>
      <c r="AV34" s="9"/>
      <c r="AW34" s="8"/>
      <c r="AX34" s="10" t="str">
        <f t="shared" si="1"/>
        <v>-</v>
      </c>
      <c r="AY34" s="39"/>
      <c r="AZ34" s="1" t="str">
        <f t="shared" si="2"/>
        <v/>
      </c>
      <c r="BA34" s="11" t="str">
        <f t="shared" si="3"/>
        <v/>
      </c>
      <c r="BB34" s="1" t="str">
        <f t="shared" si="4"/>
        <v/>
      </c>
      <c r="BC34" s="39"/>
      <c r="BD34" s="53" t="str">
        <f t="shared" si="5"/>
        <v/>
      </c>
      <c r="BE34" s="12" t="str">
        <f t="shared" si="6"/>
        <v/>
      </c>
      <c r="BF34" s="12" t="str">
        <f t="shared" si="7"/>
        <v/>
      </c>
      <c r="BG34" s="12" t="str">
        <f>+IF(SUM(AO34:AR34)&gt;0,AO34/AN34,"")</f>
        <v/>
      </c>
      <c r="BH34" s="12" t="str">
        <f t="shared" si="8"/>
        <v/>
      </c>
      <c r="BI34" s="54" t="str">
        <f>+IF(SUM(AO34:AR34)&gt;0,AQ34/AN34,"")</f>
        <v/>
      </c>
      <c r="BJ34" s="39"/>
      <c r="BK34" s="55" t="str">
        <f t="shared" si="9"/>
        <v/>
      </c>
      <c r="BL34" s="13" t="str">
        <f t="shared" si="10"/>
        <v/>
      </c>
      <c r="BM34" s="13" t="str">
        <f t="shared" si="11"/>
        <v/>
      </c>
      <c r="BN34" s="56" t="str">
        <f t="shared" si="12"/>
        <v/>
      </c>
      <c r="BO34" s="39"/>
      <c r="BP34" s="14" t="str">
        <f t="shared" si="13"/>
        <v/>
      </c>
      <c r="BQ34" s="15">
        <v>0</v>
      </c>
      <c r="BR34" s="15" t="str">
        <f>IF(AJ34&gt;0,(AK34/AJ34),"")</f>
        <v/>
      </c>
      <c r="BS34" s="15" t="str">
        <f>IF(AJ34&gt;0,(AK34/AJ34),"")</f>
        <v/>
      </c>
      <c r="BT34" s="16" t="str">
        <f t="shared" si="14"/>
        <v/>
      </c>
      <c r="BU34" s="39"/>
      <c r="BV34" s="51" t="str">
        <f t="shared" si="15"/>
        <v/>
      </c>
      <c r="BW34" s="28" t="str">
        <f t="shared" si="16"/>
        <v/>
      </c>
      <c r="BX34" s="28" t="str">
        <f t="shared" si="17"/>
        <v/>
      </c>
      <c r="BY34" s="28" t="str">
        <f t="shared" si="18"/>
        <v/>
      </c>
      <c r="BZ34" s="28" t="str">
        <f>IF(AN34&gt;0,(AJ34/AN34),"")</f>
        <v/>
      </c>
      <c r="CA34" s="52" t="str">
        <f>IF(AN34&gt;0,(AK34/AN34),"")</f>
        <v/>
      </c>
      <c r="CB34" s="39"/>
      <c r="CC34" s="49" t="str">
        <f t="shared" si="19"/>
        <v>-</v>
      </c>
      <c r="CD34" s="29" t="str">
        <f t="shared" si="20"/>
        <v>-</v>
      </c>
      <c r="CE34" s="29" t="str">
        <f t="shared" si="21"/>
        <v>-</v>
      </c>
      <c r="CF34" s="29" t="str">
        <f t="shared" si="22"/>
        <v>-</v>
      </c>
      <c r="CG34" s="50" t="str">
        <f t="shared" si="23"/>
        <v>-</v>
      </c>
      <c r="CH34" s="39"/>
    </row>
    <row r="35" spans="1:86" s="27" customFormat="1" ht="13.15" customHeight="1" thickBot="1" x14ac:dyDescent="0.25">
      <c r="A35" s="288" t="s">
        <v>68</v>
      </c>
      <c r="B35" s="289"/>
      <c r="C35" s="45" t="e">
        <f>AVERAGE(C4:C34)</f>
        <v>#DIV/0!</v>
      </c>
      <c r="D35" s="45" t="e">
        <f t="shared" ref="D35:AW35" si="31">AVERAGE(D4:D34)</f>
        <v>#DIV/0!</v>
      </c>
      <c r="E35" s="45" t="e">
        <f t="shared" si="31"/>
        <v>#DIV/0!</v>
      </c>
      <c r="F35" s="45" t="e">
        <f t="shared" si="31"/>
        <v>#DIV/0!</v>
      </c>
      <c r="G35" s="45" t="e">
        <f t="shared" si="31"/>
        <v>#DIV/0!</v>
      </c>
      <c r="H35" s="45" t="e">
        <f t="shared" si="31"/>
        <v>#DIV/0!</v>
      </c>
      <c r="I35" s="45" t="e">
        <f t="shared" si="31"/>
        <v>#DIV/0!</v>
      </c>
      <c r="J35" s="45" t="e">
        <f t="shared" si="31"/>
        <v>#DIV/0!</v>
      </c>
      <c r="K35" s="45" t="e">
        <f t="shared" si="31"/>
        <v>#DIV/0!</v>
      </c>
      <c r="L35" s="45" t="e">
        <f t="shared" si="31"/>
        <v>#DIV/0!</v>
      </c>
      <c r="M35" s="45" t="e">
        <f t="shared" si="31"/>
        <v>#DIV/0!</v>
      </c>
      <c r="N35" s="45" t="e">
        <f t="shared" si="31"/>
        <v>#DIV/0!</v>
      </c>
      <c r="O35" s="45" t="e">
        <f t="shared" si="31"/>
        <v>#DIV/0!</v>
      </c>
      <c r="P35" s="45" t="e">
        <f t="shared" si="31"/>
        <v>#DIV/0!</v>
      </c>
      <c r="Q35" s="45" t="e">
        <f t="shared" si="31"/>
        <v>#DIV/0!</v>
      </c>
      <c r="R35" s="45" t="e">
        <f t="shared" si="31"/>
        <v>#DIV/0!</v>
      </c>
      <c r="S35" s="45" t="e">
        <f t="shared" si="31"/>
        <v>#DIV/0!</v>
      </c>
      <c r="T35" s="45" t="e">
        <f t="shared" si="31"/>
        <v>#DIV/0!</v>
      </c>
      <c r="U35" s="45" t="e">
        <f t="shared" si="31"/>
        <v>#DIV/0!</v>
      </c>
      <c r="V35" s="45" t="e">
        <f t="shared" si="31"/>
        <v>#DIV/0!</v>
      </c>
      <c r="W35" s="45" t="e">
        <f t="shared" si="31"/>
        <v>#DIV/0!</v>
      </c>
      <c r="X35" s="45" t="e">
        <f t="shared" si="31"/>
        <v>#DIV/0!</v>
      </c>
      <c r="Y35" s="45" t="e">
        <f t="shared" si="31"/>
        <v>#DIV/0!</v>
      </c>
      <c r="Z35" s="45" t="e">
        <f t="shared" si="31"/>
        <v>#DIV/0!</v>
      </c>
      <c r="AA35" s="45" t="e">
        <f t="shared" si="31"/>
        <v>#DIV/0!</v>
      </c>
      <c r="AB35" s="45" t="e">
        <f t="shared" si="31"/>
        <v>#DIV/0!</v>
      </c>
      <c r="AC35" s="45" t="e">
        <f t="shared" si="31"/>
        <v>#DIV/0!</v>
      </c>
      <c r="AD35" s="45" t="e">
        <f t="shared" si="31"/>
        <v>#DIV/0!</v>
      </c>
      <c r="AE35" s="45" t="e">
        <f t="shared" si="31"/>
        <v>#DIV/0!</v>
      </c>
      <c r="AF35" s="45" t="e">
        <f t="shared" si="31"/>
        <v>#DIV/0!</v>
      </c>
      <c r="AG35" s="45" t="e">
        <f t="shared" si="31"/>
        <v>#DIV/0!</v>
      </c>
      <c r="AH35" s="45" t="e">
        <f t="shared" si="31"/>
        <v>#DIV/0!</v>
      </c>
      <c r="AI35" s="45" t="e">
        <f t="shared" si="31"/>
        <v>#DIV/0!</v>
      </c>
      <c r="AJ35" s="45" t="e">
        <f t="shared" si="31"/>
        <v>#DIV/0!</v>
      </c>
      <c r="AK35" s="45" t="e">
        <f t="shared" si="31"/>
        <v>#DIV/0!</v>
      </c>
      <c r="AL35" s="45" t="e">
        <f t="shared" si="31"/>
        <v>#DIV/0!</v>
      </c>
      <c r="AM35" s="45" t="e">
        <f t="shared" si="31"/>
        <v>#DIV/0!</v>
      </c>
      <c r="AN35" s="45" t="e">
        <f t="shared" si="31"/>
        <v>#DIV/0!</v>
      </c>
      <c r="AO35" s="45" t="e">
        <f t="shared" si="31"/>
        <v>#DIV/0!</v>
      </c>
      <c r="AP35" s="45" t="e">
        <f t="shared" si="31"/>
        <v>#DIV/0!</v>
      </c>
      <c r="AQ35" s="45" t="e">
        <f t="shared" si="31"/>
        <v>#DIV/0!</v>
      </c>
      <c r="AR35" s="45" t="e">
        <f t="shared" si="31"/>
        <v>#DIV/0!</v>
      </c>
      <c r="AS35" s="45" t="e">
        <f t="shared" si="31"/>
        <v>#DIV/0!</v>
      </c>
      <c r="AT35" s="45" t="e">
        <f t="shared" si="31"/>
        <v>#DIV/0!</v>
      </c>
      <c r="AU35" s="45" t="e">
        <f t="shared" si="31"/>
        <v>#DIV/0!</v>
      </c>
      <c r="AV35" s="45" t="e">
        <f t="shared" si="31"/>
        <v>#DIV/0!</v>
      </c>
      <c r="AW35" s="45" t="e">
        <f t="shared" si="31"/>
        <v>#DIV/0!</v>
      </c>
      <c r="AX35" s="46" t="str">
        <f t="shared" si="1"/>
        <v>-</v>
      </c>
      <c r="AY35" s="39"/>
      <c r="AZ35" s="18" t="e">
        <f t="shared" si="2"/>
        <v>#DIV/0!</v>
      </c>
      <c r="BA35" s="19" t="e">
        <f t="shared" si="3"/>
        <v>#DIV/0!</v>
      </c>
      <c r="BB35" s="20" t="e">
        <f t="shared" si="4"/>
        <v>#DIV/0!</v>
      </c>
      <c r="BC35" s="39"/>
      <c r="BD35" s="18" t="e">
        <f t="shared" si="5"/>
        <v>#DIV/0!</v>
      </c>
      <c r="BE35" s="21" t="e">
        <f t="shared" si="6"/>
        <v>#DIV/0!</v>
      </c>
      <c r="BF35" s="21" t="e">
        <f t="shared" si="7"/>
        <v>#DIV/0!</v>
      </c>
      <c r="BG35" s="21" t="e">
        <f t="shared" si="24"/>
        <v>#DIV/0!</v>
      </c>
      <c r="BH35" s="21" t="e">
        <f t="shared" si="8"/>
        <v>#DIV/0!</v>
      </c>
      <c r="BI35" s="20" t="e">
        <f t="shared" si="25"/>
        <v>#DIV/0!</v>
      </c>
      <c r="BJ35" s="39"/>
      <c r="BK35" s="18" t="e">
        <f t="shared" si="9"/>
        <v>#DIV/0!</v>
      </c>
      <c r="BL35" s="21" t="e">
        <f t="shared" si="10"/>
        <v>#DIV/0!</v>
      </c>
      <c r="BM35" s="21" t="e">
        <f t="shared" si="11"/>
        <v>#DIV/0!</v>
      </c>
      <c r="BN35" s="20" t="e">
        <f t="shared" si="12"/>
        <v>#DIV/0!</v>
      </c>
      <c r="BO35" s="39"/>
      <c r="BP35" s="18" t="e">
        <f t="shared" si="13"/>
        <v>#DIV/0!</v>
      </c>
      <c r="BQ35" s="21">
        <v>0</v>
      </c>
      <c r="BR35" s="21" t="e">
        <f t="shared" si="26"/>
        <v>#DIV/0!</v>
      </c>
      <c r="BS35" s="21" t="e">
        <f t="shared" si="27"/>
        <v>#DIV/0!</v>
      </c>
      <c r="BT35" s="20" t="e">
        <f t="shared" si="14"/>
        <v>#DIV/0!</v>
      </c>
      <c r="BU35" s="39"/>
      <c r="BV35" s="30" t="e">
        <f t="shared" si="15"/>
        <v>#DIV/0!</v>
      </c>
      <c r="BW35" s="31" t="e">
        <f t="shared" si="16"/>
        <v>#DIV/0!</v>
      </c>
      <c r="BX35" s="31" t="e">
        <f t="shared" si="17"/>
        <v>#DIV/0!</v>
      </c>
      <c r="BY35" s="31" t="e">
        <f t="shared" si="18"/>
        <v>#DIV/0!</v>
      </c>
      <c r="BZ35" s="31" t="e">
        <f t="shared" si="28"/>
        <v>#DIV/0!</v>
      </c>
      <c r="CA35" s="32" t="e">
        <f t="shared" si="29"/>
        <v>#DIV/0!</v>
      </c>
      <c r="CB35" s="39"/>
      <c r="CC35" s="30" t="str">
        <f t="shared" si="19"/>
        <v>-</v>
      </c>
      <c r="CD35" s="31" t="str">
        <f t="shared" si="20"/>
        <v>-</v>
      </c>
      <c r="CE35" s="31" t="str">
        <f t="shared" si="21"/>
        <v>-</v>
      </c>
      <c r="CF35" s="31" t="str">
        <f t="shared" si="22"/>
        <v>-</v>
      </c>
      <c r="CG35" s="32" t="str">
        <f t="shared" si="23"/>
        <v>-</v>
      </c>
      <c r="CH35" s="39"/>
    </row>
    <row r="36" spans="1:86" s="27" customFormat="1" ht="13.15" customHeight="1" thickBot="1" x14ac:dyDescent="0.25">
      <c r="A36" s="288" t="s">
        <v>69</v>
      </c>
      <c r="B36" s="289"/>
      <c r="C36" s="47">
        <f>SUM(C4:C34)</f>
        <v>0</v>
      </c>
      <c r="D36" s="47">
        <f t="shared" ref="D36:AW36" si="32">SUM(D4:D34)</f>
        <v>0</v>
      </c>
      <c r="E36" s="47">
        <f t="shared" si="32"/>
        <v>0</v>
      </c>
      <c r="F36" s="47">
        <f t="shared" si="32"/>
        <v>0</v>
      </c>
      <c r="G36" s="47">
        <f t="shared" si="32"/>
        <v>0</v>
      </c>
      <c r="H36" s="47">
        <f t="shared" si="32"/>
        <v>0</v>
      </c>
      <c r="I36" s="47">
        <f t="shared" si="32"/>
        <v>0</v>
      </c>
      <c r="J36" s="47">
        <f t="shared" si="32"/>
        <v>0</v>
      </c>
      <c r="K36" s="47">
        <f t="shared" si="32"/>
        <v>0</v>
      </c>
      <c r="L36" s="47">
        <f t="shared" si="32"/>
        <v>0</v>
      </c>
      <c r="M36" s="47">
        <f t="shared" si="32"/>
        <v>0</v>
      </c>
      <c r="N36" s="47">
        <f t="shared" si="32"/>
        <v>0</v>
      </c>
      <c r="O36" s="47">
        <f t="shared" si="32"/>
        <v>0</v>
      </c>
      <c r="P36" s="47">
        <f t="shared" si="32"/>
        <v>0</v>
      </c>
      <c r="Q36" s="47">
        <f t="shared" si="32"/>
        <v>0</v>
      </c>
      <c r="R36" s="47">
        <f t="shared" si="32"/>
        <v>0</v>
      </c>
      <c r="S36" s="47">
        <f t="shared" si="32"/>
        <v>0</v>
      </c>
      <c r="T36" s="47">
        <f t="shared" si="32"/>
        <v>0</v>
      </c>
      <c r="U36" s="47">
        <f t="shared" si="32"/>
        <v>0</v>
      </c>
      <c r="V36" s="47">
        <f t="shared" si="32"/>
        <v>0</v>
      </c>
      <c r="W36" s="47">
        <f t="shared" si="32"/>
        <v>0</v>
      </c>
      <c r="X36" s="47">
        <f t="shared" si="32"/>
        <v>0</v>
      </c>
      <c r="Y36" s="47">
        <f t="shared" si="32"/>
        <v>0</v>
      </c>
      <c r="Z36" s="47">
        <f t="shared" si="32"/>
        <v>0</v>
      </c>
      <c r="AA36" s="47">
        <f t="shared" si="32"/>
        <v>0</v>
      </c>
      <c r="AB36" s="47">
        <f t="shared" si="32"/>
        <v>0</v>
      </c>
      <c r="AC36" s="47">
        <f t="shared" si="32"/>
        <v>0</v>
      </c>
      <c r="AD36" s="47">
        <f t="shared" si="32"/>
        <v>0</v>
      </c>
      <c r="AE36" s="47">
        <f t="shared" si="32"/>
        <v>0</v>
      </c>
      <c r="AF36" s="47">
        <f t="shared" si="32"/>
        <v>0</v>
      </c>
      <c r="AG36" s="47">
        <f t="shared" si="32"/>
        <v>0</v>
      </c>
      <c r="AH36" s="47">
        <f t="shared" si="32"/>
        <v>0</v>
      </c>
      <c r="AI36" s="47">
        <f t="shared" si="32"/>
        <v>0</v>
      </c>
      <c r="AJ36" s="47">
        <f t="shared" si="32"/>
        <v>0</v>
      </c>
      <c r="AK36" s="47">
        <f t="shared" si="32"/>
        <v>0</v>
      </c>
      <c r="AL36" s="47">
        <f t="shared" si="32"/>
        <v>0</v>
      </c>
      <c r="AM36" s="47">
        <f t="shared" si="32"/>
        <v>0</v>
      </c>
      <c r="AN36" s="47">
        <f t="shared" si="32"/>
        <v>0</v>
      </c>
      <c r="AO36" s="47">
        <f t="shared" si="32"/>
        <v>0</v>
      </c>
      <c r="AP36" s="47">
        <f t="shared" si="32"/>
        <v>0</v>
      </c>
      <c r="AQ36" s="47">
        <f t="shared" si="32"/>
        <v>0</v>
      </c>
      <c r="AR36" s="47">
        <f t="shared" si="32"/>
        <v>0</v>
      </c>
      <c r="AS36" s="47">
        <f t="shared" si="32"/>
        <v>0</v>
      </c>
      <c r="AT36" s="47">
        <f t="shared" si="32"/>
        <v>0</v>
      </c>
      <c r="AU36" s="47">
        <f t="shared" si="32"/>
        <v>0</v>
      </c>
      <c r="AV36" s="47">
        <f t="shared" si="32"/>
        <v>0</v>
      </c>
      <c r="AW36" s="47">
        <f t="shared" si="32"/>
        <v>0</v>
      </c>
      <c r="AX36" s="48" t="str">
        <f t="shared" si="1"/>
        <v>-</v>
      </c>
      <c r="AY36" s="40"/>
      <c r="AZ36" s="23" t="str">
        <f t="shared" si="2"/>
        <v/>
      </c>
      <c r="BA36" s="24" t="str">
        <f t="shared" si="3"/>
        <v/>
      </c>
      <c r="BB36" s="25" t="str">
        <f t="shared" si="4"/>
        <v/>
      </c>
      <c r="BC36" s="40"/>
      <c r="BD36" s="23" t="str">
        <f t="shared" si="5"/>
        <v/>
      </c>
      <c r="BE36" s="26" t="str">
        <f t="shared" si="6"/>
        <v/>
      </c>
      <c r="BF36" s="26" t="str">
        <f t="shared" si="7"/>
        <v/>
      </c>
      <c r="BG36" s="26" t="str">
        <f t="shared" si="24"/>
        <v/>
      </c>
      <c r="BH36" s="26" t="str">
        <f t="shared" si="8"/>
        <v/>
      </c>
      <c r="BI36" s="25" t="str">
        <f t="shared" si="25"/>
        <v/>
      </c>
      <c r="BJ36" s="40"/>
      <c r="BK36" s="23" t="str">
        <f t="shared" si="9"/>
        <v/>
      </c>
      <c r="BL36" s="26" t="str">
        <f t="shared" si="10"/>
        <v/>
      </c>
      <c r="BM36" s="26" t="str">
        <f t="shared" si="11"/>
        <v/>
      </c>
      <c r="BN36" s="25" t="str">
        <f t="shared" si="12"/>
        <v/>
      </c>
      <c r="BO36" s="40"/>
      <c r="BP36" s="23" t="str">
        <f t="shared" si="13"/>
        <v/>
      </c>
      <c r="BQ36" s="26">
        <v>0</v>
      </c>
      <c r="BR36" s="26" t="str">
        <f t="shared" si="26"/>
        <v/>
      </c>
      <c r="BS36" s="26" t="str">
        <f t="shared" si="27"/>
        <v/>
      </c>
      <c r="BT36" s="25" t="str">
        <f t="shared" si="14"/>
        <v/>
      </c>
      <c r="BU36" s="40"/>
      <c r="BV36" s="33" t="str">
        <f t="shared" si="15"/>
        <v/>
      </c>
      <c r="BW36" s="34" t="str">
        <f t="shared" si="16"/>
        <v/>
      </c>
      <c r="BX36" s="34" t="str">
        <f t="shared" si="17"/>
        <v/>
      </c>
      <c r="BY36" s="34" t="str">
        <f t="shared" si="18"/>
        <v/>
      </c>
      <c r="BZ36" s="34" t="str">
        <f t="shared" si="28"/>
        <v/>
      </c>
      <c r="CA36" s="35" t="str">
        <f t="shared" si="29"/>
        <v/>
      </c>
      <c r="CB36" s="40"/>
      <c r="CC36" s="33" t="str">
        <f t="shared" si="19"/>
        <v>-</v>
      </c>
      <c r="CD36" s="34" t="str">
        <f t="shared" si="20"/>
        <v>-</v>
      </c>
      <c r="CE36" s="34" t="str">
        <f t="shared" si="21"/>
        <v>-</v>
      </c>
      <c r="CF36" s="34" t="str">
        <f t="shared" si="22"/>
        <v>-</v>
      </c>
      <c r="CG36" s="35" t="str">
        <f t="shared" si="23"/>
        <v>-</v>
      </c>
      <c r="CH36" s="40"/>
    </row>
    <row r="37" spans="1:86" x14ac:dyDescent="0.2"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</sheetData>
  <mergeCells count="88">
    <mergeCell ref="AZ1:BB1"/>
    <mergeCell ref="BD1:BI1"/>
    <mergeCell ref="BK1:BN1"/>
    <mergeCell ref="BP1:BT1"/>
    <mergeCell ref="CC1:CG1"/>
    <mergeCell ref="BV1:CA1"/>
    <mergeCell ref="CG2:CG3"/>
    <mergeCell ref="A35:B35"/>
    <mergeCell ref="A36:B36"/>
    <mergeCell ref="CA2:CA3"/>
    <mergeCell ref="CC2:CC3"/>
    <mergeCell ref="CD2:CD3"/>
    <mergeCell ref="CE2:CE3"/>
    <mergeCell ref="CF2:CF3"/>
    <mergeCell ref="BT2:BT3"/>
    <mergeCell ref="BV2:BV3"/>
    <mergeCell ref="BW2:BW3"/>
    <mergeCell ref="BX2:BX3"/>
    <mergeCell ref="BY2:BY3"/>
    <mergeCell ref="BZ2:BZ3"/>
    <mergeCell ref="BM2:BM3"/>
    <mergeCell ref="BN2:BN3"/>
    <mergeCell ref="BP2:BP3"/>
    <mergeCell ref="BR2:BR3"/>
    <mergeCell ref="BS2:BS3"/>
    <mergeCell ref="BG2:BG3"/>
    <mergeCell ref="BH2:BH3"/>
    <mergeCell ref="BI2:BI3"/>
    <mergeCell ref="BK2:BK3"/>
    <mergeCell ref="BL2:BL3"/>
    <mergeCell ref="BQ2:BQ3"/>
    <mergeCell ref="BA2:BA3"/>
    <mergeCell ref="BB2:BB3"/>
    <mergeCell ref="BD2:BD3"/>
    <mergeCell ref="BE2:BE3"/>
    <mergeCell ref="BF2:BF3"/>
    <mergeCell ref="AU2:AU3"/>
    <mergeCell ref="AV2:AV3"/>
    <mergeCell ref="AW2:AW3"/>
    <mergeCell ref="AX2:AX3"/>
    <mergeCell ref="AZ2:AZ3"/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H2:AH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E2:E3"/>
    <mergeCell ref="V2:V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B1"/>
    <mergeCell ref="A2:A3"/>
    <mergeCell ref="B2:B3"/>
    <mergeCell ref="C2:C3"/>
    <mergeCell ref="D2:D3"/>
    <mergeCell ref="W2:W3"/>
    <mergeCell ref="X2:X3"/>
    <mergeCell ref="F2:F3"/>
    <mergeCell ref="G2:G3"/>
    <mergeCell ref="H2:H3"/>
    <mergeCell ref="I2:I3"/>
    <mergeCell ref="U2:U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showGridLines="0" zoomScaleNormal="100" workbookViewId="0">
      <selection sqref="A1:B1"/>
    </sheetView>
  </sheetViews>
  <sheetFormatPr defaultColWidth="0" defaultRowHeight="11.25" x14ac:dyDescent="0.2"/>
  <cols>
    <col min="1" max="1" width="9.42578125" style="36" bestFit="1" customWidth="1"/>
    <col min="2" max="2" width="4.5703125" style="36" customWidth="1"/>
    <col min="3" max="3" width="15.42578125" style="36" bestFit="1" customWidth="1"/>
    <col min="4" max="4" width="18.7109375" style="36" bestFit="1" customWidth="1"/>
    <col min="5" max="5" width="19.85546875" style="36" bestFit="1" customWidth="1"/>
    <col min="6" max="6" width="15.85546875" style="36" bestFit="1" customWidth="1"/>
    <col min="7" max="7" width="8.42578125" style="36" bestFit="1" customWidth="1"/>
    <col min="8" max="8" width="18.42578125" style="36" bestFit="1" customWidth="1"/>
    <col min="9" max="9" width="8.85546875" style="36" bestFit="1" customWidth="1"/>
    <col min="10" max="10" width="9.42578125" style="36" customWidth="1"/>
    <col min="11" max="11" width="10.85546875" style="36" bestFit="1" customWidth="1"/>
    <col min="12" max="20" width="8.42578125" style="36" bestFit="1" customWidth="1"/>
    <col min="21" max="21" width="5.85546875" style="36" bestFit="1" customWidth="1"/>
    <col min="22" max="34" width="8.42578125" style="36" bestFit="1" customWidth="1"/>
    <col min="35" max="35" width="13.140625" style="36" bestFit="1" customWidth="1"/>
    <col min="36" max="36" width="15.5703125" style="36" bestFit="1" customWidth="1"/>
    <col min="37" max="37" width="16.140625" style="36" bestFit="1" customWidth="1"/>
    <col min="38" max="38" width="15.28515625" style="36" bestFit="1" customWidth="1"/>
    <col min="39" max="39" width="15.7109375" style="36" bestFit="1" customWidth="1"/>
    <col min="40" max="40" width="16.140625" style="36" bestFit="1" customWidth="1"/>
    <col min="41" max="41" width="9.85546875" style="36" bestFit="1" customWidth="1"/>
    <col min="42" max="42" width="13.7109375" style="36" bestFit="1" customWidth="1"/>
    <col min="43" max="43" width="11" style="36" bestFit="1" customWidth="1"/>
    <col min="44" max="44" width="10.140625" style="36" bestFit="1" customWidth="1"/>
    <col min="45" max="45" width="12.42578125" style="38" bestFit="1" customWidth="1"/>
    <col min="46" max="46" width="8.42578125" style="36" bestFit="1" customWidth="1"/>
    <col min="47" max="47" width="10.7109375" style="36" customWidth="1"/>
    <col min="48" max="48" width="16.140625" style="36" bestFit="1" customWidth="1"/>
    <col min="49" max="50" width="16" style="36" bestFit="1" customWidth="1"/>
    <col min="51" max="51" width="2.28515625" style="36" customWidth="1"/>
    <col min="52" max="52" width="16.28515625" style="36" bestFit="1" customWidth="1"/>
    <col min="53" max="53" width="11.85546875" style="36" bestFit="1" customWidth="1"/>
    <col min="54" max="54" width="12.7109375" style="36" bestFit="1" customWidth="1"/>
    <col min="55" max="55" width="1.5703125" style="36" customWidth="1"/>
    <col min="56" max="56" width="12.5703125" style="36" bestFit="1" customWidth="1"/>
    <col min="57" max="57" width="13.28515625" style="36" bestFit="1" customWidth="1"/>
    <col min="58" max="58" width="20.28515625" style="36" bestFit="1" customWidth="1"/>
    <col min="59" max="59" width="9.42578125" style="36" bestFit="1" customWidth="1"/>
    <col min="60" max="60" width="14.7109375" style="36" bestFit="1" customWidth="1"/>
    <col min="61" max="61" width="10.5703125" style="36" bestFit="1" customWidth="1"/>
    <col min="62" max="62" width="1.85546875" style="36" customWidth="1"/>
    <col min="63" max="63" width="20.140625" style="36" bestFit="1" customWidth="1"/>
    <col min="64" max="64" width="25.28515625" style="36" bestFit="1" customWidth="1"/>
    <col min="65" max="65" width="14" style="36" bestFit="1" customWidth="1"/>
    <col min="66" max="66" width="18" style="36" bestFit="1" customWidth="1"/>
    <col min="67" max="67" width="2.140625" style="36" customWidth="1"/>
    <col min="68" max="68" width="9.140625" style="36" bestFit="1" customWidth="1"/>
    <col min="69" max="69" width="12.85546875" style="36" bestFit="1" customWidth="1"/>
    <col min="70" max="70" width="14" style="36" bestFit="1" customWidth="1"/>
    <col min="71" max="71" width="13.7109375" style="36" bestFit="1" customWidth="1"/>
    <col min="72" max="72" width="7.85546875" style="36" bestFit="1" customWidth="1"/>
    <col min="73" max="73" width="2.140625" style="36" customWidth="1"/>
    <col min="74" max="74" width="18.42578125" style="36" bestFit="1" customWidth="1"/>
    <col min="75" max="75" width="14.42578125" style="36" bestFit="1" customWidth="1"/>
    <col min="76" max="76" width="18.42578125" style="36" bestFit="1" customWidth="1"/>
    <col min="77" max="77" width="18.85546875" style="36" bestFit="1" customWidth="1"/>
    <col min="78" max="78" width="18" style="36" bestFit="1" customWidth="1"/>
    <col min="79" max="79" width="18.5703125" style="36" bestFit="1" customWidth="1"/>
    <col min="80" max="80" width="1.85546875" style="36" customWidth="1"/>
    <col min="81" max="81" width="4.7109375" style="36" bestFit="1" customWidth="1"/>
    <col min="82" max="82" width="5" style="36" bestFit="1" customWidth="1"/>
    <col min="83" max="83" width="5.85546875" style="36" bestFit="1" customWidth="1"/>
    <col min="84" max="84" width="4.7109375" style="36" bestFit="1" customWidth="1"/>
    <col min="85" max="85" width="8.42578125" style="36" bestFit="1" customWidth="1"/>
    <col min="86" max="103" width="0" style="36" hidden="1" customWidth="1"/>
    <col min="104" max="16384" width="10.7109375" style="36" hidden="1"/>
  </cols>
  <sheetData>
    <row r="1" spans="1:86" s="27" customFormat="1" ht="13.15" customHeight="1" thickBot="1" x14ac:dyDescent="0.25">
      <c r="A1" s="269" t="s">
        <v>0</v>
      </c>
      <c r="B1" s="270"/>
      <c r="C1" s="89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2"/>
      <c r="AY1" s="39"/>
      <c r="AZ1" s="271" t="s">
        <v>1</v>
      </c>
      <c r="BA1" s="272"/>
      <c r="BB1" s="273"/>
      <c r="BC1" s="39"/>
      <c r="BD1" s="256" t="s">
        <v>2</v>
      </c>
      <c r="BE1" s="257"/>
      <c r="BF1" s="257"/>
      <c r="BG1" s="257"/>
      <c r="BH1" s="257"/>
      <c r="BI1" s="258"/>
      <c r="BJ1" s="39"/>
      <c r="BK1" s="256" t="s">
        <v>3</v>
      </c>
      <c r="BL1" s="257"/>
      <c r="BM1" s="257"/>
      <c r="BN1" s="258"/>
      <c r="BO1" s="39"/>
      <c r="BP1" s="256" t="s">
        <v>4</v>
      </c>
      <c r="BQ1" s="257"/>
      <c r="BR1" s="257"/>
      <c r="BS1" s="257"/>
      <c r="BT1" s="258"/>
      <c r="BU1" s="39"/>
      <c r="BV1" s="256" t="s">
        <v>5</v>
      </c>
      <c r="BW1" s="257"/>
      <c r="BX1" s="257"/>
      <c r="BY1" s="257"/>
      <c r="BZ1" s="257"/>
      <c r="CA1" s="258"/>
      <c r="CB1" s="39"/>
      <c r="CC1" s="256" t="s">
        <v>6</v>
      </c>
      <c r="CD1" s="257"/>
      <c r="CE1" s="257"/>
      <c r="CF1" s="257"/>
      <c r="CG1" s="258"/>
      <c r="CH1" s="39"/>
    </row>
    <row r="2" spans="1:86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87</v>
      </c>
      <c r="V2" s="259" t="s">
        <v>78</v>
      </c>
      <c r="W2" s="259" t="s">
        <v>24</v>
      </c>
      <c r="X2" s="259" t="s">
        <v>85</v>
      </c>
      <c r="Y2" s="259" t="s">
        <v>25</v>
      </c>
      <c r="Z2" s="259" t="s">
        <v>70</v>
      </c>
      <c r="AA2" s="259" t="s">
        <v>79</v>
      </c>
      <c r="AB2" s="259" t="s">
        <v>76</v>
      </c>
      <c r="AC2" s="259" t="s">
        <v>77</v>
      </c>
      <c r="AD2" s="259" t="s">
        <v>80</v>
      </c>
      <c r="AE2" s="259" t="s">
        <v>75</v>
      </c>
      <c r="AF2" s="259" t="s">
        <v>74</v>
      </c>
      <c r="AG2" s="259" t="s">
        <v>72</v>
      </c>
      <c r="AH2" s="259" t="s">
        <v>73</v>
      </c>
      <c r="AI2" s="259" t="s">
        <v>26</v>
      </c>
      <c r="AJ2" s="259" t="s">
        <v>27</v>
      </c>
      <c r="AK2" s="259" t="s">
        <v>28</v>
      </c>
      <c r="AL2" s="276" t="s">
        <v>29</v>
      </c>
      <c r="AM2" s="276" t="s">
        <v>30</v>
      </c>
      <c r="AN2" s="286" t="s">
        <v>31</v>
      </c>
      <c r="AO2" s="286" t="s">
        <v>32</v>
      </c>
      <c r="AP2" s="286" t="s">
        <v>33</v>
      </c>
      <c r="AQ2" s="286" t="s">
        <v>34</v>
      </c>
      <c r="AR2" s="286" t="s">
        <v>35</v>
      </c>
      <c r="AS2" s="286" t="s">
        <v>36</v>
      </c>
      <c r="AT2" s="315" t="s">
        <v>37</v>
      </c>
      <c r="AU2" s="278" t="s">
        <v>82</v>
      </c>
      <c r="AV2" s="278" t="s">
        <v>81</v>
      </c>
      <c r="AW2" s="280" t="s">
        <v>38</v>
      </c>
      <c r="AX2" s="282" t="s">
        <v>39</v>
      </c>
      <c r="AY2" s="39"/>
      <c r="AZ2" s="284" t="s">
        <v>40</v>
      </c>
      <c r="BA2" s="311" t="s">
        <v>41</v>
      </c>
      <c r="BB2" s="313" t="s">
        <v>42</v>
      </c>
      <c r="BC2" s="39"/>
      <c r="BD2" s="292" t="s">
        <v>43</v>
      </c>
      <c r="BE2" s="294" t="s">
        <v>44</v>
      </c>
      <c r="BF2" s="294" t="s">
        <v>45</v>
      </c>
      <c r="BG2" s="294" t="s">
        <v>46</v>
      </c>
      <c r="BH2" s="294" t="s">
        <v>47</v>
      </c>
      <c r="BI2" s="298" t="s">
        <v>48</v>
      </c>
      <c r="BJ2" s="39"/>
      <c r="BK2" s="302" t="s">
        <v>49</v>
      </c>
      <c r="BL2" s="303" t="s">
        <v>50</v>
      </c>
      <c r="BM2" s="303" t="s">
        <v>51</v>
      </c>
      <c r="BN2" s="310" t="s">
        <v>52</v>
      </c>
      <c r="BO2" s="39"/>
      <c r="BP2" s="292" t="s">
        <v>53</v>
      </c>
      <c r="BQ2" s="294" t="s">
        <v>54</v>
      </c>
      <c r="BR2" s="296" t="s">
        <v>67</v>
      </c>
      <c r="BS2" s="294" t="s">
        <v>55</v>
      </c>
      <c r="BT2" s="298" t="s">
        <v>86</v>
      </c>
      <c r="BU2" s="39"/>
      <c r="BV2" s="300" t="s">
        <v>56</v>
      </c>
      <c r="BW2" s="290" t="s">
        <v>57</v>
      </c>
      <c r="BX2" s="290" t="s">
        <v>58</v>
      </c>
      <c r="BY2" s="259" t="s">
        <v>59</v>
      </c>
      <c r="BZ2" s="290" t="s">
        <v>60</v>
      </c>
      <c r="CA2" s="306" t="s">
        <v>61</v>
      </c>
      <c r="CB2" s="39"/>
      <c r="CC2" s="308" t="s">
        <v>62</v>
      </c>
      <c r="CD2" s="296" t="s">
        <v>63</v>
      </c>
      <c r="CE2" s="296" t="s">
        <v>64</v>
      </c>
      <c r="CF2" s="296" t="s">
        <v>65</v>
      </c>
      <c r="CG2" s="304" t="s">
        <v>66</v>
      </c>
      <c r="CH2" s="39"/>
    </row>
    <row r="3" spans="1:86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77"/>
      <c r="AM3" s="277"/>
      <c r="AN3" s="287"/>
      <c r="AO3" s="287"/>
      <c r="AP3" s="287"/>
      <c r="AQ3" s="287"/>
      <c r="AR3" s="287"/>
      <c r="AS3" s="287"/>
      <c r="AT3" s="316"/>
      <c r="AU3" s="279"/>
      <c r="AV3" s="279"/>
      <c r="AW3" s="281"/>
      <c r="AX3" s="283" t="s">
        <v>38</v>
      </c>
      <c r="AY3" s="39"/>
      <c r="AZ3" s="285"/>
      <c r="BA3" s="312"/>
      <c r="BB3" s="314"/>
      <c r="BC3" s="39"/>
      <c r="BD3" s="293"/>
      <c r="BE3" s="295"/>
      <c r="BF3" s="295"/>
      <c r="BG3" s="295"/>
      <c r="BH3" s="295"/>
      <c r="BI3" s="299"/>
      <c r="BJ3" s="39"/>
      <c r="BK3" s="293"/>
      <c r="BL3" s="295"/>
      <c r="BM3" s="295"/>
      <c r="BN3" s="299"/>
      <c r="BO3" s="39"/>
      <c r="BP3" s="293"/>
      <c r="BQ3" s="295"/>
      <c r="BR3" s="297"/>
      <c r="BS3" s="295"/>
      <c r="BT3" s="299"/>
      <c r="BU3" s="39"/>
      <c r="BV3" s="301"/>
      <c r="BW3" s="291"/>
      <c r="BX3" s="291"/>
      <c r="BY3" s="260"/>
      <c r="BZ3" s="291"/>
      <c r="CA3" s="307"/>
      <c r="CB3" s="39"/>
      <c r="CC3" s="309"/>
      <c r="CD3" s="297"/>
      <c r="CE3" s="297"/>
      <c r="CF3" s="297"/>
      <c r="CG3" s="305"/>
      <c r="CH3" s="39"/>
    </row>
    <row r="4" spans="1:86" s="27" customFormat="1" ht="12.4" customHeight="1" thickBot="1" x14ac:dyDescent="0.25">
      <c r="A4" s="43">
        <f>EL_DEL_CD2_JO_!A4</f>
        <v>46296</v>
      </c>
      <c r="B4" s="44" t="str">
        <f t="shared" ref="B4:B30" si="0">+TEXT(A4,"DDD")</f>
        <v>Thu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2">
        <v>0</v>
      </c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59"/>
      <c r="AM4" s="59"/>
      <c r="AN4" s="59"/>
      <c r="AO4" s="59"/>
      <c r="AP4" s="59"/>
      <c r="AQ4" s="59"/>
      <c r="AR4" s="59"/>
      <c r="AS4" s="59"/>
      <c r="AT4" s="8"/>
      <c r="AU4" s="8"/>
      <c r="AV4" s="9"/>
      <c r="AW4" s="60"/>
      <c r="AX4" s="10" t="str">
        <f>IFERROR(AN4/AW4,"-")</f>
        <v>-</v>
      </c>
      <c r="AY4" s="39"/>
      <c r="AZ4" s="1" t="str">
        <f t="shared" ref="AZ4:AZ36" si="1">IF(E4&gt;0,F4/E4,"")</f>
        <v/>
      </c>
      <c r="BA4" s="11" t="str">
        <f t="shared" ref="BA4:BA36" si="2">+IF(E4&gt;0,G4/E4,"")</f>
        <v/>
      </c>
      <c r="BB4" s="1" t="str">
        <f t="shared" ref="BB4:BB36" si="3">+IF(E4&gt;0,AJ4/E4,"")</f>
        <v/>
      </c>
      <c r="BC4" s="39"/>
      <c r="BD4" s="53" t="str">
        <f t="shared" ref="BD4:BD36" si="4">+IF(G4&gt;0,I4/G4,"")</f>
        <v/>
      </c>
      <c r="BE4" s="12" t="str">
        <f t="shared" ref="BE4:BE36" si="5">+IF(G4&gt;0,J4/G4,"")</f>
        <v/>
      </c>
      <c r="BF4" s="12" t="str">
        <f t="shared" ref="BF4:BF36" si="6">+IF(I4&gt;0,L4/I4,"")</f>
        <v/>
      </c>
      <c r="BG4" s="12" t="str">
        <f>+IF(SUM(AO4:AR4)&gt;0,AO4/AN4,"")</f>
        <v/>
      </c>
      <c r="BH4" s="12" t="str">
        <f t="shared" ref="BH4:BH36" si="7">+IF(G4&gt;0,K4/G4,"")</f>
        <v/>
      </c>
      <c r="BI4" s="54" t="str">
        <f>+IF(SUM(AO4:AR4)&gt;0,AQ4/AN4,"")</f>
        <v/>
      </c>
      <c r="BJ4" s="39"/>
      <c r="BK4" s="55" t="str">
        <f t="shared" ref="BK4:BK36" si="8">+IF(E4&gt;0,(AJ4/E4),"")</f>
        <v/>
      </c>
      <c r="BL4" s="13" t="str">
        <f t="shared" ref="BL4:BL36" si="9">+IF(E4&gt;0,(AJ4/F4),"")</f>
        <v/>
      </c>
      <c r="BM4" s="13" t="str">
        <f t="shared" ref="BM4:BM36" si="10">+IF(E4&gt;0,(AJ4/G4),"")</f>
        <v/>
      </c>
      <c r="BN4" s="56" t="str">
        <f t="shared" ref="BN4:BN36" si="11">+IF(E4&gt;0,(AJ4/J4),"")</f>
        <v/>
      </c>
      <c r="BO4" s="39"/>
      <c r="BP4" s="14" t="str">
        <f t="shared" ref="BP4:BP36" si="12">IF(AJ4&gt;0,(N4/AJ4),"")</f>
        <v/>
      </c>
      <c r="BQ4" s="15">
        <v>0</v>
      </c>
      <c r="BR4" s="15" t="str">
        <f>IF(AJ4&gt;0,(AK4/AJ4),"")</f>
        <v/>
      </c>
      <c r="BS4" s="15" t="str">
        <f>IF(AJ4&gt;0,(AK4/AJ4),"")</f>
        <v/>
      </c>
      <c r="BT4" s="16" t="str">
        <f t="shared" ref="BT4:BT36" si="13">IF(J4&gt;0,AD4/J4,"")</f>
        <v/>
      </c>
      <c r="BU4" s="39"/>
      <c r="BV4" s="28" t="str">
        <f t="shared" ref="BV4:BV36" si="14">IF(AN4&gt;0,(E4/AN4),"")</f>
        <v/>
      </c>
      <c r="BW4" s="28" t="str">
        <f t="shared" ref="BW4:BW36" si="15">IF(AN4&gt;0,(G4/AN4),"")</f>
        <v/>
      </c>
      <c r="BX4" s="28" t="str">
        <f t="shared" ref="BX4:BX36" si="16">IF(AN4&gt;0,(J4/AN4),"")</f>
        <v/>
      </c>
      <c r="BY4" s="28" t="str">
        <f t="shared" ref="BY4:BY36" si="17">IF(AN4&gt;0,(K4/AN4),"")</f>
        <v/>
      </c>
      <c r="BZ4" s="28" t="str">
        <f>IF(AN4&gt;0,(AJ4/AN4),"")</f>
        <v/>
      </c>
      <c r="CA4" s="52" t="str">
        <f>IF(AN4&gt;0,(AK4/AN4),"")</f>
        <v/>
      </c>
      <c r="CB4" s="39"/>
      <c r="CC4" s="49" t="str">
        <f t="shared" ref="CC4:CC36" si="18">IFERROR(((AN4-AO4)*3600)/J4,"-")</f>
        <v>-</v>
      </c>
      <c r="CD4" s="29" t="str">
        <f t="shared" ref="CD4:CD36" si="19">IFERROR((AR4*3600)/J4,"-")</f>
        <v>-</v>
      </c>
      <c r="CE4" s="29" t="str">
        <f t="shared" ref="CE4:CE36" si="20">IFERROR((AQ4*3600)/J4,"-")</f>
        <v>-</v>
      </c>
      <c r="CF4" s="29" t="str">
        <f t="shared" ref="CF4:CF36" si="21">IFERROR((AO4*3600)/J4,"-")</f>
        <v>-</v>
      </c>
      <c r="CG4" s="50" t="str">
        <f t="shared" ref="CG4:CG36" si="22">IFERROR((AP4*3600)/J4,"-")</f>
        <v>-</v>
      </c>
      <c r="CH4" s="39"/>
    </row>
    <row r="5" spans="1:86" s="27" customFormat="1" ht="12.4" customHeight="1" thickBot="1" x14ac:dyDescent="0.25">
      <c r="A5" s="43">
        <f>A4+1</f>
        <v>46297</v>
      </c>
      <c r="B5" s="44" t="str">
        <f t="shared" si="0"/>
        <v>Fri</v>
      </c>
      <c r="C5" s="2"/>
      <c r="D5" s="2"/>
      <c r="E5" s="3"/>
      <c r="F5" s="2"/>
      <c r="G5" s="2"/>
      <c r="H5" s="4"/>
      <c r="I5" s="4"/>
      <c r="J5" s="58"/>
      <c r="K5" s="5"/>
      <c r="L5" s="2"/>
      <c r="M5" s="2"/>
      <c r="N5" s="2"/>
      <c r="O5" s="2"/>
      <c r="P5" s="3"/>
      <c r="Q5" s="2"/>
      <c r="R5" s="2"/>
      <c r="S5" s="2"/>
      <c r="T5" s="2"/>
      <c r="U5" s="2">
        <v>0</v>
      </c>
      <c r="V5" s="3"/>
      <c r="W5" s="3"/>
      <c r="X5" s="2"/>
      <c r="Y5" s="2"/>
      <c r="Z5" s="2"/>
      <c r="AA5" s="2"/>
      <c r="AB5" s="2"/>
      <c r="AC5" s="2"/>
      <c r="AD5" s="2"/>
      <c r="AE5" s="2"/>
      <c r="AF5" s="3"/>
      <c r="AG5" s="3"/>
      <c r="AH5" s="2"/>
      <c r="AI5" s="6"/>
      <c r="AJ5" s="7"/>
      <c r="AK5" s="6"/>
      <c r="AL5" s="59"/>
      <c r="AM5" s="59"/>
      <c r="AN5" s="59"/>
      <c r="AO5" s="59"/>
      <c r="AP5" s="59"/>
      <c r="AQ5" s="59"/>
      <c r="AR5" s="59"/>
      <c r="AS5" s="59"/>
      <c r="AT5" s="8"/>
      <c r="AU5" s="8"/>
      <c r="AV5" s="9"/>
      <c r="AW5" s="8"/>
      <c r="AX5" s="10" t="str">
        <f t="shared" ref="AX5:AX36" si="23">IFERROR(AN5/AW5,"-")</f>
        <v>-</v>
      </c>
      <c r="AY5" s="39"/>
      <c r="AZ5" s="1" t="str">
        <f t="shared" si="1"/>
        <v/>
      </c>
      <c r="BA5" s="11" t="str">
        <f t="shared" si="2"/>
        <v/>
      </c>
      <c r="BB5" s="1" t="str">
        <f t="shared" si="3"/>
        <v/>
      </c>
      <c r="BC5" s="39"/>
      <c r="BD5" s="53" t="str">
        <f t="shared" si="4"/>
        <v/>
      </c>
      <c r="BE5" s="12" t="str">
        <f t="shared" si="5"/>
        <v/>
      </c>
      <c r="BF5" s="12" t="str">
        <f t="shared" si="6"/>
        <v/>
      </c>
      <c r="BG5" s="12" t="str">
        <f t="shared" ref="BG5:BG36" si="24">+IF(SUM(AO5:AR5)&gt;0,AO5/AN5,"")</f>
        <v/>
      </c>
      <c r="BH5" s="12" t="str">
        <f t="shared" si="7"/>
        <v/>
      </c>
      <c r="BI5" s="54" t="str">
        <f t="shared" ref="BI5:BI36" si="25">+IF(SUM(AO5:AR5)&gt;0,AQ5/AN5,"")</f>
        <v/>
      </c>
      <c r="BJ5" s="39"/>
      <c r="BK5" s="55" t="str">
        <f t="shared" si="8"/>
        <v/>
      </c>
      <c r="BL5" s="13" t="str">
        <f t="shared" si="9"/>
        <v/>
      </c>
      <c r="BM5" s="13" t="str">
        <f t="shared" si="10"/>
        <v/>
      </c>
      <c r="BN5" s="56" t="str">
        <f t="shared" si="11"/>
        <v/>
      </c>
      <c r="BO5" s="39"/>
      <c r="BP5" s="14" t="str">
        <f t="shared" si="12"/>
        <v/>
      </c>
      <c r="BQ5" s="15">
        <v>0</v>
      </c>
      <c r="BR5" s="15" t="str">
        <f t="shared" ref="BR5:BR36" si="26">IF(AJ5&gt;0,(AK5/AJ5),"")</f>
        <v/>
      </c>
      <c r="BS5" s="15" t="str">
        <f t="shared" ref="BS5:BS36" si="27">IF(AJ5&gt;0,(AK5/AJ5),"")</f>
        <v/>
      </c>
      <c r="BT5" s="16" t="str">
        <f t="shared" si="13"/>
        <v/>
      </c>
      <c r="BU5" s="39"/>
      <c r="BV5" s="51" t="str">
        <f t="shared" si="14"/>
        <v/>
      </c>
      <c r="BW5" s="28" t="str">
        <f t="shared" si="15"/>
        <v/>
      </c>
      <c r="BX5" s="28" t="str">
        <f t="shared" si="16"/>
        <v/>
      </c>
      <c r="BY5" s="28" t="str">
        <f t="shared" si="17"/>
        <v/>
      </c>
      <c r="BZ5" s="28" t="str">
        <f t="shared" ref="BZ5:BZ36" si="28">IF(AN5&gt;0,(AJ5/AN5),"")</f>
        <v/>
      </c>
      <c r="CA5" s="52" t="str">
        <f t="shared" ref="CA5:CA36" si="29">IF(AN5&gt;0,(AK5/AN5),"")</f>
        <v/>
      </c>
      <c r="CB5" s="39"/>
      <c r="CC5" s="49" t="str">
        <f t="shared" si="18"/>
        <v>-</v>
      </c>
      <c r="CD5" s="29" t="str">
        <f t="shared" si="19"/>
        <v>-</v>
      </c>
      <c r="CE5" s="29" t="str">
        <f t="shared" si="20"/>
        <v>-</v>
      </c>
      <c r="CF5" s="29" t="str">
        <f t="shared" si="21"/>
        <v>-</v>
      </c>
      <c r="CG5" s="50" t="str">
        <f t="shared" si="22"/>
        <v>-</v>
      </c>
      <c r="CH5" s="39"/>
    </row>
    <row r="6" spans="1:86" s="27" customFormat="1" ht="12.4" customHeight="1" thickBot="1" x14ac:dyDescent="0.25">
      <c r="A6" s="43">
        <f t="shared" ref="A6:A34" si="30">A5+1</f>
        <v>46298</v>
      </c>
      <c r="B6" s="44" t="str">
        <f t="shared" si="0"/>
        <v>Sat</v>
      </c>
      <c r="C6" s="2"/>
      <c r="D6" s="2"/>
      <c r="E6" s="3"/>
      <c r="F6" s="2"/>
      <c r="G6" s="2"/>
      <c r="H6" s="4"/>
      <c r="I6" s="4"/>
      <c r="J6" s="58"/>
      <c r="K6" s="5"/>
      <c r="L6" s="2"/>
      <c r="M6" s="2"/>
      <c r="N6" s="2"/>
      <c r="O6" s="2"/>
      <c r="P6" s="3"/>
      <c r="Q6" s="2"/>
      <c r="R6" s="2"/>
      <c r="S6" s="2"/>
      <c r="T6" s="2"/>
      <c r="U6" s="2">
        <v>0</v>
      </c>
      <c r="V6" s="3"/>
      <c r="W6" s="3"/>
      <c r="X6" s="2"/>
      <c r="Y6" s="2"/>
      <c r="Z6" s="2"/>
      <c r="AA6" s="2"/>
      <c r="AB6" s="2"/>
      <c r="AC6" s="2"/>
      <c r="AD6" s="2"/>
      <c r="AE6" s="2"/>
      <c r="AF6" s="3"/>
      <c r="AG6" s="3"/>
      <c r="AH6" s="2"/>
      <c r="AI6" s="6"/>
      <c r="AJ6" s="7"/>
      <c r="AK6" s="6"/>
      <c r="AL6" s="59"/>
      <c r="AM6" s="59"/>
      <c r="AN6" s="59"/>
      <c r="AO6" s="59"/>
      <c r="AP6" s="59"/>
      <c r="AQ6" s="59"/>
      <c r="AR6" s="59"/>
      <c r="AS6" s="59"/>
      <c r="AT6" s="8"/>
      <c r="AU6" s="8"/>
      <c r="AV6" s="9"/>
      <c r="AW6" s="8"/>
      <c r="AX6" s="10" t="str">
        <f t="shared" si="23"/>
        <v>-</v>
      </c>
      <c r="AY6" s="39"/>
      <c r="AZ6" s="1" t="str">
        <f t="shared" si="1"/>
        <v/>
      </c>
      <c r="BA6" s="11" t="str">
        <f t="shared" si="2"/>
        <v/>
      </c>
      <c r="BB6" s="1" t="str">
        <f t="shared" si="3"/>
        <v/>
      </c>
      <c r="BC6" s="39"/>
      <c r="BD6" s="53" t="str">
        <f t="shared" si="4"/>
        <v/>
      </c>
      <c r="BE6" s="12" t="str">
        <f t="shared" si="5"/>
        <v/>
      </c>
      <c r="BF6" s="12" t="str">
        <f t="shared" si="6"/>
        <v/>
      </c>
      <c r="BG6" s="12" t="str">
        <f t="shared" si="24"/>
        <v/>
      </c>
      <c r="BH6" s="12" t="str">
        <f t="shared" si="7"/>
        <v/>
      </c>
      <c r="BI6" s="54" t="str">
        <f t="shared" si="25"/>
        <v/>
      </c>
      <c r="BJ6" s="39"/>
      <c r="BK6" s="55" t="str">
        <f t="shared" si="8"/>
        <v/>
      </c>
      <c r="BL6" s="13" t="str">
        <f t="shared" si="9"/>
        <v/>
      </c>
      <c r="BM6" s="13" t="str">
        <f t="shared" si="10"/>
        <v/>
      </c>
      <c r="BN6" s="56" t="str">
        <f t="shared" si="11"/>
        <v/>
      </c>
      <c r="BO6" s="39"/>
      <c r="BP6" s="14" t="str">
        <f t="shared" si="12"/>
        <v/>
      </c>
      <c r="BQ6" s="15">
        <v>0</v>
      </c>
      <c r="BR6" s="15" t="str">
        <f t="shared" si="26"/>
        <v/>
      </c>
      <c r="BS6" s="15" t="str">
        <f t="shared" si="27"/>
        <v/>
      </c>
      <c r="BT6" s="16" t="str">
        <f t="shared" si="13"/>
        <v/>
      </c>
      <c r="BU6" s="39"/>
      <c r="BV6" s="51" t="str">
        <f t="shared" si="14"/>
        <v/>
      </c>
      <c r="BW6" s="28" t="str">
        <f t="shared" si="15"/>
        <v/>
      </c>
      <c r="BX6" s="28" t="str">
        <f t="shared" si="16"/>
        <v/>
      </c>
      <c r="BY6" s="28" t="str">
        <f t="shared" si="17"/>
        <v/>
      </c>
      <c r="BZ6" s="28" t="str">
        <f t="shared" si="28"/>
        <v/>
      </c>
      <c r="CA6" s="52" t="str">
        <f t="shared" si="29"/>
        <v/>
      </c>
      <c r="CB6" s="39"/>
      <c r="CC6" s="49" t="str">
        <f t="shared" si="18"/>
        <v>-</v>
      </c>
      <c r="CD6" s="29" t="str">
        <f t="shared" si="19"/>
        <v>-</v>
      </c>
      <c r="CE6" s="29" t="str">
        <f t="shared" si="20"/>
        <v>-</v>
      </c>
      <c r="CF6" s="29" t="str">
        <f t="shared" si="21"/>
        <v>-</v>
      </c>
      <c r="CG6" s="50" t="str">
        <f t="shared" si="22"/>
        <v>-</v>
      </c>
      <c r="CH6" s="39"/>
    </row>
    <row r="7" spans="1:86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2"/>
      <c r="D7" s="2"/>
      <c r="E7" s="3"/>
      <c r="F7" s="2"/>
      <c r="G7" s="2"/>
      <c r="H7" s="4"/>
      <c r="I7" s="4"/>
      <c r="J7" s="58"/>
      <c r="K7" s="5"/>
      <c r="L7" s="2"/>
      <c r="M7" s="2"/>
      <c r="N7" s="2"/>
      <c r="O7" s="2"/>
      <c r="P7" s="3"/>
      <c r="Q7" s="2"/>
      <c r="R7" s="2"/>
      <c r="S7" s="2"/>
      <c r="T7" s="2"/>
      <c r="U7" s="2">
        <v>0</v>
      </c>
      <c r="V7" s="3"/>
      <c r="W7" s="3"/>
      <c r="X7" s="2"/>
      <c r="Y7" s="2"/>
      <c r="Z7" s="2"/>
      <c r="AA7" s="2"/>
      <c r="AB7" s="2"/>
      <c r="AC7" s="2"/>
      <c r="AD7" s="2"/>
      <c r="AE7" s="2"/>
      <c r="AF7" s="3"/>
      <c r="AG7" s="3"/>
      <c r="AH7" s="2"/>
      <c r="AI7" s="6"/>
      <c r="AJ7" s="7"/>
      <c r="AK7" s="6"/>
      <c r="AL7" s="59"/>
      <c r="AM7" s="59"/>
      <c r="AN7" s="59"/>
      <c r="AO7" s="59"/>
      <c r="AP7" s="59"/>
      <c r="AQ7" s="59"/>
      <c r="AR7" s="59"/>
      <c r="AS7" s="59"/>
      <c r="AT7" s="8"/>
      <c r="AU7" s="8"/>
      <c r="AV7" s="9"/>
      <c r="AW7" s="8"/>
      <c r="AX7" s="10" t="str">
        <f t="shared" si="23"/>
        <v>-</v>
      </c>
      <c r="AY7" s="39"/>
      <c r="AZ7" s="1" t="str">
        <f t="shared" si="1"/>
        <v/>
      </c>
      <c r="BA7" s="11" t="str">
        <f t="shared" si="2"/>
        <v/>
      </c>
      <c r="BB7" s="1" t="str">
        <f t="shared" si="3"/>
        <v/>
      </c>
      <c r="BC7" s="39"/>
      <c r="BD7" s="53" t="str">
        <f t="shared" si="4"/>
        <v/>
      </c>
      <c r="BE7" s="12" t="str">
        <f t="shared" si="5"/>
        <v/>
      </c>
      <c r="BF7" s="12" t="str">
        <f t="shared" si="6"/>
        <v/>
      </c>
      <c r="BG7" s="12" t="str">
        <f t="shared" si="24"/>
        <v/>
      </c>
      <c r="BH7" s="12" t="str">
        <f t="shared" si="7"/>
        <v/>
      </c>
      <c r="BI7" s="54" t="str">
        <f t="shared" si="25"/>
        <v/>
      </c>
      <c r="BJ7" s="39"/>
      <c r="BK7" s="55" t="str">
        <f t="shared" si="8"/>
        <v/>
      </c>
      <c r="BL7" s="13" t="str">
        <f t="shared" si="9"/>
        <v/>
      </c>
      <c r="BM7" s="13" t="str">
        <f t="shared" si="10"/>
        <v/>
      </c>
      <c r="BN7" s="56" t="str">
        <f t="shared" si="11"/>
        <v/>
      </c>
      <c r="BO7" s="39"/>
      <c r="BP7" s="14" t="str">
        <f t="shared" si="12"/>
        <v/>
      </c>
      <c r="BQ7" s="15">
        <v>0</v>
      </c>
      <c r="BR7" s="15" t="str">
        <f t="shared" si="26"/>
        <v/>
      </c>
      <c r="BS7" s="15" t="str">
        <f t="shared" si="27"/>
        <v/>
      </c>
      <c r="BT7" s="16" t="str">
        <f t="shared" si="13"/>
        <v/>
      </c>
      <c r="BU7" s="39"/>
      <c r="BV7" s="51" t="str">
        <f t="shared" si="14"/>
        <v/>
      </c>
      <c r="BW7" s="28" t="str">
        <f t="shared" si="15"/>
        <v/>
      </c>
      <c r="BX7" s="28" t="str">
        <f t="shared" si="16"/>
        <v/>
      </c>
      <c r="BY7" s="28" t="str">
        <f t="shared" si="17"/>
        <v/>
      </c>
      <c r="BZ7" s="28" t="str">
        <f t="shared" si="28"/>
        <v/>
      </c>
      <c r="CA7" s="52" t="str">
        <f t="shared" si="29"/>
        <v/>
      </c>
      <c r="CB7" s="39"/>
      <c r="CC7" s="49" t="str">
        <f t="shared" si="18"/>
        <v>-</v>
      </c>
      <c r="CD7" s="29" t="str">
        <f t="shared" si="19"/>
        <v>-</v>
      </c>
      <c r="CE7" s="29" t="str">
        <f t="shared" si="20"/>
        <v>-</v>
      </c>
      <c r="CF7" s="29" t="str">
        <f t="shared" si="21"/>
        <v>-</v>
      </c>
      <c r="CG7" s="50" t="str">
        <f t="shared" si="22"/>
        <v>-</v>
      </c>
      <c r="CH7" s="39"/>
    </row>
    <row r="8" spans="1:86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2"/>
      <c r="D8" s="2"/>
      <c r="E8" s="3"/>
      <c r="F8" s="2"/>
      <c r="G8" s="2"/>
      <c r="H8" s="4"/>
      <c r="I8" s="4"/>
      <c r="J8" s="58"/>
      <c r="K8" s="5"/>
      <c r="L8" s="2"/>
      <c r="M8" s="2"/>
      <c r="N8" s="2"/>
      <c r="O8" s="2"/>
      <c r="P8" s="3"/>
      <c r="Q8" s="2"/>
      <c r="R8" s="2"/>
      <c r="S8" s="2"/>
      <c r="T8" s="2"/>
      <c r="U8" s="2">
        <v>0</v>
      </c>
      <c r="V8" s="3"/>
      <c r="W8" s="3"/>
      <c r="X8" s="2"/>
      <c r="Y8" s="2"/>
      <c r="Z8" s="2"/>
      <c r="AA8" s="2"/>
      <c r="AB8" s="2"/>
      <c r="AC8" s="2"/>
      <c r="AD8" s="2"/>
      <c r="AE8" s="2"/>
      <c r="AF8" s="3"/>
      <c r="AG8" s="3"/>
      <c r="AH8" s="2"/>
      <c r="AI8" s="6"/>
      <c r="AJ8" s="7"/>
      <c r="AK8" s="6"/>
      <c r="AL8" s="59"/>
      <c r="AM8" s="59"/>
      <c r="AN8" s="59"/>
      <c r="AO8" s="59"/>
      <c r="AP8" s="59"/>
      <c r="AQ8" s="59"/>
      <c r="AR8" s="59"/>
      <c r="AS8" s="59"/>
      <c r="AT8" s="8"/>
      <c r="AU8" s="8"/>
      <c r="AV8" s="9"/>
      <c r="AW8" s="8"/>
      <c r="AX8" s="10" t="str">
        <f t="shared" si="23"/>
        <v>-</v>
      </c>
      <c r="AY8" s="39"/>
      <c r="AZ8" s="1" t="str">
        <f t="shared" si="1"/>
        <v/>
      </c>
      <c r="BA8" s="11" t="str">
        <f t="shared" si="2"/>
        <v/>
      </c>
      <c r="BB8" s="1" t="str">
        <f t="shared" si="3"/>
        <v/>
      </c>
      <c r="BC8" s="39"/>
      <c r="BD8" s="53" t="str">
        <f t="shared" si="4"/>
        <v/>
      </c>
      <c r="BE8" s="12" t="str">
        <f t="shared" si="5"/>
        <v/>
      </c>
      <c r="BF8" s="12" t="str">
        <f t="shared" si="6"/>
        <v/>
      </c>
      <c r="BG8" s="12" t="str">
        <f t="shared" si="24"/>
        <v/>
      </c>
      <c r="BH8" s="12" t="str">
        <f t="shared" si="7"/>
        <v/>
      </c>
      <c r="BI8" s="54" t="str">
        <f t="shared" si="25"/>
        <v/>
      </c>
      <c r="BJ8" s="39"/>
      <c r="BK8" s="55" t="str">
        <f t="shared" si="8"/>
        <v/>
      </c>
      <c r="BL8" s="13" t="str">
        <f t="shared" si="9"/>
        <v/>
      </c>
      <c r="BM8" s="13" t="str">
        <f t="shared" si="10"/>
        <v/>
      </c>
      <c r="BN8" s="56" t="str">
        <f t="shared" si="11"/>
        <v/>
      </c>
      <c r="BO8" s="39"/>
      <c r="BP8" s="14" t="str">
        <f t="shared" si="12"/>
        <v/>
      </c>
      <c r="BQ8" s="15">
        <v>0</v>
      </c>
      <c r="BR8" s="15" t="str">
        <f t="shared" si="26"/>
        <v/>
      </c>
      <c r="BS8" s="15" t="str">
        <f t="shared" si="27"/>
        <v/>
      </c>
      <c r="BT8" s="16" t="str">
        <f t="shared" si="13"/>
        <v/>
      </c>
      <c r="BU8" s="39"/>
      <c r="BV8" s="51" t="str">
        <f t="shared" si="14"/>
        <v/>
      </c>
      <c r="BW8" s="28" t="str">
        <f t="shared" si="15"/>
        <v/>
      </c>
      <c r="BX8" s="28" t="str">
        <f t="shared" si="16"/>
        <v/>
      </c>
      <c r="BY8" s="28" t="str">
        <f t="shared" si="17"/>
        <v/>
      </c>
      <c r="BZ8" s="28" t="str">
        <f t="shared" si="28"/>
        <v/>
      </c>
      <c r="CA8" s="52" t="str">
        <f t="shared" si="29"/>
        <v/>
      </c>
      <c r="CB8" s="39"/>
      <c r="CC8" s="49" t="str">
        <f t="shared" si="18"/>
        <v>-</v>
      </c>
      <c r="CD8" s="29" t="str">
        <f t="shared" si="19"/>
        <v>-</v>
      </c>
      <c r="CE8" s="29" t="str">
        <f t="shared" si="20"/>
        <v>-</v>
      </c>
      <c r="CF8" s="29" t="str">
        <f t="shared" si="21"/>
        <v>-</v>
      </c>
      <c r="CG8" s="50" t="str">
        <f t="shared" si="22"/>
        <v>-</v>
      </c>
      <c r="CH8" s="39"/>
    </row>
    <row r="9" spans="1:86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2"/>
      <c r="D9" s="2"/>
      <c r="E9" s="3"/>
      <c r="F9" s="2"/>
      <c r="G9" s="2"/>
      <c r="H9" s="4"/>
      <c r="I9" s="4"/>
      <c r="J9" s="58"/>
      <c r="K9" s="5"/>
      <c r="L9" s="2"/>
      <c r="M9" s="2"/>
      <c r="N9" s="2"/>
      <c r="O9" s="2"/>
      <c r="P9" s="3"/>
      <c r="Q9" s="2"/>
      <c r="R9" s="2"/>
      <c r="S9" s="2"/>
      <c r="T9" s="2"/>
      <c r="U9" s="2">
        <v>0</v>
      </c>
      <c r="V9" s="3"/>
      <c r="W9" s="3"/>
      <c r="X9" s="2"/>
      <c r="Y9" s="2"/>
      <c r="Z9" s="2"/>
      <c r="AA9" s="2"/>
      <c r="AB9" s="2"/>
      <c r="AC9" s="2"/>
      <c r="AD9" s="2"/>
      <c r="AE9" s="2"/>
      <c r="AF9" s="3"/>
      <c r="AG9" s="3"/>
      <c r="AH9" s="2"/>
      <c r="AI9" s="6"/>
      <c r="AJ9" s="7"/>
      <c r="AK9" s="6"/>
      <c r="AL9" s="59"/>
      <c r="AM9" s="59"/>
      <c r="AN9" s="59"/>
      <c r="AO9" s="59"/>
      <c r="AP9" s="59"/>
      <c r="AQ9" s="59"/>
      <c r="AR9" s="59"/>
      <c r="AS9" s="59"/>
      <c r="AT9" s="8"/>
      <c r="AU9" s="8"/>
      <c r="AV9" s="9"/>
      <c r="AW9" s="8"/>
      <c r="AX9" s="10"/>
      <c r="AY9" s="39"/>
      <c r="AZ9" s="1" t="str">
        <f t="shared" si="1"/>
        <v/>
      </c>
      <c r="BA9" s="11" t="str">
        <f t="shared" si="2"/>
        <v/>
      </c>
      <c r="BB9" s="1" t="str">
        <f t="shared" si="3"/>
        <v/>
      </c>
      <c r="BC9" s="39"/>
      <c r="BD9" s="53" t="str">
        <f t="shared" si="4"/>
        <v/>
      </c>
      <c r="BE9" s="12" t="str">
        <f t="shared" si="5"/>
        <v/>
      </c>
      <c r="BF9" s="12" t="str">
        <f t="shared" si="6"/>
        <v/>
      </c>
      <c r="BG9" s="12" t="str">
        <f t="shared" si="24"/>
        <v/>
      </c>
      <c r="BH9" s="12" t="str">
        <f t="shared" si="7"/>
        <v/>
      </c>
      <c r="BI9" s="54" t="str">
        <f t="shared" si="25"/>
        <v/>
      </c>
      <c r="BJ9" s="39"/>
      <c r="BK9" s="55" t="str">
        <f t="shared" si="8"/>
        <v/>
      </c>
      <c r="BL9" s="13" t="str">
        <f t="shared" si="9"/>
        <v/>
      </c>
      <c r="BM9" s="13" t="str">
        <f t="shared" si="10"/>
        <v/>
      </c>
      <c r="BN9" s="56" t="str">
        <f t="shared" si="11"/>
        <v/>
      </c>
      <c r="BO9" s="39"/>
      <c r="BP9" s="14" t="str">
        <f t="shared" si="12"/>
        <v/>
      </c>
      <c r="BQ9" s="15">
        <v>0</v>
      </c>
      <c r="BR9" s="15" t="str">
        <f t="shared" si="26"/>
        <v/>
      </c>
      <c r="BS9" s="15" t="str">
        <f t="shared" si="27"/>
        <v/>
      </c>
      <c r="BT9" s="16" t="str">
        <f t="shared" si="13"/>
        <v/>
      </c>
      <c r="BU9" s="39"/>
      <c r="BV9" s="51" t="str">
        <f t="shared" si="14"/>
        <v/>
      </c>
      <c r="BW9" s="28" t="str">
        <f t="shared" si="15"/>
        <v/>
      </c>
      <c r="BX9" s="28" t="str">
        <f t="shared" si="16"/>
        <v/>
      </c>
      <c r="BY9" s="28" t="str">
        <f t="shared" si="17"/>
        <v/>
      </c>
      <c r="BZ9" s="28" t="str">
        <f t="shared" si="28"/>
        <v/>
      </c>
      <c r="CA9" s="52" t="str">
        <f t="shared" si="29"/>
        <v/>
      </c>
      <c r="CB9" s="39"/>
      <c r="CC9" s="49" t="str">
        <f t="shared" si="18"/>
        <v>-</v>
      </c>
      <c r="CD9" s="29" t="str">
        <f t="shared" si="19"/>
        <v>-</v>
      </c>
      <c r="CE9" s="29" t="str">
        <f t="shared" si="20"/>
        <v>-</v>
      </c>
      <c r="CF9" s="29" t="str">
        <f t="shared" si="21"/>
        <v>-</v>
      </c>
      <c r="CG9" s="50" t="str">
        <f t="shared" si="22"/>
        <v>-</v>
      </c>
      <c r="CH9" s="39"/>
    </row>
    <row r="10" spans="1:86" s="27" customFormat="1" ht="12.4" customHeight="1" thickBot="1" x14ac:dyDescent="0.25">
      <c r="A10" s="43">
        <f t="shared" si="30"/>
        <v>46302</v>
      </c>
      <c r="B10" s="44" t="str">
        <f>+TEXT(A10,"DDD")</f>
        <v>Wed</v>
      </c>
      <c r="C10" s="2"/>
      <c r="D10" s="2"/>
      <c r="E10" s="3"/>
      <c r="F10" s="2"/>
      <c r="G10" s="2"/>
      <c r="H10" s="4"/>
      <c r="I10" s="4"/>
      <c r="J10" s="58"/>
      <c r="K10" s="5"/>
      <c r="L10" s="2"/>
      <c r="M10" s="2"/>
      <c r="N10" s="2"/>
      <c r="O10" s="2"/>
      <c r="P10" s="3"/>
      <c r="Q10" s="2"/>
      <c r="R10" s="2"/>
      <c r="S10" s="2"/>
      <c r="T10" s="2"/>
      <c r="U10" s="2">
        <v>0</v>
      </c>
      <c r="V10" s="3"/>
      <c r="W10" s="3"/>
      <c r="X10" s="2"/>
      <c r="Y10" s="2"/>
      <c r="Z10" s="2"/>
      <c r="AA10" s="2"/>
      <c r="AB10" s="2"/>
      <c r="AC10" s="2"/>
      <c r="AD10" s="2"/>
      <c r="AE10" s="2"/>
      <c r="AF10" s="3"/>
      <c r="AG10" s="3"/>
      <c r="AH10" s="2"/>
      <c r="AI10" s="6"/>
      <c r="AJ10" s="7"/>
      <c r="AK10" s="6"/>
      <c r="AL10" s="59"/>
      <c r="AM10" s="59"/>
      <c r="AN10" s="59"/>
      <c r="AO10" s="59"/>
      <c r="AP10" s="59"/>
      <c r="AQ10" s="59"/>
      <c r="AR10" s="59"/>
      <c r="AS10" s="59"/>
      <c r="AT10" s="8"/>
      <c r="AU10" s="8"/>
      <c r="AV10" s="9"/>
      <c r="AW10" s="8"/>
      <c r="AX10" s="10" t="str">
        <f t="shared" si="23"/>
        <v>-</v>
      </c>
      <c r="AY10" s="39"/>
      <c r="AZ10" s="1" t="str">
        <f t="shared" si="1"/>
        <v/>
      </c>
      <c r="BA10" s="11" t="str">
        <f t="shared" si="2"/>
        <v/>
      </c>
      <c r="BB10" s="1" t="str">
        <f t="shared" si="3"/>
        <v/>
      </c>
      <c r="BC10" s="39"/>
      <c r="BD10" s="53" t="str">
        <f t="shared" si="4"/>
        <v/>
      </c>
      <c r="BE10" s="12" t="str">
        <f t="shared" si="5"/>
        <v/>
      </c>
      <c r="BF10" s="12" t="str">
        <f t="shared" si="6"/>
        <v/>
      </c>
      <c r="BG10" s="12" t="str">
        <f t="shared" si="24"/>
        <v/>
      </c>
      <c r="BH10" s="12" t="str">
        <f t="shared" si="7"/>
        <v/>
      </c>
      <c r="BI10" s="54" t="str">
        <f t="shared" si="25"/>
        <v/>
      </c>
      <c r="BJ10" s="39"/>
      <c r="BK10" s="55" t="str">
        <f t="shared" si="8"/>
        <v/>
      </c>
      <c r="BL10" s="13" t="str">
        <f t="shared" si="9"/>
        <v/>
      </c>
      <c r="BM10" s="13" t="str">
        <f t="shared" si="10"/>
        <v/>
      </c>
      <c r="BN10" s="56" t="str">
        <f t="shared" si="11"/>
        <v/>
      </c>
      <c r="BO10" s="39"/>
      <c r="BP10" s="14" t="str">
        <f t="shared" si="12"/>
        <v/>
      </c>
      <c r="BQ10" s="15">
        <v>0</v>
      </c>
      <c r="BR10" s="15" t="str">
        <f t="shared" si="26"/>
        <v/>
      </c>
      <c r="BS10" s="15" t="str">
        <f t="shared" si="27"/>
        <v/>
      </c>
      <c r="BT10" s="16" t="str">
        <f t="shared" si="13"/>
        <v/>
      </c>
      <c r="BU10" s="39"/>
      <c r="BV10" s="51" t="str">
        <f t="shared" si="14"/>
        <v/>
      </c>
      <c r="BW10" s="28" t="str">
        <f t="shared" si="15"/>
        <v/>
      </c>
      <c r="BX10" s="28" t="str">
        <f t="shared" si="16"/>
        <v/>
      </c>
      <c r="BY10" s="28" t="str">
        <f t="shared" si="17"/>
        <v/>
      </c>
      <c r="BZ10" s="28" t="str">
        <f t="shared" si="28"/>
        <v/>
      </c>
      <c r="CA10" s="52" t="str">
        <f t="shared" si="29"/>
        <v/>
      </c>
      <c r="CB10" s="39"/>
      <c r="CC10" s="49" t="str">
        <f t="shared" si="18"/>
        <v>-</v>
      </c>
      <c r="CD10" s="29" t="str">
        <f t="shared" si="19"/>
        <v>-</v>
      </c>
      <c r="CE10" s="29" t="str">
        <f t="shared" si="20"/>
        <v>-</v>
      </c>
      <c r="CF10" s="29" t="str">
        <f t="shared" si="21"/>
        <v>-</v>
      </c>
      <c r="CG10" s="50" t="str">
        <f t="shared" si="22"/>
        <v>-</v>
      </c>
      <c r="CH10" s="39"/>
    </row>
    <row r="11" spans="1:86" s="27" customFormat="1" ht="12.4" customHeight="1" thickBot="1" x14ac:dyDescent="0.25">
      <c r="A11" s="43">
        <f t="shared" si="30"/>
        <v>46303</v>
      </c>
      <c r="B11" s="44" t="str">
        <f>+TEXT(A11,"DDD")</f>
        <v>Thu</v>
      </c>
      <c r="C11" s="2"/>
      <c r="D11" s="2"/>
      <c r="E11" s="3"/>
      <c r="F11" s="2"/>
      <c r="G11" s="2"/>
      <c r="H11" s="4"/>
      <c r="I11" s="4"/>
      <c r="J11" s="58"/>
      <c r="K11" s="5"/>
      <c r="L11" s="2"/>
      <c r="M11" s="2"/>
      <c r="N11" s="2"/>
      <c r="O11" s="2"/>
      <c r="P11" s="3"/>
      <c r="Q11" s="2"/>
      <c r="R11" s="2"/>
      <c r="S11" s="2"/>
      <c r="T11" s="2"/>
      <c r="U11" s="2">
        <v>0</v>
      </c>
      <c r="V11" s="3"/>
      <c r="W11" s="3"/>
      <c r="X11" s="2"/>
      <c r="Y11" s="2"/>
      <c r="Z11" s="2"/>
      <c r="AA11" s="2"/>
      <c r="AB11" s="2"/>
      <c r="AC11" s="2"/>
      <c r="AD11" s="2"/>
      <c r="AE11" s="2"/>
      <c r="AF11" s="3"/>
      <c r="AG11" s="3"/>
      <c r="AH11" s="2"/>
      <c r="AI11" s="6"/>
      <c r="AJ11" s="7"/>
      <c r="AK11" s="6"/>
      <c r="AL11" s="59"/>
      <c r="AM11" s="59"/>
      <c r="AN11" s="59"/>
      <c r="AO11" s="59"/>
      <c r="AP11" s="59"/>
      <c r="AQ11" s="59"/>
      <c r="AR11" s="59"/>
      <c r="AS11" s="59"/>
      <c r="AT11" s="8"/>
      <c r="AU11" s="8"/>
      <c r="AV11" s="9"/>
      <c r="AW11" s="8"/>
      <c r="AX11" s="10" t="str">
        <f t="shared" si="23"/>
        <v>-</v>
      </c>
      <c r="AY11" s="39"/>
      <c r="AZ11" s="1" t="str">
        <f t="shared" si="1"/>
        <v/>
      </c>
      <c r="BA11" s="11" t="str">
        <f t="shared" si="2"/>
        <v/>
      </c>
      <c r="BB11" s="1" t="str">
        <f t="shared" si="3"/>
        <v/>
      </c>
      <c r="BC11" s="39"/>
      <c r="BD11" s="53" t="str">
        <f t="shared" si="4"/>
        <v/>
      </c>
      <c r="BE11" s="12" t="str">
        <f t="shared" si="5"/>
        <v/>
      </c>
      <c r="BF11" s="12" t="str">
        <f t="shared" si="6"/>
        <v/>
      </c>
      <c r="BG11" s="12" t="str">
        <f t="shared" si="24"/>
        <v/>
      </c>
      <c r="BH11" s="12" t="str">
        <f t="shared" si="7"/>
        <v/>
      </c>
      <c r="BI11" s="54" t="str">
        <f t="shared" si="25"/>
        <v/>
      </c>
      <c r="BJ11" s="39"/>
      <c r="BK11" s="55" t="str">
        <f t="shared" si="8"/>
        <v/>
      </c>
      <c r="BL11" s="13" t="str">
        <f t="shared" si="9"/>
        <v/>
      </c>
      <c r="BM11" s="13" t="str">
        <f t="shared" si="10"/>
        <v/>
      </c>
      <c r="BN11" s="56" t="str">
        <f t="shared" si="11"/>
        <v/>
      </c>
      <c r="BO11" s="39"/>
      <c r="BP11" s="14" t="str">
        <f t="shared" si="12"/>
        <v/>
      </c>
      <c r="BQ11" s="15">
        <v>0</v>
      </c>
      <c r="BR11" s="15" t="str">
        <f t="shared" si="26"/>
        <v/>
      </c>
      <c r="BS11" s="15" t="str">
        <f t="shared" si="27"/>
        <v/>
      </c>
      <c r="BT11" s="16" t="str">
        <f t="shared" si="13"/>
        <v/>
      </c>
      <c r="BU11" s="39"/>
      <c r="BV11" s="51" t="str">
        <f t="shared" si="14"/>
        <v/>
      </c>
      <c r="BW11" s="28" t="str">
        <f t="shared" si="15"/>
        <v/>
      </c>
      <c r="BX11" s="28" t="str">
        <f t="shared" si="16"/>
        <v/>
      </c>
      <c r="BY11" s="28" t="str">
        <f t="shared" si="17"/>
        <v/>
      </c>
      <c r="BZ11" s="28" t="str">
        <f t="shared" si="28"/>
        <v/>
      </c>
      <c r="CA11" s="52" t="str">
        <f t="shared" si="29"/>
        <v/>
      </c>
      <c r="CB11" s="39"/>
      <c r="CC11" s="49" t="str">
        <f t="shared" si="18"/>
        <v>-</v>
      </c>
      <c r="CD11" s="29" t="str">
        <f t="shared" si="19"/>
        <v>-</v>
      </c>
      <c r="CE11" s="29" t="str">
        <f t="shared" si="20"/>
        <v>-</v>
      </c>
      <c r="CF11" s="29" t="str">
        <f t="shared" si="21"/>
        <v>-</v>
      </c>
      <c r="CG11" s="50" t="str">
        <f t="shared" si="22"/>
        <v>-</v>
      </c>
      <c r="CH11" s="39"/>
    </row>
    <row r="12" spans="1:86" s="27" customFormat="1" ht="12.4" customHeight="1" thickBot="1" x14ac:dyDescent="0.25">
      <c r="A12" s="43">
        <f t="shared" si="30"/>
        <v>46304</v>
      </c>
      <c r="B12" s="44" t="str">
        <f>+TEXT(A12,"DDD")</f>
        <v>Fri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2">
        <v>0</v>
      </c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1"/>
      <c r="AM12" s="61"/>
      <c r="AN12" s="61"/>
      <c r="AO12" s="61"/>
      <c r="AP12" s="61"/>
      <c r="AQ12" s="61"/>
      <c r="AR12" s="61"/>
      <c r="AS12" s="61"/>
      <c r="AT12" s="60"/>
      <c r="AU12" s="60"/>
      <c r="AV12" s="60"/>
      <c r="AW12" s="60"/>
      <c r="AX12" s="10" t="str">
        <f t="shared" si="23"/>
        <v>-</v>
      </c>
      <c r="AY12" s="39"/>
      <c r="AZ12" s="1" t="str">
        <f t="shared" si="1"/>
        <v/>
      </c>
      <c r="BA12" s="11" t="str">
        <f t="shared" si="2"/>
        <v/>
      </c>
      <c r="BB12" s="1" t="str">
        <f t="shared" si="3"/>
        <v/>
      </c>
      <c r="BC12" s="39"/>
      <c r="BD12" s="53" t="str">
        <f t="shared" si="4"/>
        <v/>
      </c>
      <c r="BE12" s="12" t="str">
        <f t="shared" si="5"/>
        <v/>
      </c>
      <c r="BF12" s="12" t="str">
        <f t="shared" si="6"/>
        <v/>
      </c>
      <c r="BG12" s="12" t="str">
        <f t="shared" si="24"/>
        <v/>
      </c>
      <c r="BH12" s="12" t="str">
        <f t="shared" si="7"/>
        <v/>
      </c>
      <c r="BI12" s="54" t="str">
        <f t="shared" si="25"/>
        <v/>
      </c>
      <c r="BJ12" s="39"/>
      <c r="BK12" s="55" t="str">
        <f t="shared" si="8"/>
        <v/>
      </c>
      <c r="BL12" s="13" t="str">
        <f t="shared" si="9"/>
        <v/>
      </c>
      <c r="BM12" s="13" t="str">
        <f t="shared" si="10"/>
        <v/>
      </c>
      <c r="BN12" s="56" t="str">
        <f t="shared" si="11"/>
        <v/>
      </c>
      <c r="BO12" s="39"/>
      <c r="BP12" s="14" t="str">
        <f t="shared" si="12"/>
        <v/>
      </c>
      <c r="BQ12" s="15">
        <v>0</v>
      </c>
      <c r="BR12" s="15" t="str">
        <f t="shared" si="26"/>
        <v/>
      </c>
      <c r="BS12" s="15" t="str">
        <f t="shared" si="27"/>
        <v/>
      </c>
      <c r="BT12" s="16" t="str">
        <f t="shared" si="13"/>
        <v/>
      </c>
      <c r="BU12" s="39"/>
      <c r="BV12" s="51" t="str">
        <f t="shared" si="14"/>
        <v/>
      </c>
      <c r="BW12" s="28" t="str">
        <f t="shared" si="15"/>
        <v/>
      </c>
      <c r="BX12" s="28" t="str">
        <f t="shared" si="16"/>
        <v/>
      </c>
      <c r="BY12" s="28" t="str">
        <f t="shared" si="17"/>
        <v/>
      </c>
      <c r="BZ12" s="28" t="str">
        <f t="shared" si="28"/>
        <v/>
      </c>
      <c r="CA12" s="52" t="str">
        <f t="shared" si="29"/>
        <v/>
      </c>
      <c r="CB12" s="39"/>
      <c r="CC12" s="49" t="str">
        <f t="shared" si="18"/>
        <v>-</v>
      </c>
      <c r="CD12" s="29" t="str">
        <f t="shared" si="19"/>
        <v>-</v>
      </c>
      <c r="CE12" s="29" t="str">
        <f t="shared" si="20"/>
        <v>-</v>
      </c>
      <c r="CF12" s="29" t="str">
        <f t="shared" si="21"/>
        <v>-</v>
      </c>
      <c r="CG12" s="50" t="str">
        <f t="shared" si="22"/>
        <v>-</v>
      </c>
      <c r="CH12" s="39"/>
    </row>
    <row r="13" spans="1:86" s="27" customFormat="1" ht="12.4" customHeight="1" thickBot="1" x14ac:dyDescent="0.25">
      <c r="A13" s="43">
        <f t="shared" si="30"/>
        <v>46305</v>
      </c>
      <c r="B13" s="44" t="str">
        <f>+TEXT(A13,"DDD")</f>
        <v>Sat</v>
      </c>
      <c r="C13" s="2"/>
      <c r="D13" s="2"/>
      <c r="E13" s="3"/>
      <c r="F13" s="2"/>
      <c r="G13" s="2"/>
      <c r="H13" s="4"/>
      <c r="I13" s="4"/>
      <c r="J13" s="58"/>
      <c r="K13" s="5"/>
      <c r="L13" s="2"/>
      <c r="M13" s="2"/>
      <c r="N13" s="2"/>
      <c r="O13" s="2"/>
      <c r="P13" s="3"/>
      <c r="Q13" s="2"/>
      <c r="R13" s="2"/>
      <c r="S13" s="2"/>
      <c r="T13" s="2"/>
      <c r="U13" s="2">
        <v>0</v>
      </c>
      <c r="V13" s="3"/>
      <c r="W13" s="3"/>
      <c r="X13" s="2"/>
      <c r="Y13" s="2"/>
      <c r="Z13" s="2"/>
      <c r="AA13" s="2"/>
      <c r="AB13" s="2"/>
      <c r="AC13" s="2"/>
      <c r="AD13" s="2"/>
      <c r="AE13" s="2"/>
      <c r="AF13" s="3"/>
      <c r="AG13" s="3"/>
      <c r="AH13" s="2"/>
      <c r="AI13" s="6"/>
      <c r="AJ13" s="7"/>
      <c r="AK13" s="6"/>
      <c r="AL13" s="59"/>
      <c r="AM13" s="59"/>
      <c r="AN13" s="59"/>
      <c r="AO13" s="59"/>
      <c r="AP13" s="59"/>
      <c r="AQ13" s="59"/>
      <c r="AR13" s="59"/>
      <c r="AS13" s="59"/>
      <c r="AT13" s="8"/>
      <c r="AU13" s="8"/>
      <c r="AV13" s="9"/>
      <c r="AW13" s="8"/>
      <c r="AX13" s="10" t="str">
        <f t="shared" si="23"/>
        <v>-</v>
      </c>
      <c r="AY13" s="39"/>
      <c r="AZ13" s="1" t="str">
        <f t="shared" si="1"/>
        <v/>
      </c>
      <c r="BA13" s="11" t="str">
        <f t="shared" si="2"/>
        <v/>
      </c>
      <c r="BB13" s="1" t="str">
        <f t="shared" si="3"/>
        <v/>
      </c>
      <c r="BC13" s="39"/>
      <c r="BD13" s="53" t="str">
        <f t="shared" si="4"/>
        <v/>
      </c>
      <c r="BE13" s="12" t="str">
        <f t="shared" si="5"/>
        <v/>
      </c>
      <c r="BF13" s="12" t="str">
        <f t="shared" si="6"/>
        <v/>
      </c>
      <c r="BG13" s="12" t="str">
        <f t="shared" si="24"/>
        <v/>
      </c>
      <c r="BH13" s="12" t="str">
        <f t="shared" si="7"/>
        <v/>
      </c>
      <c r="BI13" s="54" t="str">
        <f t="shared" si="25"/>
        <v/>
      </c>
      <c r="BJ13" s="39"/>
      <c r="BK13" s="55" t="str">
        <f t="shared" si="8"/>
        <v/>
      </c>
      <c r="BL13" s="13" t="str">
        <f t="shared" si="9"/>
        <v/>
      </c>
      <c r="BM13" s="13" t="str">
        <f t="shared" si="10"/>
        <v/>
      </c>
      <c r="BN13" s="56" t="str">
        <f t="shared" si="11"/>
        <v/>
      </c>
      <c r="BO13" s="39"/>
      <c r="BP13" s="14" t="str">
        <f t="shared" si="12"/>
        <v/>
      </c>
      <c r="BQ13" s="15">
        <v>0</v>
      </c>
      <c r="BR13" s="15" t="str">
        <f t="shared" si="26"/>
        <v/>
      </c>
      <c r="BS13" s="15" t="str">
        <f t="shared" si="27"/>
        <v/>
      </c>
      <c r="BT13" s="16" t="str">
        <f t="shared" si="13"/>
        <v/>
      </c>
      <c r="BU13" s="39"/>
      <c r="BV13" s="51" t="str">
        <f t="shared" si="14"/>
        <v/>
      </c>
      <c r="BW13" s="28" t="str">
        <f t="shared" si="15"/>
        <v/>
      </c>
      <c r="BX13" s="28" t="str">
        <f t="shared" si="16"/>
        <v/>
      </c>
      <c r="BY13" s="28" t="str">
        <f t="shared" si="17"/>
        <v/>
      </c>
      <c r="BZ13" s="28" t="str">
        <f t="shared" si="28"/>
        <v/>
      </c>
      <c r="CA13" s="52" t="str">
        <f t="shared" si="29"/>
        <v/>
      </c>
      <c r="CB13" s="39"/>
      <c r="CC13" s="49" t="str">
        <f t="shared" si="18"/>
        <v>-</v>
      </c>
      <c r="CD13" s="29" t="str">
        <f t="shared" si="19"/>
        <v>-</v>
      </c>
      <c r="CE13" s="29" t="str">
        <f t="shared" si="20"/>
        <v>-</v>
      </c>
      <c r="CF13" s="29" t="str">
        <f t="shared" si="21"/>
        <v>-</v>
      </c>
      <c r="CG13" s="50" t="str">
        <f t="shared" si="22"/>
        <v>-</v>
      </c>
      <c r="CH13" s="39"/>
    </row>
    <row r="14" spans="1:86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2"/>
      <c r="D14" s="2"/>
      <c r="E14" s="3"/>
      <c r="F14" s="2"/>
      <c r="G14" s="2"/>
      <c r="H14" s="4"/>
      <c r="I14" s="4"/>
      <c r="J14" s="58"/>
      <c r="K14" s="5"/>
      <c r="L14" s="2"/>
      <c r="M14" s="2"/>
      <c r="N14" s="2"/>
      <c r="O14" s="2"/>
      <c r="P14" s="3"/>
      <c r="Q14" s="2"/>
      <c r="R14" s="2"/>
      <c r="S14" s="2"/>
      <c r="T14" s="2"/>
      <c r="U14" s="60">
        <v>0</v>
      </c>
      <c r="V14" s="3"/>
      <c r="W14" s="3"/>
      <c r="X14" s="2"/>
      <c r="Y14" s="2"/>
      <c r="Z14" s="2"/>
      <c r="AA14" s="2"/>
      <c r="AB14" s="2"/>
      <c r="AC14" s="2"/>
      <c r="AD14" s="2"/>
      <c r="AE14" s="2"/>
      <c r="AF14" s="3"/>
      <c r="AG14" s="3"/>
      <c r="AH14" s="2"/>
      <c r="AI14" s="6"/>
      <c r="AJ14" s="7"/>
      <c r="AK14" s="6"/>
      <c r="AL14" s="59"/>
      <c r="AM14" s="59"/>
      <c r="AN14" s="59"/>
      <c r="AO14" s="59"/>
      <c r="AP14" s="59"/>
      <c r="AQ14" s="59"/>
      <c r="AR14" s="59"/>
      <c r="AS14" s="59"/>
      <c r="AT14" s="8"/>
      <c r="AU14" s="8"/>
      <c r="AV14" s="9"/>
      <c r="AW14" s="8"/>
      <c r="AX14" s="10" t="str">
        <f t="shared" si="23"/>
        <v>-</v>
      </c>
      <c r="AY14" s="39"/>
      <c r="AZ14" s="1" t="str">
        <f t="shared" si="1"/>
        <v/>
      </c>
      <c r="BA14" s="11" t="str">
        <f t="shared" si="2"/>
        <v/>
      </c>
      <c r="BB14" s="1" t="str">
        <f t="shared" si="3"/>
        <v/>
      </c>
      <c r="BC14" s="39"/>
      <c r="BD14" s="53" t="str">
        <f t="shared" si="4"/>
        <v/>
      </c>
      <c r="BE14" s="12" t="str">
        <f t="shared" si="5"/>
        <v/>
      </c>
      <c r="BF14" s="12" t="str">
        <f t="shared" si="6"/>
        <v/>
      </c>
      <c r="BG14" s="12" t="str">
        <f t="shared" si="24"/>
        <v/>
      </c>
      <c r="BH14" s="12" t="str">
        <f t="shared" si="7"/>
        <v/>
      </c>
      <c r="BI14" s="54" t="str">
        <f t="shared" si="25"/>
        <v/>
      </c>
      <c r="BJ14" s="39"/>
      <c r="BK14" s="55" t="str">
        <f t="shared" si="8"/>
        <v/>
      </c>
      <c r="BL14" s="13" t="str">
        <f t="shared" si="9"/>
        <v/>
      </c>
      <c r="BM14" s="13" t="str">
        <f t="shared" si="10"/>
        <v/>
      </c>
      <c r="BN14" s="56" t="str">
        <f t="shared" si="11"/>
        <v/>
      </c>
      <c r="BO14" s="39"/>
      <c r="BP14" s="14" t="str">
        <f t="shared" si="12"/>
        <v/>
      </c>
      <c r="BQ14" s="15">
        <v>0</v>
      </c>
      <c r="BR14" s="15" t="str">
        <f t="shared" si="26"/>
        <v/>
      </c>
      <c r="BS14" s="15" t="str">
        <f t="shared" si="27"/>
        <v/>
      </c>
      <c r="BT14" s="16" t="str">
        <f t="shared" si="13"/>
        <v/>
      </c>
      <c r="BU14" s="39"/>
      <c r="BV14" s="51" t="str">
        <f t="shared" si="14"/>
        <v/>
      </c>
      <c r="BW14" s="28" t="str">
        <f t="shared" si="15"/>
        <v/>
      </c>
      <c r="BX14" s="28" t="str">
        <f t="shared" si="16"/>
        <v/>
      </c>
      <c r="BY14" s="28" t="str">
        <f t="shared" si="17"/>
        <v/>
      </c>
      <c r="BZ14" s="28" t="str">
        <f t="shared" si="28"/>
        <v/>
      </c>
      <c r="CA14" s="52" t="str">
        <f t="shared" si="29"/>
        <v/>
      </c>
      <c r="CB14" s="39"/>
      <c r="CC14" s="49" t="str">
        <f t="shared" si="18"/>
        <v>-</v>
      </c>
      <c r="CD14" s="29" t="str">
        <f t="shared" si="19"/>
        <v>-</v>
      </c>
      <c r="CE14" s="29" t="str">
        <f t="shared" si="20"/>
        <v>-</v>
      </c>
      <c r="CF14" s="29" t="str">
        <f t="shared" si="21"/>
        <v>-</v>
      </c>
      <c r="CG14" s="50" t="str">
        <f t="shared" si="22"/>
        <v>-</v>
      </c>
      <c r="CH14" s="39"/>
    </row>
    <row r="15" spans="1:86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2"/>
      <c r="D15" s="2"/>
      <c r="E15" s="3"/>
      <c r="F15" s="2"/>
      <c r="G15" s="2"/>
      <c r="H15" s="4"/>
      <c r="I15" s="4"/>
      <c r="J15" s="58"/>
      <c r="K15" s="5"/>
      <c r="L15" s="2"/>
      <c r="M15" s="2"/>
      <c r="N15" s="2"/>
      <c r="O15" s="2"/>
      <c r="P15" s="3"/>
      <c r="Q15" s="2"/>
      <c r="R15" s="2"/>
      <c r="S15" s="2"/>
      <c r="T15" s="2"/>
      <c r="U15" s="60">
        <v>0</v>
      </c>
      <c r="V15" s="3"/>
      <c r="W15" s="3"/>
      <c r="X15" s="2"/>
      <c r="Y15" s="2"/>
      <c r="Z15" s="2"/>
      <c r="AA15" s="2"/>
      <c r="AB15" s="2"/>
      <c r="AC15" s="2"/>
      <c r="AD15" s="2"/>
      <c r="AE15" s="2"/>
      <c r="AF15" s="3"/>
      <c r="AG15" s="3"/>
      <c r="AH15" s="2"/>
      <c r="AI15" s="6"/>
      <c r="AJ15" s="7"/>
      <c r="AK15" s="6"/>
      <c r="AL15" s="59"/>
      <c r="AM15" s="59"/>
      <c r="AN15" s="59"/>
      <c r="AO15" s="59"/>
      <c r="AP15" s="59"/>
      <c r="AQ15" s="59"/>
      <c r="AR15" s="59"/>
      <c r="AS15" s="59"/>
      <c r="AT15" s="8"/>
      <c r="AU15" s="8"/>
      <c r="AV15" s="9"/>
      <c r="AW15" s="8"/>
      <c r="AX15" s="10" t="str">
        <f t="shared" si="23"/>
        <v>-</v>
      </c>
      <c r="AY15" s="39"/>
      <c r="AZ15" s="1" t="str">
        <f t="shared" si="1"/>
        <v/>
      </c>
      <c r="BA15" s="11" t="str">
        <f t="shared" si="2"/>
        <v/>
      </c>
      <c r="BB15" s="1" t="str">
        <f t="shared" si="3"/>
        <v/>
      </c>
      <c r="BC15" s="39"/>
      <c r="BD15" s="53" t="str">
        <f t="shared" si="4"/>
        <v/>
      </c>
      <c r="BE15" s="12" t="str">
        <f t="shared" si="5"/>
        <v/>
      </c>
      <c r="BF15" s="12" t="str">
        <f t="shared" si="6"/>
        <v/>
      </c>
      <c r="BG15" s="12" t="str">
        <f t="shared" si="24"/>
        <v/>
      </c>
      <c r="BH15" s="12" t="str">
        <f t="shared" si="7"/>
        <v/>
      </c>
      <c r="BI15" s="54" t="str">
        <f t="shared" si="25"/>
        <v/>
      </c>
      <c r="BJ15" s="39"/>
      <c r="BK15" s="55" t="str">
        <f t="shared" si="8"/>
        <v/>
      </c>
      <c r="BL15" s="13" t="str">
        <f t="shared" si="9"/>
        <v/>
      </c>
      <c r="BM15" s="13" t="str">
        <f t="shared" si="10"/>
        <v/>
      </c>
      <c r="BN15" s="56" t="str">
        <f t="shared" si="11"/>
        <v/>
      </c>
      <c r="BO15" s="39"/>
      <c r="BP15" s="14" t="str">
        <f t="shared" si="12"/>
        <v/>
      </c>
      <c r="BQ15" s="15">
        <v>0</v>
      </c>
      <c r="BR15" s="15" t="str">
        <f t="shared" si="26"/>
        <v/>
      </c>
      <c r="BS15" s="15" t="str">
        <f t="shared" si="27"/>
        <v/>
      </c>
      <c r="BT15" s="16" t="str">
        <f t="shared" si="13"/>
        <v/>
      </c>
      <c r="BU15" s="39"/>
      <c r="BV15" s="51" t="str">
        <f t="shared" si="14"/>
        <v/>
      </c>
      <c r="BW15" s="28" t="str">
        <f t="shared" si="15"/>
        <v/>
      </c>
      <c r="BX15" s="28" t="str">
        <f t="shared" si="16"/>
        <v/>
      </c>
      <c r="BY15" s="28" t="str">
        <f t="shared" si="17"/>
        <v/>
      </c>
      <c r="BZ15" s="28" t="str">
        <f t="shared" si="28"/>
        <v/>
      </c>
      <c r="CA15" s="52" t="str">
        <f t="shared" si="29"/>
        <v/>
      </c>
      <c r="CB15" s="39"/>
      <c r="CC15" s="49" t="str">
        <f t="shared" si="18"/>
        <v>-</v>
      </c>
      <c r="CD15" s="29" t="str">
        <f t="shared" si="19"/>
        <v>-</v>
      </c>
      <c r="CE15" s="29" t="str">
        <f t="shared" si="20"/>
        <v>-</v>
      </c>
      <c r="CF15" s="29" t="str">
        <f t="shared" si="21"/>
        <v>-</v>
      </c>
      <c r="CG15" s="50" t="str">
        <f t="shared" si="22"/>
        <v>-</v>
      </c>
      <c r="CH15" s="39"/>
    </row>
    <row r="16" spans="1:86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2"/>
      <c r="D16" s="2"/>
      <c r="E16" s="3"/>
      <c r="F16" s="2"/>
      <c r="G16" s="2"/>
      <c r="H16" s="4"/>
      <c r="I16" s="4"/>
      <c r="J16" s="67"/>
      <c r="K16" s="5"/>
      <c r="L16" s="2"/>
      <c r="M16" s="2"/>
      <c r="N16" s="2"/>
      <c r="O16" s="2"/>
      <c r="P16" s="3"/>
      <c r="Q16" s="2"/>
      <c r="R16" s="2"/>
      <c r="S16" s="2"/>
      <c r="T16" s="2"/>
      <c r="U16" s="2"/>
      <c r="V16" s="3"/>
      <c r="W16" s="3"/>
      <c r="X16" s="2"/>
      <c r="Y16" s="2"/>
      <c r="Z16" s="2"/>
      <c r="AA16" s="2"/>
      <c r="AB16" s="2"/>
      <c r="AC16" s="2"/>
      <c r="AD16" s="2"/>
      <c r="AE16" s="2"/>
      <c r="AF16" s="3"/>
      <c r="AG16" s="3"/>
      <c r="AH16" s="2"/>
      <c r="AI16" s="6"/>
      <c r="AJ16" s="7"/>
      <c r="AK16" s="6"/>
      <c r="AL16" s="59"/>
      <c r="AM16" s="59"/>
      <c r="AN16" s="59"/>
      <c r="AO16" s="59"/>
      <c r="AP16" s="59"/>
      <c r="AQ16" s="59"/>
      <c r="AR16" s="59"/>
      <c r="AS16" s="59"/>
      <c r="AT16" s="8"/>
      <c r="AU16" s="8"/>
      <c r="AV16" s="9"/>
      <c r="AW16" s="8"/>
      <c r="AX16" s="10" t="str">
        <f t="shared" si="23"/>
        <v>-</v>
      </c>
      <c r="AY16" s="39"/>
      <c r="AZ16" s="1" t="str">
        <f t="shared" si="1"/>
        <v/>
      </c>
      <c r="BA16" s="11" t="str">
        <f t="shared" si="2"/>
        <v/>
      </c>
      <c r="BB16" s="1" t="str">
        <f t="shared" si="3"/>
        <v/>
      </c>
      <c r="BC16" s="39"/>
      <c r="BD16" s="53" t="str">
        <f t="shared" si="4"/>
        <v/>
      </c>
      <c r="BE16" s="12" t="str">
        <f t="shared" si="5"/>
        <v/>
      </c>
      <c r="BF16" s="12" t="str">
        <f t="shared" si="6"/>
        <v/>
      </c>
      <c r="BG16" s="12" t="str">
        <f t="shared" si="24"/>
        <v/>
      </c>
      <c r="BH16" s="12" t="str">
        <f t="shared" si="7"/>
        <v/>
      </c>
      <c r="BI16" s="54" t="str">
        <f t="shared" si="25"/>
        <v/>
      </c>
      <c r="BJ16" s="39"/>
      <c r="BK16" s="55" t="str">
        <f t="shared" si="8"/>
        <v/>
      </c>
      <c r="BL16" s="13" t="str">
        <f t="shared" si="9"/>
        <v/>
      </c>
      <c r="BM16" s="13" t="str">
        <f t="shared" si="10"/>
        <v/>
      </c>
      <c r="BN16" s="56" t="str">
        <f t="shared" si="11"/>
        <v/>
      </c>
      <c r="BO16" s="39"/>
      <c r="BP16" s="14" t="str">
        <f t="shared" si="12"/>
        <v/>
      </c>
      <c r="BQ16" s="15">
        <v>0</v>
      </c>
      <c r="BR16" s="15" t="str">
        <f t="shared" si="26"/>
        <v/>
      </c>
      <c r="BS16" s="15" t="str">
        <f t="shared" si="27"/>
        <v/>
      </c>
      <c r="BT16" s="16" t="str">
        <f t="shared" si="13"/>
        <v/>
      </c>
      <c r="BU16" s="39"/>
      <c r="BV16" s="51" t="str">
        <f t="shared" si="14"/>
        <v/>
      </c>
      <c r="BW16" s="28" t="str">
        <f t="shared" si="15"/>
        <v/>
      </c>
      <c r="BX16" s="28" t="str">
        <f t="shared" si="16"/>
        <v/>
      </c>
      <c r="BY16" s="28" t="str">
        <f t="shared" si="17"/>
        <v/>
      </c>
      <c r="BZ16" s="28" t="str">
        <f t="shared" si="28"/>
        <v/>
      </c>
      <c r="CA16" s="52" t="str">
        <f t="shared" si="29"/>
        <v/>
      </c>
      <c r="CB16" s="39"/>
      <c r="CC16" s="49" t="str">
        <f t="shared" si="18"/>
        <v>-</v>
      </c>
      <c r="CD16" s="29" t="str">
        <f t="shared" si="19"/>
        <v>-</v>
      </c>
      <c r="CE16" s="29" t="str">
        <f t="shared" si="20"/>
        <v>-</v>
      </c>
      <c r="CF16" s="29" t="str">
        <f t="shared" si="21"/>
        <v>-</v>
      </c>
      <c r="CG16" s="50" t="str">
        <f t="shared" si="22"/>
        <v>-</v>
      </c>
      <c r="CH16" s="39"/>
    </row>
    <row r="17" spans="1:86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2"/>
      <c r="D17" s="2"/>
      <c r="E17" s="3"/>
      <c r="F17" s="2"/>
      <c r="G17" s="2"/>
      <c r="H17" s="4"/>
      <c r="I17" s="4"/>
      <c r="J17" s="58"/>
      <c r="K17" s="5"/>
      <c r="L17" s="2"/>
      <c r="M17" s="2"/>
      <c r="N17" s="2"/>
      <c r="O17" s="2"/>
      <c r="P17" s="3"/>
      <c r="Q17" s="2"/>
      <c r="R17" s="2"/>
      <c r="S17" s="2"/>
      <c r="T17" s="2"/>
      <c r="U17" s="2"/>
      <c r="V17" s="3"/>
      <c r="W17" s="3"/>
      <c r="X17" s="2"/>
      <c r="Y17" s="2"/>
      <c r="Z17" s="2"/>
      <c r="AA17" s="2"/>
      <c r="AB17" s="2"/>
      <c r="AC17" s="2"/>
      <c r="AD17" s="2"/>
      <c r="AE17" s="2"/>
      <c r="AF17" s="3"/>
      <c r="AG17" s="3"/>
      <c r="AH17" s="2"/>
      <c r="AI17" s="6"/>
      <c r="AJ17" s="7"/>
      <c r="AK17" s="6"/>
      <c r="AL17" s="59"/>
      <c r="AM17" s="59"/>
      <c r="AN17" s="59"/>
      <c r="AO17" s="59"/>
      <c r="AP17" s="59"/>
      <c r="AQ17" s="59"/>
      <c r="AR17" s="59"/>
      <c r="AS17" s="59"/>
      <c r="AT17" s="8"/>
      <c r="AU17" s="8"/>
      <c r="AV17" s="9"/>
      <c r="AW17" s="8"/>
      <c r="AX17" s="10" t="str">
        <f t="shared" si="23"/>
        <v>-</v>
      </c>
      <c r="AY17" s="39"/>
      <c r="AZ17" s="1" t="str">
        <f t="shared" si="1"/>
        <v/>
      </c>
      <c r="BA17" s="11" t="str">
        <f t="shared" si="2"/>
        <v/>
      </c>
      <c r="BB17" s="1" t="str">
        <f t="shared" si="3"/>
        <v/>
      </c>
      <c r="BC17" s="39"/>
      <c r="BD17" s="53" t="str">
        <f t="shared" si="4"/>
        <v/>
      </c>
      <c r="BE17" s="12" t="str">
        <f t="shared" si="5"/>
        <v/>
      </c>
      <c r="BF17" s="12" t="str">
        <f t="shared" si="6"/>
        <v/>
      </c>
      <c r="BG17" s="12" t="str">
        <f t="shared" si="24"/>
        <v/>
      </c>
      <c r="BH17" s="12" t="str">
        <f t="shared" si="7"/>
        <v/>
      </c>
      <c r="BI17" s="54" t="str">
        <f t="shared" si="25"/>
        <v/>
      </c>
      <c r="BJ17" s="39"/>
      <c r="BK17" s="55" t="str">
        <f t="shared" si="8"/>
        <v/>
      </c>
      <c r="BL17" s="13" t="str">
        <f t="shared" si="9"/>
        <v/>
      </c>
      <c r="BM17" s="13" t="str">
        <f t="shared" si="10"/>
        <v/>
      </c>
      <c r="BN17" s="56" t="str">
        <f t="shared" si="11"/>
        <v/>
      </c>
      <c r="BO17" s="39"/>
      <c r="BP17" s="14" t="str">
        <f t="shared" si="12"/>
        <v/>
      </c>
      <c r="BQ17" s="15">
        <v>0</v>
      </c>
      <c r="BR17" s="15" t="str">
        <f t="shared" si="26"/>
        <v/>
      </c>
      <c r="BS17" s="15" t="str">
        <f t="shared" si="27"/>
        <v/>
      </c>
      <c r="BT17" s="16" t="str">
        <f t="shared" si="13"/>
        <v/>
      </c>
      <c r="BU17" s="39"/>
      <c r="BV17" s="51" t="str">
        <f t="shared" si="14"/>
        <v/>
      </c>
      <c r="BW17" s="28" t="str">
        <f t="shared" si="15"/>
        <v/>
      </c>
      <c r="BX17" s="28" t="str">
        <f t="shared" si="16"/>
        <v/>
      </c>
      <c r="BY17" s="28" t="str">
        <f t="shared" si="17"/>
        <v/>
      </c>
      <c r="BZ17" s="28" t="str">
        <f t="shared" si="28"/>
        <v/>
      </c>
      <c r="CA17" s="52" t="str">
        <f t="shared" si="29"/>
        <v/>
      </c>
      <c r="CB17" s="39"/>
      <c r="CC17" s="49" t="str">
        <f t="shared" si="18"/>
        <v>-</v>
      </c>
      <c r="CD17" s="29" t="str">
        <f t="shared" si="19"/>
        <v>-</v>
      </c>
      <c r="CE17" s="29" t="str">
        <f t="shared" si="20"/>
        <v>-</v>
      </c>
      <c r="CF17" s="29" t="str">
        <f t="shared" si="21"/>
        <v>-</v>
      </c>
      <c r="CG17" s="50" t="str">
        <f t="shared" si="22"/>
        <v>-</v>
      </c>
      <c r="CH17" s="39"/>
    </row>
    <row r="18" spans="1:86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2"/>
      <c r="D18" s="2"/>
      <c r="E18" s="3"/>
      <c r="F18" s="2"/>
      <c r="G18" s="2"/>
      <c r="H18" s="4"/>
      <c r="I18" s="4"/>
      <c r="J18" s="58"/>
      <c r="K18" s="5"/>
      <c r="L18" s="2"/>
      <c r="M18" s="2"/>
      <c r="N18" s="2"/>
      <c r="O18" s="2"/>
      <c r="P18" s="3"/>
      <c r="Q18" s="2"/>
      <c r="R18" s="2"/>
      <c r="S18" s="2"/>
      <c r="T18" s="2"/>
      <c r="U18" s="2">
        <v>0</v>
      </c>
      <c r="V18" s="3"/>
      <c r="W18" s="3"/>
      <c r="X18" s="2"/>
      <c r="Y18" s="2"/>
      <c r="Z18" s="2"/>
      <c r="AA18" s="2"/>
      <c r="AB18" s="2"/>
      <c r="AC18" s="2"/>
      <c r="AD18" s="2"/>
      <c r="AE18" s="2"/>
      <c r="AF18" s="3"/>
      <c r="AG18" s="3"/>
      <c r="AH18" s="2"/>
      <c r="AI18" s="6"/>
      <c r="AJ18" s="7"/>
      <c r="AK18" s="6"/>
      <c r="AL18" s="59"/>
      <c r="AM18" s="59"/>
      <c r="AN18" s="59"/>
      <c r="AO18" s="59"/>
      <c r="AP18" s="59"/>
      <c r="AQ18" s="59"/>
      <c r="AR18" s="59"/>
      <c r="AS18" s="59"/>
      <c r="AT18" s="8"/>
      <c r="AU18" s="8"/>
      <c r="AV18" s="9"/>
      <c r="AW18" s="8"/>
      <c r="AX18" s="10" t="str">
        <f t="shared" si="23"/>
        <v>-</v>
      </c>
      <c r="AY18" s="39"/>
      <c r="AZ18" s="1" t="str">
        <f t="shared" si="1"/>
        <v/>
      </c>
      <c r="BA18" s="11" t="str">
        <f t="shared" si="2"/>
        <v/>
      </c>
      <c r="BB18" s="1" t="str">
        <f t="shared" si="3"/>
        <v/>
      </c>
      <c r="BC18" s="39"/>
      <c r="BD18" s="53" t="str">
        <f t="shared" si="4"/>
        <v/>
      </c>
      <c r="BE18" s="12" t="str">
        <f t="shared" si="5"/>
        <v/>
      </c>
      <c r="BF18" s="12" t="str">
        <f t="shared" si="6"/>
        <v/>
      </c>
      <c r="BG18" s="12" t="str">
        <f t="shared" si="24"/>
        <v/>
      </c>
      <c r="BH18" s="12" t="str">
        <f t="shared" si="7"/>
        <v/>
      </c>
      <c r="BI18" s="54" t="str">
        <f t="shared" si="25"/>
        <v/>
      </c>
      <c r="BJ18" s="39"/>
      <c r="BK18" s="55" t="str">
        <f t="shared" si="8"/>
        <v/>
      </c>
      <c r="BL18" s="13" t="str">
        <f t="shared" si="9"/>
        <v/>
      </c>
      <c r="BM18" s="13" t="str">
        <f t="shared" si="10"/>
        <v/>
      </c>
      <c r="BN18" s="56" t="str">
        <f t="shared" si="11"/>
        <v/>
      </c>
      <c r="BO18" s="39"/>
      <c r="BP18" s="14" t="str">
        <f t="shared" si="12"/>
        <v/>
      </c>
      <c r="BQ18" s="15">
        <v>0</v>
      </c>
      <c r="BR18" s="15" t="str">
        <f t="shared" si="26"/>
        <v/>
      </c>
      <c r="BS18" s="15" t="str">
        <f t="shared" si="27"/>
        <v/>
      </c>
      <c r="BT18" s="16" t="str">
        <f t="shared" si="13"/>
        <v/>
      </c>
      <c r="BU18" s="39"/>
      <c r="BV18" s="51" t="str">
        <f t="shared" si="14"/>
        <v/>
      </c>
      <c r="BW18" s="28" t="str">
        <f t="shared" si="15"/>
        <v/>
      </c>
      <c r="BX18" s="28" t="str">
        <f t="shared" si="16"/>
        <v/>
      </c>
      <c r="BY18" s="28" t="str">
        <f t="shared" si="17"/>
        <v/>
      </c>
      <c r="BZ18" s="28" t="str">
        <f t="shared" si="28"/>
        <v/>
      </c>
      <c r="CA18" s="52" t="str">
        <f t="shared" si="29"/>
        <v/>
      </c>
      <c r="CB18" s="39"/>
      <c r="CC18" s="49" t="str">
        <f t="shared" si="18"/>
        <v>-</v>
      </c>
      <c r="CD18" s="29" t="str">
        <f t="shared" si="19"/>
        <v>-</v>
      </c>
      <c r="CE18" s="29" t="str">
        <f t="shared" si="20"/>
        <v>-</v>
      </c>
      <c r="CF18" s="29" t="str">
        <f t="shared" si="21"/>
        <v>-</v>
      </c>
      <c r="CG18" s="50" t="str">
        <f t="shared" si="22"/>
        <v>-</v>
      </c>
      <c r="CH18" s="39"/>
    </row>
    <row r="19" spans="1:86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2"/>
      <c r="D19" s="2"/>
      <c r="E19" s="3"/>
      <c r="F19" s="2"/>
      <c r="G19" s="2"/>
      <c r="H19" s="4"/>
      <c r="I19" s="4"/>
      <c r="J19" s="58"/>
      <c r="K19" s="5"/>
      <c r="L19" s="2"/>
      <c r="M19" s="2"/>
      <c r="N19" s="2"/>
      <c r="O19" s="2"/>
      <c r="P19" s="3"/>
      <c r="Q19" s="2"/>
      <c r="R19" s="2"/>
      <c r="S19" s="2"/>
      <c r="T19" s="2"/>
      <c r="U19" s="2">
        <v>0</v>
      </c>
      <c r="V19" s="3"/>
      <c r="W19" s="3"/>
      <c r="X19" s="2"/>
      <c r="Y19" s="2"/>
      <c r="Z19" s="2"/>
      <c r="AA19" s="2"/>
      <c r="AB19" s="2"/>
      <c r="AC19" s="2"/>
      <c r="AD19" s="2"/>
      <c r="AE19" s="2"/>
      <c r="AF19" s="3"/>
      <c r="AG19" s="3"/>
      <c r="AH19" s="2"/>
      <c r="AI19" s="6"/>
      <c r="AJ19" s="7"/>
      <c r="AK19" s="6"/>
      <c r="AL19" s="59"/>
      <c r="AM19" s="59"/>
      <c r="AN19" s="59"/>
      <c r="AO19" s="59"/>
      <c r="AP19" s="59"/>
      <c r="AQ19" s="59"/>
      <c r="AR19" s="59"/>
      <c r="AS19" s="59"/>
      <c r="AT19" s="8"/>
      <c r="AU19" s="8"/>
      <c r="AV19" s="9"/>
      <c r="AW19" s="8"/>
      <c r="AX19" s="10" t="str">
        <f t="shared" si="23"/>
        <v>-</v>
      </c>
      <c r="AY19" s="39"/>
      <c r="AZ19" s="1" t="str">
        <f t="shared" si="1"/>
        <v/>
      </c>
      <c r="BA19" s="11" t="str">
        <f t="shared" si="2"/>
        <v/>
      </c>
      <c r="BB19" s="1" t="str">
        <f t="shared" si="3"/>
        <v/>
      </c>
      <c r="BC19" s="39"/>
      <c r="BD19" s="53" t="str">
        <f t="shared" si="4"/>
        <v/>
      </c>
      <c r="BE19" s="12" t="str">
        <f t="shared" si="5"/>
        <v/>
      </c>
      <c r="BF19" s="12" t="str">
        <f t="shared" si="6"/>
        <v/>
      </c>
      <c r="BG19" s="12" t="str">
        <f t="shared" si="24"/>
        <v/>
      </c>
      <c r="BH19" s="12" t="str">
        <f t="shared" si="7"/>
        <v/>
      </c>
      <c r="BI19" s="54" t="str">
        <f t="shared" si="25"/>
        <v/>
      </c>
      <c r="BJ19" s="39"/>
      <c r="BK19" s="55" t="str">
        <f t="shared" si="8"/>
        <v/>
      </c>
      <c r="BL19" s="13" t="str">
        <f t="shared" si="9"/>
        <v/>
      </c>
      <c r="BM19" s="13" t="str">
        <f t="shared" si="10"/>
        <v/>
      </c>
      <c r="BN19" s="56" t="str">
        <f t="shared" si="11"/>
        <v/>
      </c>
      <c r="BO19" s="39"/>
      <c r="BP19" s="14" t="str">
        <f t="shared" si="12"/>
        <v/>
      </c>
      <c r="BQ19" s="15">
        <v>0</v>
      </c>
      <c r="BR19" s="15" t="str">
        <f t="shared" si="26"/>
        <v/>
      </c>
      <c r="BS19" s="15" t="str">
        <f t="shared" si="27"/>
        <v/>
      </c>
      <c r="BT19" s="16" t="str">
        <f t="shared" si="13"/>
        <v/>
      </c>
      <c r="BU19" s="39"/>
      <c r="BV19" s="51" t="str">
        <f t="shared" si="14"/>
        <v/>
      </c>
      <c r="BW19" s="28" t="str">
        <f t="shared" si="15"/>
        <v/>
      </c>
      <c r="BX19" s="28" t="str">
        <f t="shared" si="16"/>
        <v/>
      </c>
      <c r="BY19" s="28" t="str">
        <f t="shared" si="17"/>
        <v/>
      </c>
      <c r="BZ19" s="28" t="str">
        <f t="shared" si="28"/>
        <v/>
      </c>
      <c r="CA19" s="52" t="str">
        <f t="shared" si="29"/>
        <v/>
      </c>
      <c r="CB19" s="39"/>
      <c r="CC19" s="49" t="str">
        <f t="shared" si="18"/>
        <v>-</v>
      </c>
      <c r="CD19" s="29" t="str">
        <f t="shared" si="19"/>
        <v>-</v>
      </c>
      <c r="CE19" s="29" t="str">
        <f t="shared" si="20"/>
        <v>-</v>
      </c>
      <c r="CF19" s="29" t="str">
        <f t="shared" si="21"/>
        <v>-</v>
      </c>
      <c r="CG19" s="50" t="str">
        <f t="shared" si="22"/>
        <v>-</v>
      </c>
      <c r="CH19" s="39"/>
    </row>
    <row r="20" spans="1:86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2"/>
      <c r="D20" s="2"/>
      <c r="E20" s="3"/>
      <c r="F20" s="2"/>
      <c r="G20" s="2"/>
      <c r="H20" s="4"/>
      <c r="I20" s="4"/>
      <c r="J20" s="58"/>
      <c r="K20" s="5"/>
      <c r="L20" s="2"/>
      <c r="M20" s="2"/>
      <c r="N20" s="2"/>
      <c r="O20" s="2"/>
      <c r="P20" s="3"/>
      <c r="Q20" s="2"/>
      <c r="R20" s="2"/>
      <c r="S20" s="2"/>
      <c r="T20" s="2"/>
      <c r="U20" s="2">
        <v>0</v>
      </c>
      <c r="V20" s="3"/>
      <c r="W20" s="3"/>
      <c r="X20" s="2"/>
      <c r="Y20" s="2"/>
      <c r="Z20" s="2"/>
      <c r="AA20" s="2"/>
      <c r="AB20" s="2"/>
      <c r="AC20" s="2"/>
      <c r="AD20" s="2"/>
      <c r="AE20" s="2"/>
      <c r="AF20" s="3"/>
      <c r="AG20" s="3"/>
      <c r="AH20" s="2"/>
      <c r="AI20" s="6"/>
      <c r="AJ20" s="7"/>
      <c r="AK20" s="6"/>
      <c r="AL20" s="59"/>
      <c r="AM20" s="59"/>
      <c r="AN20" s="59"/>
      <c r="AO20" s="59"/>
      <c r="AP20" s="59"/>
      <c r="AQ20" s="59"/>
      <c r="AR20" s="59"/>
      <c r="AS20" s="59"/>
      <c r="AT20" s="8"/>
      <c r="AU20" s="8"/>
      <c r="AV20" s="9"/>
      <c r="AW20" s="8"/>
      <c r="AX20" s="10" t="str">
        <f t="shared" si="23"/>
        <v>-</v>
      </c>
      <c r="AY20" s="39"/>
      <c r="AZ20" s="1" t="str">
        <f t="shared" si="1"/>
        <v/>
      </c>
      <c r="BA20" s="11" t="str">
        <f t="shared" si="2"/>
        <v/>
      </c>
      <c r="BB20" s="1" t="str">
        <f t="shared" si="3"/>
        <v/>
      </c>
      <c r="BC20" s="39"/>
      <c r="BD20" s="53" t="str">
        <f t="shared" si="4"/>
        <v/>
      </c>
      <c r="BE20" s="12" t="str">
        <f t="shared" si="5"/>
        <v/>
      </c>
      <c r="BF20" s="12" t="str">
        <f t="shared" si="6"/>
        <v/>
      </c>
      <c r="BG20" s="12" t="str">
        <f t="shared" si="24"/>
        <v/>
      </c>
      <c r="BH20" s="12" t="str">
        <f t="shared" si="7"/>
        <v/>
      </c>
      <c r="BI20" s="54" t="str">
        <f t="shared" si="25"/>
        <v/>
      </c>
      <c r="BJ20" s="39"/>
      <c r="BK20" s="55" t="str">
        <f t="shared" si="8"/>
        <v/>
      </c>
      <c r="BL20" s="13" t="str">
        <f t="shared" si="9"/>
        <v/>
      </c>
      <c r="BM20" s="13" t="str">
        <f t="shared" si="10"/>
        <v/>
      </c>
      <c r="BN20" s="56" t="str">
        <f t="shared" si="11"/>
        <v/>
      </c>
      <c r="BO20" s="39"/>
      <c r="BP20" s="14" t="str">
        <f t="shared" si="12"/>
        <v/>
      </c>
      <c r="BQ20" s="15">
        <v>0</v>
      </c>
      <c r="BR20" s="15" t="str">
        <f t="shared" si="26"/>
        <v/>
      </c>
      <c r="BS20" s="15" t="str">
        <f t="shared" si="27"/>
        <v/>
      </c>
      <c r="BT20" s="16" t="str">
        <f t="shared" si="13"/>
        <v/>
      </c>
      <c r="BU20" s="39"/>
      <c r="BV20" s="51" t="str">
        <f t="shared" si="14"/>
        <v/>
      </c>
      <c r="BW20" s="28" t="str">
        <f t="shared" si="15"/>
        <v/>
      </c>
      <c r="BX20" s="28" t="str">
        <f t="shared" si="16"/>
        <v/>
      </c>
      <c r="BY20" s="28" t="str">
        <f t="shared" si="17"/>
        <v/>
      </c>
      <c r="BZ20" s="28" t="str">
        <f t="shared" si="28"/>
        <v/>
      </c>
      <c r="CA20" s="52" t="str">
        <f t="shared" si="29"/>
        <v/>
      </c>
      <c r="CB20" s="39"/>
      <c r="CC20" s="49" t="str">
        <f t="shared" si="18"/>
        <v>-</v>
      </c>
      <c r="CD20" s="29" t="str">
        <f t="shared" si="19"/>
        <v>-</v>
      </c>
      <c r="CE20" s="29" t="str">
        <f t="shared" si="20"/>
        <v>-</v>
      </c>
      <c r="CF20" s="29" t="str">
        <f t="shared" si="21"/>
        <v>-</v>
      </c>
      <c r="CG20" s="50" t="str">
        <f t="shared" si="22"/>
        <v>-</v>
      </c>
      <c r="CH20" s="39"/>
    </row>
    <row r="21" spans="1:86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2"/>
      <c r="D21" s="2"/>
      <c r="E21" s="3"/>
      <c r="F21" s="2"/>
      <c r="G21" s="2"/>
      <c r="H21" s="4"/>
      <c r="I21" s="4"/>
      <c r="J21" s="58"/>
      <c r="K21" s="5"/>
      <c r="L21" s="2"/>
      <c r="M21" s="2"/>
      <c r="N21" s="2"/>
      <c r="O21" s="2"/>
      <c r="P21" s="3"/>
      <c r="Q21" s="2"/>
      <c r="R21" s="2"/>
      <c r="S21" s="2"/>
      <c r="T21" s="2"/>
      <c r="U21" s="2">
        <v>0</v>
      </c>
      <c r="V21" s="3"/>
      <c r="W21" s="3"/>
      <c r="X21" s="2"/>
      <c r="Y21" s="2"/>
      <c r="Z21" s="2"/>
      <c r="AA21" s="2"/>
      <c r="AB21" s="2"/>
      <c r="AC21" s="2"/>
      <c r="AD21" s="2"/>
      <c r="AE21" s="2"/>
      <c r="AF21" s="3"/>
      <c r="AG21" s="3"/>
      <c r="AH21" s="2"/>
      <c r="AI21" s="6"/>
      <c r="AJ21" s="7"/>
      <c r="AK21" s="6"/>
      <c r="AL21" s="59"/>
      <c r="AM21" s="59"/>
      <c r="AN21" s="59"/>
      <c r="AO21" s="59"/>
      <c r="AP21" s="59"/>
      <c r="AQ21" s="59"/>
      <c r="AR21" s="59"/>
      <c r="AS21" s="59"/>
      <c r="AT21" s="8"/>
      <c r="AU21" s="8"/>
      <c r="AV21" s="9"/>
      <c r="AW21" s="8"/>
      <c r="AX21" s="10" t="str">
        <f t="shared" si="23"/>
        <v>-</v>
      </c>
      <c r="AY21" s="39"/>
      <c r="AZ21" s="1" t="str">
        <f t="shared" si="1"/>
        <v/>
      </c>
      <c r="BA21" s="11" t="str">
        <f t="shared" si="2"/>
        <v/>
      </c>
      <c r="BB21" s="1" t="str">
        <f t="shared" si="3"/>
        <v/>
      </c>
      <c r="BC21" s="39"/>
      <c r="BD21" s="53" t="str">
        <f t="shared" si="4"/>
        <v/>
      </c>
      <c r="BE21" s="12" t="str">
        <f t="shared" si="5"/>
        <v/>
      </c>
      <c r="BF21" s="12" t="str">
        <f t="shared" si="6"/>
        <v/>
      </c>
      <c r="BG21" s="12" t="str">
        <f t="shared" si="24"/>
        <v/>
      </c>
      <c r="BH21" s="12" t="str">
        <f t="shared" si="7"/>
        <v/>
      </c>
      <c r="BI21" s="54" t="str">
        <f t="shared" si="25"/>
        <v/>
      </c>
      <c r="BJ21" s="39"/>
      <c r="BK21" s="55" t="str">
        <f t="shared" si="8"/>
        <v/>
      </c>
      <c r="BL21" s="13" t="str">
        <f t="shared" si="9"/>
        <v/>
      </c>
      <c r="BM21" s="13" t="str">
        <f t="shared" si="10"/>
        <v/>
      </c>
      <c r="BN21" s="56" t="str">
        <f t="shared" si="11"/>
        <v/>
      </c>
      <c r="BO21" s="39"/>
      <c r="BP21" s="14" t="str">
        <f t="shared" si="12"/>
        <v/>
      </c>
      <c r="BQ21" s="15">
        <v>0</v>
      </c>
      <c r="BR21" s="15" t="str">
        <f t="shared" si="26"/>
        <v/>
      </c>
      <c r="BS21" s="15" t="str">
        <f t="shared" si="27"/>
        <v/>
      </c>
      <c r="BT21" s="16" t="str">
        <f t="shared" si="13"/>
        <v/>
      </c>
      <c r="BU21" s="39"/>
      <c r="BV21" s="51" t="str">
        <f t="shared" si="14"/>
        <v/>
      </c>
      <c r="BW21" s="28" t="str">
        <f t="shared" si="15"/>
        <v/>
      </c>
      <c r="BX21" s="28" t="str">
        <f t="shared" si="16"/>
        <v/>
      </c>
      <c r="BY21" s="28" t="str">
        <f t="shared" si="17"/>
        <v/>
      </c>
      <c r="BZ21" s="28" t="str">
        <f t="shared" si="28"/>
        <v/>
      </c>
      <c r="CA21" s="52" t="str">
        <f t="shared" si="29"/>
        <v/>
      </c>
      <c r="CB21" s="39"/>
      <c r="CC21" s="49" t="str">
        <f t="shared" si="18"/>
        <v>-</v>
      </c>
      <c r="CD21" s="29" t="str">
        <f t="shared" si="19"/>
        <v>-</v>
      </c>
      <c r="CE21" s="29" t="str">
        <f t="shared" si="20"/>
        <v>-</v>
      </c>
      <c r="CF21" s="29" t="str">
        <f t="shared" si="21"/>
        <v>-</v>
      </c>
      <c r="CG21" s="50" t="str">
        <f t="shared" si="22"/>
        <v>-</v>
      </c>
      <c r="CH21" s="39"/>
    </row>
    <row r="22" spans="1:86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2"/>
      <c r="D22" s="2"/>
      <c r="E22" s="3"/>
      <c r="F22" s="2"/>
      <c r="G22" s="2"/>
      <c r="H22" s="4"/>
      <c r="I22" s="4"/>
      <c r="J22" s="58"/>
      <c r="K22" s="5"/>
      <c r="L22" s="2"/>
      <c r="M22" s="2"/>
      <c r="N22" s="2"/>
      <c r="O22" s="2"/>
      <c r="P22" s="3"/>
      <c r="Q22" s="2"/>
      <c r="R22" s="2"/>
      <c r="S22" s="2"/>
      <c r="T22" s="2"/>
      <c r="U22" s="2">
        <v>0</v>
      </c>
      <c r="V22" s="3"/>
      <c r="W22" s="3"/>
      <c r="X22" s="2"/>
      <c r="Y22" s="2"/>
      <c r="Z22" s="2"/>
      <c r="AA22" s="2"/>
      <c r="AB22" s="2"/>
      <c r="AC22" s="2"/>
      <c r="AD22" s="2"/>
      <c r="AE22" s="2"/>
      <c r="AF22" s="3"/>
      <c r="AG22" s="3"/>
      <c r="AH22" s="2"/>
      <c r="AI22" s="6"/>
      <c r="AJ22" s="7"/>
      <c r="AK22" s="6"/>
      <c r="AL22" s="59"/>
      <c r="AM22" s="59"/>
      <c r="AN22" s="59"/>
      <c r="AO22" s="59"/>
      <c r="AP22" s="59"/>
      <c r="AQ22" s="59"/>
      <c r="AR22" s="59"/>
      <c r="AS22" s="59"/>
      <c r="AT22" s="8"/>
      <c r="AU22" s="8"/>
      <c r="AV22" s="9"/>
      <c r="AW22" s="8"/>
      <c r="AX22" s="10" t="str">
        <f t="shared" si="23"/>
        <v>-</v>
      </c>
      <c r="AY22" s="39"/>
      <c r="AZ22" s="1" t="str">
        <f t="shared" si="1"/>
        <v/>
      </c>
      <c r="BA22" s="11" t="str">
        <f t="shared" si="2"/>
        <v/>
      </c>
      <c r="BB22" s="1" t="str">
        <f t="shared" si="3"/>
        <v/>
      </c>
      <c r="BC22" s="39"/>
      <c r="BD22" s="53" t="str">
        <f t="shared" si="4"/>
        <v/>
      </c>
      <c r="BE22" s="12" t="str">
        <f t="shared" si="5"/>
        <v/>
      </c>
      <c r="BF22" s="12" t="str">
        <f t="shared" si="6"/>
        <v/>
      </c>
      <c r="BG22" s="12" t="str">
        <f t="shared" si="24"/>
        <v/>
      </c>
      <c r="BH22" s="12" t="str">
        <f t="shared" si="7"/>
        <v/>
      </c>
      <c r="BI22" s="54" t="str">
        <f t="shared" si="25"/>
        <v/>
      </c>
      <c r="BJ22" s="39"/>
      <c r="BK22" s="55" t="str">
        <f t="shared" si="8"/>
        <v/>
      </c>
      <c r="BL22" s="13" t="str">
        <f t="shared" si="9"/>
        <v/>
      </c>
      <c r="BM22" s="13" t="str">
        <f t="shared" si="10"/>
        <v/>
      </c>
      <c r="BN22" s="56" t="str">
        <f t="shared" si="11"/>
        <v/>
      </c>
      <c r="BO22" s="39"/>
      <c r="BP22" s="14" t="str">
        <f t="shared" si="12"/>
        <v/>
      </c>
      <c r="BQ22" s="15">
        <v>0</v>
      </c>
      <c r="BR22" s="15" t="str">
        <f t="shared" si="26"/>
        <v/>
      </c>
      <c r="BS22" s="15" t="str">
        <f t="shared" si="27"/>
        <v/>
      </c>
      <c r="BT22" s="16" t="str">
        <f t="shared" si="13"/>
        <v/>
      </c>
      <c r="BU22" s="39"/>
      <c r="BV22" s="51" t="str">
        <f t="shared" si="14"/>
        <v/>
      </c>
      <c r="BW22" s="28" t="str">
        <f t="shared" si="15"/>
        <v/>
      </c>
      <c r="BX22" s="28" t="str">
        <f t="shared" si="16"/>
        <v/>
      </c>
      <c r="BY22" s="28" t="str">
        <f t="shared" si="17"/>
        <v/>
      </c>
      <c r="BZ22" s="28" t="str">
        <f t="shared" si="28"/>
        <v/>
      </c>
      <c r="CA22" s="52" t="str">
        <f t="shared" si="29"/>
        <v/>
      </c>
      <c r="CB22" s="39"/>
      <c r="CC22" s="49" t="str">
        <f t="shared" si="18"/>
        <v>-</v>
      </c>
      <c r="CD22" s="29" t="str">
        <f t="shared" si="19"/>
        <v>-</v>
      </c>
      <c r="CE22" s="29" t="str">
        <f t="shared" si="20"/>
        <v>-</v>
      </c>
      <c r="CF22" s="29" t="str">
        <f t="shared" si="21"/>
        <v>-</v>
      </c>
      <c r="CG22" s="50" t="str">
        <f t="shared" si="22"/>
        <v>-</v>
      </c>
      <c r="CH22" s="39"/>
    </row>
    <row r="23" spans="1:86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2"/>
      <c r="D23" s="2"/>
      <c r="E23" s="3"/>
      <c r="F23" s="2"/>
      <c r="G23" s="2"/>
      <c r="H23" s="4"/>
      <c r="I23" s="4"/>
      <c r="J23" s="58"/>
      <c r="K23" s="5"/>
      <c r="L23" s="2"/>
      <c r="M23" s="2"/>
      <c r="N23" s="2"/>
      <c r="O23" s="2"/>
      <c r="P23" s="3"/>
      <c r="Q23" s="2"/>
      <c r="R23" s="2"/>
      <c r="S23" s="2"/>
      <c r="T23" s="2"/>
      <c r="U23" s="2">
        <v>0</v>
      </c>
      <c r="V23" s="3"/>
      <c r="W23" s="3"/>
      <c r="X23" s="2"/>
      <c r="Y23" s="2"/>
      <c r="Z23" s="2"/>
      <c r="AA23" s="2"/>
      <c r="AB23" s="2"/>
      <c r="AC23" s="2"/>
      <c r="AD23" s="2"/>
      <c r="AE23" s="2"/>
      <c r="AF23" s="3"/>
      <c r="AG23" s="3"/>
      <c r="AH23" s="2"/>
      <c r="AI23" s="6"/>
      <c r="AJ23" s="7"/>
      <c r="AK23" s="6"/>
      <c r="AL23" s="59"/>
      <c r="AM23" s="59"/>
      <c r="AN23" s="59"/>
      <c r="AO23" s="59"/>
      <c r="AP23" s="59"/>
      <c r="AQ23" s="59"/>
      <c r="AR23" s="59"/>
      <c r="AS23" s="59"/>
      <c r="AT23" s="8"/>
      <c r="AU23" s="8"/>
      <c r="AV23" s="9"/>
      <c r="AW23" s="8"/>
      <c r="AX23" s="10" t="str">
        <f t="shared" si="23"/>
        <v>-</v>
      </c>
      <c r="AY23" s="39"/>
      <c r="AZ23" s="1" t="str">
        <f t="shared" si="1"/>
        <v/>
      </c>
      <c r="BA23" s="11" t="str">
        <f t="shared" si="2"/>
        <v/>
      </c>
      <c r="BB23" s="1" t="str">
        <f t="shared" si="3"/>
        <v/>
      </c>
      <c r="BC23" s="39"/>
      <c r="BD23" s="53" t="str">
        <f t="shared" si="4"/>
        <v/>
      </c>
      <c r="BE23" s="12" t="str">
        <f t="shared" si="5"/>
        <v/>
      </c>
      <c r="BF23" s="12" t="str">
        <f t="shared" si="6"/>
        <v/>
      </c>
      <c r="BG23" s="12" t="str">
        <f t="shared" si="24"/>
        <v/>
      </c>
      <c r="BH23" s="12" t="str">
        <f t="shared" si="7"/>
        <v/>
      </c>
      <c r="BI23" s="54" t="str">
        <f t="shared" si="25"/>
        <v/>
      </c>
      <c r="BJ23" s="39"/>
      <c r="BK23" s="55" t="str">
        <f t="shared" si="8"/>
        <v/>
      </c>
      <c r="BL23" s="13" t="str">
        <f t="shared" si="9"/>
        <v/>
      </c>
      <c r="BM23" s="13" t="str">
        <f t="shared" si="10"/>
        <v/>
      </c>
      <c r="BN23" s="56" t="str">
        <f t="shared" si="11"/>
        <v/>
      </c>
      <c r="BO23" s="39"/>
      <c r="BP23" s="14" t="str">
        <f t="shared" si="12"/>
        <v/>
      </c>
      <c r="BQ23" s="15">
        <v>0</v>
      </c>
      <c r="BR23" s="15" t="str">
        <f t="shared" si="26"/>
        <v/>
      </c>
      <c r="BS23" s="15" t="str">
        <f t="shared" si="27"/>
        <v/>
      </c>
      <c r="BT23" s="16" t="str">
        <f t="shared" si="13"/>
        <v/>
      </c>
      <c r="BU23" s="39"/>
      <c r="BV23" s="51" t="str">
        <f t="shared" si="14"/>
        <v/>
      </c>
      <c r="BW23" s="28" t="str">
        <f t="shared" si="15"/>
        <v/>
      </c>
      <c r="BX23" s="28" t="str">
        <f t="shared" si="16"/>
        <v/>
      </c>
      <c r="BY23" s="28" t="str">
        <f t="shared" si="17"/>
        <v/>
      </c>
      <c r="BZ23" s="28" t="str">
        <f t="shared" si="28"/>
        <v/>
      </c>
      <c r="CA23" s="52" t="str">
        <f t="shared" si="29"/>
        <v/>
      </c>
      <c r="CB23" s="39"/>
      <c r="CC23" s="49" t="str">
        <f t="shared" si="18"/>
        <v>-</v>
      </c>
      <c r="CD23" s="29" t="str">
        <f t="shared" si="19"/>
        <v>-</v>
      </c>
      <c r="CE23" s="29" t="str">
        <f t="shared" si="20"/>
        <v>-</v>
      </c>
      <c r="CF23" s="29" t="str">
        <f t="shared" si="21"/>
        <v>-</v>
      </c>
      <c r="CG23" s="50" t="str">
        <f t="shared" si="22"/>
        <v>-</v>
      </c>
      <c r="CH23" s="39"/>
    </row>
    <row r="24" spans="1:86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2"/>
      <c r="D24" s="2"/>
      <c r="E24" s="3"/>
      <c r="F24" s="2"/>
      <c r="G24" s="2"/>
      <c r="H24" s="4"/>
      <c r="I24" s="4"/>
      <c r="J24" s="58"/>
      <c r="K24" s="5"/>
      <c r="L24" s="2"/>
      <c r="M24" s="2"/>
      <c r="N24" s="2"/>
      <c r="O24" s="2"/>
      <c r="P24" s="3"/>
      <c r="Q24" s="2"/>
      <c r="R24" s="2"/>
      <c r="S24" s="2"/>
      <c r="T24" s="2"/>
      <c r="U24" s="2"/>
      <c r="V24" s="3"/>
      <c r="W24" s="3"/>
      <c r="X24" s="2"/>
      <c r="Y24" s="2"/>
      <c r="Z24" s="2"/>
      <c r="AA24" s="2"/>
      <c r="AB24" s="2"/>
      <c r="AC24" s="2"/>
      <c r="AD24" s="2"/>
      <c r="AE24" s="2"/>
      <c r="AF24" s="3"/>
      <c r="AG24" s="3"/>
      <c r="AH24" s="2"/>
      <c r="AI24" s="6"/>
      <c r="AJ24" s="7"/>
      <c r="AK24" s="6"/>
      <c r="AL24" s="59"/>
      <c r="AM24" s="59"/>
      <c r="AN24" s="59"/>
      <c r="AO24" s="59"/>
      <c r="AP24" s="59"/>
      <c r="AQ24" s="59"/>
      <c r="AR24" s="59"/>
      <c r="AS24" s="59"/>
      <c r="AT24" s="8"/>
      <c r="AU24" s="8"/>
      <c r="AV24" s="9"/>
      <c r="AW24" s="8"/>
      <c r="AX24" s="10" t="str">
        <f t="shared" si="23"/>
        <v>-</v>
      </c>
      <c r="AY24" s="39"/>
      <c r="AZ24" s="1" t="str">
        <f t="shared" si="1"/>
        <v/>
      </c>
      <c r="BA24" s="11" t="str">
        <f t="shared" si="2"/>
        <v/>
      </c>
      <c r="BB24" s="1" t="str">
        <f t="shared" si="3"/>
        <v/>
      </c>
      <c r="BC24" s="39"/>
      <c r="BD24" s="53" t="str">
        <f t="shared" si="4"/>
        <v/>
      </c>
      <c r="BE24" s="12" t="str">
        <f t="shared" si="5"/>
        <v/>
      </c>
      <c r="BF24" s="12" t="str">
        <f t="shared" si="6"/>
        <v/>
      </c>
      <c r="BG24" s="12" t="str">
        <f t="shared" si="24"/>
        <v/>
      </c>
      <c r="BH24" s="12" t="str">
        <f t="shared" si="7"/>
        <v/>
      </c>
      <c r="BI24" s="54" t="str">
        <f t="shared" si="25"/>
        <v/>
      </c>
      <c r="BJ24" s="39"/>
      <c r="BK24" s="55" t="str">
        <f t="shared" si="8"/>
        <v/>
      </c>
      <c r="BL24" s="13" t="str">
        <f t="shared" si="9"/>
        <v/>
      </c>
      <c r="BM24" s="13" t="str">
        <f t="shared" si="10"/>
        <v/>
      </c>
      <c r="BN24" s="56" t="str">
        <f t="shared" si="11"/>
        <v/>
      </c>
      <c r="BO24" s="39"/>
      <c r="BP24" s="14" t="str">
        <f t="shared" si="12"/>
        <v/>
      </c>
      <c r="BQ24" s="15">
        <v>0</v>
      </c>
      <c r="BR24" s="15" t="str">
        <f t="shared" si="26"/>
        <v/>
      </c>
      <c r="BS24" s="15" t="str">
        <f t="shared" si="27"/>
        <v/>
      </c>
      <c r="BT24" s="16" t="str">
        <f t="shared" si="13"/>
        <v/>
      </c>
      <c r="BU24" s="39"/>
      <c r="BV24" s="51" t="str">
        <f t="shared" si="14"/>
        <v/>
      </c>
      <c r="BW24" s="28" t="str">
        <f t="shared" si="15"/>
        <v/>
      </c>
      <c r="BX24" s="28" t="str">
        <f t="shared" si="16"/>
        <v/>
      </c>
      <c r="BY24" s="28" t="str">
        <f t="shared" si="17"/>
        <v/>
      </c>
      <c r="BZ24" s="28" t="str">
        <f t="shared" si="28"/>
        <v/>
      </c>
      <c r="CA24" s="52" t="str">
        <f t="shared" si="29"/>
        <v/>
      </c>
      <c r="CB24" s="39"/>
      <c r="CC24" s="49" t="str">
        <f t="shared" si="18"/>
        <v>-</v>
      </c>
      <c r="CD24" s="29" t="str">
        <f t="shared" si="19"/>
        <v>-</v>
      </c>
      <c r="CE24" s="29" t="str">
        <f t="shared" si="20"/>
        <v>-</v>
      </c>
      <c r="CF24" s="29" t="str">
        <f t="shared" si="21"/>
        <v>-</v>
      </c>
      <c r="CG24" s="50" t="str">
        <f t="shared" si="22"/>
        <v>-</v>
      </c>
      <c r="CH24" s="39"/>
    </row>
    <row r="25" spans="1:86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2"/>
      <c r="D25" s="2"/>
      <c r="E25" s="3"/>
      <c r="F25" s="2"/>
      <c r="G25" s="2"/>
      <c r="H25" s="4"/>
      <c r="I25" s="4"/>
      <c r="J25" s="58"/>
      <c r="K25" s="5"/>
      <c r="L25" s="2"/>
      <c r="M25" s="2"/>
      <c r="N25" s="2"/>
      <c r="O25" s="2"/>
      <c r="P25" s="3"/>
      <c r="Q25" s="2"/>
      <c r="R25" s="2"/>
      <c r="S25" s="2"/>
      <c r="T25" s="2"/>
      <c r="U25" s="2"/>
      <c r="V25" s="3"/>
      <c r="W25" s="3"/>
      <c r="X25" s="2"/>
      <c r="Y25" s="2"/>
      <c r="Z25" s="2"/>
      <c r="AA25" s="2"/>
      <c r="AB25" s="2"/>
      <c r="AC25" s="2"/>
      <c r="AD25" s="2"/>
      <c r="AE25" s="2"/>
      <c r="AF25" s="3"/>
      <c r="AG25" s="3"/>
      <c r="AH25" s="2"/>
      <c r="AI25" s="6"/>
      <c r="AJ25" s="7"/>
      <c r="AK25" s="6"/>
      <c r="AL25" s="59"/>
      <c r="AM25" s="59"/>
      <c r="AN25" s="59"/>
      <c r="AO25" s="59"/>
      <c r="AP25" s="59"/>
      <c r="AQ25" s="59"/>
      <c r="AR25" s="59"/>
      <c r="AS25" s="59"/>
      <c r="AT25" s="8"/>
      <c r="AU25" s="8"/>
      <c r="AV25" s="9"/>
      <c r="AW25" s="8"/>
      <c r="AX25" s="10" t="str">
        <f t="shared" si="23"/>
        <v>-</v>
      </c>
      <c r="AY25" s="39"/>
      <c r="AZ25" s="1" t="str">
        <f t="shared" si="1"/>
        <v/>
      </c>
      <c r="BA25" s="11" t="str">
        <f t="shared" si="2"/>
        <v/>
      </c>
      <c r="BB25" s="1" t="str">
        <f t="shared" si="3"/>
        <v/>
      </c>
      <c r="BC25" s="39"/>
      <c r="BD25" s="53" t="str">
        <f t="shared" si="4"/>
        <v/>
      </c>
      <c r="BE25" s="12" t="str">
        <f t="shared" si="5"/>
        <v/>
      </c>
      <c r="BF25" s="12" t="str">
        <f t="shared" si="6"/>
        <v/>
      </c>
      <c r="BG25" s="12" t="str">
        <f t="shared" si="24"/>
        <v/>
      </c>
      <c r="BH25" s="12" t="str">
        <f t="shared" si="7"/>
        <v/>
      </c>
      <c r="BI25" s="54" t="str">
        <f t="shared" si="25"/>
        <v/>
      </c>
      <c r="BJ25" s="39"/>
      <c r="BK25" s="55" t="str">
        <f t="shared" si="8"/>
        <v/>
      </c>
      <c r="BL25" s="13" t="str">
        <f t="shared" si="9"/>
        <v/>
      </c>
      <c r="BM25" s="13" t="str">
        <f t="shared" si="10"/>
        <v/>
      </c>
      <c r="BN25" s="56" t="str">
        <f t="shared" si="11"/>
        <v/>
      </c>
      <c r="BO25" s="39"/>
      <c r="BP25" s="14" t="str">
        <f t="shared" si="12"/>
        <v/>
      </c>
      <c r="BQ25" s="15">
        <v>0</v>
      </c>
      <c r="BR25" s="15" t="str">
        <f t="shared" si="26"/>
        <v/>
      </c>
      <c r="BS25" s="15" t="str">
        <f t="shared" si="27"/>
        <v/>
      </c>
      <c r="BT25" s="16" t="str">
        <f t="shared" si="13"/>
        <v/>
      </c>
      <c r="BU25" s="39"/>
      <c r="BV25" s="51" t="str">
        <f t="shared" si="14"/>
        <v/>
      </c>
      <c r="BW25" s="28" t="str">
        <f t="shared" si="15"/>
        <v/>
      </c>
      <c r="BX25" s="28" t="str">
        <f t="shared" si="16"/>
        <v/>
      </c>
      <c r="BY25" s="28" t="str">
        <f t="shared" si="17"/>
        <v/>
      </c>
      <c r="BZ25" s="28" t="str">
        <f t="shared" si="28"/>
        <v/>
      </c>
      <c r="CA25" s="52" t="str">
        <f t="shared" si="29"/>
        <v/>
      </c>
      <c r="CB25" s="39"/>
      <c r="CC25" s="49" t="str">
        <f t="shared" si="18"/>
        <v>-</v>
      </c>
      <c r="CD25" s="29" t="str">
        <f t="shared" si="19"/>
        <v>-</v>
      </c>
      <c r="CE25" s="29" t="str">
        <f t="shared" si="20"/>
        <v>-</v>
      </c>
      <c r="CF25" s="29" t="str">
        <f t="shared" si="21"/>
        <v>-</v>
      </c>
      <c r="CG25" s="50" t="str">
        <f t="shared" si="22"/>
        <v>-</v>
      </c>
      <c r="CH25" s="39"/>
    </row>
    <row r="26" spans="1:86" s="27" customFormat="1" ht="12.4" customHeight="1" thickBot="1" x14ac:dyDescent="0.25">
      <c r="A26" s="43">
        <f t="shared" si="30"/>
        <v>46318</v>
      </c>
      <c r="B26" s="44" t="str">
        <f>+TEXT(A26,"DDD")</f>
        <v>Fri</v>
      </c>
      <c r="C26" s="2"/>
      <c r="D26" s="2"/>
      <c r="E26" s="3"/>
      <c r="F26" s="2"/>
      <c r="G26" s="2"/>
      <c r="H26" s="4"/>
      <c r="I26" s="4"/>
      <c r="J26" s="58"/>
      <c r="K26" s="5"/>
      <c r="L26" s="2"/>
      <c r="M26" s="2"/>
      <c r="N26" s="2"/>
      <c r="O26" s="2"/>
      <c r="P26" s="3"/>
      <c r="Q26" s="2"/>
      <c r="R26" s="2"/>
      <c r="S26" s="2"/>
      <c r="T26" s="2"/>
      <c r="U26" s="2"/>
      <c r="V26" s="3"/>
      <c r="W26" s="3"/>
      <c r="X26" s="2"/>
      <c r="Y26" s="2"/>
      <c r="Z26" s="2"/>
      <c r="AA26" s="2"/>
      <c r="AB26" s="2"/>
      <c r="AC26" s="2"/>
      <c r="AD26" s="2"/>
      <c r="AE26" s="2"/>
      <c r="AF26" s="3"/>
      <c r="AG26" s="3"/>
      <c r="AH26" s="2"/>
      <c r="AI26" s="6"/>
      <c r="AJ26" s="7"/>
      <c r="AK26" s="6"/>
      <c r="AL26" s="59"/>
      <c r="AM26" s="59"/>
      <c r="AN26" s="59"/>
      <c r="AO26" s="59"/>
      <c r="AP26" s="59"/>
      <c r="AQ26" s="59"/>
      <c r="AR26" s="59"/>
      <c r="AS26" s="59"/>
      <c r="AT26" s="8"/>
      <c r="AU26" s="8"/>
      <c r="AV26" s="9"/>
      <c r="AW26" s="8"/>
      <c r="AX26" s="10" t="str">
        <f t="shared" si="23"/>
        <v>-</v>
      </c>
      <c r="AY26" s="39"/>
      <c r="AZ26" s="1" t="str">
        <f t="shared" si="1"/>
        <v/>
      </c>
      <c r="BA26" s="11" t="str">
        <f t="shared" si="2"/>
        <v/>
      </c>
      <c r="BB26" s="1" t="str">
        <f t="shared" si="3"/>
        <v/>
      </c>
      <c r="BC26" s="39"/>
      <c r="BD26" s="53" t="str">
        <f t="shared" si="4"/>
        <v/>
      </c>
      <c r="BE26" s="12" t="str">
        <f t="shared" si="5"/>
        <v/>
      </c>
      <c r="BF26" s="12" t="str">
        <f t="shared" si="6"/>
        <v/>
      </c>
      <c r="BG26" s="12" t="str">
        <f t="shared" si="24"/>
        <v/>
      </c>
      <c r="BH26" s="12" t="str">
        <f t="shared" si="7"/>
        <v/>
      </c>
      <c r="BI26" s="54" t="str">
        <f t="shared" si="25"/>
        <v/>
      </c>
      <c r="BJ26" s="39"/>
      <c r="BK26" s="55" t="str">
        <f t="shared" si="8"/>
        <v/>
      </c>
      <c r="BL26" s="13" t="str">
        <f t="shared" si="9"/>
        <v/>
      </c>
      <c r="BM26" s="13" t="str">
        <f t="shared" si="10"/>
        <v/>
      </c>
      <c r="BN26" s="56" t="str">
        <f t="shared" si="11"/>
        <v/>
      </c>
      <c r="BO26" s="39"/>
      <c r="BP26" s="14" t="str">
        <f t="shared" si="12"/>
        <v/>
      </c>
      <c r="BQ26" s="15">
        <v>0</v>
      </c>
      <c r="BR26" s="15" t="str">
        <f t="shared" si="26"/>
        <v/>
      </c>
      <c r="BS26" s="15" t="str">
        <f t="shared" si="27"/>
        <v/>
      </c>
      <c r="BT26" s="16" t="str">
        <f t="shared" si="13"/>
        <v/>
      </c>
      <c r="BU26" s="39"/>
      <c r="BV26" s="51" t="str">
        <f t="shared" si="14"/>
        <v/>
      </c>
      <c r="BW26" s="28" t="str">
        <f t="shared" si="15"/>
        <v/>
      </c>
      <c r="BX26" s="28" t="str">
        <f t="shared" si="16"/>
        <v/>
      </c>
      <c r="BY26" s="28" t="str">
        <f t="shared" si="17"/>
        <v/>
      </c>
      <c r="BZ26" s="28" t="str">
        <f t="shared" si="28"/>
        <v/>
      </c>
      <c r="CA26" s="52" t="str">
        <f t="shared" si="29"/>
        <v/>
      </c>
      <c r="CB26" s="39"/>
      <c r="CC26" s="49" t="str">
        <f t="shared" si="18"/>
        <v>-</v>
      </c>
      <c r="CD26" s="29" t="str">
        <f t="shared" si="19"/>
        <v>-</v>
      </c>
      <c r="CE26" s="29" t="str">
        <f t="shared" si="20"/>
        <v>-</v>
      </c>
      <c r="CF26" s="29" t="str">
        <f t="shared" si="21"/>
        <v>-</v>
      </c>
      <c r="CG26" s="50" t="str">
        <f t="shared" si="22"/>
        <v>-</v>
      </c>
      <c r="CH26" s="39"/>
    </row>
    <row r="27" spans="1:86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2"/>
      <c r="D27" s="2"/>
      <c r="E27" s="3"/>
      <c r="F27" s="2"/>
      <c r="G27" s="2"/>
      <c r="H27" s="4"/>
      <c r="I27" s="4"/>
      <c r="J27" s="58"/>
      <c r="K27" s="5"/>
      <c r="L27" s="2"/>
      <c r="M27" s="2"/>
      <c r="N27" s="2"/>
      <c r="O27" s="2"/>
      <c r="P27" s="3"/>
      <c r="Q27" s="2"/>
      <c r="R27" s="2"/>
      <c r="S27" s="2"/>
      <c r="T27" s="2"/>
      <c r="U27" s="2"/>
      <c r="V27" s="3"/>
      <c r="W27" s="3"/>
      <c r="X27" s="2"/>
      <c r="Y27" s="2"/>
      <c r="Z27" s="2"/>
      <c r="AA27" s="2"/>
      <c r="AB27" s="2"/>
      <c r="AC27" s="2"/>
      <c r="AD27" s="2"/>
      <c r="AE27" s="2"/>
      <c r="AF27" s="3"/>
      <c r="AG27" s="3"/>
      <c r="AH27" s="2"/>
      <c r="AI27" s="6"/>
      <c r="AJ27" s="7"/>
      <c r="AK27" s="6"/>
      <c r="AL27" s="59"/>
      <c r="AM27" s="59"/>
      <c r="AN27" s="59"/>
      <c r="AO27" s="59"/>
      <c r="AP27" s="59"/>
      <c r="AQ27" s="59"/>
      <c r="AR27" s="59"/>
      <c r="AS27" s="59"/>
      <c r="AT27" s="8"/>
      <c r="AU27" s="8"/>
      <c r="AV27" s="9"/>
      <c r="AW27" s="8"/>
      <c r="AX27" s="10" t="str">
        <f t="shared" si="23"/>
        <v>-</v>
      </c>
      <c r="AY27" s="39"/>
      <c r="AZ27" s="1" t="str">
        <f t="shared" si="1"/>
        <v/>
      </c>
      <c r="BA27" s="11" t="str">
        <f t="shared" si="2"/>
        <v/>
      </c>
      <c r="BB27" s="1" t="str">
        <f t="shared" si="3"/>
        <v/>
      </c>
      <c r="BC27" s="39"/>
      <c r="BD27" s="53" t="str">
        <f t="shared" si="4"/>
        <v/>
      </c>
      <c r="BE27" s="12" t="str">
        <f t="shared" si="5"/>
        <v/>
      </c>
      <c r="BF27" s="12" t="str">
        <f t="shared" si="6"/>
        <v/>
      </c>
      <c r="BG27" s="12" t="str">
        <f t="shared" si="24"/>
        <v/>
      </c>
      <c r="BH27" s="12" t="str">
        <f t="shared" si="7"/>
        <v/>
      </c>
      <c r="BI27" s="54" t="str">
        <f t="shared" si="25"/>
        <v/>
      </c>
      <c r="BJ27" s="39"/>
      <c r="BK27" s="55" t="str">
        <f t="shared" si="8"/>
        <v/>
      </c>
      <c r="BL27" s="13" t="str">
        <f t="shared" si="9"/>
        <v/>
      </c>
      <c r="BM27" s="13" t="str">
        <f t="shared" si="10"/>
        <v/>
      </c>
      <c r="BN27" s="56" t="str">
        <f t="shared" si="11"/>
        <v/>
      </c>
      <c r="BO27" s="39"/>
      <c r="BP27" s="14" t="str">
        <f t="shared" si="12"/>
        <v/>
      </c>
      <c r="BQ27" s="15">
        <v>0</v>
      </c>
      <c r="BR27" s="15" t="str">
        <f t="shared" si="26"/>
        <v/>
      </c>
      <c r="BS27" s="15" t="str">
        <f t="shared" si="27"/>
        <v/>
      </c>
      <c r="BT27" s="16" t="str">
        <f t="shared" si="13"/>
        <v/>
      </c>
      <c r="BU27" s="39"/>
      <c r="BV27" s="51" t="str">
        <f t="shared" si="14"/>
        <v/>
      </c>
      <c r="BW27" s="28" t="str">
        <f t="shared" si="15"/>
        <v/>
      </c>
      <c r="BX27" s="28" t="str">
        <f t="shared" si="16"/>
        <v/>
      </c>
      <c r="BY27" s="28" t="str">
        <f t="shared" si="17"/>
        <v/>
      </c>
      <c r="BZ27" s="28" t="str">
        <f t="shared" si="28"/>
        <v/>
      </c>
      <c r="CA27" s="52" t="str">
        <f t="shared" si="29"/>
        <v/>
      </c>
      <c r="CB27" s="39"/>
      <c r="CC27" s="49" t="str">
        <f t="shared" si="18"/>
        <v>-</v>
      </c>
      <c r="CD27" s="29" t="str">
        <f t="shared" si="19"/>
        <v>-</v>
      </c>
      <c r="CE27" s="29" t="str">
        <f t="shared" si="20"/>
        <v>-</v>
      </c>
      <c r="CF27" s="29" t="str">
        <f t="shared" si="21"/>
        <v>-</v>
      </c>
      <c r="CG27" s="50" t="str">
        <f t="shared" si="22"/>
        <v>-</v>
      </c>
      <c r="CH27" s="39"/>
    </row>
    <row r="28" spans="1:86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2"/>
      <c r="D28" s="2"/>
      <c r="E28" s="3"/>
      <c r="F28" s="2"/>
      <c r="G28" s="2"/>
      <c r="H28" s="4"/>
      <c r="I28" s="4"/>
      <c r="J28" s="68"/>
      <c r="K28" s="5"/>
      <c r="L28" s="2"/>
      <c r="M28" s="2"/>
      <c r="N28" s="2"/>
      <c r="O28" s="2"/>
      <c r="P28" s="3"/>
      <c r="Q28" s="2"/>
      <c r="R28" s="2"/>
      <c r="S28" s="2"/>
      <c r="T28" s="2"/>
      <c r="U28" s="2"/>
      <c r="V28" s="3"/>
      <c r="W28" s="3"/>
      <c r="X28" s="2"/>
      <c r="Y28" s="2"/>
      <c r="Z28" s="2"/>
      <c r="AA28" s="2"/>
      <c r="AB28" s="2"/>
      <c r="AC28" s="2"/>
      <c r="AD28" s="2"/>
      <c r="AE28" s="2"/>
      <c r="AF28" s="3"/>
      <c r="AG28" s="3"/>
      <c r="AH28" s="2"/>
      <c r="AI28" s="6"/>
      <c r="AJ28" s="7"/>
      <c r="AK28" s="6"/>
      <c r="AL28" s="59"/>
      <c r="AM28" s="59"/>
      <c r="AN28" s="59"/>
      <c r="AO28" s="59"/>
      <c r="AP28" s="59"/>
      <c r="AQ28" s="59"/>
      <c r="AR28" s="59"/>
      <c r="AS28" s="59"/>
      <c r="AT28" s="8"/>
      <c r="AU28" s="8"/>
      <c r="AV28" s="9"/>
      <c r="AW28" s="8"/>
      <c r="AX28" s="10" t="str">
        <f t="shared" si="23"/>
        <v>-</v>
      </c>
      <c r="AY28" s="39"/>
      <c r="AZ28" s="1" t="str">
        <f t="shared" si="1"/>
        <v/>
      </c>
      <c r="BA28" s="11" t="str">
        <f t="shared" si="2"/>
        <v/>
      </c>
      <c r="BB28" s="1" t="str">
        <f t="shared" si="3"/>
        <v/>
      </c>
      <c r="BC28" s="39"/>
      <c r="BD28" s="53" t="str">
        <f t="shared" si="4"/>
        <v/>
      </c>
      <c r="BE28" s="12" t="str">
        <f t="shared" si="5"/>
        <v/>
      </c>
      <c r="BF28" s="12" t="str">
        <f t="shared" si="6"/>
        <v/>
      </c>
      <c r="BG28" s="12" t="str">
        <f t="shared" si="24"/>
        <v/>
      </c>
      <c r="BH28" s="12" t="str">
        <f t="shared" si="7"/>
        <v/>
      </c>
      <c r="BI28" s="54" t="str">
        <f t="shared" si="25"/>
        <v/>
      </c>
      <c r="BJ28" s="39"/>
      <c r="BK28" s="55" t="str">
        <f t="shared" si="8"/>
        <v/>
      </c>
      <c r="BL28" s="13" t="str">
        <f t="shared" si="9"/>
        <v/>
      </c>
      <c r="BM28" s="13" t="str">
        <f t="shared" si="10"/>
        <v/>
      </c>
      <c r="BN28" s="56" t="str">
        <f t="shared" si="11"/>
        <v/>
      </c>
      <c r="BO28" s="39"/>
      <c r="BP28" s="14" t="str">
        <f t="shared" si="12"/>
        <v/>
      </c>
      <c r="BQ28" s="15">
        <v>0</v>
      </c>
      <c r="BR28" s="15" t="str">
        <f t="shared" si="26"/>
        <v/>
      </c>
      <c r="BS28" s="15" t="str">
        <f t="shared" si="27"/>
        <v/>
      </c>
      <c r="BT28" s="16" t="str">
        <f t="shared" si="13"/>
        <v/>
      </c>
      <c r="BU28" s="39"/>
      <c r="BV28" s="51" t="str">
        <f t="shared" si="14"/>
        <v/>
      </c>
      <c r="BW28" s="28" t="str">
        <f t="shared" si="15"/>
        <v/>
      </c>
      <c r="BX28" s="28" t="str">
        <f t="shared" si="16"/>
        <v/>
      </c>
      <c r="BY28" s="28" t="str">
        <f t="shared" si="17"/>
        <v/>
      </c>
      <c r="BZ28" s="28" t="str">
        <f t="shared" si="28"/>
        <v/>
      </c>
      <c r="CA28" s="52" t="str">
        <f t="shared" si="29"/>
        <v/>
      </c>
      <c r="CB28" s="39"/>
      <c r="CC28" s="49" t="str">
        <f t="shared" si="18"/>
        <v>-</v>
      </c>
      <c r="CD28" s="29" t="str">
        <f t="shared" si="19"/>
        <v>-</v>
      </c>
      <c r="CE28" s="29" t="str">
        <f t="shared" si="20"/>
        <v>-</v>
      </c>
      <c r="CF28" s="29" t="str">
        <f t="shared" si="21"/>
        <v>-</v>
      </c>
      <c r="CG28" s="50" t="str">
        <f t="shared" si="22"/>
        <v>-</v>
      </c>
      <c r="CH28" s="39"/>
    </row>
    <row r="29" spans="1:86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2"/>
      <c r="D29" s="2"/>
      <c r="E29" s="3"/>
      <c r="F29" s="2"/>
      <c r="G29" s="2"/>
      <c r="H29" s="4"/>
      <c r="I29" s="4"/>
      <c r="J29" s="66"/>
      <c r="K29" s="5"/>
      <c r="L29" s="2"/>
      <c r="M29" s="2"/>
      <c r="N29" s="2"/>
      <c r="O29" s="2"/>
      <c r="P29" s="3"/>
      <c r="Q29" s="2"/>
      <c r="R29" s="2"/>
      <c r="S29" s="2"/>
      <c r="T29" s="2"/>
      <c r="U29" s="2"/>
      <c r="V29" s="3"/>
      <c r="W29" s="3"/>
      <c r="X29" s="2"/>
      <c r="Y29" s="2"/>
      <c r="Z29" s="2"/>
      <c r="AA29" s="2"/>
      <c r="AB29" s="2"/>
      <c r="AC29" s="2"/>
      <c r="AD29" s="2"/>
      <c r="AE29" s="2"/>
      <c r="AF29" s="3"/>
      <c r="AG29" s="3"/>
      <c r="AH29" s="2"/>
      <c r="AI29" s="6"/>
      <c r="AJ29" s="7"/>
      <c r="AK29" s="6"/>
      <c r="AL29" s="59"/>
      <c r="AM29" s="59"/>
      <c r="AN29" s="59"/>
      <c r="AO29" s="59"/>
      <c r="AP29" s="59"/>
      <c r="AQ29" s="59"/>
      <c r="AR29" s="59"/>
      <c r="AS29" s="59"/>
      <c r="AT29" s="8"/>
      <c r="AU29" s="8"/>
      <c r="AV29" s="9"/>
      <c r="AW29" s="8"/>
      <c r="AX29" s="10" t="str">
        <f>IFERROR(AN29/AW29,"-")</f>
        <v>-</v>
      </c>
      <c r="AY29" s="39"/>
      <c r="AZ29" s="1" t="str">
        <f t="shared" si="1"/>
        <v/>
      </c>
      <c r="BA29" s="11" t="str">
        <f t="shared" si="2"/>
        <v/>
      </c>
      <c r="BB29" s="1" t="str">
        <f t="shared" si="3"/>
        <v/>
      </c>
      <c r="BC29" s="39"/>
      <c r="BD29" s="53" t="str">
        <f t="shared" si="4"/>
        <v/>
      </c>
      <c r="BE29" s="12" t="str">
        <f t="shared" si="5"/>
        <v/>
      </c>
      <c r="BF29" s="12" t="str">
        <f t="shared" si="6"/>
        <v/>
      </c>
      <c r="BG29" s="12" t="str">
        <f t="shared" si="24"/>
        <v/>
      </c>
      <c r="BH29" s="12" t="str">
        <f t="shared" si="7"/>
        <v/>
      </c>
      <c r="BI29" s="54" t="str">
        <f t="shared" si="25"/>
        <v/>
      </c>
      <c r="BJ29" s="39"/>
      <c r="BK29" s="55" t="str">
        <f t="shared" si="8"/>
        <v/>
      </c>
      <c r="BL29" s="13" t="str">
        <f t="shared" si="9"/>
        <v/>
      </c>
      <c r="BM29" s="13" t="str">
        <f t="shared" si="10"/>
        <v/>
      </c>
      <c r="BN29" s="56" t="str">
        <f t="shared" si="11"/>
        <v/>
      </c>
      <c r="BO29" s="39"/>
      <c r="BP29" s="14" t="str">
        <f t="shared" si="12"/>
        <v/>
      </c>
      <c r="BQ29" s="15">
        <v>0</v>
      </c>
      <c r="BR29" s="15" t="str">
        <f t="shared" si="26"/>
        <v/>
      </c>
      <c r="BS29" s="15" t="str">
        <f t="shared" si="27"/>
        <v/>
      </c>
      <c r="BT29" s="16" t="str">
        <f t="shared" si="13"/>
        <v/>
      </c>
      <c r="BU29" s="39"/>
      <c r="BV29" s="51" t="str">
        <f t="shared" si="14"/>
        <v/>
      </c>
      <c r="BW29" s="28" t="str">
        <f t="shared" si="15"/>
        <v/>
      </c>
      <c r="BX29" s="28" t="str">
        <f t="shared" si="16"/>
        <v/>
      </c>
      <c r="BY29" s="28" t="str">
        <f t="shared" si="17"/>
        <v/>
      </c>
      <c r="BZ29" s="28" t="str">
        <f t="shared" si="28"/>
        <v/>
      </c>
      <c r="CA29" s="52" t="str">
        <f t="shared" si="29"/>
        <v/>
      </c>
      <c r="CB29" s="39"/>
      <c r="CC29" s="49" t="str">
        <f t="shared" si="18"/>
        <v>-</v>
      </c>
      <c r="CD29" s="29" t="str">
        <f t="shared" si="19"/>
        <v>-</v>
      </c>
      <c r="CE29" s="29" t="str">
        <f t="shared" si="20"/>
        <v>-</v>
      </c>
      <c r="CF29" s="29" t="str">
        <f t="shared" si="21"/>
        <v>-</v>
      </c>
      <c r="CG29" s="50" t="str">
        <f t="shared" si="22"/>
        <v>-</v>
      </c>
      <c r="CH29" s="39"/>
    </row>
    <row r="30" spans="1:86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2"/>
      <c r="D30" s="2"/>
      <c r="E30" s="3"/>
      <c r="F30" s="2"/>
      <c r="G30" s="2"/>
      <c r="H30" s="4"/>
      <c r="I30" s="4"/>
      <c r="J30" s="66"/>
      <c r="K30" s="5"/>
      <c r="L30" s="2"/>
      <c r="M30" s="2"/>
      <c r="N30" s="2"/>
      <c r="O30" s="2"/>
      <c r="P30" s="3"/>
      <c r="Q30" s="2"/>
      <c r="R30" s="2"/>
      <c r="S30" s="2"/>
      <c r="T30" s="2"/>
      <c r="U30" s="2"/>
      <c r="V30" s="3"/>
      <c r="W30" s="3"/>
      <c r="X30" s="2"/>
      <c r="Y30" s="2"/>
      <c r="Z30" s="2"/>
      <c r="AA30" s="2"/>
      <c r="AB30" s="2"/>
      <c r="AC30" s="2"/>
      <c r="AD30" s="2"/>
      <c r="AE30" s="2"/>
      <c r="AF30" s="3"/>
      <c r="AG30" s="3"/>
      <c r="AH30" s="2"/>
      <c r="AI30" s="6"/>
      <c r="AJ30" s="7"/>
      <c r="AK30" s="6"/>
      <c r="AL30" s="59"/>
      <c r="AM30" s="59"/>
      <c r="AN30" s="59"/>
      <c r="AO30" s="59"/>
      <c r="AP30" s="59"/>
      <c r="AQ30" s="59"/>
      <c r="AR30" s="59"/>
      <c r="AS30" s="59"/>
      <c r="AT30" s="8"/>
      <c r="AU30" s="8"/>
      <c r="AV30" s="9"/>
      <c r="AW30" s="8"/>
      <c r="AX30" s="10" t="str">
        <f>IFERROR(AN30/AW30,"-")</f>
        <v>-</v>
      </c>
      <c r="AY30" s="39"/>
      <c r="AZ30" s="1" t="str">
        <f t="shared" si="1"/>
        <v/>
      </c>
      <c r="BA30" s="11" t="str">
        <f t="shared" si="2"/>
        <v/>
      </c>
      <c r="BB30" s="1" t="str">
        <f t="shared" si="3"/>
        <v/>
      </c>
      <c r="BC30" s="39"/>
      <c r="BD30" s="53" t="str">
        <f t="shared" si="4"/>
        <v/>
      </c>
      <c r="BE30" s="12" t="str">
        <f t="shared" si="5"/>
        <v/>
      </c>
      <c r="BF30" s="12" t="str">
        <f t="shared" si="6"/>
        <v/>
      </c>
      <c r="BG30" s="12" t="str">
        <f t="shared" si="24"/>
        <v/>
      </c>
      <c r="BH30" s="12" t="str">
        <f t="shared" si="7"/>
        <v/>
      </c>
      <c r="BI30" s="54" t="str">
        <f t="shared" si="25"/>
        <v/>
      </c>
      <c r="BJ30" s="39"/>
      <c r="BK30" s="55" t="str">
        <f t="shared" si="8"/>
        <v/>
      </c>
      <c r="BL30" s="13" t="str">
        <f t="shared" si="9"/>
        <v/>
      </c>
      <c r="BM30" s="13" t="str">
        <f t="shared" si="10"/>
        <v/>
      </c>
      <c r="BN30" s="56" t="str">
        <f t="shared" si="11"/>
        <v/>
      </c>
      <c r="BO30" s="39"/>
      <c r="BP30" s="14" t="str">
        <f t="shared" si="12"/>
        <v/>
      </c>
      <c r="BQ30" s="15">
        <v>0</v>
      </c>
      <c r="BR30" s="15" t="str">
        <f t="shared" si="26"/>
        <v/>
      </c>
      <c r="BS30" s="15" t="str">
        <f t="shared" si="27"/>
        <v/>
      </c>
      <c r="BT30" s="16" t="str">
        <f t="shared" si="13"/>
        <v/>
      </c>
      <c r="BU30" s="39"/>
      <c r="BV30" s="51" t="str">
        <f t="shared" si="14"/>
        <v/>
      </c>
      <c r="BW30" s="28" t="str">
        <f t="shared" si="15"/>
        <v/>
      </c>
      <c r="BX30" s="28" t="str">
        <f t="shared" si="16"/>
        <v/>
      </c>
      <c r="BY30" s="28" t="str">
        <f t="shared" si="17"/>
        <v/>
      </c>
      <c r="BZ30" s="28" t="str">
        <f t="shared" si="28"/>
        <v/>
      </c>
      <c r="CA30" s="52" t="str">
        <f t="shared" si="29"/>
        <v/>
      </c>
      <c r="CB30" s="39"/>
      <c r="CC30" s="49" t="str">
        <f t="shared" si="18"/>
        <v>-</v>
      </c>
      <c r="CD30" s="29" t="str">
        <f t="shared" si="19"/>
        <v>-</v>
      </c>
      <c r="CE30" s="29" t="str">
        <f t="shared" si="20"/>
        <v>-</v>
      </c>
      <c r="CF30" s="29" t="str">
        <f t="shared" si="21"/>
        <v>-</v>
      </c>
      <c r="CG30" s="50" t="str">
        <f t="shared" si="22"/>
        <v>-</v>
      </c>
      <c r="CH30" s="39"/>
    </row>
    <row r="31" spans="1:86" s="27" customFormat="1" ht="12.4" customHeight="1" thickBot="1" x14ac:dyDescent="0.25">
      <c r="A31" s="43">
        <f t="shared" si="30"/>
        <v>46323</v>
      </c>
      <c r="B31" s="44" t="str">
        <f>+TEXT(A31,"DDD")</f>
        <v>Wed</v>
      </c>
      <c r="C31" s="2"/>
      <c r="D31" s="2"/>
      <c r="E31" s="3"/>
      <c r="F31" s="2"/>
      <c r="G31" s="2"/>
      <c r="H31" s="4"/>
      <c r="I31" s="4"/>
      <c r="J31" s="58"/>
      <c r="K31" s="5"/>
      <c r="L31" s="2"/>
      <c r="M31" s="2"/>
      <c r="N31" s="2"/>
      <c r="O31" s="2"/>
      <c r="P31" s="3"/>
      <c r="Q31" s="2"/>
      <c r="R31" s="2"/>
      <c r="S31" s="2"/>
      <c r="T31" s="2"/>
      <c r="U31" s="2"/>
      <c r="V31" s="3"/>
      <c r="W31" s="3"/>
      <c r="X31" s="2"/>
      <c r="Y31" s="2"/>
      <c r="Z31" s="2"/>
      <c r="AA31" s="2"/>
      <c r="AB31" s="2"/>
      <c r="AC31" s="2"/>
      <c r="AD31" s="2"/>
      <c r="AE31" s="2"/>
      <c r="AF31" s="3"/>
      <c r="AG31" s="3"/>
      <c r="AH31" s="2"/>
      <c r="AI31" s="6"/>
      <c r="AJ31" s="7"/>
      <c r="AK31" s="6"/>
      <c r="AL31" s="59"/>
      <c r="AM31" s="59"/>
      <c r="AN31" s="59"/>
      <c r="AO31" s="59"/>
      <c r="AP31" s="59"/>
      <c r="AQ31" s="59"/>
      <c r="AR31" s="59"/>
      <c r="AS31" s="59"/>
      <c r="AT31" s="8"/>
      <c r="AU31" s="8"/>
      <c r="AV31" s="9"/>
      <c r="AW31" s="8"/>
      <c r="AX31" s="10" t="str">
        <f t="shared" si="23"/>
        <v>-</v>
      </c>
      <c r="AY31" s="39"/>
      <c r="AZ31" s="1" t="str">
        <f t="shared" si="1"/>
        <v/>
      </c>
      <c r="BA31" s="11" t="str">
        <f t="shared" si="2"/>
        <v/>
      </c>
      <c r="BB31" s="1" t="str">
        <f t="shared" si="3"/>
        <v/>
      </c>
      <c r="BC31" s="39"/>
      <c r="BD31" s="53" t="str">
        <f t="shared" si="4"/>
        <v/>
      </c>
      <c r="BE31" s="12" t="str">
        <f t="shared" si="5"/>
        <v/>
      </c>
      <c r="BF31" s="12" t="str">
        <f t="shared" si="6"/>
        <v/>
      </c>
      <c r="BG31" s="12" t="str">
        <f t="shared" si="24"/>
        <v/>
      </c>
      <c r="BH31" s="12" t="str">
        <f t="shared" si="7"/>
        <v/>
      </c>
      <c r="BI31" s="54" t="str">
        <f t="shared" si="25"/>
        <v/>
      </c>
      <c r="BJ31" s="39"/>
      <c r="BK31" s="55" t="str">
        <f t="shared" si="8"/>
        <v/>
      </c>
      <c r="BL31" s="13" t="str">
        <f t="shared" si="9"/>
        <v/>
      </c>
      <c r="BM31" s="13" t="str">
        <f t="shared" si="10"/>
        <v/>
      </c>
      <c r="BN31" s="56" t="str">
        <f t="shared" si="11"/>
        <v/>
      </c>
      <c r="BO31" s="39"/>
      <c r="BP31" s="14" t="str">
        <f t="shared" si="12"/>
        <v/>
      </c>
      <c r="BQ31" s="15">
        <v>0</v>
      </c>
      <c r="BR31" s="15" t="str">
        <f t="shared" si="26"/>
        <v/>
      </c>
      <c r="BS31" s="15" t="str">
        <f t="shared" si="27"/>
        <v/>
      </c>
      <c r="BT31" s="16" t="str">
        <f t="shared" si="13"/>
        <v/>
      </c>
      <c r="BU31" s="39"/>
      <c r="BV31" s="51" t="str">
        <f t="shared" si="14"/>
        <v/>
      </c>
      <c r="BW31" s="28" t="str">
        <f t="shared" si="15"/>
        <v/>
      </c>
      <c r="BX31" s="28" t="str">
        <f t="shared" si="16"/>
        <v/>
      </c>
      <c r="BY31" s="28" t="str">
        <f t="shared" si="17"/>
        <v/>
      </c>
      <c r="BZ31" s="28" t="str">
        <f t="shared" si="28"/>
        <v/>
      </c>
      <c r="CA31" s="52" t="str">
        <f t="shared" si="29"/>
        <v/>
      </c>
      <c r="CB31" s="39"/>
      <c r="CC31" s="49" t="str">
        <f t="shared" si="18"/>
        <v>-</v>
      </c>
      <c r="CD31" s="29" t="str">
        <f t="shared" si="19"/>
        <v>-</v>
      </c>
      <c r="CE31" s="29" t="str">
        <f t="shared" si="20"/>
        <v>-</v>
      </c>
      <c r="CF31" s="29" t="str">
        <f t="shared" si="21"/>
        <v>-</v>
      </c>
      <c r="CG31" s="50" t="str">
        <f t="shared" si="22"/>
        <v>-</v>
      </c>
      <c r="CH31" s="39"/>
    </row>
    <row r="32" spans="1:86" s="27" customFormat="1" ht="12.4" customHeight="1" thickBot="1" x14ac:dyDescent="0.25">
      <c r="A32" s="43">
        <f t="shared" si="30"/>
        <v>46324</v>
      </c>
      <c r="B32" s="44" t="str">
        <f>+TEXT(A32,"DDD")</f>
        <v>Thu</v>
      </c>
      <c r="C32" s="2"/>
      <c r="D32" s="2"/>
      <c r="E32" s="3"/>
      <c r="F32" s="2"/>
      <c r="G32" s="2"/>
      <c r="H32" s="4"/>
      <c r="I32" s="4"/>
      <c r="J32" s="86"/>
      <c r="K32" s="5"/>
      <c r="L32" s="2"/>
      <c r="M32" s="2"/>
      <c r="N32" s="2"/>
      <c r="O32" s="2"/>
      <c r="P32" s="3"/>
      <c r="Q32" s="2"/>
      <c r="R32" s="2"/>
      <c r="S32" s="2"/>
      <c r="T32" s="2"/>
      <c r="U32" s="2"/>
      <c r="V32" s="3"/>
      <c r="W32" s="3"/>
      <c r="X32" s="2"/>
      <c r="Y32" s="2"/>
      <c r="Z32" s="2"/>
      <c r="AA32" s="2"/>
      <c r="AB32" s="2"/>
      <c r="AC32" s="2"/>
      <c r="AD32" s="2"/>
      <c r="AE32" s="2"/>
      <c r="AF32" s="3"/>
      <c r="AG32" s="3"/>
      <c r="AH32" s="2"/>
      <c r="AI32" s="6"/>
      <c r="AJ32" s="7"/>
      <c r="AK32" s="6"/>
      <c r="AL32" s="59"/>
      <c r="AM32" s="59"/>
      <c r="AN32" s="59"/>
      <c r="AO32" s="59"/>
      <c r="AP32" s="59"/>
      <c r="AQ32" s="59"/>
      <c r="AR32" s="59"/>
      <c r="AS32" s="59"/>
      <c r="AT32" s="8"/>
      <c r="AU32" s="8"/>
      <c r="AV32" s="9"/>
      <c r="AW32" s="8"/>
      <c r="AX32" s="10" t="str">
        <f>IFERROR(AN32/AW32,"-")</f>
        <v>-</v>
      </c>
      <c r="AY32" s="39"/>
      <c r="AZ32" s="1" t="str">
        <f t="shared" si="1"/>
        <v/>
      </c>
      <c r="BA32" s="11" t="str">
        <f t="shared" si="2"/>
        <v/>
      </c>
      <c r="BB32" s="1" t="str">
        <f t="shared" si="3"/>
        <v/>
      </c>
      <c r="BC32" s="39"/>
      <c r="BD32" s="53" t="str">
        <f t="shared" si="4"/>
        <v/>
      </c>
      <c r="BE32" s="12" t="str">
        <f t="shared" si="5"/>
        <v/>
      </c>
      <c r="BF32" s="12" t="str">
        <f t="shared" si="6"/>
        <v/>
      </c>
      <c r="BG32" s="12" t="str">
        <f>+IF(SUM(AO32:AR32)&gt;0,AO32/AN32,"")</f>
        <v/>
      </c>
      <c r="BH32" s="12" t="str">
        <f t="shared" si="7"/>
        <v/>
      </c>
      <c r="BI32" s="54" t="str">
        <f>+IF(SUM(AO32:AR32)&gt;0,AQ32/AN32,"")</f>
        <v/>
      </c>
      <c r="BJ32" s="39"/>
      <c r="BK32" s="55" t="str">
        <f t="shared" si="8"/>
        <v/>
      </c>
      <c r="BL32" s="13" t="str">
        <f t="shared" si="9"/>
        <v/>
      </c>
      <c r="BM32" s="13" t="str">
        <f t="shared" si="10"/>
        <v/>
      </c>
      <c r="BN32" s="56" t="str">
        <f t="shared" si="11"/>
        <v/>
      </c>
      <c r="BO32" s="39"/>
      <c r="BP32" s="14" t="str">
        <f t="shared" si="12"/>
        <v/>
      </c>
      <c r="BQ32" s="15">
        <v>0</v>
      </c>
      <c r="BR32" s="15" t="str">
        <f>IF(AJ32&gt;0,(AK32/AJ32),"")</f>
        <v/>
      </c>
      <c r="BS32" s="15" t="str">
        <f>IF(AJ32&gt;0,(AK32/AJ32),"")</f>
        <v/>
      </c>
      <c r="BT32" s="16" t="str">
        <f t="shared" si="13"/>
        <v/>
      </c>
      <c r="BU32" s="39"/>
      <c r="BV32" s="51" t="str">
        <f t="shared" si="14"/>
        <v/>
      </c>
      <c r="BW32" s="28" t="str">
        <f t="shared" si="15"/>
        <v/>
      </c>
      <c r="BX32" s="28" t="str">
        <f t="shared" si="16"/>
        <v/>
      </c>
      <c r="BY32" s="28" t="str">
        <f t="shared" si="17"/>
        <v/>
      </c>
      <c r="BZ32" s="28" t="str">
        <f>IF(AN32&gt;0,(AJ32/AN32),"")</f>
        <v/>
      </c>
      <c r="CA32" s="52" t="str">
        <f>IF(AN32&gt;0,(AK32/AN32),"")</f>
        <v/>
      </c>
      <c r="CB32" s="39"/>
      <c r="CC32" s="49" t="str">
        <f t="shared" si="18"/>
        <v>-</v>
      </c>
      <c r="CD32" s="29" t="str">
        <f t="shared" si="19"/>
        <v>-</v>
      </c>
      <c r="CE32" s="29" t="str">
        <f t="shared" si="20"/>
        <v>-</v>
      </c>
      <c r="CF32" s="29" t="str">
        <f t="shared" si="21"/>
        <v>-</v>
      </c>
      <c r="CG32" s="50" t="str">
        <f t="shared" si="22"/>
        <v>-</v>
      </c>
      <c r="CH32" s="39"/>
    </row>
    <row r="33" spans="1:86" s="27" customFormat="1" ht="12.4" customHeight="1" thickBot="1" x14ac:dyDescent="0.25">
      <c r="A33" s="43">
        <f t="shared" si="30"/>
        <v>46325</v>
      </c>
      <c r="B33" s="44" t="str">
        <f>+TEXT(A33,"DDD")</f>
        <v>Fri</v>
      </c>
      <c r="C33" s="2"/>
      <c r="D33" s="2"/>
      <c r="E33" s="3"/>
      <c r="F33" s="2"/>
      <c r="G33" s="2"/>
      <c r="H33" s="4"/>
      <c r="I33" s="4"/>
      <c r="J33" s="86"/>
      <c r="K33" s="5"/>
      <c r="L33" s="2"/>
      <c r="M33" s="2"/>
      <c r="N33" s="2"/>
      <c r="O33" s="2"/>
      <c r="P33" s="3"/>
      <c r="Q33" s="2"/>
      <c r="R33" s="2"/>
      <c r="S33" s="2"/>
      <c r="T33" s="2"/>
      <c r="U33" s="2"/>
      <c r="V33" s="3"/>
      <c r="W33" s="3"/>
      <c r="X33" s="2"/>
      <c r="Y33" s="2"/>
      <c r="Z33" s="2"/>
      <c r="AA33" s="2"/>
      <c r="AB33" s="2"/>
      <c r="AC33" s="2"/>
      <c r="AD33" s="2"/>
      <c r="AE33" s="2"/>
      <c r="AF33" s="3"/>
      <c r="AG33" s="3"/>
      <c r="AH33" s="2"/>
      <c r="AI33" s="6"/>
      <c r="AJ33" s="7"/>
      <c r="AK33" s="6"/>
      <c r="AL33" s="59"/>
      <c r="AM33" s="59"/>
      <c r="AN33" s="59"/>
      <c r="AO33" s="59"/>
      <c r="AP33" s="59"/>
      <c r="AQ33" s="59"/>
      <c r="AR33" s="59"/>
      <c r="AS33" s="59"/>
      <c r="AT33" s="8"/>
      <c r="AU33" s="8"/>
      <c r="AV33" s="9"/>
      <c r="AW33" s="8"/>
      <c r="AX33" s="10" t="str">
        <f>IFERROR(AN33/AW33,"-")</f>
        <v>-</v>
      </c>
      <c r="AY33" s="39"/>
      <c r="AZ33" s="1" t="str">
        <f t="shared" si="1"/>
        <v/>
      </c>
      <c r="BA33" s="11" t="str">
        <f t="shared" si="2"/>
        <v/>
      </c>
      <c r="BB33" s="1" t="str">
        <f t="shared" si="3"/>
        <v/>
      </c>
      <c r="BC33" s="39"/>
      <c r="BD33" s="53" t="str">
        <f t="shared" si="4"/>
        <v/>
      </c>
      <c r="BE33" s="12" t="str">
        <f t="shared" si="5"/>
        <v/>
      </c>
      <c r="BF33" s="12" t="str">
        <f t="shared" si="6"/>
        <v/>
      </c>
      <c r="BG33" s="12" t="str">
        <f>+IF(SUM(AO33:AR33)&gt;0,AO33/AN33,"")</f>
        <v/>
      </c>
      <c r="BH33" s="12" t="str">
        <f t="shared" si="7"/>
        <v/>
      </c>
      <c r="BI33" s="54" t="str">
        <f>+IF(SUM(AO33:AR33)&gt;0,AQ33/AN33,"")</f>
        <v/>
      </c>
      <c r="BJ33" s="39"/>
      <c r="BK33" s="55" t="str">
        <f t="shared" si="8"/>
        <v/>
      </c>
      <c r="BL33" s="13" t="str">
        <f t="shared" si="9"/>
        <v/>
      </c>
      <c r="BM33" s="13" t="str">
        <f t="shared" si="10"/>
        <v/>
      </c>
      <c r="BN33" s="56" t="str">
        <f t="shared" si="11"/>
        <v/>
      </c>
      <c r="BO33" s="39"/>
      <c r="BP33" s="14" t="str">
        <f t="shared" si="12"/>
        <v/>
      </c>
      <c r="BQ33" s="15">
        <v>0</v>
      </c>
      <c r="BR33" s="15" t="str">
        <f>IF(AJ33&gt;0,(AK33/AJ33),"")</f>
        <v/>
      </c>
      <c r="BS33" s="15" t="str">
        <f>IF(AJ33&gt;0,(AK33/AJ33),"")</f>
        <v/>
      </c>
      <c r="BT33" s="16" t="str">
        <f t="shared" si="13"/>
        <v/>
      </c>
      <c r="BU33" s="39"/>
      <c r="BV33" s="51" t="str">
        <f t="shared" si="14"/>
        <v/>
      </c>
      <c r="BW33" s="28" t="str">
        <f t="shared" si="15"/>
        <v/>
      </c>
      <c r="BX33" s="28" t="str">
        <f t="shared" si="16"/>
        <v/>
      </c>
      <c r="BY33" s="28" t="str">
        <f t="shared" si="17"/>
        <v/>
      </c>
      <c r="BZ33" s="28" t="str">
        <f>IF(AN33&gt;0,(AJ33/AN33),"")</f>
        <v/>
      </c>
      <c r="CA33" s="52" t="str">
        <f>IF(AN33&gt;0,(AK33/AN33),"")</f>
        <v/>
      </c>
      <c r="CB33" s="39"/>
      <c r="CC33" s="49" t="str">
        <f t="shared" si="18"/>
        <v>-</v>
      </c>
      <c r="CD33" s="29" t="str">
        <f t="shared" si="19"/>
        <v>-</v>
      </c>
      <c r="CE33" s="29" t="str">
        <f t="shared" si="20"/>
        <v>-</v>
      </c>
      <c r="CF33" s="29" t="str">
        <f t="shared" si="21"/>
        <v>-</v>
      </c>
      <c r="CG33" s="50" t="str">
        <f t="shared" si="22"/>
        <v>-</v>
      </c>
      <c r="CH33" s="39"/>
    </row>
    <row r="34" spans="1:86" s="27" customFormat="1" ht="12.4" customHeight="1" thickBot="1" x14ac:dyDescent="0.25">
      <c r="A34" s="43">
        <f t="shared" si="30"/>
        <v>46326</v>
      </c>
      <c r="B34" s="44" t="str">
        <f>+TEXT(A34,"DDD")</f>
        <v>Sat</v>
      </c>
      <c r="C34" s="2"/>
      <c r="D34" s="2"/>
      <c r="E34" s="3"/>
      <c r="F34" s="2"/>
      <c r="G34" s="2"/>
      <c r="H34" s="4"/>
      <c r="I34" s="4"/>
      <c r="J34" s="86"/>
      <c r="K34" s="5"/>
      <c r="L34" s="2"/>
      <c r="M34" s="2"/>
      <c r="N34" s="2"/>
      <c r="O34" s="2"/>
      <c r="P34" s="3"/>
      <c r="Q34" s="2"/>
      <c r="R34" s="2"/>
      <c r="S34" s="2"/>
      <c r="T34" s="2"/>
      <c r="U34" s="2"/>
      <c r="V34" s="3"/>
      <c r="W34" s="3"/>
      <c r="X34" s="2"/>
      <c r="Y34" s="2"/>
      <c r="Z34" s="2"/>
      <c r="AA34" s="2"/>
      <c r="AB34" s="2"/>
      <c r="AC34" s="2"/>
      <c r="AD34" s="2"/>
      <c r="AE34" s="2"/>
      <c r="AF34" s="3"/>
      <c r="AG34" s="3"/>
      <c r="AH34" s="2"/>
      <c r="AI34" s="6"/>
      <c r="AJ34" s="7"/>
      <c r="AK34" s="6"/>
      <c r="AL34" s="59"/>
      <c r="AM34" s="59"/>
      <c r="AN34" s="59"/>
      <c r="AO34" s="59"/>
      <c r="AP34" s="59"/>
      <c r="AQ34" s="59"/>
      <c r="AR34" s="59"/>
      <c r="AS34" s="59"/>
      <c r="AT34" s="8"/>
      <c r="AU34" s="8"/>
      <c r="AV34" s="9"/>
      <c r="AW34" s="8"/>
      <c r="AX34" s="10" t="str">
        <f>IFERROR(AN34/AW34,"-")</f>
        <v>-</v>
      </c>
      <c r="AY34" s="39"/>
      <c r="AZ34" s="1" t="str">
        <f t="shared" si="1"/>
        <v/>
      </c>
      <c r="BA34" s="11" t="str">
        <f t="shared" si="2"/>
        <v/>
      </c>
      <c r="BB34" s="1" t="str">
        <f t="shared" si="3"/>
        <v/>
      </c>
      <c r="BC34" s="39"/>
      <c r="BD34" s="53" t="str">
        <f t="shared" si="4"/>
        <v/>
      </c>
      <c r="BE34" s="12" t="str">
        <f t="shared" si="5"/>
        <v/>
      </c>
      <c r="BF34" s="12" t="str">
        <f t="shared" si="6"/>
        <v/>
      </c>
      <c r="BG34" s="12" t="str">
        <f>+IF(SUM(AO34:AR34)&gt;0,AO34/AN34,"")</f>
        <v/>
      </c>
      <c r="BH34" s="12" t="str">
        <f t="shared" si="7"/>
        <v/>
      </c>
      <c r="BI34" s="54" t="str">
        <f>+IF(SUM(AO34:AR34)&gt;0,AQ34/AN34,"")</f>
        <v/>
      </c>
      <c r="BJ34" s="39"/>
      <c r="BK34" s="55" t="str">
        <f t="shared" si="8"/>
        <v/>
      </c>
      <c r="BL34" s="13" t="str">
        <f t="shared" si="9"/>
        <v/>
      </c>
      <c r="BM34" s="13" t="str">
        <f t="shared" si="10"/>
        <v/>
      </c>
      <c r="BN34" s="56" t="str">
        <f t="shared" si="11"/>
        <v/>
      </c>
      <c r="BO34" s="39"/>
      <c r="BP34" s="14" t="str">
        <f t="shared" si="12"/>
        <v/>
      </c>
      <c r="BQ34" s="15">
        <v>0</v>
      </c>
      <c r="BR34" s="15" t="str">
        <f>IF(AJ34&gt;0,(AK34/AJ34),"")</f>
        <v/>
      </c>
      <c r="BS34" s="15" t="str">
        <f>IF(AJ34&gt;0,(AK34/AJ34),"")</f>
        <v/>
      </c>
      <c r="BT34" s="16" t="str">
        <f t="shared" si="13"/>
        <v/>
      </c>
      <c r="BU34" s="39"/>
      <c r="BV34" s="51" t="str">
        <f t="shared" si="14"/>
        <v/>
      </c>
      <c r="BW34" s="28" t="str">
        <f t="shared" si="15"/>
        <v/>
      </c>
      <c r="BX34" s="28" t="str">
        <f t="shared" si="16"/>
        <v/>
      </c>
      <c r="BY34" s="28" t="str">
        <f t="shared" si="17"/>
        <v/>
      </c>
      <c r="BZ34" s="28" t="str">
        <f>IF(AN34&gt;0,(AJ34/AN34),"")</f>
        <v/>
      </c>
      <c r="CA34" s="52" t="str">
        <f>IF(AN34&gt;0,(AK34/AN34),"")</f>
        <v/>
      </c>
      <c r="CB34" s="39"/>
      <c r="CC34" s="49" t="str">
        <f t="shared" si="18"/>
        <v>-</v>
      </c>
      <c r="CD34" s="29" t="str">
        <f t="shared" si="19"/>
        <v>-</v>
      </c>
      <c r="CE34" s="29" t="str">
        <f t="shared" si="20"/>
        <v>-</v>
      </c>
      <c r="CF34" s="29" t="str">
        <f t="shared" si="21"/>
        <v>-</v>
      </c>
      <c r="CG34" s="50" t="str">
        <f t="shared" si="22"/>
        <v>-</v>
      </c>
      <c r="CH34" s="39"/>
    </row>
    <row r="35" spans="1:86" s="27" customFormat="1" ht="13.15" customHeight="1" thickBot="1" x14ac:dyDescent="0.25">
      <c r="A35" s="288" t="s">
        <v>68</v>
      </c>
      <c r="B35" s="289"/>
      <c r="C35" s="45" t="e">
        <f>AVERAGE(C4:C34)</f>
        <v>#DIV/0!</v>
      </c>
      <c r="D35" s="45" t="e">
        <f t="shared" ref="D35:AW35" si="31">AVERAGE(D4:D34)</f>
        <v>#DIV/0!</v>
      </c>
      <c r="E35" s="45" t="e">
        <f t="shared" si="31"/>
        <v>#DIV/0!</v>
      </c>
      <c r="F35" s="45" t="e">
        <f t="shared" si="31"/>
        <v>#DIV/0!</v>
      </c>
      <c r="G35" s="45" t="e">
        <f t="shared" si="31"/>
        <v>#DIV/0!</v>
      </c>
      <c r="H35" s="45" t="e">
        <f t="shared" si="31"/>
        <v>#DIV/0!</v>
      </c>
      <c r="I35" s="45" t="e">
        <f t="shared" si="31"/>
        <v>#DIV/0!</v>
      </c>
      <c r="J35" s="45" t="e">
        <f t="shared" si="31"/>
        <v>#DIV/0!</v>
      </c>
      <c r="K35" s="45" t="e">
        <f t="shared" si="31"/>
        <v>#DIV/0!</v>
      </c>
      <c r="L35" s="45" t="e">
        <f t="shared" si="31"/>
        <v>#DIV/0!</v>
      </c>
      <c r="M35" s="45" t="e">
        <f t="shared" si="31"/>
        <v>#DIV/0!</v>
      </c>
      <c r="N35" s="45" t="e">
        <f t="shared" si="31"/>
        <v>#DIV/0!</v>
      </c>
      <c r="O35" s="45" t="e">
        <f t="shared" si="31"/>
        <v>#DIV/0!</v>
      </c>
      <c r="P35" s="45" t="e">
        <f t="shared" si="31"/>
        <v>#DIV/0!</v>
      </c>
      <c r="Q35" s="45" t="e">
        <f t="shared" si="31"/>
        <v>#DIV/0!</v>
      </c>
      <c r="R35" s="45" t="e">
        <f t="shared" si="31"/>
        <v>#DIV/0!</v>
      </c>
      <c r="S35" s="45" t="e">
        <f t="shared" si="31"/>
        <v>#DIV/0!</v>
      </c>
      <c r="T35" s="45" t="e">
        <f t="shared" si="31"/>
        <v>#DIV/0!</v>
      </c>
      <c r="U35" s="45">
        <f t="shared" si="31"/>
        <v>0</v>
      </c>
      <c r="V35" s="45" t="e">
        <f t="shared" si="31"/>
        <v>#DIV/0!</v>
      </c>
      <c r="W35" s="45" t="e">
        <f t="shared" si="31"/>
        <v>#DIV/0!</v>
      </c>
      <c r="X35" s="45" t="e">
        <f t="shared" si="31"/>
        <v>#DIV/0!</v>
      </c>
      <c r="Y35" s="45" t="e">
        <f t="shared" si="31"/>
        <v>#DIV/0!</v>
      </c>
      <c r="Z35" s="45" t="e">
        <f t="shared" si="31"/>
        <v>#DIV/0!</v>
      </c>
      <c r="AA35" s="45" t="e">
        <f t="shared" si="31"/>
        <v>#DIV/0!</v>
      </c>
      <c r="AB35" s="45" t="e">
        <f t="shared" si="31"/>
        <v>#DIV/0!</v>
      </c>
      <c r="AC35" s="45" t="e">
        <f t="shared" si="31"/>
        <v>#DIV/0!</v>
      </c>
      <c r="AD35" s="45" t="e">
        <f t="shared" si="31"/>
        <v>#DIV/0!</v>
      </c>
      <c r="AE35" s="45" t="e">
        <f t="shared" si="31"/>
        <v>#DIV/0!</v>
      </c>
      <c r="AF35" s="45" t="e">
        <f t="shared" si="31"/>
        <v>#DIV/0!</v>
      </c>
      <c r="AG35" s="45" t="e">
        <f t="shared" si="31"/>
        <v>#DIV/0!</v>
      </c>
      <c r="AH35" s="45" t="e">
        <f t="shared" si="31"/>
        <v>#DIV/0!</v>
      </c>
      <c r="AI35" s="45" t="e">
        <f t="shared" si="31"/>
        <v>#DIV/0!</v>
      </c>
      <c r="AJ35" s="45" t="e">
        <f t="shared" si="31"/>
        <v>#DIV/0!</v>
      </c>
      <c r="AK35" s="45" t="e">
        <f t="shared" si="31"/>
        <v>#DIV/0!</v>
      </c>
      <c r="AL35" s="45" t="e">
        <f t="shared" si="31"/>
        <v>#DIV/0!</v>
      </c>
      <c r="AM35" s="45" t="e">
        <f t="shared" si="31"/>
        <v>#DIV/0!</v>
      </c>
      <c r="AN35" s="45" t="e">
        <f t="shared" si="31"/>
        <v>#DIV/0!</v>
      </c>
      <c r="AO35" s="45" t="e">
        <f t="shared" si="31"/>
        <v>#DIV/0!</v>
      </c>
      <c r="AP35" s="45" t="e">
        <f t="shared" si="31"/>
        <v>#DIV/0!</v>
      </c>
      <c r="AQ35" s="45" t="e">
        <f t="shared" si="31"/>
        <v>#DIV/0!</v>
      </c>
      <c r="AR35" s="45" t="e">
        <f t="shared" si="31"/>
        <v>#DIV/0!</v>
      </c>
      <c r="AS35" s="45" t="e">
        <f t="shared" si="31"/>
        <v>#DIV/0!</v>
      </c>
      <c r="AT35" s="45" t="e">
        <f t="shared" si="31"/>
        <v>#DIV/0!</v>
      </c>
      <c r="AU35" s="45" t="e">
        <f t="shared" si="31"/>
        <v>#DIV/0!</v>
      </c>
      <c r="AV35" s="45" t="e">
        <f t="shared" si="31"/>
        <v>#DIV/0!</v>
      </c>
      <c r="AW35" s="45" t="e">
        <f t="shared" si="31"/>
        <v>#DIV/0!</v>
      </c>
      <c r="AX35" s="46" t="str">
        <f t="shared" si="23"/>
        <v>-</v>
      </c>
      <c r="AY35" s="39"/>
      <c r="AZ35" s="18" t="e">
        <f t="shared" si="1"/>
        <v>#DIV/0!</v>
      </c>
      <c r="BA35" s="19" t="e">
        <f t="shared" si="2"/>
        <v>#DIV/0!</v>
      </c>
      <c r="BB35" s="20" t="e">
        <f t="shared" si="3"/>
        <v>#DIV/0!</v>
      </c>
      <c r="BC35" s="39"/>
      <c r="BD35" s="18" t="e">
        <f t="shared" si="4"/>
        <v>#DIV/0!</v>
      </c>
      <c r="BE35" s="21" t="e">
        <f t="shared" si="5"/>
        <v>#DIV/0!</v>
      </c>
      <c r="BF35" s="21" t="e">
        <f t="shared" si="6"/>
        <v>#DIV/0!</v>
      </c>
      <c r="BG35" s="21" t="e">
        <f t="shared" si="24"/>
        <v>#DIV/0!</v>
      </c>
      <c r="BH35" s="21" t="e">
        <f t="shared" si="7"/>
        <v>#DIV/0!</v>
      </c>
      <c r="BI35" s="20" t="e">
        <f t="shared" si="25"/>
        <v>#DIV/0!</v>
      </c>
      <c r="BJ35" s="39"/>
      <c r="BK35" s="18" t="e">
        <f t="shared" si="8"/>
        <v>#DIV/0!</v>
      </c>
      <c r="BL35" s="21" t="e">
        <f t="shared" si="9"/>
        <v>#DIV/0!</v>
      </c>
      <c r="BM35" s="21" t="e">
        <f t="shared" si="10"/>
        <v>#DIV/0!</v>
      </c>
      <c r="BN35" s="20" t="e">
        <f t="shared" si="11"/>
        <v>#DIV/0!</v>
      </c>
      <c r="BO35" s="39"/>
      <c r="BP35" s="18" t="e">
        <f t="shared" si="12"/>
        <v>#DIV/0!</v>
      </c>
      <c r="BQ35" s="21">
        <v>0</v>
      </c>
      <c r="BR35" s="21" t="e">
        <f t="shared" si="26"/>
        <v>#DIV/0!</v>
      </c>
      <c r="BS35" s="21" t="e">
        <f t="shared" si="27"/>
        <v>#DIV/0!</v>
      </c>
      <c r="BT35" s="20" t="e">
        <f t="shared" si="13"/>
        <v>#DIV/0!</v>
      </c>
      <c r="BU35" s="39"/>
      <c r="BV35" s="30" t="e">
        <f t="shared" si="14"/>
        <v>#DIV/0!</v>
      </c>
      <c r="BW35" s="31" t="e">
        <f t="shared" si="15"/>
        <v>#DIV/0!</v>
      </c>
      <c r="BX35" s="31" t="e">
        <f t="shared" si="16"/>
        <v>#DIV/0!</v>
      </c>
      <c r="BY35" s="31" t="e">
        <f t="shared" si="17"/>
        <v>#DIV/0!</v>
      </c>
      <c r="BZ35" s="31" t="e">
        <f t="shared" si="28"/>
        <v>#DIV/0!</v>
      </c>
      <c r="CA35" s="32" t="e">
        <f t="shared" si="29"/>
        <v>#DIV/0!</v>
      </c>
      <c r="CB35" s="39"/>
      <c r="CC35" s="30" t="str">
        <f t="shared" si="18"/>
        <v>-</v>
      </c>
      <c r="CD35" s="31" t="str">
        <f t="shared" si="19"/>
        <v>-</v>
      </c>
      <c r="CE35" s="31" t="str">
        <f t="shared" si="20"/>
        <v>-</v>
      </c>
      <c r="CF35" s="31" t="str">
        <f t="shared" si="21"/>
        <v>-</v>
      </c>
      <c r="CG35" s="32" t="str">
        <f t="shared" si="22"/>
        <v>-</v>
      </c>
      <c r="CH35" s="39"/>
    </row>
    <row r="36" spans="1:86" s="27" customFormat="1" ht="13.15" customHeight="1" thickBot="1" x14ac:dyDescent="0.25">
      <c r="A36" s="288" t="s">
        <v>69</v>
      </c>
      <c r="B36" s="289"/>
      <c r="C36" s="47">
        <f>SUM(C4:C34)</f>
        <v>0</v>
      </c>
      <c r="D36" s="47">
        <f t="shared" ref="D36:AW36" si="32">SUM(D4:D34)</f>
        <v>0</v>
      </c>
      <c r="E36" s="47">
        <f t="shared" si="32"/>
        <v>0</v>
      </c>
      <c r="F36" s="47">
        <f t="shared" si="32"/>
        <v>0</v>
      </c>
      <c r="G36" s="47">
        <f t="shared" si="32"/>
        <v>0</v>
      </c>
      <c r="H36" s="47">
        <f t="shared" si="32"/>
        <v>0</v>
      </c>
      <c r="I36" s="47">
        <f t="shared" si="32"/>
        <v>0</v>
      </c>
      <c r="J36" s="47">
        <f t="shared" si="32"/>
        <v>0</v>
      </c>
      <c r="K36" s="47">
        <f t="shared" si="32"/>
        <v>0</v>
      </c>
      <c r="L36" s="47">
        <f t="shared" si="32"/>
        <v>0</v>
      </c>
      <c r="M36" s="47">
        <f t="shared" si="32"/>
        <v>0</v>
      </c>
      <c r="N36" s="47">
        <f t="shared" si="32"/>
        <v>0</v>
      </c>
      <c r="O36" s="47">
        <f t="shared" si="32"/>
        <v>0</v>
      </c>
      <c r="P36" s="47">
        <f t="shared" si="32"/>
        <v>0</v>
      </c>
      <c r="Q36" s="47">
        <f t="shared" si="32"/>
        <v>0</v>
      </c>
      <c r="R36" s="47">
        <f t="shared" si="32"/>
        <v>0</v>
      </c>
      <c r="S36" s="47">
        <f t="shared" si="32"/>
        <v>0</v>
      </c>
      <c r="T36" s="47">
        <f t="shared" si="32"/>
        <v>0</v>
      </c>
      <c r="U36" s="47">
        <f>SUM(U4:U34)</f>
        <v>0</v>
      </c>
      <c r="V36" s="47">
        <f t="shared" si="32"/>
        <v>0</v>
      </c>
      <c r="W36" s="47">
        <f t="shared" si="32"/>
        <v>0</v>
      </c>
      <c r="X36" s="47">
        <f t="shared" si="32"/>
        <v>0</v>
      </c>
      <c r="Y36" s="47">
        <f t="shared" si="32"/>
        <v>0</v>
      </c>
      <c r="Z36" s="47">
        <f t="shared" si="32"/>
        <v>0</v>
      </c>
      <c r="AA36" s="47">
        <f t="shared" si="32"/>
        <v>0</v>
      </c>
      <c r="AB36" s="47">
        <f t="shared" si="32"/>
        <v>0</v>
      </c>
      <c r="AC36" s="47">
        <f t="shared" si="32"/>
        <v>0</v>
      </c>
      <c r="AD36" s="47">
        <f t="shared" si="32"/>
        <v>0</v>
      </c>
      <c r="AE36" s="47">
        <f t="shared" si="32"/>
        <v>0</v>
      </c>
      <c r="AF36" s="47">
        <f t="shared" si="32"/>
        <v>0</v>
      </c>
      <c r="AG36" s="47">
        <f t="shared" si="32"/>
        <v>0</v>
      </c>
      <c r="AH36" s="47">
        <f t="shared" si="32"/>
        <v>0</v>
      </c>
      <c r="AI36" s="47">
        <f t="shared" si="32"/>
        <v>0</v>
      </c>
      <c r="AJ36" s="47">
        <f t="shared" si="32"/>
        <v>0</v>
      </c>
      <c r="AK36" s="47">
        <f t="shared" si="32"/>
        <v>0</v>
      </c>
      <c r="AL36" s="47">
        <f t="shared" si="32"/>
        <v>0</v>
      </c>
      <c r="AM36" s="47">
        <f t="shared" si="32"/>
        <v>0</v>
      </c>
      <c r="AN36" s="47">
        <f t="shared" si="32"/>
        <v>0</v>
      </c>
      <c r="AO36" s="47">
        <f t="shared" si="32"/>
        <v>0</v>
      </c>
      <c r="AP36" s="47">
        <f t="shared" si="32"/>
        <v>0</v>
      </c>
      <c r="AQ36" s="47">
        <f t="shared" si="32"/>
        <v>0</v>
      </c>
      <c r="AR36" s="47">
        <f t="shared" si="32"/>
        <v>0</v>
      </c>
      <c r="AS36" s="47">
        <f t="shared" si="32"/>
        <v>0</v>
      </c>
      <c r="AT36" s="47">
        <f t="shared" si="32"/>
        <v>0</v>
      </c>
      <c r="AU36" s="47">
        <f t="shared" si="32"/>
        <v>0</v>
      </c>
      <c r="AV36" s="47">
        <f t="shared" si="32"/>
        <v>0</v>
      </c>
      <c r="AW36" s="47">
        <f t="shared" si="32"/>
        <v>0</v>
      </c>
      <c r="AX36" s="48" t="str">
        <f t="shared" si="23"/>
        <v>-</v>
      </c>
      <c r="AY36" s="40"/>
      <c r="AZ36" s="23" t="str">
        <f t="shared" si="1"/>
        <v/>
      </c>
      <c r="BA36" s="24" t="str">
        <f t="shared" si="2"/>
        <v/>
      </c>
      <c r="BB36" s="25" t="str">
        <f t="shared" si="3"/>
        <v/>
      </c>
      <c r="BC36" s="40"/>
      <c r="BD36" s="23" t="str">
        <f t="shared" si="4"/>
        <v/>
      </c>
      <c r="BE36" s="26" t="str">
        <f t="shared" si="5"/>
        <v/>
      </c>
      <c r="BF36" s="26" t="str">
        <f t="shared" si="6"/>
        <v/>
      </c>
      <c r="BG36" s="26" t="str">
        <f t="shared" si="24"/>
        <v/>
      </c>
      <c r="BH36" s="26" t="str">
        <f t="shared" si="7"/>
        <v/>
      </c>
      <c r="BI36" s="25" t="str">
        <f t="shared" si="25"/>
        <v/>
      </c>
      <c r="BJ36" s="40"/>
      <c r="BK36" s="23" t="str">
        <f t="shared" si="8"/>
        <v/>
      </c>
      <c r="BL36" s="26" t="str">
        <f t="shared" si="9"/>
        <v/>
      </c>
      <c r="BM36" s="26" t="str">
        <f t="shared" si="10"/>
        <v/>
      </c>
      <c r="BN36" s="25" t="str">
        <f t="shared" si="11"/>
        <v/>
      </c>
      <c r="BO36" s="40"/>
      <c r="BP36" s="23" t="str">
        <f t="shared" si="12"/>
        <v/>
      </c>
      <c r="BQ36" s="26">
        <v>0</v>
      </c>
      <c r="BR36" s="26" t="str">
        <f t="shared" si="26"/>
        <v/>
      </c>
      <c r="BS36" s="26" t="str">
        <f t="shared" si="27"/>
        <v/>
      </c>
      <c r="BT36" s="25" t="str">
        <f t="shared" si="13"/>
        <v/>
      </c>
      <c r="BU36" s="40"/>
      <c r="BV36" s="33" t="str">
        <f t="shared" si="14"/>
        <v/>
      </c>
      <c r="BW36" s="34" t="str">
        <f t="shared" si="15"/>
        <v/>
      </c>
      <c r="BX36" s="34" t="str">
        <f t="shared" si="16"/>
        <v/>
      </c>
      <c r="BY36" s="34" t="str">
        <f t="shared" si="17"/>
        <v/>
      </c>
      <c r="BZ36" s="34" t="str">
        <f t="shared" si="28"/>
        <v/>
      </c>
      <c r="CA36" s="35" t="str">
        <f t="shared" si="29"/>
        <v/>
      </c>
      <c r="CB36" s="40"/>
      <c r="CC36" s="33" t="str">
        <f t="shared" si="18"/>
        <v>-</v>
      </c>
      <c r="CD36" s="34" t="str">
        <f t="shared" si="19"/>
        <v>-</v>
      </c>
      <c r="CE36" s="34" t="str">
        <f t="shared" si="20"/>
        <v>-</v>
      </c>
      <c r="CF36" s="34" t="str">
        <f t="shared" si="21"/>
        <v>-</v>
      </c>
      <c r="CG36" s="35" t="str">
        <f t="shared" si="22"/>
        <v>-</v>
      </c>
      <c r="CH36" s="40"/>
    </row>
    <row r="37" spans="1:86" x14ac:dyDescent="0.2"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</sheetData>
  <mergeCells count="88"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  <mergeCell ref="BP1:BT1"/>
    <mergeCell ref="BV1:CA1"/>
    <mergeCell ref="V2:V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AH2:AH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BH2:BH3"/>
    <mergeCell ref="AU2:AU3"/>
    <mergeCell ref="AV2:AV3"/>
    <mergeCell ref="AW2:AW3"/>
    <mergeCell ref="AX2:AX3"/>
    <mergeCell ref="AZ2:AZ3"/>
    <mergeCell ref="BA2:BA3"/>
    <mergeCell ref="BB2:BB3"/>
    <mergeCell ref="BD2:BD3"/>
    <mergeCell ref="BE2:BE3"/>
    <mergeCell ref="BF2:BF3"/>
    <mergeCell ref="BG2:BG3"/>
    <mergeCell ref="BW2:BW3"/>
    <mergeCell ref="BI2:BI3"/>
    <mergeCell ref="BK2:BK3"/>
    <mergeCell ref="BL2:BL3"/>
    <mergeCell ref="BM2:BM3"/>
    <mergeCell ref="BN2:BN3"/>
    <mergeCell ref="BP2:BP3"/>
    <mergeCell ref="CE2:CE3"/>
    <mergeCell ref="CF2:CF3"/>
    <mergeCell ref="CG2:CG3"/>
    <mergeCell ref="A35:B35"/>
    <mergeCell ref="A36:B36"/>
    <mergeCell ref="BX2:BX3"/>
    <mergeCell ref="BY2:BY3"/>
    <mergeCell ref="BZ2:BZ3"/>
    <mergeCell ref="CA2:CA3"/>
    <mergeCell ref="CC2:CC3"/>
    <mergeCell ref="CD2:CD3"/>
    <mergeCell ref="BQ2:BQ3"/>
    <mergeCell ref="BR2:BR3"/>
    <mergeCell ref="BS2:BS3"/>
    <mergeCell ref="BT2:BT3"/>
    <mergeCell ref="BV2:BV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workbookViewId="0">
      <selection activeCell="B2" sqref="B2:B3"/>
    </sheetView>
  </sheetViews>
  <sheetFormatPr defaultColWidth="0" defaultRowHeight="11.25" x14ac:dyDescent="0.2"/>
  <cols>
    <col min="1" max="1" width="9.42578125" style="36" bestFit="1" customWidth="1"/>
    <col min="2" max="2" width="4.5703125" style="36" customWidth="1"/>
    <col min="3" max="3" width="15.42578125" style="36" bestFit="1" customWidth="1"/>
    <col min="4" max="4" width="18.7109375" style="36" bestFit="1" customWidth="1"/>
    <col min="5" max="5" width="19.85546875" style="36" bestFit="1" customWidth="1"/>
    <col min="6" max="6" width="15.85546875" style="36" bestFit="1" customWidth="1"/>
    <col min="7" max="7" width="8.42578125" style="36" bestFit="1" customWidth="1"/>
    <col min="8" max="8" width="18.42578125" style="36" bestFit="1" customWidth="1"/>
    <col min="9" max="9" width="8.85546875" style="36" bestFit="1" customWidth="1"/>
    <col min="10" max="10" width="9.42578125" style="36" customWidth="1"/>
    <col min="11" max="11" width="10.85546875" style="36" bestFit="1" customWidth="1"/>
    <col min="12" max="20" width="8.42578125" style="36" bestFit="1" customWidth="1"/>
    <col min="21" max="21" width="5.85546875" style="36" bestFit="1" customWidth="1"/>
    <col min="22" max="34" width="8.42578125" style="36" bestFit="1" customWidth="1"/>
    <col min="35" max="35" width="13.140625" style="36" bestFit="1" customWidth="1"/>
    <col min="36" max="36" width="15.5703125" style="36" bestFit="1" customWidth="1"/>
    <col min="37" max="37" width="16.140625" style="36" bestFit="1" customWidth="1"/>
    <col min="38" max="38" width="15.28515625" style="36" bestFit="1" customWidth="1"/>
    <col min="39" max="39" width="15.7109375" style="36" bestFit="1" customWidth="1"/>
    <col min="40" max="40" width="16.140625" style="36" bestFit="1" customWidth="1"/>
    <col min="41" max="41" width="9.85546875" style="36" bestFit="1" customWidth="1"/>
    <col min="42" max="42" width="13.7109375" style="36" bestFit="1" customWidth="1"/>
    <col min="43" max="43" width="11" style="36" bestFit="1" customWidth="1"/>
    <col min="44" max="44" width="10.140625" style="36" bestFit="1" customWidth="1"/>
    <col min="45" max="45" width="12.42578125" style="38" bestFit="1" customWidth="1"/>
    <col min="46" max="46" width="10.5703125" style="36" bestFit="1" customWidth="1"/>
    <col min="47" max="47" width="10.7109375" style="36" customWidth="1"/>
    <col min="48" max="48" width="16.140625" style="36" bestFit="1" customWidth="1"/>
    <col min="49" max="50" width="16" style="36" bestFit="1" customWidth="1"/>
    <col min="51" max="51" width="2.28515625" style="36" customWidth="1"/>
    <col min="52" max="52" width="16.28515625" style="36" bestFit="1" customWidth="1"/>
    <col min="53" max="53" width="11.85546875" style="36" bestFit="1" customWidth="1"/>
    <col min="54" max="54" width="12.7109375" style="36" bestFit="1" customWidth="1"/>
    <col min="55" max="55" width="1.5703125" style="36" customWidth="1"/>
    <col min="56" max="56" width="12.5703125" style="36" bestFit="1" customWidth="1"/>
    <col min="57" max="57" width="13.28515625" style="36" bestFit="1" customWidth="1"/>
    <col min="58" max="58" width="20.28515625" style="36" bestFit="1" customWidth="1"/>
    <col min="59" max="59" width="9.42578125" style="36" bestFit="1" customWidth="1"/>
    <col min="60" max="60" width="14.7109375" style="36" bestFit="1" customWidth="1"/>
    <col min="61" max="61" width="10.5703125" style="36" bestFit="1" customWidth="1"/>
    <col min="62" max="62" width="1.85546875" style="36" customWidth="1"/>
    <col min="63" max="63" width="20.140625" style="36" bestFit="1" customWidth="1"/>
    <col min="64" max="64" width="25.28515625" style="36" bestFit="1" customWidth="1"/>
    <col min="65" max="65" width="14" style="36" bestFit="1" customWidth="1"/>
    <col min="66" max="66" width="18" style="36" bestFit="1" customWidth="1"/>
    <col min="67" max="67" width="2.140625" style="36" customWidth="1"/>
    <col min="68" max="68" width="9.140625" style="36" bestFit="1" customWidth="1"/>
    <col min="69" max="69" width="12.85546875" style="36" bestFit="1" customWidth="1"/>
    <col min="70" max="70" width="14" style="36" bestFit="1" customWidth="1"/>
    <col min="71" max="71" width="13.7109375" style="36" bestFit="1" customWidth="1"/>
    <col min="72" max="72" width="7.85546875" style="36" bestFit="1" customWidth="1"/>
    <col min="73" max="73" width="2.140625" style="36" customWidth="1"/>
    <col min="74" max="74" width="18.42578125" style="36" bestFit="1" customWidth="1"/>
    <col min="75" max="75" width="14.42578125" style="36" bestFit="1" customWidth="1"/>
    <col min="76" max="76" width="18.42578125" style="36" bestFit="1" customWidth="1"/>
    <col min="77" max="77" width="18.85546875" style="36" bestFit="1" customWidth="1"/>
    <col min="78" max="78" width="18" style="36" bestFit="1" customWidth="1"/>
    <col min="79" max="79" width="18.5703125" style="36" bestFit="1" customWidth="1"/>
    <col min="80" max="80" width="1.85546875" style="36" customWidth="1"/>
    <col min="81" max="81" width="6.5703125" style="36" bestFit="1" customWidth="1"/>
    <col min="82" max="82" width="5.5703125" style="36" bestFit="1" customWidth="1"/>
    <col min="83" max="83" width="4.5703125" style="36" customWidth="1"/>
    <col min="84" max="84" width="6.5703125" style="36" bestFit="1" customWidth="1"/>
    <col min="85" max="85" width="8.42578125" style="36" bestFit="1" customWidth="1"/>
    <col min="86" max="103" width="0" style="36" hidden="1" customWidth="1"/>
    <col min="104" max="16384" width="10.7109375" style="36" hidden="1"/>
  </cols>
  <sheetData>
    <row r="1" spans="1:86" s="27" customFormat="1" ht="13.15" customHeight="1" thickBot="1" x14ac:dyDescent="0.25">
      <c r="A1" s="269" t="s">
        <v>0</v>
      </c>
      <c r="B1" s="270"/>
      <c r="C1" s="9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2"/>
      <c r="AY1" s="39"/>
      <c r="AZ1" s="271" t="s">
        <v>1</v>
      </c>
      <c r="BA1" s="272"/>
      <c r="BB1" s="273"/>
      <c r="BC1" s="39"/>
      <c r="BD1" s="256" t="s">
        <v>2</v>
      </c>
      <c r="BE1" s="257"/>
      <c r="BF1" s="257"/>
      <c r="BG1" s="257"/>
      <c r="BH1" s="257"/>
      <c r="BI1" s="258"/>
      <c r="BJ1" s="39"/>
      <c r="BK1" s="256" t="s">
        <v>3</v>
      </c>
      <c r="BL1" s="257"/>
      <c r="BM1" s="257"/>
      <c r="BN1" s="258"/>
      <c r="BO1" s="39"/>
      <c r="BP1" s="256" t="s">
        <v>4</v>
      </c>
      <c r="BQ1" s="257"/>
      <c r="BR1" s="257"/>
      <c r="BS1" s="257"/>
      <c r="BT1" s="258"/>
      <c r="BU1" s="39"/>
      <c r="BV1" s="256" t="s">
        <v>5</v>
      </c>
      <c r="BW1" s="257"/>
      <c r="BX1" s="257"/>
      <c r="BY1" s="257"/>
      <c r="BZ1" s="257"/>
      <c r="CA1" s="258"/>
      <c r="CB1" s="39"/>
      <c r="CC1" s="256" t="s">
        <v>6</v>
      </c>
      <c r="CD1" s="257"/>
      <c r="CE1" s="257"/>
      <c r="CF1" s="257"/>
      <c r="CG1" s="258"/>
      <c r="CH1" s="39"/>
    </row>
    <row r="2" spans="1:86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87</v>
      </c>
      <c r="V2" s="259" t="s">
        <v>78</v>
      </c>
      <c r="W2" s="259" t="s">
        <v>24</v>
      </c>
      <c r="X2" s="259" t="s">
        <v>85</v>
      </c>
      <c r="Y2" s="259" t="s">
        <v>25</v>
      </c>
      <c r="Z2" s="259" t="s">
        <v>70</v>
      </c>
      <c r="AA2" s="259" t="s">
        <v>79</v>
      </c>
      <c r="AB2" s="259" t="s">
        <v>76</v>
      </c>
      <c r="AC2" s="259" t="s">
        <v>77</v>
      </c>
      <c r="AD2" s="259" t="s">
        <v>80</v>
      </c>
      <c r="AE2" s="259" t="s">
        <v>75</v>
      </c>
      <c r="AF2" s="259" t="s">
        <v>74</v>
      </c>
      <c r="AG2" s="259" t="s">
        <v>72</v>
      </c>
      <c r="AH2" s="259" t="s">
        <v>73</v>
      </c>
      <c r="AI2" s="259" t="s">
        <v>26</v>
      </c>
      <c r="AJ2" s="259" t="s">
        <v>27</v>
      </c>
      <c r="AK2" s="259" t="s">
        <v>28</v>
      </c>
      <c r="AL2" s="276" t="s">
        <v>29</v>
      </c>
      <c r="AM2" s="276" t="s">
        <v>30</v>
      </c>
      <c r="AN2" s="286" t="s">
        <v>31</v>
      </c>
      <c r="AO2" s="286" t="s">
        <v>32</v>
      </c>
      <c r="AP2" s="286" t="s">
        <v>33</v>
      </c>
      <c r="AQ2" s="286" t="s">
        <v>34</v>
      </c>
      <c r="AR2" s="286" t="s">
        <v>35</v>
      </c>
      <c r="AS2" s="286" t="s">
        <v>36</v>
      </c>
      <c r="AT2" s="315" t="s">
        <v>37</v>
      </c>
      <c r="AU2" s="278" t="s">
        <v>82</v>
      </c>
      <c r="AV2" s="278" t="s">
        <v>81</v>
      </c>
      <c r="AW2" s="280" t="s">
        <v>38</v>
      </c>
      <c r="AX2" s="282" t="s">
        <v>39</v>
      </c>
      <c r="AY2" s="39"/>
      <c r="AZ2" s="284" t="s">
        <v>40</v>
      </c>
      <c r="BA2" s="311" t="s">
        <v>41</v>
      </c>
      <c r="BB2" s="313" t="s">
        <v>42</v>
      </c>
      <c r="BC2" s="39"/>
      <c r="BD2" s="292" t="s">
        <v>43</v>
      </c>
      <c r="BE2" s="294" t="s">
        <v>44</v>
      </c>
      <c r="BF2" s="294" t="s">
        <v>45</v>
      </c>
      <c r="BG2" s="294" t="s">
        <v>46</v>
      </c>
      <c r="BH2" s="294" t="s">
        <v>47</v>
      </c>
      <c r="BI2" s="298" t="s">
        <v>48</v>
      </c>
      <c r="BJ2" s="39"/>
      <c r="BK2" s="302" t="s">
        <v>49</v>
      </c>
      <c r="BL2" s="303" t="s">
        <v>50</v>
      </c>
      <c r="BM2" s="303" t="s">
        <v>51</v>
      </c>
      <c r="BN2" s="310" t="s">
        <v>52</v>
      </c>
      <c r="BO2" s="39"/>
      <c r="BP2" s="292" t="s">
        <v>53</v>
      </c>
      <c r="BQ2" s="294" t="s">
        <v>54</v>
      </c>
      <c r="BR2" s="296" t="s">
        <v>67</v>
      </c>
      <c r="BS2" s="294" t="s">
        <v>55</v>
      </c>
      <c r="BT2" s="298" t="s">
        <v>86</v>
      </c>
      <c r="BU2" s="39"/>
      <c r="BV2" s="300" t="s">
        <v>56</v>
      </c>
      <c r="BW2" s="290" t="s">
        <v>57</v>
      </c>
      <c r="BX2" s="290" t="s">
        <v>58</v>
      </c>
      <c r="BY2" s="259" t="s">
        <v>59</v>
      </c>
      <c r="BZ2" s="290" t="s">
        <v>60</v>
      </c>
      <c r="CA2" s="306" t="s">
        <v>61</v>
      </c>
      <c r="CB2" s="39"/>
      <c r="CC2" s="308" t="s">
        <v>62</v>
      </c>
      <c r="CD2" s="296" t="s">
        <v>63</v>
      </c>
      <c r="CE2" s="296" t="s">
        <v>64</v>
      </c>
      <c r="CF2" s="296" t="s">
        <v>65</v>
      </c>
      <c r="CG2" s="304" t="s">
        <v>66</v>
      </c>
      <c r="CH2" s="39"/>
    </row>
    <row r="3" spans="1:86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77"/>
      <c r="AM3" s="277"/>
      <c r="AN3" s="287"/>
      <c r="AO3" s="287"/>
      <c r="AP3" s="287"/>
      <c r="AQ3" s="287"/>
      <c r="AR3" s="287"/>
      <c r="AS3" s="287"/>
      <c r="AT3" s="316"/>
      <c r="AU3" s="279"/>
      <c r="AV3" s="279"/>
      <c r="AW3" s="281"/>
      <c r="AX3" s="283" t="s">
        <v>38</v>
      </c>
      <c r="AY3" s="39"/>
      <c r="AZ3" s="285"/>
      <c r="BA3" s="312"/>
      <c r="BB3" s="314"/>
      <c r="BC3" s="39"/>
      <c r="BD3" s="293"/>
      <c r="BE3" s="295"/>
      <c r="BF3" s="295"/>
      <c r="BG3" s="295"/>
      <c r="BH3" s="295"/>
      <c r="BI3" s="299"/>
      <c r="BJ3" s="39"/>
      <c r="BK3" s="293"/>
      <c r="BL3" s="295"/>
      <c r="BM3" s="295"/>
      <c r="BN3" s="299"/>
      <c r="BO3" s="39"/>
      <c r="BP3" s="293"/>
      <c r="BQ3" s="295"/>
      <c r="BR3" s="297"/>
      <c r="BS3" s="295"/>
      <c r="BT3" s="299"/>
      <c r="BU3" s="39"/>
      <c r="BV3" s="301"/>
      <c r="BW3" s="291"/>
      <c r="BX3" s="291"/>
      <c r="BY3" s="260"/>
      <c r="BZ3" s="291"/>
      <c r="CA3" s="307"/>
      <c r="CB3" s="39"/>
      <c r="CC3" s="309"/>
      <c r="CD3" s="297"/>
      <c r="CE3" s="297"/>
      <c r="CF3" s="297"/>
      <c r="CG3" s="305"/>
      <c r="CH3" s="39"/>
    </row>
    <row r="4" spans="1:86" s="27" customFormat="1" ht="12.4" customHeight="1" thickBot="1" x14ac:dyDescent="0.25">
      <c r="A4" s="43">
        <f>EL_DEL_CD2_JO_!A4</f>
        <v>46296</v>
      </c>
      <c r="B4" s="44" t="str">
        <f t="shared" ref="B4:B30" si="0">+TEXT(A4,"DDD")</f>
        <v>Thu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2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59"/>
      <c r="AM4" s="59"/>
      <c r="AN4" s="59"/>
      <c r="AO4" s="59"/>
      <c r="AP4" s="59"/>
      <c r="AQ4" s="59"/>
      <c r="AR4" s="59"/>
      <c r="AS4" s="59"/>
      <c r="AT4" s="8"/>
      <c r="AU4" s="8"/>
      <c r="AV4" s="9"/>
      <c r="AW4" s="91"/>
      <c r="AX4" s="10" t="str">
        <f>IFERROR(AN4/AW4,"-")</f>
        <v>-</v>
      </c>
      <c r="AY4" s="39"/>
      <c r="AZ4" s="1" t="str">
        <f t="shared" ref="AZ4:AZ36" si="1">IF(E4&gt;0,F4/E4,"")</f>
        <v/>
      </c>
      <c r="BA4" s="11" t="str">
        <f t="shared" ref="BA4:BA36" si="2">+IF(E4&gt;0,G4/E4,"")</f>
        <v/>
      </c>
      <c r="BB4" s="1" t="str">
        <f t="shared" ref="BB4:BB36" si="3">+IF(E4&gt;0,AJ4/E4,"")</f>
        <v/>
      </c>
      <c r="BC4" s="39"/>
      <c r="BD4" s="53" t="str">
        <f t="shared" ref="BD4:BD36" si="4">+IF(G4&gt;0,I4/G4,"")</f>
        <v/>
      </c>
      <c r="BE4" s="12" t="str">
        <f t="shared" ref="BE4:BE36" si="5">+IF(G4&gt;0,J4/G4,"")</f>
        <v/>
      </c>
      <c r="BF4" s="12" t="str">
        <f t="shared" ref="BF4:BF36" si="6">+IF(I4&gt;0,L4/I4,"")</f>
        <v/>
      </c>
      <c r="BG4" s="12" t="str">
        <f>+IF(SUM(AO4:AR4)&gt;0,AO4/AN4,"")</f>
        <v/>
      </c>
      <c r="BH4" s="12" t="str">
        <f t="shared" ref="BH4:BH36" si="7">+IF(G4&gt;0,K4/G4,"")</f>
        <v/>
      </c>
      <c r="BI4" s="54" t="str">
        <f>+IF(SUM(AO4:AR4)&gt;0,AQ4/AN4,"")</f>
        <v/>
      </c>
      <c r="BJ4" s="39"/>
      <c r="BK4" s="55" t="str">
        <f t="shared" ref="BK4:BK36" si="8">+IF(E4&gt;0,(AJ4/E4),"")</f>
        <v/>
      </c>
      <c r="BL4" s="13" t="str">
        <f t="shared" ref="BL4:BL36" si="9">+IF(E4&gt;0,(AJ4/F4),"")</f>
        <v/>
      </c>
      <c r="BM4" s="13" t="str">
        <f t="shared" ref="BM4:BM36" si="10">+IF(E4&gt;0,(AJ4/G4),"")</f>
        <v/>
      </c>
      <c r="BN4" s="56" t="str">
        <f t="shared" ref="BN4:BN36" si="11">+IF(E4&gt;0,(AJ4/J4),"")</f>
        <v/>
      </c>
      <c r="BO4" s="39"/>
      <c r="BP4" s="14" t="str">
        <f t="shared" ref="BP4:BP36" si="12">IF(AJ4&gt;0,(N4/AJ4),"")</f>
        <v/>
      </c>
      <c r="BQ4" s="15">
        <v>0</v>
      </c>
      <c r="BR4" s="15" t="str">
        <f>IF(AJ4&gt;0,(AK4/AJ4),"")</f>
        <v/>
      </c>
      <c r="BS4" s="15" t="str">
        <f>IF(AJ4&gt;0,(AK4/AJ4),"")</f>
        <v/>
      </c>
      <c r="BT4" s="16" t="str">
        <f t="shared" ref="BT4:BT36" si="13">IF(J4&gt;0,AD4/J4,"")</f>
        <v/>
      </c>
      <c r="BU4" s="39"/>
      <c r="BV4" s="28" t="str">
        <f t="shared" ref="BV4:BV36" si="14">IF(AN4&gt;0,(E4/AN4),"")</f>
        <v/>
      </c>
      <c r="BW4" s="28" t="str">
        <f t="shared" ref="BW4:BW36" si="15">IF(AN4&gt;0,(G4/AN4),"")</f>
        <v/>
      </c>
      <c r="BX4" s="28" t="str">
        <f t="shared" ref="BX4:BX36" si="16">IF(AN4&gt;0,(J4/AN4),"")</f>
        <v/>
      </c>
      <c r="BY4" s="28" t="str">
        <f t="shared" ref="BY4:BY36" si="17">IF(AN4&gt;0,(K4/AN4),"")</f>
        <v/>
      </c>
      <c r="BZ4" s="28" t="str">
        <f>IF(AN4&gt;0,(AJ4/AN4),"")</f>
        <v/>
      </c>
      <c r="CA4" s="52" t="str">
        <f>IF(AN4&gt;0,(AK4/AN4),"")</f>
        <v/>
      </c>
      <c r="CB4" s="39"/>
      <c r="CC4" s="49" t="str">
        <f t="shared" ref="CC4:CC36" si="18">IFERROR(((AN4-AO4)*3600)/J4,"-")</f>
        <v>-</v>
      </c>
      <c r="CD4" s="29" t="str">
        <f t="shared" ref="CD4:CD36" si="19">IFERROR((AR4*3600)/J4,"-")</f>
        <v>-</v>
      </c>
      <c r="CE4" s="29" t="str">
        <f t="shared" ref="CE4:CE36" si="20">IFERROR((AQ4*3600)/J4,"-")</f>
        <v>-</v>
      </c>
      <c r="CF4" s="29" t="str">
        <f t="shared" ref="CF4:CF36" si="21">IFERROR((AO4*3600)/J4,"-")</f>
        <v>-</v>
      </c>
      <c r="CG4" s="50" t="str">
        <f t="shared" ref="CG4:CG36" si="22">IFERROR((AP4*3600)/J4,"-")</f>
        <v>-</v>
      </c>
      <c r="CH4" s="39"/>
    </row>
    <row r="5" spans="1:86" s="27" customFormat="1" ht="12.4" customHeight="1" thickBot="1" x14ac:dyDescent="0.25">
      <c r="A5" s="43">
        <f>A4+1</f>
        <v>46297</v>
      </c>
      <c r="B5" s="44" t="str">
        <f t="shared" si="0"/>
        <v>Fri</v>
      </c>
      <c r="C5" s="2"/>
      <c r="D5" s="2"/>
      <c r="E5" s="3"/>
      <c r="F5" s="2"/>
      <c r="G5" s="2"/>
      <c r="H5" s="4"/>
      <c r="I5" s="4"/>
      <c r="J5" s="86"/>
      <c r="K5" s="5"/>
      <c r="L5" s="2"/>
      <c r="M5" s="2"/>
      <c r="N5" s="2"/>
      <c r="O5" s="2"/>
      <c r="P5" s="3"/>
      <c r="Q5" s="2"/>
      <c r="R5" s="2"/>
      <c r="S5" s="2"/>
      <c r="T5" s="2"/>
      <c r="U5" s="2"/>
      <c r="V5" s="3"/>
      <c r="W5" s="3"/>
      <c r="X5" s="2"/>
      <c r="Y5" s="2"/>
      <c r="Z5" s="2"/>
      <c r="AA5" s="2"/>
      <c r="AB5" s="2"/>
      <c r="AC5" s="2"/>
      <c r="AD5" s="2"/>
      <c r="AE5" s="2"/>
      <c r="AF5" s="3"/>
      <c r="AG5" s="3"/>
      <c r="AH5" s="2"/>
      <c r="AI5" s="6"/>
      <c r="AJ5" s="7"/>
      <c r="AK5" s="6"/>
      <c r="AL5" s="59"/>
      <c r="AM5" s="59"/>
      <c r="AN5" s="59"/>
      <c r="AO5" s="59"/>
      <c r="AP5" s="59"/>
      <c r="AQ5" s="59"/>
      <c r="AR5" s="59"/>
      <c r="AS5" s="59"/>
      <c r="AT5" s="8"/>
      <c r="AU5" s="8"/>
      <c r="AV5" s="9"/>
      <c r="AW5" s="92"/>
      <c r="AX5" s="10" t="str">
        <f t="shared" ref="AX5:AX36" si="23">IFERROR(AN5/AW5,"-")</f>
        <v>-</v>
      </c>
      <c r="AY5" s="39"/>
      <c r="AZ5" s="1" t="str">
        <f t="shared" si="1"/>
        <v/>
      </c>
      <c r="BA5" s="11" t="str">
        <f t="shared" si="2"/>
        <v/>
      </c>
      <c r="BB5" s="1" t="str">
        <f t="shared" si="3"/>
        <v/>
      </c>
      <c r="BC5" s="39"/>
      <c r="BD5" s="53" t="str">
        <f t="shared" si="4"/>
        <v/>
      </c>
      <c r="BE5" s="12" t="str">
        <f t="shared" si="5"/>
        <v/>
      </c>
      <c r="BF5" s="12" t="str">
        <f t="shared" si="6"/>
        <v/>
      </c>
      <c r="BG5" s="12" t="str">
        <f t="shared" ref="BG5:BG36" si="24">+IF(SUM(AO5:AR5)&gt;0,AO5/AN5,"")</f>
        <v/>
      </c>
      <c r="BH5" s="12" t="str">
        <f t="shared" si="7"/>
        <v/>
      </c>
      <c r="BI5" s="54" t="str">
        <f t="shared" ref="BI5:BI36" si="25">+IF(SUM(AO5:AR5)&gt;0,AQ5/AN5,"")</f>
        <v/>
      </c>
      <c r="BJ5" s="39"/>
      <c r="BK5" s="55" t="str">
        <f t="shared" si="8"/>
        <v/>
      </c>
      <c r="BL5" s="13" t="str">
        <f t="shared" si="9"/>
        <v/>
      </c>
      <c r="BM5" s="13" t="str">
        <f t="shared" si="10"/>
        <v/>
      </c>
      <c r="BN5" s="56" t="str">
        <f t="shared" si="11"/>
        <v/>
      </c>
      <c r="BO5" s="39"/>
      <c r="BP5" s="14" t="str">
        <f t="shared" si="12"/>
        <v/>
      </c>
      <c r="BQ5" s="15">
        <v>0</v>
      </c>
      <c r="BR5" s="15" t="str">
        <f t="shared" ref="BR5:BR36" si="26">IF(AJ5&gt;0,(AK5/AJ5),"")</f>
        <v/>
      </c>
      <c r="BS5" s="15" t="str">
        <f t="shared" ref="BS5:BS36" si="27">IF(AJ5&gt;0,(AK5/AJ5),"")</f>
        <v/>
      </c>
      <c r="BT5" s="16" t="str">
        <f t="shared" si="13"/>
        <v/>
      </c>
      <c r="BU5" s="39"/>
      <c r="BV5" s="51" t="str">
        <f t="shared" si="14"/>
        <v/>
      </c>
      <c r="BW5" s="28" t="str">
        <f t="shared" si="15"/>
        <v/>
      </c>
      <c r="BX5" s="28" t="str">
        <f t="shared" si="16"/>
        <v/>
      </c>
      <c r="BY5" s="28" t="str">
        <f t="shared" si="17"/>
        <v/>
      </c>
      <c r="BZ5" s="28" t="str">
        <f t="shared" ref="BZ5:BZ36" si="28">IF(AN5&gt;0,(AJ5/AN5),"")</f>
        <v/>
      </c>
      <c r="CA5" s="52" t="str">
        <f t="shared" ref="CA5:CA36" si="29">IF(AN5&gt;0,(AK5/AN5),"")</f>
        <v/>
      </c>
      <c r="CB5" s="39"/>
      <c r="CC5" s="49" t="str">
        <f>IFERROR(((AN5-AO5)*3600)/J5,"-")</f>
        <v>-</v>
      </c>
      <c r="CD5" s="29" t="str">
        <f t="shared" si="19"/>
        <v>-</v>
      </c>
      <c r="CE5" s="29" t="str">
        <f t="shared" si="20"/>
        <v>-</v>
      </c>
      <c r="CF5" s="29" t="str">
        <f t="shared" si="21"/>
        <v>-</v>
      </c>
      <c r="CG5" s="50" t="str">
        <f t="shared" si="22"/>
        <v>-</v>
      </c>
      <c r="CH5" s="39"/>
    </row>
    <row r="6" spans="1:86" s="27" customFormat="1" ht="12.4" customHeight="1" thickBot="1" x14ac:dyDescent="0.25">
      <c r="A6" s="43">
        <f t="shared" ref="A6:A34" si="30">A5+1</f>
        <v>46298</v>
      </c>
      <c r="B6" s="44" t="str">
        <f t="shared" si="0"/>
        <v>Sat</v>
      </c>
      <c r="C6" s="2"/>
      <c r="D6" s="2"/>
      <c r="E6" s="3"/>
      <c r="F6" s="2"/>
      <c r="G6" s="2"/>
      <c r="H6" s="4"/>
      <c r="I6" s="4"/>
      <c r="J6" s="86"/>
      <c r="K6" s="5"/>
      <c r="L6" s="2"/>
      <c r="M6" s="2"/>
      <c r="N6" s="2"/>
      <c r="O6" s="2"/>
      <c r="P6" s="3"/>
      <c r="Q6" s="2"/>
      <c r="R6" s="2"/>
      <c r="S6" s="2"/>
      <c r="T6" s="2"/>
      <c r="U6" s="2"/>
      <c r="V6" s="3"/>
      <c r="W6" s="3"/>
      <c r="X6" s="2"/>
      <c r="Y6" s="2"/>
      <c r="Z6" s="2"/>
      <c r="AA6" s="2"/>
      <c r="AB6" s="2"/>
      <c r="AC6" s="2"/>
      <c r="AD6" s="2"/>
      <c r="AE6" s="2"/>
      <c r="AF6" s="3"/>
      <c r="AG6" s="3"/>
      <c r="AH6" s="2"/>
      <c r="AI6" s="6"/>
      <c r="AJ6" s="7"/>
      <c r="AK6" s="6"/>
      <c r="AL6" s="59"/>
      <c r="AM6" s="59"/>
      <c r="AN6" s="59"/>
      <c r="AO6" s="59"/>
      <c r="AP6" s="59"/>
      <c r="AQ6" s="59"/>
      <c r="AR6" s="59"/>
      <c r="AS6" s="59"/>
      <c r="AT6" s="8"/>
      <c r="AU6" s="8"/>
      <c r="AV6" s="9"/>
      <c r="AW6" s="92"/>
      <c r="AX6" s="10" t="str">
        <f t="shared" si="23"/>
        <v>-</v>
      </c>
      <c r="AY6" s="39"/>
      <c r="AZ6" s="1" t="str">
        <f t="shared" si="1"/>
        <v/>
      </c>
      <c r="BA6" s="11" t="str">
        <f t="shared" si="2"/>
        <v/>
      </c>
      <c r="BB6" s="1" t="str">
        <f t="shared" si="3"/>
        <v/>
      </c>
      <c r="BC6" s="39"/>
      <c r="BD6" s="53" t="str">
        <f t="shared" si="4"/>
        <v/>
      </c>
      <c r="BE6" s="12" t="str">
        <f t="shared" si="5"/>
        <v/>
      </c>
      <c r="BF6" s="12" t="str">
        <f t="shared" si="6"/>
        <v/>
      </c>
      <c r="BG6" s="12" t="str">
        <f t="shared" si="24"/>
        <v/>
      </c>
      <c r="BH6" s="12" t="str">
        <f t="shared" si="7"/>
        <v/>
      </c>
      <c r="BI6" s="54" t="str">
        <f t="shared" si="25"/>
        <v/>
      </c>
      <c r="BJ6" s="39"/>
      <c r="BK6" s="55" t="str">
        <f t="shared" si="8"/>
        <v/>
      </c>
      <c r="BL6" s="13" t="str">
        <f t="shared" si="9"/>
        <v/>
      </c>
      <c r="BM6" s="13" t="str">
        <f t="shared" si="10"/>
        <v/>
      </c>
      <c r="BN6" s="56" t="str">
        <f t="shared" si="11"/>
        <v/>
      </c>
      <c r="BO6" s="39"/>
      <c r="BP6" s="14" t="str">
        <f t="shared" si="12"/>
        <v/>
      </c>
      <c r="BQ6" s="15">
        <v>0</v>
      </c>
      <c r="BR6" s="15" t="str">
        <f t="shared" si="26"/>
        <v/>
      </c>
      <c r="BS6" s="15" t="str">
        <f t="shared" si="27"/>
        <v/>
      </c>
      <c r="BT6" s="16" t="str">
        <f t="shared" si="13"/>
        <v/>
      </c>
      <c r="BU6" s="39"/>
      <c r="BV6" s="51" t="str">
        <f t="shared" si="14"/>
        <v/>
      </c>
      <c r="BW6" s="28" t="str">
        <f t="shared" si="15"/>
        <v/>
      </c>
      <c r="BX6" s="28" t="str">
        <f t="shared" si="16"/>
        <v/>
      </c>
      <c r="BY6" s="28" t="str">
        <f t="shared" si="17"/>
        <v/>
      </c>
      <c r="BZ6" s="28" t="str">
        <f t="shared" si="28"/>
        <v/>
      </c>
      <c r="CA6" s="52" t="str">
        <f t="shared" si="29"/>
        <v/>
      </c>
      <c r="CB6" s="39"/>
      <c r="CC6" s="49" t="str">
        <f t="shared" si="18"/>
        <v>-</v>
      </c>
      <c r="CD6" s="29" t="str">
        <f t="shared" si="19"/>
        <v>-</v>
      </c>
      <c r="CE6" s="29" t="str">
        <f t="shared" si="20"/>
        <v>-</v>
      </c>
      <c r="CF6" s="29" t="str">
        <f t="shared" si="21"/>
        <v>-</v>
      </c>
      <c r="CG6" s="50" t="str">
        <f t="shared" si="22"/>
        <v>-</v>
      </c>
      <c r="CH6" s="39"/>
    </row>
    <row r="7" spans="1:86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2"/>
      <c r="D7" s="2"/>
      <c r="E7" s="3"/>
      <c r="F7" s="2"/>
      <c r="G7" s="2"/>
      <c r="H7" s="4"/>
      <c r="I7" s="4"/>
      <c r="J7" s="86"/>
      <c r="K7" s="5"/>
      <c r="L7" s="2"/>
      <c r="M7" s="2"/>
      <c r="N7" s="2"/>
      <c r="O7" s="2"/>
      <c r="P7" s="3"/>
      <c r="Q7" s="2"/>
      <c r="R7" s="2"/>
      <c r="S7" s="2"/>
      <c r="T7" s="2"/>
      <c r="U7" s="2"/>
      <c r="V7" s="3"/>
      <c r="W7" s="3"/>
      <c r="X7" s="2"/>
      <c r="Y7" s="2"/>
      <c r="Z7" s="2"/>
      <c r="AA7" s="2"/>
      <c r="AB7" s="2"/>
      <c r="AC7" s="2"/>
      <c r="AD7" s="2"/>
      <c r="AE7" s="2"/>
      <c r="AF7" s="3"/>
      <c r="AG7" s="3"/>
      <c r="AH7" s="2"/>
      <c r="AI7" s="6"/>
      <c r="AJ7" s="7"/>
      <c r="AK7" s="6"/>
      <c r="AL7" s="59"/>
      <c r="AM7" s="59"/>
      <c r="AN7" s="59"/>
      <c r="AO7" s="59"/>
      <c r="AP7" s="59"/>
      <c r="AQ7" s="59"/>
      <c r="AR7" s="59"/>
      <c r="AS7" s="59"/>
      <c r="AT7" s="8"/>
      <c r="AU7" s="8"/>
      <c r="AV7" s="9"/>
      <c r="AW7" s="92"/>
      <c r="AX7" s="10" t="str">
        <f t="shared" si="23"/>
        <v>-</v>
      </c>
      <c r="AY7" s="39"/>
      <c r="AZ7" s="1" t="str">
        <f t="shared" si="1"/>
        <v/>
      </c>
      <c r="BA7" s="11" t="str">
        <f t="shared" si="2"/>
        <v/>
      </c>
      <c r="BB7" s="1" t="str">
        <f t="shared" si="3"/>
        <v/>
      </c>
      <c r="BC7" s="39"/>
      <c r="BD7" s="53" t="str">
        <f t="shared" si="4"/>
        <v/>
      </c>
      <c r="BE7" s="12" t="str">
        <f t="shared" si="5"/>
        <v/>
      </c>
      <c r="BF7" s="12" t="str">
        <f t="shared" si="6"/>
        <v/>
      </c>
      <c r="BG7" s="12" t="str">
        <f t="shared" si="24"/>
        <v/>
      </c>
      <c r="BH7" s="12" t="str">
        <f t="shared" si="7"/>
        <v/>
      </c>
      <c r="BI7" s="54" t="str">
        <f t="shared" si="25"/>
        <v/>
      </c>
      <c r="BJ7" s="39"/>
      <c r="BK7" s="55" t="str">
        <f t="shared" si="8"/>
        <v/>
      </c>
      <c r="BL7" s="13" t="str">
        <f t="shared" si="9"/>
        <v/>
      </c>
      <c r="BM7" s="13" t="str">
        <f t="shared" si="10"/>
        <v/>
      </c>
      <c r="BN7" s="56" t="str">
        <f t="shared" si="11"/>
        <v/>
      </c>
      <c r="BO7" s="39"/>
      <c r="BP7" s="14" t="str">
        <f t="shared" si="12"/>
        <v/>
      </c>
      <c r="BQ7" s="15">
        <v>0</v>
      </c>
      <c r="BR7" s="15" t="str">
        <f t="shared" si="26"/>
        <v/>
      </c>
      <c r="BS7" s="15" t="str">
        <f t="shared" si="27"/>
        <v/>
      </c>
      <c r="BT7" s="16" t="str">
        <f t="shared" si="13"/>
        <v/>
      </c>
      <c r="BU7" s="39"/>
      <c r="BV7" s="51" t="str">
        <f t="shared" si="14"/>
        <v/>
      </c>
      <c r="BW7" s="28" t="str">
        <f t="shared" si="15"/>
        <v/>
      </c>
      <c r="BX7" s="28" t="str">
        <f t="shared" si="16"/>
        <v/>
      </c>
      <c r="BY7" s="28" t="str">
        <f t="shared" si="17"/>
        <v/>
      </c>
      <c r="BZ7" s="28" t="str">
        <f t="shared" si="28"/>
        <v/>
      </c>
      <c r="CA7" s="52" t="str">
        <f t="shared" si="29"/>
        <v/>
      </c>
      <c r="CB7" s="39"/>
      <c r="CC7" s="49" t="str">
        <f t="shared" si="18"/>
        <v>-</v>
      </c>
      <c r="CD7" s="29" t="str">
        <f t="shared" si="19"/>
        <v>-</v>
      </c>
      <c r="CE7" s="29" t="str">
        <f t="shared" si="20"/>
        <v>-</v>
      </c>
      <c r="CF7" s="29" t="str">
        <f t="shared" si="21"/>
        <v>-</v>
      </c>
      <c r="CG7" s="50" t="str">
        <f t="shared" si="22"/>
        <v>-</v>
      </c>
      <c r="CH7" s="39"/>
    </row>
    <row r="8" spans="1:86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2"/>
      <c r="D8" s="2"/>
      <c r="E8" s="3"/>
      <c r="F8" s="2"/>
      <c r="G8" s="2"/>
      <c r="H8" s="4"/>
      <c r="I8" s="4"/>
      <c r="J8" s="86"/>
      <c r="K8" s="5"/>
      <c r="L8" s="2"/>
      <c r="M8" s="2"/>
      <c r="N8" s="2"/>
      <c r="O8" s="2"/>
      <c r="P8" s="3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  <c r="AD8" s="2"/>
      <c r="AE8" s="2"/>
      <c r="AF8" s="3"/>
      <c r="AG8" s="3"/>
      <c r="AH8" s="2"/>
      <c r="AI8" s="6"/>
      <c r="AJ8" s="7"/>
      <c r="AK8" s="6"/>
      <c r="AL8" s="59"/>
      <c r="AM8" s="59"/>
      <c r="AN8" s="59"/>
      <c r="AO8" s="59"/>
      <c r="AP8" s="59"/>
      <c r="AQ8" s="59"/>
      <c r="AR8" s="59"/>
      <c r="AS8" s="59"/>
      <c r="AT8" s="8"/>
      <c r="AU8" s="8"/>
      <c r="AV8" s="9"/>
      <c r="AW8" s="92"/>
      <c r="AX8" s="10" t="str">
        <f t="shared" si="23"/>
        <v>-</v>
      </c>
      <c r="AY8" s="39"/>
      <c r="AZ8" s="1" t="str">
        <f t="shared" si="1"/>
        <v/>
      </c>
      <c r="BA8" s="11" t="str">
        <f t="shared" si="2"/>
        <v/>
      </c>
      <c r="BB8" s="1" t="str">
        <f t="shared" si="3"/>
        <v/>
      </c>
      <c r="BC8" s="39"/>
      <c r="BD8" s="53" t="str">
        <f t="shared" si="4"/>
        <v/>
      </c>
      <c r="BE8" s="12" t="str">
        <f t="shared" si="5"/>
        <v/>
      </c>
      <c r="BF8" s="12" t="str">
        <f t="shared" si="6"/>
        <v/>
      </c>
      <c r="BG8" s="12" t="str">
        <f t="shared" si="24"/>
        <v/>
      </c>
      <c r="BH8" s="12" t="str">
        <f t="shared" si="7"/>
        <v/>
      </c>
      <c r="BI8" s="54" t="str">
        <f t="shared" si="25"/>
        <v/>
      </c>
      <c r="BJ8" s="39"/>
      <c r="BK8" s="55" t="str">
        <f t="shared" si="8"/>
        <v/>
      </c>
      <c r="BL8" s="13" t="str">
        <f t="shared" si="9"/>
        <v/>
      </c>
      <c r="BM8" s="13" t="str">
        <f t="shared" si="10"/>
        <v/>
      </c>
      <c r="BN8" s="56" t="str">
        <f t="shared" si="11"/>
        <v/>
      </c>
      <c r="BO8" s="39"/>
      <c r="BP8" s="14" t="str">
        <f t="shared" si="12"/>
        <v/>
      </c>
      <c r="BQ8" s="15">
        <v>0</v>
      </c>
      <c r="BR8" s="15" t="str">
        <f t="shared" si="26"/>
        <v/>
      </c>
      <c r="BS8" s="15" t="str">
        <f t="shared" si="27"/>
        <v/>
      </c>
      <c r="BT8" s="16" t="str">
        <f t="shared" si="13"/>
        <v/>
      </c>
      <c r="BU8" s="39"/>
      <c r="BV8" s="51" t="str">
        <f t="shared" si="14"/>
        <v/>
      </c>
      <c r="BW8" s="28" t="str">
        <f t="shared" si="15"/>
        <v/>
      </c>
      <c r="BX8" s="28" t="str">
        <f t="shared" si="16"/>
        <v/>
      </c>
      <c r="BY8" s="28" t="str">
        <f t="shared" si="17"/>
        <v/>
      </c>
      <c r="BZ8" s="28" t="str">
        <f t="shared" si="28"/>
        <v/>
      </c>
      <c r="CA8" s="52" t="str">
        <f t="shared" si="29"/>
        <v/>
      </c>
      <c r="CB8" s="39"/>
      <c r="CC8" s="49" t="str">
        <f t="shared" si="18"/>
        <v>-</v>
      </c>
      <c r="CD8" s="29" t="str">
        <f t="shared" si="19"/>
        <v>-</v>
      </c>
      <c r="CE8" s="29" t="str">
        <f t="shared" si="20"/>
        <v>-</v>
      </c>
      <c r="CF8" s="29" t="str">
        <f t="shared" si="21"/>
        <v>-</v>
      </c>
      <c r="CG8" s="50" t="str">
        <f t="shared" si="22"/>
        <v>-</v>
      </c>
      <c r="CH8" s="39"/>
    </row>
    <row r="9" spans="1:86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2"/>
      <c r="D9" s="2"/>
      <c r="E9" s="3"/>
      <c r="F9" s="2"/>
      <c r="G9" s="2"/>
      <c r="H9" s="4"/>
      <c r="I9" s="4"/>
      <c r="J9" s="86"/>
      <c r="K9" s="5"/>
      <c r="L9" s="2"/>
      <c r="M9" s="2"/>
      <c r="N9" s="2"/>
      <c r="O9" s="2"/>
      <c r="P9" s="3"/>
      <c r="Q9" s="2"/>
      <c r="R9" s="2"/>
      <c r="S9" s="2"/>
      <c r="T9" s="2"/>
      <c r="U9" s="2"/>
      <c r="V9" s="3"/>
      <c r="W9" s="3"/>
      <c r="X9" s="2"/>
      <c r="Y9" s="2"/>
      <c r="Z9" s="2"/>
      <c r="AA9" s="2"/>
      <c r="AB9" s="2"/>
      <c r="AC9" s="2"/>
      <c r="AD9" s="2"/>
      <c r="AE9" s="2"/>
      <c r="AF9" s="3"/>
      <c r="AG9" s="3"/>
      <c r="AH9" s="2"/>
      <c r="AI9" s="6"/>
      <c r="AJ9" s="7"/>
      <c r="AK9" s="6"/>
      <c r="AL9" s="59"/>
      <c r="AM9" s="59"/>
      <c r="AN9" s="59"/>
      <c r="AO9" s="59"/>
      <c r="AP9" s="59"/>
      <c r="AQ9" s="59"/>
      <c r="AR9" s="59"/>
      <c r="AS9" s="59"/>
      <c r="AT9" s="8"/>
      <c r="AU9" s="8"/>
      <c r="AV9" s="9"/>
      <c r="AW9" s="92"/>
      <c r="AX9" s="10" t="str">
        <f t="shared" si="23"/>
        <v>-</v>
      </c>
      <c r="AY9" s="39"/>
      <c r="AZ9" s="1" t="str">
        <f t="shared" si="1"/>
        <v/>
      </c>
      <c r="BA9" s="11" t="str">
        <f t="shared" si="2"/>
        <v/>
      </c>
      <c r="BB9" s="1" t="str">
        <f t="shared" si="3"/>
        <v/>
      </c>
      <c r="BC9" s="39"/>
      <c r="BD9" s="53" t="str">
        <f t="shared" si="4"/>
        <v/>
      </c>
      <c r="BE9" s="12" t="str">
        <f t="shared" si="5"/>
        <v/>
      </c>
      <c r="BF9" s="12" t="str">
        <f t="shared" si="6"/>
        <v/>
      </c>
      <c r="BG9" s="12" t="str">
        <f t="shared" si="24"/>
        <v/>
      </c>
      <c r="BH9" s="12" t="str">
        <f t="shared" si="7"/>
        <v/>
      </c>
      <c r="BI9" s="54" t="str">
        <f t="shared" si="25"/>
        <v/>
      </c>
      <c r="BJ9" s="39"/>
      <c r="BK9" s="55" t="str">
        <f t="shared" si="8"/>
        <v/>
      </c>
      <c r="BL9" s="13" t="str">
        <f t="shared" si="9"/>
        <v/>
      </c>
      <c r="BM9" s="13" t="str">
        <f t="shared" si="10"/>
        <v/>
      </c>
      <c r="BN9" s="56" t="str">
        <f t="shared" si="11"/>
        <v/>
      </c>
      <c r="BO9" s="39"/>
      <c r="BP9" s="14" t="str">
        <f t="shared" si="12"/>
        <v/>
      </c>
      <c r="BQ9" s="15">
        <v>0</v>
      </c>
      <c r="BR9" s="15" t="str">
        <f t="shared" si="26"/>
        <v/>
      </c>
      <c r="BS9" s="15" t="str">
        <f t="shared" si="27"/>
        <v/>
      </c>
      <c r="BT9" s="16" t="str">
        <f t="shared" si="13"/>
        <v/>
      </c>
      <c r="BU9" s="39"/>
      <c r="BV9" s="51" t="str">
        <f t="shared" si="14"/>
        <v/>
      </c>
      <c r="BW9" s="28" t="str">
        <f t="shared" si="15"/>
        <v/>
      </c>
      <c r="BX9" s="28" t="str">
        <f t="shared" si="16"/>
        <v/>
      </c>
      <c r="BY9" s="28" t="str">
        <f t="shared" si="17"/>
        <v/>
      </c>
      <c r="BZ9" s="28" t="str">
        <f t="shared" si="28"/>
        <v/>
      </c>
      <c r="CA9" s="52" t="str">
        <f t="shared" si="29"/>
        <v/>
      </c>
      <c r="CB9" s="39"/>
      <c r="CC9" s="49" t="str">
        <f t="shared" si="18"/>
        <v>-</v>
      </c>
      <c r="CD9" s="29" t="str">
        <f t="shared" si="19"/>
        <v>-</v>
      </c>
      <c r="CE9" s="29" t="str">
        <f t="shared" si="20"/>
        <v>-</v>
      </c>
      <c r="CF9" s="29" t="str">
        <f t="shared" si="21"/>
        <v>-</v>
      </c>
      <c r="CG9" s="50" t="str">
        <f t="shared" si="22"/>
        <v>-</v>
      </c>
      <c r="CH9" s="39"/>
    </row>
    <row r="10" spans="1:86" s="27" customFormat="1" ht="12.4" customHeight="1" thickBot="1" x14ac:dyDescent="0.25">
      <c r="A10" s="43">
        <f t="shared" si="30"/>
        <v>46302</v>
      </c>
      <c r="B10" s="44" t="str">
        <f>+TEXT(A10,"DDD")</f>
        <v>Wed</v>
      </c>
      <c r="C10" s="2"/>
      <c r="D10" s="2"/>
      <c r="E10" s="3"/>
      <c r="F10" s="2"/>
      <c r="G10" s="2"/>
      <c r="H10" s="4"/>
      <c r="I10" s="4"/>
      <c r="J10" s="86"/>
      <c r="K10" s="5"/>
      <c r="L10" s="2"/>
      <c r="M10" s="2"/>
      <c r="N10" s="2"/>
      <c r="O10" s="2"/>
      <c r="P10" s="3"/>
      <c r="Q10" s="2"/>
      <c r="R10" s="2"/>
      <c r="S10" s="2"/>
      <c r="T10" s="2"/>
      <c r="U10" s="2"/>
      <c r="V10" s="3"/>
      <c r="W10" s="3"/>
      <c r="X10" s="2"/>
      <c r="Y10" s="2"/>
      <c r="Z10" s="2"/>
      <c r="AA10" s="2"/>
      <c r="AB10" s="2"/>
      <c r="AC10" s="2"/>
      <c r="AD10" s="2"/>
      <c r="AE10" s="2"/>
      <c r="AF10" s="3"/>
      <c r="AG10" s="3"/>
      <c r="AH10" s="2"/>
      <c r="AI10" s="6"/>
      <c r="AJ10" s="7"/>
      <c r="AK10" s="6"/>
      <c r="AL10" s="59"/>
      <c r="AM10" s="59"/>
      <c r="AN10" s="59"/>
      <c r="AO10" s="59"/>
      <c r="AP10" s="59"/>
      <c r="AQ10" s="59"/>
      <c r="AR10" s="59"/>
      <c r="AS10" s="59"/>
      <c r="AT10" s="8"/>
      <c r="AU10" s="8"/>
      <c r="AV10" s="9"/>
      <c r="AW10" s="8"/>
      <c r="AX10" s="10" t="str">
        <f t="shared" si="23"/>
        <v>-</v>
      </c>
      <c r="AY10" s="39"/>
      <c r="AZ10" s="1" t="str">
        <f t="shared" si="1"/>
        <v/>
      </c>
      <c r="BA10" s="11" t="str">
        <f t="shared" si="2"/>
        <v/>
      </c>
      <c r="BB10" s="1" t="str">
        <f t="shared" si="3"/>
        <v/>
      </c>
      <c r="BC10" s="39"/>
      <c r="BD10" s="53" t="str">
        <f t="shared" si="4"/>
        <v/>
      </c>
      <c r="BE10" s="12" t="str">
        <f t="shared" si="5"/>
        <v/>
      </c>
      <c r="BF10" s="12" t="str">
        <f t="shared" si="6"/>
        <v/>
      </c>
      <c r="BG10" s="12" t="str">
        <f t="shared" si="24"/>
        <v/>
      </c>
      <c r="BH10" s="12" t="str">
        <f t="shared" si="7"/>
        <v/>
      </c>
      <c r="BI10" s="54" t="str">
        <f t="shared" si="25"/>
        <v/>
      </c>
      <c r="BJ10" s="39"/>
      <c r="BK10" s="55" t="str">
        <f t="shared" si="8"/>
        <v/>
      </c>
      <c r="BL10" s="13" t="str">
        <f t="shared" si="9"/>
        <v/>
      </c>
      <c r="BM10" s="13" t="str">
        <f t="shared" si="10"/>
        <v/>
      </c>
      <c r="BN10" s="56" t="str">
        <f t="shared" si="11"/>
        <v/>
      </c>
      <c r="BO10" s="39"/>
      <c r="BP10" s="14" t="str">
        <f t="shared" si="12"/>
        <v/>
      </c>
      <c r="BQ10" s="15">
        <v>0</v>
      </c>
      <c r="BR10" s="15" t="str">
        <f t="shared" si="26"/>
        <v/>
      </c>
      <c r="BS10" s="15" t="str">
        <f t="shared" si="27"/>
        <v/>
      </c>
      <c r="BT10" s="16" t="str">
        <f t="shared" si="13"/>
        <v/>
      </c>
      <c r="BU10" s="39"/>
      <c r="BV10" s="51" t="str">
        <f t="shared" si="14"/>
        <v/>
      </c>
      <c r="BW10" s="28" t="str">
        <f t="shared" si="15"/>
        <v/>
      </c>
      <c r="BX10" s="28" t="str">
        <f t="shared" si="16"/>
        <v/>
      </c>
      <c r="BY10" s="28" t="str">
        <f t="shared" si="17"/>
        <v/>
      </c>
      <c r="BZ10" s="28" t="str">
        <f t="shared" si="28"/>
        <v/>
      </c>
      <c r="CA10" s="52" t="str">
        <f t="shared" si="29"/>
        <v/>
      </c>
      <c r="CB10" s="39"/>
      <c r="CC10" s="49" t="str">
        <f t="shared" si="18"/>
        <v>-</v>
      </c>
      <c r="CD10" s="29" t="str">
        <f t="shared" si="19"/>
        <v>-</v>
      </c>
      <c r="CE10" s="29" t="str">
        <f t="shared" si="20"/>
        <v>-</v>
      </c>
      <c r="CF10" s="29" t="str">
        <f t="shared" si="21"/>
        <v>-</v>
      </c>
      <c r="CG10" s="50" t="str">
        <f t="shared" si="22"/>
        <v>-</v>
      </c>
      <c r="CH10" s="39"/>
    </row>
    <row r="11" spans="1:86" s="27" customFormat="1" ht="12.4" customHeight="1" thickBot="1" x14ac:dyDescent="0.25">
      <c r="A11" s="43">
        <f t="shared" si="30"/>
        <v>46303</v>
      </c>
      <c r="B11" s="44" t="str">
        <f>+TEXT(A11,"DDD")</f>
        <v>Thu</v>
      </c>
      <c r="C11" s="2"/>
      <c r="D11" s="2"/>
      <c r="E11" s="3"/>
      <c r="F11" s="2"/>
      <c r="G11" s="2"/>
      <c r="H11" s="4"/>
      <c r="I11" s="4"/>
      <c r="J11" s="86"/>
      <c r="K11" s="5"/>
      <c r="L11" s="2"/>
      <c r="M11" s="2"/>
      <c r="N11" s="2"/>
      <c r="O11" s="2"/>
      <c r="P11" s="3"/>
      <c r="Q11" s="2"/>
      <c r="R11" s="2"/>
      <c r="S11" s="2"/>
      <c r="T11" s="2"/>
      <c r="U11" s="2"/>
      <c r="V11" s="3"/>
      <c r="W11" s="3"/>
      <c r="X11" s="2"/>
      <c r="Y11" s="2"/>
      <c r="Z11" s="2"/>
      <c r="AA11" s="2"/>
      <c r="AB11" s="2"/>
      <c r="AC11" s="2"/>
      <c r="AD11" s="2"/>
      <c r="AE11" s="2"/>
      <c r="AF11" s="3"/>
      <c r="AG11" s="3"/>
      <c r="AH11" s="2"/>
      <c r="AI11" s="6"/>
      <c r="AJ11" s="7"/>
      <c r="AK11" s="6"/>
      <c r="AL11" s="59"/>
      <c r="AM11" s="59"/>
      <c r="AN11" s="59"/>
      <c r="AO11" s="59"/>
      <c r="AP11" s="59"/>
      <c r="AQ11" s="59"/>
      <c r="AR11" s="59"/>
      <c r="AS11" s="59"/>
      <c r="AT11" s="8"/>
      <c r="AU11" s="8"/>
      <c r="AV11" s="9"/>
      <c r="AW11" s="8"/>
      <c r="AX11" s="10" t="str">
        <f t="shared" si="23"/>
        <v>-</v>
      </c>
      <c r="AY11" s="39"/>
      <c r="AZ11" s="1" t="str">
        <f t="shared" si="1"/>
        <v/>
      </c>
      <c r="BA11" s="11" t="str">
        <f t="shared" si="2"/>
        <v/>
      </c>
      <c r="BB11" s="1" t="str">
        <f t="shared" si="3"/>
        <v/>
      </c>
      <c r="BC11" s="39"/>
      <c r="BD11" s="53" t="str">
        <f t="shared" si="4"/>
        <v/>
      </c>
      <c r="BE11" s="12" t="str">
        <f t="shared" si="5"/>
        <v/>
      </c>
      <c r="BF11" s="12" t="str">
        <f t="shared" si="6"/>
        <v/>
      </c>
      <c r="BG11" s="12" t="str">
        <f t="shared" si="24"/>
        <v/>
      </c>
      <c r="BH11" s="12" t="str">
        <f t="shared" si="7"/>
        <v/>
      </c>
      <c r="BI11" s="54" t="str">
        <f t="shared" si="25"/>
        <v/>
      </c>
      <c r="BJ11" s="39"/>
      <c r="BK11" s="55" t="str">
        <f t="shared" si="8"/>
        <v/>
      </c>
      <c r="BL11" s="13" t="str">
        <f t="shared" si="9"/>
        <v/>
      </c>
      <c r="BM11" s="13" t="str">
        <f t="shared" si="10"/>
        <v/>
      </c>
      <c r="BN11" s="56" t="str">
        <f t="shared" si="11"/>
        <v/>
      </c>
      <c r="BO11" s="39"/>
      <c r="BP11" s="14" t="str">
        <f t="shared" si="12"/>
        <v/>
      </c>
      <c r="BQ11" s="15">
        <v>0</v>
      </c>
      <c r="BR11" s="15" t="str">
        <f t="shared" si="26"/>
        <v/>
      </c>
      <c r="BS11" s="15" t="str">
        <f t="shared" si="27"/>
        <v/>
      </c>
      <c r="BT11" s="16" t="str">
        <f t="shared" si="13"/>
        <v/>
      </c>
      <c r="BU11" s="39"/>
      <c r="BV11" s="51" t="str">
        <f t="shared" si="14"/>
        <v/>
      </c>
      <c r="BW11" s="28" t="str">
        <f t="shared" si="15"/>
        <v/>
      </c>
      <c r="BX11" s="28" t="str">
        <f t="shared" si="16"/>
        <v/>
      </c>
      <c r="BY11" s="28" t="str">
        <f t="shared" si="17"/>
        <v/>
      </c>
      <c r="BZ11" s="28" t="str">
        <f t="shared" si="28"/>
        <v/>
      </c>
      <c r="CA11" s="52" t="str">
        <f t="shared" si="29"/>
        <v/>
      </c>
      <c r="CB11" s="39"/>
      <c r="CC11" s="49" t="str">
        <f t="shared" si="18"/>
        <v>-</v>
      </c>
      <c r="CD11" s="29" t="str">
        <f t="shared" si="19"/>
        <v>-</v>
      </c>
      <c r="CE11" s="29" t="str">
        <f t="shared" si="20"/>
        <v>-</v>
      </c>
      <c r="CF11" s="29" t="str">
        <f t="shared" si="21"/>
        <v>-</v>
      </c>
      <c r="CG11" s="50" t="str">
        <f t="shared" si="22"/>
        <v>-</v>
      </c>
      <c r="CH11" s="39"/>
    </row>
    <row r="12" spans="1:86" s="27" customFormat="1" ht="12.4" customHeight="1" thickBot="1" x14ac:dyDescent="0.25">
      <c r="A12" s="43">
        <f t="shared" si="30"/>
        <v>46304</v>
      </c>
      <c r="B12" s="44" t="str">
        <f>+TEXT(A12,"DDD")</f>
        <v>Fri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2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1"/>
      <c r="AM12" s="61"/>
      <c r="AN12" s="61"/>
      <c r="AO12" s="61"/>
      <c r="AP12" s="61"/>
      <c r="AQ12" s="61"/>
      <c r="AR12" s="61"/>
      <c r="AS12" s="61"/>
      <c r="AT12" s="60"/>
      <c r="AU12" s="60"/>
      <c r="AV12" s="60"/>
      <c r="AW12" s="60"/>
      <c r="AX12" s="10" t="str">
        <f t="shared" si="23"/>
        <v>-</v>
      </c>
      <c r="AY12" s="39"/>
      <c r="AZ12" s="1" t="str">
        <f t="shared" si="1"/>
        <v/>
      </c>
      <c r="BA12" s="11" t="str">
        <f t="shared" si="2"/>
        <v/>
      </c>
      <c r="BB12" s="1" t="str">
        <f t="shared" si="3"/>
        <v/>
      </c>
      <c r="BC12" s="39"/>
      <c r="BD12" s="53" t="str">
        <f t="shared" si="4"/>
        <v/>
      </c>
      <c r="BE12" s="12" t="str">
        <f t="shared" si="5"/>
        <v/>
      </c>
      <c r="BF12" s="12" t="str">
        <f t="shared" si="6"/>
        <v/>
      </c>
      <c r="BG12" s="12" t="str">
        <f t="shared" si="24"/>
        <v/>
      </c>
      <c r="BH12" s="12" t="str">
        <f t="shared" si="7"/>
        <v/>
      </c>
      <c r="BI12" s="54" t="str">
        <f t="shared" si="25"/>
        <v/>
      </c>
      <c r="BJ12" s="39"/>
      <c r="BK12" s="55" t="str">
        <f t="shared" si="8"/>
        <v/>
      </c>
      <c r="BL12" s="13" t="str">
        <f t="shared" si="9"/>
        <v/>
      </c>
      <c r="BM12" s="13" t="str">
        <f t="shared" si="10"/>
        <v/>
      </c>
      <c r="BN12" s="56" t="str">
        <f t="shared" si="11"/>
        <v/>
      </c>
      <c r="BO12" s="39"/>
      <c r="BP12" s="14" t="str">
        <f t="shared" si="12"/>
        <v/>
      </c>
      <c r="BQ12" s="15">
        <v>0</v>
      </c>
      <c r="BR12" s="15" t="str">
        <f t="shared" si="26"/>
        <v/>
      </c>
      <c r="BS12" s="15" t="str">
        <f t="shared" si="27"/>
        <v/>
      </c>
      <c r="BT12" s="16" t="str">
        <f t="shared" si="13"/>
        <v/>
      </c>
      <c r="BU12" s="39"/>
      <c r="BV12" s="51" t="str">
        <f t="shared" si="14"/>
        <v/>
      </c>
      <c r="BW12" s="28" t="str">
        <f t="shared" si="15"/>
        <v/>
      </c>
      <c r="BX12" s="28" t="str">
        <f t="shared" si="16"/>
        <v/>
      </c>
      <c r="BY12" s="28" t="str">
        <f t="shared" si="17"/>
        <v/>
      </c>
      <c r="BZ12" s="28" t="str">
        <f t="shared" si="28"/>
        <v/>
      </c>
      <c r="CA12" s="52" t="str">
        <f t="shared" si="29"/>
        <v/>
      </c>
      <c r="CB12" s="39"/>
      <c r="CC12" s="49" t="str">
        <f t="shared" si="18"/>
        <v>-</v>
      </c>
      <c r="CD12" s="29" t="str">
        <f t="shared" si="19"/>
        <v>-</v>
      </c>
      <c r="CE12" s="29" t="str">
        <f t="shared" si="20"/>
        <v>-</v>
      </c>
      <c r="CF12" s="29" t="str">
        <f t="shared" si="21"/>
        <v>-</v>
      </c>
      <c r="CG12" s="50" t="str">
        <f t="shared" si="22"/>
        <v>-</v>
      </c>
      <c r="CH12" s="39"/>
    </row>
    <row r="13" spans="1:86" s="27" customFormat="1" ht="12.4" customHeight="1" thickBot="1" x14ac:dyDescent="0.25">
      <c r="A13" s="43">
        <f t="shared" si="30"/>
        <v>46305</v>
      </c>
      <c r="B13" s="44" t="str">
        <f>+TEXT(A13,"DDD")</f>
        <v>Sat</v>
      </c>
      <c r="C13" s="2"/>
      <c r="D13" s="2"/>
      <c r="E13" s="3"/>
      <c r="F13" s="2"/>
      <c r="G13" s="2"/>
      <c r="H13" s="4"/>
      <c r="I13" s="4"/>
      <c r="J13" s="86"/>
      <c r="K13" s="5"/>
      <c r="L13" s="2"/>
      <c r="M13" s="2"/>
      <c r="N13" s="2"/>
      <c r="O13" s="2"/>
      <c r="P13" s="3"/>
      <c r="Q13" s="2"/>
      <c r="R13" s="2"/>
      <c r="S13" s="2"/>
      <c r="T13" s="2"/>
      <c r="U13" s="2"/>
      <c r="V13" s="3"/>
      <c r="W13" s="3"/>
      <c r="X13" s="2"/>
      <c r="Y13" s="2"/>
      <c r="Z13" s="2"/>
      <c r="AA13" s="2"/>
      <c r="AB13" s="2"/>
      <c r="AC13" s="2"/>
      <c r="AD13" s="2"/>
      <c r="AE13" s="2"/>
      <c r="AF13" s="3"/>
      <c r="AG13" s="3"/>
      <c r="AH13" s="2"/>
      <c r="AI13" s="6"/>
      <c r="AJ13" s="7"/>
      <c r="AK13" s="6"/>
      <c r="AL13" s="59"/>
      <c r="AM13" s="59"/>
      <c r="AN13" s="59"/>
      <c r="AO13" s="59"/>
      <c r="AP13" s="59"/>
      <c r="AQ13" s="59"/>
      <c r="AR13" s="59"/>
      <c r="AS13" s="59"/>
      <c r="AT13" s="8"/>
      <c r="AU13" s="8"/>
      <c r="AV13" s="9"/>
      <c r="AW13" s="8"/>
      <c r="AX13" s="10" t="str">
        <f t="shared" si="23"/>
        <v>-</v>
      </c>
      <c r="AY13" s="39"/>
      <c r="AZ13" s="1" t="str">
        <f t="shared" si="1"/>
        <v/>
      </c>
      <c r="BA13" s="11" t="str">
        <f t="shared" si="2"/>
        <v/>
      </c>
      <c r="BB13" s="1" t="str">
        <f t="shared" si="3"/>
        <v/>
      </c>
      <c r="BC13" s="39"/>
      <c r="BD13" s="53" t="str">
        <f t="shared" si="4"/>
        <v/>
      </c>
      <c r="BE13" s="12" t="str">
        <f t="shared" si="5"/>
        <v/>
      </c>
      <c r="BF13" s="12" t="str">
        <f t="shared" si="6"/>
        <v/>
      </c>
      <c r="BG13" s="12" t="str">
        <f t="shared" si="24"/>
        <v/>
      </c>
      <c r="BH13" s="12" t="str">
        <f t="shared" si="7"/>
        <v/>
      </c>
      <c r="BI13" s="54" t="str">
        <f t="shared" si="25"/>
        <v/>
      </c>
      <c r="BJ13" s="39"/>
      <c r="BK13" s="55" t="str">
        <f t="shared" si="8"/>
        <v/>
      </c>
      <c r="BL13" s="13" t="str">
        <f t="shared" si="9"/>
        <v/>
      </c>
      <c r="BM13" s="13" t="str">
        <f t="shared" si="10"/>
        <v/>
      </c>
      <c r="BN13" s="56" t="str">
        <f t="shared" si="11"/>
        <v/>
      </c>
      <c r="BO13" s="39"/>
      <c r="BP13" s="14" t="str">
        <f t="shared" si="12"/>
        <v/>
      </c>
      <c r="BQ13" s="15">
        <v>0</v>
      </c>
      <c r="BR13" s="15" t="str">
        <f t="shared" si="26"/>
        <v/>
      </c>
      <c r="BS13" s="15" t="str">
        <f t="shared" si="27"/>
        <v/>
      </c>
      <c r="BT13" s="16" t="str">
        <f t="shared" si="13"/>
        <v/>
      </c>
      <c r="BU13" s="39"/>
      <c r="BV13" s="51" t="str">
        <f t="shared" si="14"/>
        <v/>
      </c>
      <c r="BW13" s="28" t="str">
        <f t="shared" si="15"/>
        <v/>
      </c>
      <c r="BX13" s="28" t="str">
        <f t="shared" si="16"/>
        <v/>
      </c>
      <c r="BY13" s="28" t="str">
        <f t="shared" si="17"/>
        <v/>
      </c>
      <c r="BZ13" s="28" t="str">
        <f t="shared" si="28"/>
        <v/>
      </c>
      <c r="CA13" s="52" t="str">
        <f t="shared" si="29"/>
        <v/>
      </c>
      <c r="CB13" s="39"/>
      <c r="CC13" s="49" t="str">
        <f t="shared" si="18"/>
        <v>-</v>
      </c>
      <c r="CD13" s="29" t="str">
        <f t="shared" si="19"/>
        <v>-</v>
      </c>
      <c r="CE13" s="29" t="str">
        <f t="shared" si="20"/>
        <v>-</v>
      </c>
      <c r="CF13" s="29" t="str">
        <f t="shared" si="21"/>
        <v>-</v>
      </c>
      <c r="CG13" s="50" t="str">
        <f t="shared" si="22"/>
        <v>-</v>
      </c>
      <c r="CH13" s="39"/>
    </row>
    <row r="14" spans="1:86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2"/>
      <c r="D14" s="2"/>
      <c r="E14" s="3"/>
      <c r="F14" s="2"/>
      <c r="G14" s="2"/>
      <c r="H14" s="4"/>
      <c r="I14" s="4"/>
      <c r="J14" s="86"/>
      <c r="K14" s="5"/>
      <c r="L14" s="2"/>
      <c r="M14" s="2"/>
      <c r="N14" s="2"/>
      <c r="O14" s="2"/>
      <c r="P14" s="3"/>
      <c r="Q14" s="2"/>
      <c r="R14" s="2"/>
      <c r="S14" s="2"/>
      <c r="T14" s="2"/>
      <c r="U14" s="60"/>
      <c r="V14" s="3"/>
      <c r="W14" s="3"/>
      <c r="X14" s="2"/>
      <c r="Y14" s="2"/>
      <c r="Z14" s="2"/>
      <c r="AA14" s="2"/>
      <c r="AB14" s="2"/>
      <c r="AC14" s="2"/>
      <c r="AD14" s="2"/>
      <c r="AE14" s="2"/>
      <c r="AF14" s="3"/>
      <c r="AG14" s="3"/>
      <c r="AH14" s="2"/>
      <c r="AI14" s="6"/>
      <c r="AJ14" s="7"/>
      <c r="AK14" s="6"/>
      <c r="AL14" s="59"/>
      <c r="AM14" s="59"/>
      <c r="AN14" s="59"/>
      <c r="AO14" s="59"/>
      <c r="AP14" s="59"/>
      <c r="AQ14" s="59"/>
      <c r="AR14" s="59"/>
      <c r="AS14" s="59"/>
      <c r="AT14" s="8"/>
      <c r="AU14" s="8"/>
      <c r="AV14" s="9"/>
      <c r="AW14" s="8"/>
      <c r="AX14" s="10" t="str">
        <f t="shared" si="23"/>
        <v>-</v>
      </c>
      <c r="AY14" s="39"/>
      <c r="AZ14" s="1" t="str">
        <f t="shared" si="1"/>
        <v/>
      </c>
      <c r="BA14" s="11" t="str">
        <f t="shared" si="2"/>
        <v/>
      </c>
      <c r="BB14" s="1" t="str">
        <f t="shared" si="3"/>
        <v/>
      </c>
      <c r="BC14" s="39"/>
      <c r="BD14" s="53" t="str">
        <f t="shared" si="4"/>
        <v/>
      </c>
      <c r="BE14" s="12" t="str">
        <f t="shared" si="5"/>
        <v/>
      </c>
      <c r="BF14" s="12" t="str">
        <f t="shared" si="6"/>
        <v/>
      </c>
      <c r="BG14" s="12" t="str">
        <f t="shared" si="24"/>
        <v/>
      </c>
      <c r="BH14" s="12" t="str">
        <f t="shared" si="7"/>
        <v/>
      </c>
      <c r="BI14" s="54" t="str">
        <f t="shared" si="25"/>
        <v/>
      </c>
      <c r="BJ14" s="39"/>
      <c r="BK14" s="55" t="str">
        <f t="shared" si="8"/>
        <v/>
      </c>
      <c r="BL14" s="13" t="str">
        <f t="shared" si="9"/>
        <v/>
      </c>
      <c r="BM14" s="13" t="str">
        <f t="shared" si="10"/>
        <v/>
      </c>
      <c r="BN14" s="56" t="str">
        <f t="shared" si="11"/>
        <v/>
      </c>
      <c r="BO14" s="39"/>
      <c r="BP14" s="14" t="str">
        <f t="shared" si="12"/>
        <v/>
      </c>
      <c r="BQ14" s="15">
        <v>0</v>
      </c>
      <c r="BR14" s="15" t="str">
        <f t="shared" si="26"/>
        <v/>
      </c>
      <c r="BS14" s="15" t="str">
        <f t="shared" si="27"/>
        <v/>
      </c>
      <c r="BT14" s="16" t="str">
        <f t="shared" si="13"/>
        <v/>
      </c>
      <c r="BU14" s="39"/>
      <c r="BV14" s="51" t="str">
        <f t="shared" si="14"/>
        <v/>
      </c>
      <c r="BW14" s="28" t="str">
        <f t="shared" si="15"/>
        <v/>
      </c>
      <c r="BX14" s="28" t="str">
        <f t="shared" si="16"/>
        <v/>
      </c>
      <c r="BY14" s="28" t="str">
        <f t="shared" si="17"/>
        <v/>
      </c>
      <c r="BZ14" s="28" t="str">
        <f t="shared" si="28"/>
        <v/>
      </c>
      <c r="CA14" s="52" t="str">
        <f t="shared" si="29"/>
        <v/>
      </c>
      <c r="CB14" s="39"/>
      <c r="CC14" s="49" t="str">
        <f t="shared" si="18"/>
        <v>-</v>
      </c>
      <c r="CD14" s="29" t="str">
        <f t="shared" si="19"/>
        <v>-</v>
      </c>
      <c r="CE14" s="29" t="str">
        <f t="shared" si="20"/>
        <v>-</v>
      </c>
      <c r="CF14" s="29" t="str">
        <f t="shared" si="21"/>
        <v>-</v>
      </c>
      <c r="CG14" s="50" t="str">
        <f t="shared" si="22"/>
        <v>-</v>
      </c>
      <c r="CH14" s="39"/>
    </row>
    <row r="15" spans="1:86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2"/>
      <c r="D15" s="2"/>
      <c r="E15" s="3"/>
      <c r="F15" s="2"/>
      <c r="G15" s="2"/>
      <c r="H15" s="4"/>
      <c r="I15" s="4"/>
      <c r="J15" s="86"/>
      <c r="K15" s="5"/>
      <c r="L15" s="2"/>
      <c r="M15" s="2"/>
      <c r="N15" s="2"/>
      <c r="O15" s="2"/>
      <c r="P15" s="3"/>
      <c r="Q15" s="2"/>
      <c r="R15" s="2"/>
      <c r="S15" s="2"/>
      <c r="T15" s="2"/>
      <c r="U15" s="60"/>
      <c r="V15" s="3"/>
      <c r="W15" s="3"/>
      <c r="X15" s="2"/>
      <c r="Y15" s="2"/>
      <c r="Z15" s="2"/>
      <c r="AA15" s="2"/>
      <c r="AB15" s="2"/>
      <c r="AC15" s="2"/>
      <c r="AD15" s="2"/>
      <c r="AE15" s="2"/>
      <c r="AF15" s="3"/>
      <c r="AG15" s="3"/>
      <c r="AH15" s="2"/>
      <c r="AI15" s="6"/>
      <c r="AJ15" s="7"/>
      <c r="AK15" s="6"/>
      <c r="AL15" s="59"/>
      <c r="AM15" s="59"/>
      <c r="AN15" s="59"/>
      <c r="AO15" s="59"/>
      <c r="AP15" s="59"/>
      <c r="AQ15" s="59"/>
      <c r="AR15" s="59"/>
      <c r="AS15" s="59"/>
      <c r="AT15" s="8"/>
      <c r="AU15" s="8"/>
      <c r="AV15" s="9"/>
      <c r="AW15" s="8"/>
      <c r="AX15" s="10" t="str">
        <f t="shared" si="23"/>
        <v>-</v>
      </c>
      <c r="AY15" s="39"/>
      <c r="AZ15" s="1" t="str">
        <f t="shared" si="1"/>
        <v/>
      </c>
      <c r="BA15" s="11" t="str">
        <f t="shared" si="2"/>
        <v/>
      </c>
      <c r="BB15" s="1" t="str">
        <f t="shared" si="3"/>
        <v/>
      </c>
      <c r="BC15" s="39"/>
      <c r="BD15" s="53" t="str">
        <f t="shared" si="4"/>
        <v/>
      </c>
      <c r="BE15" s="12" t="str">
        <f t="shared" si="5"/>
        <v/>
      </c>
      <c r="BF15" s="12" t="str">
        <f t="shared" si="6"/>
        <v/>
      </c>
      <c r="BG15" s="12" t="str">
        <f t="shared" si="24"/>
        <v/>
      </c>
      <c r="BH15" s="12" t="str">
        <f t="shared" si="7"/>
        <v/>
      </c>
      <c r="BI15" s="54" t="str">
        <f t="shared" si="25"/>
        <v/>
      </c>
      <c r="BJ15" s="39"/>
      <c r="BK15" s="55" t="str">
        <f t="shared" si="8"/>
        <v/>
      </c>
      <c r="BL15" s="13" t="str">
        <f t="shared" si="9"/>
        <v/>
      </c>
      <c r="BM15" s="13" t="str">
        <f t="shared" si="10"/>
        <v/>
      </c>
      <c r="BN15" s="56" t="str">
        <f t="shared" si="11"/>
        <v/>
      </c>
      <c r="BO15" s="39"/>
      <c r="BP15" s="14" t="str">
        <f t="shared" si="12"/>
        <v/>
      </c>
      <c r="BQ15" s="15">
        <v>0</v>
      </c>
      <c r="BR15" s="15" t="str">
        <f t="shared" si="26"/>
        <v/>
      </c>
      <c r="BS15" s="15" t="str">
        <f t="shared" si="27"/>
        <v/>
      </c>
      <c r="BT15" s="16" t="str">
        <f t="shared" si="13"/>
        <v/>
      </c>
      <c r="BU15" s="39"/>
      <c r="BV15" s="51" t="str">
        <f t="shared" si="14"/>
        <v/>
      </c>
      <c r="BW15" s="28" t="str">
        <f t="shared" si="15"/>
        <v/>
      </c>
      <c r="BX15" s="28" t="str">
        <f t="shared" si="16"/>
        <v/>
      </c>
      <c r="BY15" s="28" t="str">
        <f t="shared" si="17"/>
        <v/>
      </c>
      <c r="BZ15" s="28" t="str">
        <f t="shared" si="28"/>
        <v/>
      </c>
      <c r="CA15" s="52" t="str">
        <f t="shared" si="29"/>
        <v/>
      </c>
      <c r="CB15" s="39"/>
      <c r="CC15" s="49" t="str">
        <f t="shared" si="18"/>
        <v>-</v>
      </c>
      <c r="CD15" s="29" t="str">
        <f t="shared" si="19"/>
        <v>-</v>
      </c>
      <c r="CE15" s="29" t="str">
        <f t="shared" si="20"/>
        <v>-</v>
      </c>
      <c r="CF15" s="29" t="str">
        <f t="shared" si="21"/>
        <v>-</v>
      </c>
      <c r="CG15" s="50" t="str">
        <f t="shared" si="22"/>
        <v>-</v>
      </c>
      <c r="CH15" s="39"/>
    </row>
    <row r="16" spans="1:86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2"/>
      <c r="D16" s="2"/>
      <c r="E16" s="3"/>
      <c r="F16" s="2"/>
      <c r="G16" s="2"/>
      <c r="H16" s="4"/>
      <c r="I16" s="4"/>
      <c r="J16" s="86"/>
      <c r="K16" s="5"/>
      <c r="L16" s="2"/>
      <c r="M16" s="2"/>
      <c r="N16" s="2"/>
      <c r="O16" s="2"/>
      <c r="P16" s="3"/>
      <c r="Q16" s="2"/>
      <c r="R16" s="2"/>
      <c r="S16" s="2"/>
      <c r="T16" s="2"/>
      <c r="U16" s="2"/>
      <c r="V16" s="3"/>
      <c r="W16" s="3"/>
      <c r="X16" s="2"/>
      <c r="Y16" s="2"/>
      <c r="Z16" s="2"/>
      <c r="AA16" s="2"/>
      <c r="AB16" s="2"/>
      <c r="AC16" s="2"/>
      <c r="AD16" s="2"/>
      <c r="AE16" s="2"/>
      <c r="AF16" s="3"/>
      <c r="AG16" s="3"/>
      <c r="AH16" s="2"/>
      <c r="AI16" s="6"/>
      <c r="AJ16" s="7"/>
      <c r="AK16" s="6"/>
      <c r="AL16" s="59"/>
      <c r="AM16" s="59"/>
      <c r="AN16" s="59"/>
      <c r="AO16" s="59"/>
      <c r="AP16" s="59"/>
      <c r="AQ16" s="59"/>
      <c r="AR16" s="59"/>
      <c r="AS16" s="59"/>
      <c r="AT16" s="8"/>
      <c r="AU16" s="8"/>
      <c r="AV16" s="9"/>
      <c r="AW16" s="8"/>
      <c r="AX16" s="10" t="str">
        <f t="shared" si="23"/>
        <v>-</v>
      </c>
      <c r="AY16" s="39"/>
      <c r="AZ16" s="1" t="str">
        <f t="shared" si="1"/>
        <v/>
      </c>
      <c r="BA16" s="11" t="str">
        <f t="shared" si="2"/>
        <v/>
      </c>
      <c r="BB16" s="1" t="str">
        <f t="shared" si="3"/>
        <v/>
      </c>
      <c r="BC16" s="39"/>
      <c r="BD16" s="53" t="str">
        <f t="shared" si="4"/>
        <v/>
      </c>
      <c r="BE16" s="12" t="str">
        <f t="shared" si="5"/>
        <v/>
      </c>
      <c r="BF16" s="12" t="str">
        <f t="shared" si="6"/>
        <v/>
      </c>
      <c r="BG16" s="12" t="str">
        <f t="shared" si="24"/>
        <v/>
      </c>
      <c r="BH16" s="12" t="str">
        <f t="shared" si="7"/>
        <v/>
      </c>
      <c r="BI16" s="54" t="str">
        <f t="shared" si="25"/>
        <v/>
      </c>
      <c r="BJ16" s="39"/>
      <c r="BK16" s="55" t="str">
        <f t="shared" si="8"/>
        <v/>
      </c>
      <c r="BL16" s="13" t="str">
        <f t="shared" si="9"/>
        <v/>
      </c>
      <c r="BM16" s="13" t="str">
        <f t="shared" si="10"/>
        <v/>
      </c>
      <c r="BN16" s="56" t="str">
        <f t="shared" si="11"/>
        <v/>
      </c>
      <c r="BO16" s="39"/>
      <c r="BP16" s="14" t="str">
        <f t="shared" si="12"/>
        <v/>
      </c>
      <c r="BQ16" s="15">
        <v>0</v>
      </c>
      <c r="BR16" s="15" t="str">
        <f t="shared" si="26"/>
        <v/>
      </c>
      <c r="BS16" s="15" t="str">
        <f t="shared" si="27"/>
        <v/>
      </c>
      <c r="BT16" s="16" t="str">
        <f t="shared" si="13"/>
        <v/>
      </c>
      <c r="BU16" s="39"/>
      <c r="BV16" s="51" t="str">
        <f t="shared" si="14"/>
        <v/>
      </c>
      <c r="BW16" s="28" t="str">
        <f t="shared" si="15"/>
        <v/>
      </c>
      <c r="BX16" s="28" t="str">
        <f t="shared" si="16"/>
        <v/>
      </c>
      <c r="BY16" s="28" t="str">
        <f t="shared" si="17"/>
        <v/>
      </c>
      <c r="BZ16" s="28" t="str">
        <f t="shared" si="28"/>
        <v/>
      </c>
      <c r="CA16" s="52" t="str">
        <f t="shared" si="29"/>
        <v/>
      </c>
      <c r="CB16" s="39"/>
      <c r="CC16" s="49" t="str">
        <f t="shared" si="18"/>
        <v>-</v>
      </c>
      <c r="CD16" s="29" t="str">
        <f t="shared" si="19"/>
        <v>-</v>
      </c>
      <c r="CE16" s="29" t="str">
        <f t="shared" si="20"/>
        <v>-</v>
      </c>
      <c r="CF16" s="29" t="str">
        <f t="shared" si="21"/>
        <v>-</v>
      </c>
      <c r="CG16" s="50" t="str">
        <f t="shared" si="22"/>
        <v>-</v>
      </c>
      <c r="CH16" s="39"/>
    </row>
    <row r="17" spans="1:86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2"/>
      <c r="D17" s="2"/>
      <c r="E17" s="3"/>
      <c r="F17" s="2"/>
      <c r="G17" s="2"/>
      <c r="H17" s="4"/>
      <c r="I17" s="4"/>
      <c r="J17" s="86"/>
      <c r="K17" s="5"/>
      <c r="L17" s="2"/>
      <c r="M17" s="2"/>
      <c r="N17" s="2"/>
      <c r="O17" s="2"/>
      <c r="P17" s="3"/>
      <c r="Q17" s="2"/>
      <c r="R17" s="2"/>
      <c r="S17" s="2"/>
      <c r="T17" s="2"/>
      <c r="U17" s="2"/>
      <c r="V17" s="3"/>
      <c r="W17" s="3"/>
      <c r="X17" s="2"/>
      <c r="Y17" s="2"/>
      <c r="Z17" s="2"/>
      <c r="AA17" s="2"/>
      <c r="AB17" s="2"/>
      <c r="AC17" s="2"/>
      <c r="AD17" s="2"/>
      <c r="AE17" s="2"/>
      <c r="AF17" s="3"/>
      <c r="AG17" s="3"/>
      <c r="AH17" s="2"/>
      <c r="AI17" s="6"/>
      <c r="AJ17" s="7"/>
      <c r="AK17" s="6"/>
      <c r="AL17" s="59"/>
      <c r="AM17" s="59"/>
      <c r="AN17" s="59"/>
      <c r="AO17" s="59"/>
      <c r="AP17" s="59"/>
      <c r="AQ17" s="59"/>
      <c r="AR17" s="59"/>
      <c r="AS17" s="59"/>
      <c r="AT17" s="8"/>
      <c r="AU17" s="8"/>
      <c r="AV17" s="9"/>
      <c r="AW17" s="8"/>
      <c r="AX17" s="10" t="str">
        <f t="shared" si="23"/>
        <v>-</v>
      </c>
      <c r="AY17" s="39"/>
      <c r="AZ17" s="1" t="str">
        <f t="shared" si="1"/>
        <v/>
      </c>
      <c r="BA17" s="11" t="str">
        <f t="shared" si="2"/>
        <v/>
      </c>
      <c r="BB17" s="1" t="str">
        <f t="shared" si="3"/>
        <v/>
      </c>
      <c r="BC17" s="39"/>
      <c r="BD17" s="53" t="str">
        <f t="shared" si="4"/>
        <v/>
      </c>
      <c r="BE17" s="12" t="str">
        <f t="shared" si="5"/>
        <v/>
      </c>
      <c r="BF17" s="12" t="str">
        <f t="shared" si="6"/>
        <v/>
      </c>
      <c r="BG17" s="12" t="str">
        <f t="shared" si="24"/>
        <v/>
      </c>
      <c r="BH17" s="12" t="str">
        <f t="shared" si="7"/>
        <v/>
      </c>
      <c r="BI17" s="54" t="str">
        <f t="shared" si="25"/>
        <v/>
      </c>
      <c r="BJ17" s="39"/>
      <c r="BK17" s="55" t="str">
        <f t="shared" si="8"/>
        <v/>
      </c>
      <c r="BL17" s="13" t="str">
        <f t="shared" si="9"/>
        <v/>
      </c>
      <c r="BM17" s="13" t="str">
        <f t="shared" si="10"/>
        <v/>
      </c>
      <c r="BN17" s="56" t="str">
        <f t="shared" si="11"/>
        <v/>
      </c>
      <c r="BO17" s="39"/>
      <c r="BP17" s="14" t="str">
        <f t="shared" si="12"/>
        <v/>
      </c>
      <c r="BQ17" s="15">
        <v>0</v>
      </c>
      <c r="BR17" s="15" t="str">
        <f t="shared" si="26"/>
        <v/>
      </c>
      <c r="BS17" s="15" t="str">
        <f t="shared" si="27"/>
        <v/>
      </c>
      <c r="BT17" s="16" t="str">
        <f t="shared" si="13"/>
        <v/>
      </c>
      <c r="BU17" s="39"/>
      <c r="BV17" s="51" t="str">
        <f t="shared" si="14"/>
        <v/>
      </c>
      <c r="BW17" s="28" t="str">
        <f t="shared" si="15"/>
        <v/>
      </c>
      <c r="BX17" s="28" t="str">
        <f t="shared" si="16"/>
        <v/>
      </c>
      <c r="BY17" s="28" t="str">
        <f t="shared" si="17"/>
        <v/>
      </c>
      <c r="BZ17" s="28" t="str">
        <f t="shared" si="28"/>
        <v/>
      </c>
      <c r="CA17" s="52" t="str">
        <f t="shared" si="29"/>
        <v/>
      </c>
      <c r="CB17" s="39"/>
      <c r="CC17" s="49" t="str">
        <f t="shared" si="18"/>
        <v>-</v>
      </c>
      <c r="CD17" s="29" t="str">
        <f t="shared" si="19"/>
        <v>-</v>
      </c>
      <c r="CE17" s="29" t="str">
        <f t="shared" si="20"/>
        <v>-</v>
      </c>
      <c r="CF17" s="29" t="str">
        <f t="shared" si="21"/>
        <v>-</v>
      </c>
      <c r="CG17" s="50" t="str">
        <f t="shared" si="22"/>
        <v>-</v>
      </c>
      <c r="CH17" s="39"/>
    </row>
    <row r="18" spans="1:86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2"/>
      <c r="D18" s="2"/>
      <c r="E18" s="3"/>
      <c r="F18" s="2"/>
      <c r="G18" s="2"/>
      <c r="H18" s="4"/>
      <c r="I18" s="4"/>
      <c r="J18" s="86"/>
      <c r="K18" s="5"/>
      <c r="L18" s="2"/>
      <c r="M18" s="2"/>
      <c r="N18" s="2"/>
      <c r="O18" s="2"/>
      <c r="P18" s="3"/>
      <c r="Q18" s="2"/>
      <c r="R18" s="2"/>
      <c r="S18" s="2"/>
      <c r="T18" s="2"/>
      <c r="U18" s="2"/>
      <c r="V18" s="3"/>
      <c r="W18" s="3"/>
      <c r="X18" s="2"/>
      <c r="Y18" s="2"/>
      <c r="Z18" s="2"/>
      <c r="AA18" s="2"/>
      <c r="AB18" s="2"/>
      <c r="AC18" s="2"/>
      <c r="AD18" s="2"/>
      <c r="AE18" s="2"/>
      <c r="AF18" s="3"/>
      <c r="AG18" s="3"/>
      <c r="AH18" s="2"/>
      <c r="AI18" s="6"/>
      <c r="AJ18" s="7"/>
      <c r="AK18" s="6"/>
      <c r="AL18" s="59"/>
      <c r="AM18" s="59"/>
      <c r="AN18" s="59"/>
      <c r="AO18" s="59"/>
      <c r="AP18" s="59"/>
      <c r="AQ18" s="59"/>
      <c r="AR18" s="59"/>
      <c r="AS18" s="59"/>
      <c r="AT18" s="8"/>
      <c r="AU18" s="8"/>
      <c r="AV18" s="9"/>
      <c r="AW18" s="8"/>
      <c r="AX18" s="10" t="str">
        <f t="shared" si="23"/>
        <v>-</v>
      </c>
      <c r="AY18" s="39"/>
      <c r="AZ18" s="1" t="str">
        <f t="shared" si="1"/>
        <v/>
      </c>
      <c r="BA18" s="11" t="str">
        <f t="shared" si="2"/>
        <v/>
      </c>
      <c r="BB18" s="1" t="str">
        <f t="shared" si="3"/>
        <v/>
      </c>
      <c r="BC18" s="39"/>
      <c r="BD18" s="53" t="str">
        <f t="shared" si="4"/>
        <v/>
      </c>
      <c r="BE18" s="12" t="str">
        <f t="shared" si="5"/>
        <v/>
      </c>
      <c r="BF18" s="12" t="str">
        <f t="shared" si="6"/>
        <v/>
      </c>
      <c r="BG18" s="12" t="str">
        <f t="shared" si="24"/>
        <v/>
      </c>
      <c r="BH18" s="12" t="str">
        <f t="shared" si="7"/>
        <v/>
      </c>
      <c r="BI18" s="54" t="str">
        <f t="shared" si="25"/>
        <v/>
      </c>
      <c r="BJ18" s="39"/>
      <c r="BK18" s="55" t="str">
        <f t="shared" si="8"/>
        <v/>
      </c>
      <c r="BL18" s="13" t="str">
        <f t="shared" si="9"/>
        <v/>
      </c>
      <c r="BM18" s="13" t="str">
        <f t="shared" si="10"/>
        <v/>
      </c>
      <c r="BN18" s="56" t="str">
        <f t="shared" si="11"/>
        <v/>
      </c>
      <c r="BO18" s="39"/>
      <c r="BP18" s="14" t="str">
        <f t="shared" si="12"/>
        <v/>
      </c>
      <c r="BQ18" s="15">
        <v>0</v>
      </c>
      <c r="BR18" s="15" t="str">
        <f t="shared" si="26"/>
        <v/>
      </c>
      <c r="BS18" s="15" t="str">
        <f t="shared" si="27"/>
        <v/>
      </c>
      <c r="BT18" s="16" t="str">
        <f t="shared" si="13"/>
        <v/>
      </c>
      <c r="BU18" s="39"/>
      <c r="BV18" s="51" t="str">
        <f t="shared" si="14"/>
        <v/>
      </c>
      <c r="BW18" s="28" t="str">
        <f t="shared" si="15"/>
        <v/>
      </c>
      <c r="BX18" s="28" t="str">
        <f t="shared" si="16"/>
        <v/>
      </c>
      <c r="BY18" s="28" t="str">
        <f t="shared" si="17"/>
        <v/>
      </c>
      <c r="BZ18" s="28" t="str">
        <f t="shared" si="28"/>
        <v/>
      </c>
      <c r="CA18" s="52" t="str">
        <f t="shared" si="29"/>
        <v/>
      </c>
      <c r="CB18" s="39"/>
      <c r="CC18" s="49" t="str">
        <f t="shared" si="18"/>
        <v>-</v>
      </c>
      <c r="CD18" s="29" t="str">
        <f t="shared" si="19"/>
        <v>-</v>
      </c>
      <c r="CE18" s="29" t="str">
        <f t="shared" si="20"/>
        <v>-</v>
      </c>
      <c r="CF18" s="29" t="str">
        <f t="shared" si="21"/>
        <v>-</v>
      </c>
      <c r="CG18" s="50" t="str">
        <f t="shared" si="22"/>
        <v>-</v>
      </c>
      <c r="CH18" s="39"/>
    </row>
    <row r="19" spans="1:86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2"/>
      <c r="D19" s="2"/>
      <c r="E19" s="3"/>
      <c r="F19" s="2"/>
      <c r="G19" s="2"/>
      <c r="H19" s="4"/>
      <c r="I19" s="4"/>
      <c r="J19" s="86"/>
      <c r="K19" s="5"/>
      <c r="L19" s="2"/>
      <c r="M19" s="2"/>
      <c r="N19" s="2"/>
      <c r="O19" s="2"/>
      <c r="P19" s="3"/>
      <c r="Q19" s="2"/>
      <c r="R19" s="2"/>
      <c r="S19" s="2"/>
      <c r="T19" s="2"/>
      <c r="U19" s="2"/>
      <c r="V19" s="3"/>
      <c r="W19" s="3"/>
      <c r="X19" s="2"/>
      <c r="Y19" s="2"/>
      <c r="Z19" s="2"/>
      <c r="AA19" s="2"/>
      <c r="AB19" s="2"/>
      <c r="AC19" s="2"/>
      <c r="AD19" s="2"/>
      <c r="AE19" s="2"/>
      <c r="AF19" s="3"/>
      <c r="AG19" s="3"/>
      <c r="AH19" s="2"/>
      <c r="AI19" s="6"/>
      <c r="AJ19" s="7"/>
      <c r="AK19" s="6"/>
      <c r="AL19" s="59"/>
      <c r="AM19" s="59"/>
      <c r="AN19" s="59"/>
      <c r="AO19" s="59"/>
      <c r="AP19" s="59"/>
      <c r="AQ19" s="59"/>
      <c r="AR19" s="59"/>
      <c r="AS19" s="59"/>
      <c r="AT19" s="8"/>
      <c r="AU19" s="8"/>
      <c r="AV19" s="9"/>
      <c r="AW19" s="8"/>
      <c r="AX19" s="10" t="str">
        <f t="shared" si="23"/>
        <v>-</v>
      </c>
      <c r="AY19" s="39"/>
      <c r="AZ19" s="1" t="str">
        <f t="shared" si="1"/>
        <v/>
      </c>
      <c r="BA19" s="11" t="str">
        <f t="shared" si="2"/>
        <v/>
      </c>
      <c r="BB19" s="1" t="str">
        <f t="shared" si="3"/>
        <v/>
      </c>
      <c r="BC19" s="39"/>
      <c r="BD19" s="53" t="str">
        <f t="shared" si="4"/>
        <v/>
      </c>
      <c r="BE19" s="12" t="str">
        <f t="shared" si="5"/>
        <v/>
      </c>
      <c r="BF19" s="12" t="str">
        <f t="shared" si="6"/>
        <v/>
      </c>
      <c r="BG19" s="12" t="str">
        <f t="shared" si="24"/>
        <v/>
      </c>
      <c r="BH19" s="12" t="str">
        <f t="shared" si="7"/>
        <v/>
      </c>
      <c r="BI19" s="54" t="str">
        <f t="shared" si="25"/>
        <v/>
      </c>
      <c r="BJ19" s="39"/>
      <c r="BK19" s="55" t="str">
        <f t="shared" si="8"/>
        <v/>
      </c>
      <c r="BL19" s="13" t="str">
        <f t="shared" si="9"/>
        <v/>
      </c>
      <c r="BM19" s="13" t="str">
        <f t="shared" si="10"/>
        <v/>
      </c>
      <c r="BN19" s="56" t="str">
        <f t="shared" si="11"/>
        <v/>
      </c>
      <c r="BO19" s="39"/>
      <c r="BP19" s="14" t="str">
        <f t="shared" si="12"/>
        <v/>
      </c>
      <c r="BQ19" s="15">
        <v>0</v>
      </c>
      <c r="BR19" s="15" t="str">
        <f t="shared" si="26"/>
        <v/>
      </c>
      <c r="BS19" s="15" t="str">
        <f t="shared" si="27"/>
        <v/>
      </c>
      <c r="BT19" s="16" t="str">
        <f t="shared" si="13"/>
        <v/>
      </c>
      <c r="BU19" s="39"/>
      <c r="BV19" s="51" t="str">
        <f t="shared" si="14"/>
        <v/>
      </c>
      <c r="BW19" s="28" t="str">
        <f t="shared" si="15"/>
        <v/>
      </c>
      <c r="BX19" s="28" t="str">
        <f t="shared" si="16"/>
        <v/>
      </c>
      <c r="BY19" s="28" t="str">
        <f t="shared" si="17"/>
        <v/>
      </c>
      <c r="BZ19" s="28" t="str">
        <f t="shared" si="28"/>
        <v/>
      </c>
      <c r="CA19" s="52" t="str">
        <f t="shared" si="29"/>
        <v/>
      </c>
      <c r="CB19" s="39"/>
      <c r="CC19" s="49" t="str">
        <f t="shared" si="18"/>
        <v>-</v>
      </c>
      <c r="CD19" s="29" t="str">
        <f t="shared" si="19"/>
        <v>-</v>
      </c>
      <c r="CE19" s="29" t="str">
        <f t="shared" si="20"/>
        <v>-</v>
      </c>
      <c r="CF19" s="29" t="str">
        <f t="shared" si="21"/>
        <v>-</v>
      </c>
      <c r="CG19" s="50" t="str">
        <f t="shared" si="22"/>
        <v>-</v>
      </c>
      <c r="CH19" s="39"/>
    </row>
    <row r="20" spans="1:86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2"/>
      <c r="D20" s="2"/>
      <c r="E20" s="3"/>
      <c r="F20" s="2"/>
      <c r="G20" s="2"/>
      <c r="H20" s="4"/>
      <c r="I20" s="4"/>
      <c r="J20" s="86"/>
      <c r="K20" s="5"/>
      <c r="L20" s="2"/>
      <c r="M20" s="2"/>
      <c r="N20" s="2"/>
      <c r="O20" s="2"/>
      <c r="P20" s="3"/>
      <c r="Q20" s="2"/>
      <c r="R20" s="2"/>
      <c r="S20" s="2"/>
      <c r="T20" s="2"/>
      <c r="U20" s="2"/>
      <c r="V20" s="3"/>
      <c r="W20" s="3"/>
      <c r="X20" s="2"/>
      <c r="Y20" s="2"/>
      <c r="Z20" s="2"/>
      <c r="AA20" s="2"/>
      <c r="AB20" s="2"/>
      <c r="AC20" s="2"/>
      <c r="AD20" s="2"/>
      <c r="AE20" s="2"/>
      <c r="AF20" s="3"/>
      <c r="AG20" s="3"/>
      <c r="AH20" s="2"/>
      <c r="AI20" s="6"/>
      <c r="AJ20" s="7"/>
      <c r="AK20" s="6"/>
      <c r="AL20" s="59"/>
      <c r="AM20" s="59"/>
      <c r="AN20" s="59"/>
      <c r="AO20" s="59"/>
      <c r="AP20" s="59"/>
      <c r="AQ20" s="59"/>
      <c r="AR20" s="59"/>
      <c r="AS20" s="59"/>
      <c r="AT20" s="8"/>
      <c r="AU20" s="8"/>
      <c r="AV20" s="9"/>
      <c r="AW20" s="8"/>
      <c r="AX20" s="10" t="str">
        <f t="shared" si="23"/>
        <v>-</v>
      </c>
      <c r="AY20" s="39"/>
      <c r="AZ20" s="1" t="str">
        <f t="shared" si="1"/>
        <v/>
      </c>
      <c r="BA20" s="11" t="str">
        <f t="shared" si="2"/>
        <v/>
      </c>
      <c r="BB20" s="1" t="str">
        <f t="shared" si="3"/>
        <v/>
      </c>
      <c r="BC20" s="39"/>
      <c r="BD20" s="53" t="str">
        <f t="shared" si="4"/>
        <v/>
      </c>
      <c r="BE20" s="12" t="str">
        <f t="shared" si="5"/>
        <v/>
      </c>
      <c r="BF20" s="12" t="str">
        <f t="shared" si="6"/>
        <v/>
      </c>
      <c r="BG20" s="12" t="str">
        <f t="shared" si="24"/>
        <v/>
      </c>
      <c r="BH20" s="12" t="str">
        <f t="shared" si="7"/>
        <v/>
      </c>
      <c r="BI20" s="54" t="str">
        <f t="shared" si="25"/>
        <v/>
      </c>
      <c r="BJ20" s="39"/>
      <c r="BK20" s="55" t="str">
        <f t="shared" si="8"/>
        <v/>
      </c>
      <c r="BL20" s="13" t="str">
        <f t="shared" si="9"/>
        <v/>
      </c>
      <c r="BM20" s="13" t="str">
        <f t="shared" si="10"/>
        <v/>
      </c>
      <c r="BN20" s="56" t="str">
        <f t="shared" si="11"/>
        <v/>
      </c>
      <c r="BO20" s="39"/>
      <c r="BP20" s="14" t="str">
        <f t="shared" si="12"/>
        <v/>
      </c>
      <c r="BQ20" s="15">
        <v>0</v>
      </c>
      <c r="BR20" s="15" t="str">
        <f t="shared" si="26"/>
        <v/>
      </c>
      <c r="BS20" s="15" t="str">
        <f t="shared" si="27"/>
        <v/>
      </c>
      <c r="BT20" s="16" t="str">
        <f t="shared" si="13"/>
        <v/>
      </c>
      <c r="BU20" s="39"/>
      <c r="BV20" s="51" t="str">
        <f t="shared" si="14"/>
        <v/>
      </c>
      <c r="BW20" s="28" t="str">
        <f t="shared" si="15"/>
        <v/>
      </c>
      <c r="BX20" s="28" t="str">
        <f t="shared" si="16"/>
        <v/>
      </c>
      <c r="BY20" s="28" t="str">
        <f t="shared" si="17"/>
        <v/>
      </c>
      <c r="BZ20" s="28" t="str">
        <f t="shared" si="28"/>
        <v/>
      </c>
      <c r="CA20" s="52" t="str">
        <f t="shared" si="29"/>
        <v/>
      </c>
      <c r="CB20" s="39"/>
      <c r="CC20" s="49" t="str">
        <f t="shared" si="18"/>
        <v>-</v>
      </c>
      <c r="CD20" s="29" t="str">
        <f t="shared" si="19"/>
        <v>-</v>
      </c>
      <c r="CE20" s="29" t="str">
        <f t="shared" si="20"/>
        <v>-</v>
      </c>
      <c r="CF20" s="29" t="str">
        <f t="shared" si="21"/>
        <v>-</v>
      </c>
      <c r="CG20" s="50" t="str">
        <f t="shared" si="22"/>
        <v>-</v>
      </c>
      <c r="CH20" s="39"/>
    </row>
    <row r="21" spans="1:86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2"/>
      <c r="D21" s="2"/>
      <c r="E21" s="3"/>
      <c r="F21" s="2"/>
      <c r="G21" s="2"/>
      <c r="H21" s="4"/>
      <c r="I21" s="4"/>
      <c r="J21" s="86"/>
      <c r="K21" s="5"/>
      <c r="L21" s="2"/>
      <c r="M21" s="2"/>
      <c r="N21" s="2"/>
      <c r="O21" s="2"/>
      <c r="P21" s="3"/>
      <c r="Q21" s="2"/>
      <c r="R21" s="2"/>
      <c r="S21" s="2"/>
      <c r="T21" s="2"/>
      <c r="U21" s="2"/>
      <c r="V21" s="3"/>
      <c r="W21" s="3"/>
      <c r="X21" s="2"/>
      <c r="Y21" s="2"/>
      <c r="Z21" s="2"/>
      <c r="AA21" s="2"/>
      <c r="AB21" s="2"/>
      <c r="AC21" s="2"/>
      <c r="AD21" s="2"/>
      <c r="AE21" s="2"/>
      <c r="AF21" s="3"/>
      <c r="AG21" s="3"/>
      <c r="AH21" s="2"/>
      <c r="AI21" s="6"/>
      <c r="AJ21" s="7"/>
      <c r="AK21" s="6"/>
      <c r="AL21" s="59"/>
      <c r="AM21" s="59"/>
      <c r="AN21" s="59"/>
      <c r="AO21" s="59"/>
      <c r="AP21" s="59"/>
      <c r="AQ21" s="59"/>
      <c r="AR21" s="59"/>
      <c r="AS21" s="59"/>
      <c r="AT21" s="8"/>
      <c r="AU21" s="8"/>
      <c r="AV21" s="9"/>
      <c r="AW21" s="8"/>
      <c r="AX21" s="10" t="str">
        <f t="shared" si="23"/>
        <v>-</v>
      </c>
      <c r="AY21" s="39"/>
      <c r="AZ21" s="1" t="str">
        <f t="shared" si="1"/>
        <v/>
      </c>
      <c r="BA21" s="11" t="str">
        <f t="shared" si="2"/>
        <v/>
      </c>
      <c r="BB21" s="1" t="str">
        <f t="shared" si="3"/>
        <v/>
      </c>
      <c r="BC21" s="39"/>
      <c r="BD21" s="53" t="str">
        <f t="shared" si="4"/>
        <v/>
      </c>
      <c r="BE21" s="12" t="str">
        <f t="shared" si="5"/>
        <v/>
      </c>
      <c r="BF21" s="12" t="str">
        <f t="shared" si="6"/>
        <v/>
      </c>
      <c r="BG21" s="12" t="str">
        <f t="shared" si="24"/>
        <v/>
      </c>
      <c r="BH21" s="12" t="str">
        <f t="shared" si="7"/>
        <v/>
      </c>
      <c r="BI21" s="54" t="str">
        <f t="shared" si="25"/>
        <v/>
      </c>
      <c r="BJ21" s="39"/>
      <c r="BK21" s="55" t="str">
        <f t="shared" si="8"/>
        <v/>
      </c>
      <c r="BL21" s="13" t="str">
        <f t="shared" si="9"/>
        <v/>
      </c>
      <c r="BM21" s="13" t="str">
        <f t="shared" si="10"/>
        <v/>
      </c>
      <c r="BN21" s="56" t="str">
        <f t="shared" si="11"/>
        <v/>
      </c>
      <c r="BO21" s="39"/>
      <c r="BP21" s="14" t="str">
        <f t="shared" si="12"/>
        <v/>
      </c>
      <c r="BQ21" s="15">
        <v>0</v>
      </c>
      <c r="BR21" s="15" t="str">
        <f t="shared" si="26"/>
        <v/>
      </c>
      <c r="BS21" s="15" t="str">
        <f t="shared" si="27"/>
        <v/>
      </c>
      <c r="BT21" s="16" t="str">
        <f t="shared" si="13"/>
        <v/>
      </c>
      <c r="BU21" s="39"/>
      <c r="BV21" s="51" t="str">
        <f t="shared" si="14"/>
        <v/>
      </c>
      <c r="BW21" s="28" t="str">
        <f t="shared" si="15"/>
        <v/>
      </c>
      <c r="BX21" s="28" t="str">
        <f t="shared" si="16"/>
        <v/>
      </c>
      <c r="BY21" s="28" t="str">
        <f t="shared" si="17"/>
        <v/>
      </c>
      <c r="BZ21" s="28" t="str">
        <f t="shared" si="28"/>
        <v/>
      </c>
      <c r="CA21" s="52" t="str">
        <f t="shared" si="29"/>
        <v/>
      </c>
      <c r="CB21" s="39"/>
      <c r="CC21" s="49" t="str">
        <f t="shared" si="18"/>
        <v>-</v>
      </c>
      <c r="CD21" s="29" t="str">
        <f t="shared" si="19"/>
        <v>-</v>
      </c>
      <c r="CE21" s="29" t="str">
        <f t="shared" si="20"/>
        <v>-</v>
      </c>
      <c r="CF21" s="29" t="str">
        <f t="shared" si="21"/>
        <v>-</v>
      </c>
      <c r="CG21" s="50" t="str">
        <f t="shared" si="22"/>
        <v>-</v>
      </c>
      <c r="CH21" s="39"/>
    </row>
    <row r="22" spans="1:86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2"/>
      <c r="D22" s="2"/>
      <c r="E22" s="3"/>
      <c r="F22" s="2"/>
      <c r="G22" s="2"/>
      <c r="H22" s="4"/>
      <c r="I22" s="4"/>
      <c r="J22" s="86"/>
      <c r="K22" s="5"/>
      <c r="L22" s="2"/>
      <c r="M22" s="2"/>
      <c r="N22" s="2"/>
      <c r="O22" s="2"/>
      <c r="P22" s="3"/>
      <c r="Q22" s="2"/>
      <c r="R22" s="2"/>
      <c r="S22" s="2"/>
      <c r="T22" s="2"/>
      <c r="U22" s="2"/>
      <c r="V22" s="3"/>
      <c r="W22" s="3"/>
      <c r="X22" s="2"/>
      <c r="Y22" s="2"/>
      <c r="Z22" s="2"/>
      <c r="AA22" s="2"/>
      <c r="AB22" s="2"/>
      <c r="AC22" s="2"/>
      <c r="AD22" s="2"/>
      <c r="AE22" s="2"/>
      <c r="AF22" s="3"/>
      <c r="AG22" s="3"/>
      <c r="AH22" s="2"/>
      <c r="AI22" s="6"/>
      <c r="AJ22" s="7"/>
      <c r="AK22" s="6"/>
      <c r="AL22" s="59"/>
      <c r="AM22" s="59"/>
      <c r="AN22" s="59"/>
      <c r="AO22" s="59"/>
      <c r="AP22" s="59"/>
      <c r="AQ22" s="59"/>
      <c r="AR22" s="59"/>
      <c r="AS22" s="59"/>
      <c r="AT22" s="8"/>
      <c r="AU22" s="8"/>
      <c r="AV22" s="9"/>
      <c r="AW22" s="8"/>
      <c r="AX22" s="10" t="str">
        <f t="shared" si="23"/>
        <v>-</v>
      </c>
      <c r="AY22" s="39"/>
      <c r="AZ22" s="1" t="str">
        <f t="shared" si="1"/>
        <v/>
      </c>
      <c r="BA22" s="11" t="str">
        <f t="shared" si="2"/>
        <v/>
      </c>
      <c r="BB22" s="1" t="str">
        <f t="shared" si="3"/>
        <v/>
      </c>
      <c r="BC22" s="39"/>
      <c r="BD22" s="53" t="str">
        <f t="shared" si="4"/>
        <v/>
      </c>
      <c r="BE22" s="12" t="str">
        <f t="shared" si="5"/>
        <v/>
      </c>
      <c r="BF22" s="12" t="str">
        <f t="shared" si="6"/>
        <v/>
      </c>
      <c r="BG22" s="12" t="str">
        <f t="shared" si="24"/>
        <v/>
      </c>
      <c r="BH22" s="12" t="str">
        <f t="shared" si="7"/>
        <v/>
      </c>
      <c r="BI22" s="54" t="str">
        <f t="shared" si="25"/>
        <v/>
      </c>
      <c r="BJ22" s="39"/>
      <c r="BK22" s="55" t="str">
        <f t="shared" si="8"/>
        <v/>
      </c>
      <c r="BL22" s="13" t="str">
        <f t="shared" si="9"/>
        <v/>
      </c>
      <c r="BM22" s="13" t="str">
        <f t="shared" si="10"/>
        <v/>
      </c>
      <c r="BN22" s="56" t="str">
        <f t="shared" si="11"/>
        <v/>
      </c>
      <c r="BO22" s="39"/>
      <c r="BP22" s="14" t="str">
        <f t="shared" si="12"/>
        <v/>
      </c>
      <c r="BQ22" s="15">
        <v>0</v>
      </c>
      <c r="BR22" s="15" t="str">
        <f t="shared" si="26"/>
        <v/>
      </c>
      <c r="BS22" s="15" t="str">
        <f t="shared" si="27"/>
        <v/>
      </c>
      <c r="BT22" s="16" t="str">
        <f t="shared" si="13"/>
        <v/>
      </c>
      <c r="BU22" s="39"/>
      <c r="BV22" s="51" t="str">
        <f t="shared" si="14"/>
        <v/>
      </c>
      <c r="BW22" s="28" t="str">
        <f t="shared" si="15"/>
        <v/>
      </c>
      <c r="BX22" s="28" t="str">
        <f t="shared" si="16"/>
        <v/>
      </c>
      <c r="BY22" s="28" t="str">
        <f t="shared" si="17"/>
        <v/>
      </c>
      <c r="BZ22" s="28" t="str">
        <f t="shared" si="28"/>
        <v/>
      </c>
      <c r="CA22" s="52" t="str">
        <f t="shared" si="29"/>
        <v/>
      </c>
      <c r="CB22" s="39"/>
      <c r="CC22" s="49" t="str">
        <f t="shared" si="18"/>
        <v>-</v>
      </c>
      <c r="CD22" s="29" t="str">
        <f t="shared" si="19"/>
        <v>-</v>
      </c>
      <c r="CE22" s="29" t="str">
        <f t="shared" si="20"/>
        <v>-</v>
      </c>
      <c r="CF22" s="29" t="str">
        <f t="shared" si="21"/>
        <v>-</v>
      </c>
      <c r="CG22" s="50" t="str">
        <f t="shared" si="22"/>
        <v>-</v>
      </c>
      <c r="CH22" s="39"/>
    </row>
    <row r="23" spans="1:86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2"/>
      <c r="D23" s="2"/>
      <c r="E23" s="3"/>
      <c r="F23" s="2"/>
      <c r="G23" s="2"/>
      <c r="H23" s="4"/>
      <c r="I23" s="4"/>
      <c r="J23" s="86"/>
      <c r="K23" s="5"/>
      <c r="L23" s="2"/>
      <c r="M23" s="2"/>
      <c r="N23" s="2"/>
      <c r="O23" s="2"/>
      <c r="P23" s="3"/>
      <c r="Q23" s="2"/>
      <c r="R23" s="2"/>
      <c r="S23" s="2"/>
      <c r="T23" s="2"/>
      <c r="U23" s="2"/>
      <c r="V23" s="3"/>
      <c r="W23" s="3"/>
      <c r="X23" s="2"/>
      <c r="Y23" s="2"/>
      <c r="Z23" s="2"/>
      <c r="AA23" s="2"/>
      <c r="AB23" s="2"/>
      <c r="AC23" s="2"/>
      <c r="AD23" s="2"/>
      <c r="AE23" s="2"/>
      <c r="AF23" s="3"/>
      <c r="AG23" s="3"/>
      <c r="AH23" s="2"/>
      <c r="AI23" s="6"/>
      <c r="AJ23" s="7"/>
      <c r="AK23" s="6"/>
      <c r="AL23" s="59"/>
      <c r="AM23" s="59"/>
      <c r="AN23" s="59"/>
      <c r="AO23" s="59"/>
      <c r="AP23" s="59"/>
      <c r="AQ23" s="59"/>
      <c r="AR23" s="59"/>
      <c r="AS23" s="59"/>
      <c r="AT23" s="8"/>
      <c r="AU23" s="8"/>
      <c r="AV23" s="9"/>
      <c r="AW23" s="8"/>
      <c r="AX23" s="10" t="str">
        <f t="shared" si="23"/>
        <v>-</v>
      </c>
      <c r="AY23" s="39"/>
      <c r="AZ23" s="1" t="str">
        <f t="shared" si="1"/>
        <v/>
      </c>
      <c r="BA23" s="11" t="str">
        <f t="shared" si="2"/>
        <v/>
      </c>
      <c r="BB23" s="1" t="str">
        <f t="shared" si="3"/>
        <v/>
      </c>
      <c r="BC23" s="39"/>
      <c r="BD23" s="53" t="str">
        <f t="shared" si="4"/>
        <v/>
      </c>
      <c r="BE23" s="12" t="str">
        <f t="shared" si="5"/>
        <v/>
      </c>
      <c r="BF23" s="12" t="str">
        <f t="shared" si="6"/>
        <v/>
      </c>
      <c r="BG23" s="12" t="str">
        <f t="shared" si="24"/>
        <v/>
      </c>
      <c r="BH23" s="12" t="str">
        <f t="shared" si="7"/>
        <v/>
      </c>
      <c r="BI23" s="54" t="str">
        <f t="shared" si="25"/>
        <v/>
      </c>
      <c r="BJ23" s="39"/>
      <c r="BK23" s="55" t="str">
        <f t="shared" si="8"/>
        <v/>
      </c>
      <c r="BL23" s="13" t="str">
        <f t="shared" si="9"/>
        <v/>
      </c>
      <c r="BM23" s="13" t="str">
        <f t="shared" si="10"/>
        <v/>
      </c>
      <c r="BN23" s="56" t="str">
        <f t="shared" si="11"/>
        <v/>
      </c>
      <c r="BO23" s="39"/>
      <c r="BP23" s="14" t="str">
        <f t="shared" si="12"/>
        <v/>
      </c>
      <c r="BQ23" s="15">
        <v>0</v>
      </c>
      <c r="BR23" s="15" t="str">
        <f t="shared" si="26"/>
        <v/>
      </c>
      <c r="BS23" s="15" t="str">
        <f t="shared" si="27"/>
        <v/>
      </c>
      <c r="BT23" s="16" t="str">
        <f t="shared" si="13"/>
        <v/>
      </c>
      <c r="BU23" s="39"/>
      <c r="BV23" s="51" t="str">
        <f t="shared" si="14"/>
        <v/>
      </c>
      <c r="BW23" s="28" t="str">
        <f t="shared" si="15"/>
        <v/>
      </c>
      <c r="BX23" s="28" t="str">
        <f t="shared" si="16"/>
        <v/>
      </c>
      <c r="BY23" s="28" t="str">
        <f t="shared" si="17"/>
        <v/>
      </c>
      <c r="BZ23" s="28" t="str">
        <f t="shared" si="28"/>
        <v/>
      </c>
      <c r="CA23" s="52" t="str">
        <f t="shared" si="29"/>
        <v/>
      </c>
      <c r="CB23" s="39"/>
      <c r="CC23" s="49" t="str">
        <f t="shared" si="18"/>
        <v>-</v>
      </c>
      <c r="CD23" s="29" t="str">
        <f t="shared" si="19"/>
        <v>-</v>
      </c>
      <c r="CE23" s="29" t="str">
        <f t="shared" si="20"/>
        <v>-</v>
      </c>
      <c r="CF23" s="29" t="str">
        <f t="shared" si="21"/>
        <v>-</v>
      </c>
      <c r="CG23" s="50" t="str">
        <f t="shared" si="22"/>
        <v>-</v>
      </c>
      <c r="CH23" s="39"/>
    </row>
    <row r="24" spans="1:86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2"/>
      <c r="D24" s="2"/>
      <c r="E24" s="3"/>
      <c r="F24" s="2"/>
      <c r="G24" s="2"/>
      <c r="H24" s="4"/>
      <c r="I24" s="4"/>
      <c r="J24" s="86"/>
      <c r="K24" s="5"/>
      <c r="L24" s="2"/>
      <c r="M24" s="2"/>
      <c r="N24" s="2"/>
      <c r="O24" s="2"/>
      <c r="P24" s="3"/>
      <c r="Q24" s="2"/>
      <c r="R24" s="2"/>
      <c r="S24" s="2"/>
      <c r="T24" s="2"/>
      <c r="U24" s="2"/>
      <c r="V24" s="3"/>
      <c r="W24" s="3"/>
      <c r="X24" s="2"/>
      <c r="Y24" s="2"/>
      <c r="Z24" s="2"/>
      <c r="AA24" s="2"/>
      <c r="AB24" s="2"/>
      <c r="AC24" s="2"/>
      <c r="AD24" s="2"/>
      <c r="AE24" s="2"/>
      <c r="AF24" s="3"/>
      <c r="AG24" s="3"/>
      <c r="AH24" s="2"/>
      <c r="AI24" s="6"/>
      <c r="AJ24" s="7"/>
      <c r="AK24" s="6"/>
      <c r="AL24" s="59"/>
      <c r="AM24" s="59"/>
      <c r="AN24" s="59"/>
      <c r="AO24" s="59"/>
      <c r="AP24" s="59"/>
      <c r="AQ24" s="59"/>
      <c r="AR24" s="59"/>
      <c r="AS24" s="59"/>
      <c r="AT24" s="8"/>
      <c r="AU24" s="8"/>
      <c r="AV24" s="9"/>
      <c r="AW24" s="8"/>
      <c r="AX24" s="10" t="str">
        <f t="shared" si="23"/>
        <v>-</v>
      </c>
      <c r="AY24" s="39"/>
      <c r="AZ24" s="1" t="str">
        <f t="shared" si="1"/>
        <v/>
      </c>
      <c r="BA24" s="11" t="str">
        <f t="shared" si="2"/>
        <v/>
      </c>
      <c r="BB24" s="1" t="str">
        <f t="shared" si="3"/>
        <v/>
      </c>
      <c r="BC24" s="39"/>
      <c r="BD24" s="53" t="str">
        <f t="shared" si="4"/>
        <v/>
      </c>
      <c r="BE24" s="12" t="str">
        <f t="shared" si="5"/>
        <v/>
      </c>
      <c r="BF24" s="12" t="str">
        <f t="shared" si="6"/>
        <v/>
      </c>
      <c r="BG24" s="12" t="str">
        <f t="shared" si="24"/>
        <v/>
      </c>
      <c r="BH24" s="12" t="str">
        <f t="shared" si="7"/>
        <v/>
      </c>
      <c r="BI24" s="54" t="str">
        <f t="shared" si="25"/>
        <v/>
      </c>
      <c r="BJ24" s="39"/>
      <c r="BK24" s="55" t="str">
        <f t="shared" si="8"/>
        <v/>
      </c>
      <c r="BL24" s="13" t="str">
        <f t="shared" si="9"/>
        <v/>
      </c>
      <c r="BM24" s="13" t="str">
        <f t="shared" si="10"/>
        <v/>
      </c>
      <c r="BN24" s="56" t="str">
        <f t="shared" si="11"/>
        <v/>
      </c>
      <c r="BO24" s="39"/>
      <c r="BP24" s="14" t="str">
        <f t="shared" si="12"/>
        <v/>
      </c>
      <c r="BQ24" s="15">
        <v>0</v>
      </c>
      <c r="BR24" s="15" t="str">
        <f t="shared" si="26"/>
        <v/>
      </c>
      <c r="BS24" s="15" t="str">
        <f t="shared" si="27"/>
        <v/>
      </c>
      <c r="BT24" s="16" t="str">
        <f t="shared" si="13"/>
        <v/>
      </c>
      <c r="BU24" s="39"/>
      <c r="BV24" s="51" t="str">
        <f t="shared" si="14"/>
        <v/>
      </c>
      <c r="BW24" s="28" t="str">
        <f t="shared" si="15"/>
        <v/>
      </c>
      <c r="BX24" s="28" t="str">
        <f t="shared" si="16"/>
        <v/>
      </c>
      <c r="BY24" s="28" t="str">
        <f t="shared" si="17"/>
        <v/>
      </c>
      <c r="BZ24" s="28" t="str">
        <f t="shared" si="28"/>
        <v/>
      </c>
      <c r="CA24" s="52" t="str">
        <f t="shared" si="29"/>
        <v/>
      </c>
      <c r="CB24" s="39"/>
      <c r="CC24" s="49" t="str">
        <f t="shared" si="18"/>
        <v>-</v>
      </c>
      <c r="CD24" s="29" t="str">
        <f t="shared" si="19"/>
        <v>-</v>
      </c>
      <c r="CE24" s="29" t="str">
        <f t="shared" si="20"/>
        <v>-</v>
      </c>
      <c r="CF24" s="29" t="str">
        <f t="shared" si="21"/>
        <v>-</v>
      </c>
      <c r="CG24" s="50" t="str">
        <f t="shared" si="22"/>
        <v>-</v>
      </c>
      <c r="CH24" s="39"/>
    </row>
    <row r="25" spans="1:86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2"/>
      <c r="D25" s="2"/>
      <c r="E25" s="3"/>
      <c r="F25" s="2"/>
      <c r="G25" s="2"/>
      <c r="H25" s="4"/>
      <c r="I25" s="4"/>
      <c r="J25" s="86"/>
      <c r="K25" s="5"/>
      <c r="L25" s="2"/>
      <c r="M25" s="2"/>
      <c r="N25" s="2"/>
      <c r="O25" s="2"/>
      <c r="P25" s="3"/>
      <c r="Q25" s="2"/>
      <c r="R25" s="2"/>
      <c r="S25" s="2"/>
      <c r="T25" s="2"/>
      <c r="U25" s="2"/>
      <c r="V25" s="3"/>
      <c r="W25" s="3"/>
      <c r="X25" s="2"/>
      <c r="Y25" s="2"/>
      <c r="Z25" s="2"/>
      <c r="AA25" s="2"/>
      <c r="AB25" s="2"/>
      <c r="AC25" s="2"/>
      <c r="AD25" s="2"/>
      <c r="AE25" s="2"/>
      <c r="AF25" s="3"/>
      <c r="AG25" s="3"/>
      <c r="AH25" s="2"/>
      <c r="AI25" s="6"/>
      <c r="AJ25" s="7"/>
      <c r="AK25" s="6"/>
      <c r="AL25" s="59"/>
      <c r="AM25" s="59"/>
      <c r="AN25" s="59"/>
      <c r="AO25" s="59"/>
      <c r="AP25" s="59"/>
      <c r="AQ25" s="59"/>
      <c r="AR25" s="59"/>
      <c r="AS25" s="59"/>
      <c r="AT25" s="8"/>
      <c r="AU25" s="8"/>
      <c r="AV25" s="9"/>
      <c r="AW25" s="8"/>
      <c r="AX25" s="10" t="str">
        <f t="shared" si="23"/>
        <v>-</v>
      </c>
      <c r="AY25" s="39"/>
      <c r="AZ25" s="1" t="str">
        <f t="shared" si="1"/>
        <v/>
      </c>
      <c r="BA25" s="11" t="str">
        <f t="shared" si="2"/>
        <v/>
      </c>
      <c r="BB25" s="1" t="str">
        <f t="shared" si="3"/>
        <v/>
      </c>
      <c r="BC25" s="39"/>
      <c r="BD25" s="53" t="str">
        <f t="shared" si="4"/>
        <v/>
      </c>
      <c r="BE25" s="12" t="str">
        <f t="shared" si="5"/>
        <v/>
      </c>
      <c r="BF25" s="12" t="str">
        <f t="shared" si="6"/>
        <v/>
      </c>
      <c r="BG25" s="12" t="str">
        <f t="shared" si="24"/>
        <v/>
      </c>
      <c r="BH25" s="12" t="str">
        <f t="shared" si="7"/>
        <v/>
      </c>
      <c r="BI25" s="54" t="str">
        <f t="shared" si="25"/>
        <v/>
      </c>
      <c r="BJ25" s="39"/>
      <c r="BK25" s="55" t="str">
        <f t="shared" si="8"/>
        <v/>
      </c>
      <c r="BL25" s="13" t="str">
        <f t="shared" si="9"/>
        <v/>
      </c>
      <c r="BM25" s="13" t="str">
        <f t="shared" si="10"/>
        <v/>
      </c>
      <c r="BN25" s="56" t="str">
        <f t="shared" si="11"/>
        <v/>
      </c>
      <c r="BO25" s="39"/>
      <c r="BP25" s="14" t="str">
        <f t="shared" si="12"/>
        <v/>
      </c>
      <c r="BQ25" s="15">
        <v>0</v>
      </c>
      <c r="BR25" s="15" t="str">
        <f t="shared" si="26"/>
        <v/>
      </c>
      <c r="BS25" s="15" t="str">
        <f t="shared" si="27"/>
        <v/>
      </c>
      <c r="BT25" s="16" t="str">
        <f t="shared" si="13"/>
        <v/>
      </c>
      <c r="BU25" s="39"/>
      <c r="BV25" s="51" t="str">
        <f t="shared" si="14"/>
        <v/>
      </c>
      <c r="BW25" s="28" t="str">
        <f t="shared" si="15"/>
        <v/>
      </c>
      <c r="BX25" s="28" t="str">
        <f t="shared" si="16"/>
        <v/>
      </c>
      <c r="BY25" s="28" t="str">
        <f t="shared" si="17"/>
        <v/>
      </c>
      <c r="BZ25" s="28" t="str">
        <f t="shared" si="28"/>
        <v/>
      </c>
      <c r="CA25" s="52" t="str">
        <f t="shared" si="29"/>
        <v/>
      </c>
      <c r="CB25" s="39"/>
      <c r="CC25" s="49" t="str">
        <f t="shared" si="18"/>
        <v>-</v>
      </c>
      <c r="CD25" s="29" t="str">
        <f t="shared" si="19"/>
        <v>-</v>
      </c>
      <c r="CE25" s="29" t="str">
        <f t="shared" si="20"/>
        <v>-</v>
      </c>
      <c r="CF25" s="29" t="str">
        <f t="shared" si="21"/>
        <v>-</v>
      </c>
      <c r="CG25" s="50" t="str">
        <f t="shared" si="22"/>
        <v>-</v>
      </c>
      <c r="CH25" s="39"/>
    </row>
    <row r="26" spans="1:86" s="27" customFormat="1" ht="12.4" customHeight="1" thickBot="1" x14ac:dyDescent="0.25">
      <c r="A26" s="43">
        <f t="shared" si="30"/>
        <v>46318</v>
      </c>
      <c r="B26" s="44" t="str">
        <f>+TEXT(A26,"DDD")</f>
        <v>Fri</v>
      </c>
      <c r="C26" s="2"/>
      <c r="D26" s="2"/>
      <c r="E26" s="3"/>
      <c r="F26" s="2"/>
      <c r="G26" s="2"/>
      <c r="H26" s="4"/>
      <c r="I26" s="4"/>
      <c r="J26" s="86"/>
      <c r="K26" s="5"/>
      <c r="L26" s="2"/>
      <c r="M26" s="2"/>
      <c r="N26" s="2"/>
      <c r="O26" s="2"/>
      <c r="P26" s="3"/>
      <c r="Q26" s="2"/>
      <c r="R26" s="2"/>
      <c r="S26" s="2"/>
      <c r="T26" s="2"/>
      <c r="U26" s="2"/>
      <c r="V26" s="3"/>
      <c r="W26" s="3"/>
      <c r="X26" s="2"/>
      <c r="Y26" s="2"/>
      <c r="Z26" s="2"/>
      <c r="AA26" s="2"/>
      <c r="AB26" s="2"/>
      <c r="AC26" s="2"/>
      <c r="AD26" s="2"/>
      <c r="AE26" s="2"/>
      <c r="AF26" s="3"/>
      <c r="AG26" s="3"/>
      <c r="AH26" s="2"/>
      <c r="AI26" s="6"/>
      <c r="AJ26" s="7"/>
      <c r="AK26" s="6"/>
      <c r="AL26" s="59"/>
      <c r="AM26" s="59"/>
      <c r="AN26" s="59"/>
      <c r="AO26" s="59"/>
      <c r="AP26" s="59"/>
      <c r="AQ26" s="59"/>
      <c r="AR26" s="59"/>
      <c r="AS26" s="59"/>
      <c r="AT26" s="8"/>
      <c r="AU26" s="8"/>
      <c r="AV26" s="9"/>
      <c r="AW26" s="8"/>
      <c r="AX26" s="10" t="str">
        <f t="shared" si="23"/>
        <v>-</v>
      </c>
      <c r="AY26" s="39"/>
      <c r="AZ26" s="1" t="str">
        <f t="shared" si="1"/>
        <v/>
      </c>
      <c r="BA26" s="11" t="str">
        <f t="shared" si="2"/>
        <v/>
      </c>
      <c r="BB26" s="1" t="str">
        <f t="shared" si="3"/>
        <v/>
      </c>
      <c r="BC26" s="39"/>
      <c r="BD26" s="53" t="str">
        <f t="shared" si="4"/>
        <v/>
      </c>
      <c r="BE26" s="12" t="str">
        <f t="shared" si="5"/>
        <v/>
      </c>
      <c r="BF26" s="12" t="str">
        <f t="shared" si="6"/>
        <v/>
      </c>
      <c r="BG26" s="12" t="str">
        <f t="shared" si="24"/>
        <v/>
      </c>
      <c r="BH26" s="12" t="str">
        <f t="shared" si="7"/>
        <v/>
      </c>
      <c r="BI26" s="54" t="str">
        <f t="shared" si="25"/>
        <v/>
      </c>
      <c r="BJ26" s="39"/>
      <c r="BK26" s="55" t="str">
        <f t="shared" si="8"/>
        <v/>
      </c>
      <c r="BL26" s="13" t="str">
        <f t="shared" si="9"/>
        <v/>
      </c>
      <c r="BM26" s="13" t="str">
        <f t="shared" si="10"/>
        <v/>
      </c>
      <c r="BN26" s="56" t="str">
        <f t="shared" si="11"/>
        <v/>
      </c>
      <c r="BO26" s="39"/>
      <c r="BP26" s="14" t="str">
        <f t="shared" si="12"/>
        <v/>
      </c>
      <c r="BQ26" s="15">
        <v>0</v>
      </c>
      <c r="BR26" s="15" t="str">
        <f t="shared" si="26"/>
        <v/>
      </c>
      <c r="BS26" s="15" t="str">
        <f t="shared" si="27"/>
        <v/>
      </c>
      <c r="BT26" s="16" t="str">
        <f t="shared" si="13"/>
        <v/>
      </c>
      <c r="BU26" s="39"/>
      <c r="BV26" s="51" t="str">
        <f t="shared" si="14"/>
        <v/>
      </c>
      <c r="BW26" s="28" t="str">
        <f t="shared" si="15"/>
        <v/>
      </c>
      <c r="BX26" s="28" t="str">
        <f t="shared" si="16"/>
        <v/>
      </c>
      <c r="BY26" s="28" t="str">
        <f t="shared" si="17"/>
        <v/>
      </c>
      <c r="BZ26" s="28" t="str">
        <f t="shared" si="28"/>
        <v/>
      </c>
      <c r="CA26" s="52" t="str">
        <f t="shared" si="29"/>
        <v/>
      </c>
      <c r="CB26" s="39"/>
      <c r="CC26" s="49" t="str">
        <f t="shared" si="18"/>
        <v>-</v>
      </c>
      <c r="CD26" s="29" t="str">
        <f t="shared" si="19"/>
        <v>-</v>
      </c>
      <c r="CE26" s="29" t="str">
        <f t="shared" si="20"/>
        <v>-</v>
      </c>
      <c r="CF26" s="29" t="str">
        <f t="shared" si="21"/>
        <v>-</v>
      </c>
      <c r="CG26" s="50" t="str">
        <f t="shared" si="22"/>
        <v>-</v>
      </c>
      <c r="CH26" s="39"/>
    </row>
    <row r="27" spans="1:86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2"/>
      <c r="D27" s="2"/>
      <c r="E27" s="3"/>
      <c r="F27" s="2"/>
      <c r="G27" s="2"/>
      <c r="H27" s="4"/>
      <c r="I27" s="4"/>
      <c r="J27" s="86"/>
      <c r="K27" s="5"/>
      <c r="L27" s="2"/>
      <c r="M27" s="2"/>
      <c r="N27" s="2"/>
      <c r="O27" s="2"/>
      <c r="P27" s="3"/>
      <c r="Q27" s="2"/>
      <c r="R27" s="2"/>
      <c r="S27" s="2"/>
      <c r="T27" s="2"/>
      <c r="U27" s="2"/>
      <c r="V27" s="3"/>
      <c r="W27" s="3"/>
      <c r="X27" s="2"/>
      <c r="Y27" s="2"/>
      <c r="Z27" s="2"/>
      <c r="AA27" s="2"/>
      <c r="AB27" s="2"/>
      <c r="AC27" s="2"/>
      <c r="AD27" s="2"/>
      <c r="AE27" s="2"/>
      <c r="AF27" s="3"/>
      <c r="AG27" s="3"/>
      <c r="AH27" s="2"/>
      <c r="AI27" s="6"/>
      <c r="AJ27" s="7"/>
      <c r="AK27" s="6"/>
      <c r="AL27" s="59"/>
      <c r="AM27" s="59"/>
      <c r="AN27" s="59"/>
      <c r="AO27" s="59"/>
      <c r="AP27" s="59"/>
      <c r="AQ27" s="59"/>
      <c r="AR27" s="59"/>
      <c r="AS27" s="59"/>
      <c r="AT27" s="8"/>
      <c r="AU27" s="8"/>
      <c r="AV27" s="9"/>
      <c r="AW27" s="8"/>
      <c r="AX27" s="10" t="str">
        <f t="shared" si="23"/>
        <v>-</v>
      </c>
      <c r="AY27" s="39"/>
      <c r="AZ27" s="1" t="str">
        <f t="shared" si="1"/>
        <v/>
      </c>
      <c r="BA27" s="11" t="str">
        <f t="shared" si="2"/>
        <v/>
      </c>
      <c r="BB27" s="1" t="str">
        <f t="shared" si="3"/>
        <v/>
      </c>
      <c r="BC27" s="39"/>
      <c r="BD27" s="53" t="str">
        <f t="shared" si="4"/>
        <v/>
      </c>
      <c r="BE27" s="12" t="str">
        <f t="shared" si="5"/>
        <v/>
      </c>
      <c r="BF27" s="12" t="str">
        <f t="shared" si="6"/>
        <v/>
      </c>
      <c r="BG27" s="12" t="str">
        <f t="shared" si="24"/>
        <v/>
      </c>
      <c r="BH27" s="12" t="str">
        <f t="shared" si="7"/>
        <v/>
      </c>
      <c r="BI27" s="54" t="str">
        <f t="shared" si="25"/>
        <v/>
      </c>
      <c r="BJ27" s="39"/>
      <c r="BK27" s="55" t="str">
        <f t="shared" si="8"/>
        <v/>
      </c>
      <c r="BL27" s="13" t="str">
        <f t="shared" si="9"/>
        <v/>
      </c>
      <c r="BM27" s="13" t="str">
        <f t="shared" si="10"/>
        <v/>
      </c>
      <c r="BN27" s="56" t="str">
        <f t="shared" si="11"/>
        <v/>
      </c>
      <c r="BO27" s="39"/>
      <c r="BP27" s="14" t="str">
        <f t="shared" si="12"/>
        <v/>
      </c>
      <c r="BQ27" s="15">
        <v>0</v>
      </c>
      <c r="BR27" s="15" t="str">
        <f t="shared" si="26"/>
        <v/>
      </c>
      <c r="BS27" s="15" t="str">
        <f t="shared" si="27"/>
        <v/>
      </c>
      <c r="BT27" s="16" t="str">
        <f t="shared" si="13"/>
        <v/>
      </c>
      <c r="BU27" s="39"/>
      <c r="BV27" s="51" t="str">
        <f t="shared" si="14"/>
        <v/>
      </c>
      <c r="BW27" s="28" t="str">
        <f t="shared" si="15"/>
        <v/>
      </c>
      <c r="BX27" s="28" t="str">
        <f t="shared" si="16"/>
        <v/>
      </c>
      <c r="BY27" s="28" t="str">
        <f t="shared" si="17"/>
        <v/>
      </c>
      <c r="BZ27" s="28" t="str">
        <f t="shared" si="28"/>
        <v/>
      </c>
      <c r="CA27" s="52" t="str">
        <f t="shared" si="29"/>
        <v/>
      </c>
      <c r="CB27" s="39"/>
      <c r="CC27" s="49" t="str">
        <f t="shared" si="18"/>
        <v>-</v>
      </c>
      <c r="CD27" s="29" t="str">
        <f t="shared" si="19"/>
        <v>-</v>
      </c>
      <c r="CE27" s="29" t="str">
        <f t="shared" si="20"/>
        <v>-</v>
      </c>
      <c r="CF27" s="29" t="str">
        <f t="shared" si="21"/>
        <v>-</v>
      </c>
      <c r="CG27" s="50" t="str">
        <f t="shared" si="22"/>
        <v>-</v>
      </c>
      <c r="CH27" s="39"/>
    </row>
    <row r="28" spans="1:86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2"/>
      <c r="D28" s="2"/>
      <c r="E28" s="3"/>
      <c r="F28" s="2"/>
      <c r="G28" s="2"/>
      <c r="H28" s="4"/>
      <c r="I28" s="4"/>
      <c r="J28" s="86"/>
      <c r="K28" s="5"/>
      <c r="L28" s="2"/>
      <c r="M28" s="2"/>
      <c r="N28" s="2"/>
      <c r="O28" s="2"/>
      <c r="P28" s="3"/>
      <c r="Q28" s="2"/>
      <c r="R28" s="2"/>
      <c r="S28" s="2"/>
      <c r="T28" s="2"/>
      <c r="U28" s="2"/>
      <c r="V28" s="3"/>
      <c r="W28" s="3"/>
      <c r="X28" s="2"/>
      <c r="Y28" s="2"/>
      <c r="Z28" s="2"/>
      <c r="AA28" s="2"/>
      <c r="AB28" s="2"/>
      <c r="AC28" s="2"/>
      <c r="AD28" s="2"/>
      <c r="AE28" s="2"/>
      <c r="AF28" s="3"/>
      <c r="AG28" s="3"/>
      <c r="AH28" s="2"/>
      <c r="AI28" s="6"/>
      <c r="AJ28" s="7"/>
      <c r="AK28" s="6"/>
      <c r="AL28" s="59"/>
      <c r="AM28" s="59"/>
      <c r="AN28" s="59"/>
      <c r="AO28" s="59"/>
      <c r="AP28" s="59"/>
      <c r="AQ28" s="59"/>
      <c r="AR28" s="59"/>
      <c r="AS28" s="59"/>
      <c r="AT28" s="8"/>
      <c r="AU28" s="8"/>
      <c r="AV28" s="9"/>
      <c r="AW28" s="8"/>
      <c r="AX28" s="10" t="str">
        <f t="shared" si="23"/>
        <v>-</v>
      </c>
      <c r="AY28" s="39"/>
      <c r="AZ28" s="1" t="str">
        <f t="shared" si="1"/>
        <v/>
      </c>
      <c r="BA28" s="11" t="str">
        <f t="shared" si="2"/>
        <v/>
      </c>
      <c r="BB28" s="1" t="str">
        <f t="shared" si="3"/>
        <v/>
      </c>
      <c r="BC28" s="39"/>
      <c r="BD28" s="53" t="str">
        <f t="shared" si="4"/>
        <v/>
      </c>
      <c r="BE28" s="12" t="str">
        <f t="shared" si="5"/>
        <v/>
      </c>
      <c r="BF28" s="12" t="str">
        <f t="shared" si="6"/>
        <v/>
      </c>
      <c r="BG28" s="12" t="str">
        <f t="shared" si="24"/>
        <v/>
      </c>
      <c r="BH28" s="12" t="str">
        <f t="shared" si="7"/>
        <v/>
      </c>
      <c r="BI28" s="54" t="str">
        <f t="shared" si="25"/>
        <v/>
      </c>
      <c r="BJ28" s="39"/>
      <c r="BK28" s="55" t="str">
        <f t="shared" si="8"/>
        <v/>
      </c>
      <c r="BL28" s="13" t="str">
        <f t="shared" si="9"/>
        <v/>
      </c>
      <c r="BM28" s="13" t="str">
        <f t="shared" si="10"/>
        <v/>
      </c>
      <c r="BN28" s="56" t="str">
        <f t="shared" si="11"/>
        <v/>
      </c>
      <c r="BO28" s="39"/>
      <c r="BP28" s="14" t="str">
        <f t="shared" si="12"/>
        <v/>
      </c>
      <c r="BQ28" s="15">
        <v>0</v>
      </c>
      <c r="BR28" s="15" t="str">
        <f t="shared" si="26"/>
        <v/>
      </c>
      <c r="BS28" s="15" t="str">
        <f t="shared" si="27"/>
        <v/>
      </c>
      <c r="BT28" s="16" t="str">
        <f t="shared" si="13"/>
        <v/>
      </c>
      <c r="BU28" s="39"/>
      <c r="BV28" s="51" t="str">
        <f t="shared" si="14"/>
        <v/>
      </c>
      <c r="BW28" s="28" t="str">
        <f t="shared" si="15"/>
        <v/>
      </c>
      <c r="BX28" s="28" t="str">
        <f t="shared" si="16"/>
        <v/>
      </c>
      <c r="BY28" s="28" t="str">
        <f t="shared" si="17"/>
        <v/>
      </c>
      <c r="BZ28" s="28" t="str">
        <f t="shared" si="28"/>
        <v/>
      </c>
      <c r="CA28" s="52" t="str">
        <f t="shared" si="29"/>
        <v/>
      </c>
      <c r="CB28" s="39"/>
      <c r="CC28" s="49" t="str">
        <f t="shared" si="18"/>
        <v>-</v>
      </c>
      <c r="CD28" s="29" t="str">
        <f t="shared" si="19"/>
        <v>-</v>
      </c>
      <c r="CE28" s="29" t="str">
        <f t="shared" si="20"/>
        <v>-</v>
      </c>
      <c r="CF28" s="29" t="str">
        <f t="shared" si="21"/>
        <v>-</v>
      </c>
      <c r="CG28" s="50" t="str">
        <f t="shared" si="22"/>
        <v>-</v>
      </c>
      <c r="CH28" s="39"/>
    </row>
    <row r="29" spans="1:86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2"/>
      <c r="D29" s="2"/>
      <c r="E29" s="3"/>
      <c r="F29" s="2"/>
      <c r="G29" s="2"/>
      <c r="H29" s="4"/>
      <c r="I29" s="4"/>
      <c r="J29" s="86"/>
      <c r="K29" s="5"/>
      <c r="L29" s="2"/>
      <c r="M29" s="2"/>
      <c r="N29" s="2"/>
      <c r="O29" s="2"/>
      <c r="P29" s="3"/>
      <c r="Q29" s="2"/>
      <c r="R29" s="2"/>
      <c r="S29" s="2"/>
      <c r="T29" s="2"/>
      <c r="U29" s="2"/>
      <c r="V29" s="3"/>
      <c r="W29" s="3"/>
      <c r="X29" s="2"/>
      <c r="Y29" s="2"/>
      <c r="Z29" s="2"/>
      <c r="AA29" s="2"/>
      <c r="AB29" s="2"/>
      <c r="AC29" s="2"/>
      <c r="AD29" s="2"/>
      <c r="AE29" s="2"/>
      <c r="AF29" s="3"/>
      <c r="AG29" s="3"/>
      <c r="AH29" s="2"/>
      <c r="AI29" s="6"/>
      <c r="AJ29" s="7"/>
      <c r="AK29" s="6"/>
      <c r="AL29" s="59"/>
      <c r="AM29" s="59"/>
      <c r="AN29" s="59"/>
      <c r="AO29" s="59"/>
      <c r="AP29" s="59"/>
      <c r="AQ29" s="59"/>
      <c r="AR29" s="59"/>
      <c r="AS29" s="59"/>
      <c r="AT29" s="8"/>
      <c r="AU29" s="8"/>
      <c r="AV29" s="9"/>
      <c r="AW29" s="8"/>
      <c r="AX29" s="10" t="str">
        <f>IFERROR(AN29/AW29,"-")</f>
        <v>-</v>
      </c>
      <c r="AY29" s="39"/>
      <c r="AZ29" s="1" t="str">
        <f t="shared" si="1"/>
        <v/>
      </c>
      <c r="BA29" s="11" t="str">
        <f t="shared" si="2"/>
        <v/>
      </c>
      <c r="BB29" s="1" t="str">
        <f t="shared" si="3"/>
        <v/>
      </c>
      <c r="BC29" s="39"/>
      <c r="BD29" s="53" t="str">
        <f t="shared" si="4"/>
        <v/>
      </c>
      <c r="BE29" s="12" t="str">
        <f t="shared" si="5"/>
        <v/>
      </c>
      <c r="BF29" s="12" t="str">
        <f t="shared" si="6"/>
        <v/>
      </c>
      <c r="BG29" s="12" t="str">
        <f t="shared" si="24"/>
        <v/>
      </c>
      <c r="BH29" s="12" t="str">
        <f t="shared" si="7"/>
        <v/>
      </c>
      <c r="BI29" s="54" t="str">
        <f t="shared" si="25"/>
        <v/>
      </c>
      <c r="BJ29" s="39"/>
      <c r="BK29" s="55" t="str">
        <f t="shared" si="8"/>
        <v/>
      </c>
      <c r="BL29" s="13" t="str">
        <f t="shared" si="9"/>
        <v/>
      </c>
      <c r="BM29" s="13" t="str">
        <f t="shared" si="10"/>
        <v/>
      </c>
      <c r="BN29" s="56" t="str">
        <f t="shared" si="11"/>
        <v/>
      </c>
      <c r="BO29" s="39"/>
      <c r="BP29" s="14" t="str">
        <f t="shared" si="12"/>
        <v/>
      </c>
      <c r="BQ29" s="15">
        <v>0</v>
      </c>
      <c r="BR29" s="15" t="str">
        <f t="shared" si="26"/>
        <v/>
      </c>
      <c r="BS29" s="15" t="str">
        <f t="shared" si="27"/>
        <v/>
      </c>
      <c r="BT29" s="16" t="str">
        <f t="shared" si="13"/>
        <v/>
      </c>
      <c r="BU29" s="39"/>
      <c r="BV29" s="51" t="str">
        <f t="shared" si="14"/>
        <v/>
      </c>
      <c r="BW29" s="28" t="str">
        <f t="shared" si="15"/>
        <v/>
      </c>
      <c r="BX29" s="28" t="str">
        <f t="shared" si="16"/>
        <v/>
      </c>
      <c r="BY29" s="28" t="str">
        <f t="shared" si="17"/>
        <v/>
      </c>
      <c r="BZ29" s="28" t="str">
        <f t="shared" si="28"/>
        <v/>
      </c>
      <c r="CA29" s="52" t="str">
        <f t="shared" si="29"/>
        <v/>
      </c>
      <c r="CB29" s="39"/>
      <c r="CC29" s="49" t="str">
        <f t="shared" si="18"/>
        <v>-</v>
      </c>
      <c r="CD29" s="29" t="str">
        <f t="shared" si="19"/>
        <v>-</v>
      </c>
      <c r="CE29" s="29" t="str">
        <f t="shared" si="20"/>
        <v>-</v>
      </c>
      <c r="CF29" s="29" t="str">
        <f t="shared" si="21"/>
        <v>-</v>
      </c>
      <c r="CG29" s="50" t="str">
        <f t="shared" si="22"/>
        <v>-</v>
      </c>
      <c r="CH29" s="39"/>
    </row>
    <row r="30" spans="1:86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2"/>
      <c r="D30" s="2"/>
      <c r="E30" s="3"/>
      <c r="F30" s="2"/>
      <c r="G30" s="2"/>
      <c r="H30" s="4"/>
      <c r="I30" s="4"/>
      <c r="J30" s="86"/>
      <c r="K30" s="5"/>
      <c r="L30" s="2"/>
      <c r="M30" s="2"/>
      <c r="N30" s="2"/>
      <c r="O30" s="2"/>
      <c r="P30" s="3"/>
      <c r="Q30" s="2"/>
      <c r="R30" s="2"/>
      <c r="S30" s="2"/>
      <c r="T30" s="2"/>
      <c r="U30" s="2"/>
      <c r="V30" s="3"/>
      <c r="W30" s="3"/>
      <c r="X30" s="2"/>
      <c r="Y30" s="2"/>
      <c r="Z30" s="2"/>
      <c r="AA30" s="2"/>
      <c r="AB30" s="2"/>
      <c r="AC30" s="2"/>
      <c r="AD30" s="2"/>
      <c r="AE30" s="2"/>
      <c r="AF30" s="3"/>
      <c r="AG30" s="3"/>
      <c r="AH30" s="2"/>
      <c r="AI30" s="6"/>
      <c r="AJ30" s="7"/>
      <c r="AK30" s="6"/>
      <c r="AL30" s="59"/>
      <c r="AM30" s="59"/>
      <c r="AN30" s="59"/>
      <c r="AO30" s="59"/>
      <c r="AP30" s="59"/>
      <c r="AQ30" s="59"/>
      <c r="AR30" s="59"/>
      <c r="AS30" s="59"/>
      <c r="AT30" s="8"/>
      <c r="AU30" s="8"/>
      <c r="AV30" s="9"/>
      <c r="AW30" s="8"/>
      <c r="AX30" s="10" t="str">
        <f>IFERROR(AN30/AW30,"-")</f>
        <v>-</v>
      </c>
      <c r="AY30" s="39"/>
      <c r="AZ30" s="1" t="str">
        <f t="shared" si="1"/>
        <v/>
      </c>
      <c r="BA30" s="11" t="str">
        <f t="shared" si="2"/>
        <v/>
      </c>
      <c r="BB30" s="1" t="str">
        <f t="shared" si="3"/>
        <v/>
      </c>
      <c r="BC30" s="39"/>
      <c r="BD30" s="53" t="str">
        <f t="shared" si="4"/>
        <v/>
      </c>
      <c r="BE30" s="12" t="str">
        <f t="shared" si="5"/>
        <v/>
      </c>
      <c r="BF30" s="12" t="str">
        <f t="shared" si="6"/>
        <v/>
      </c>
      <c r="BG30" s="12" t="str">
        <f t="shared" si="24"/>
        <v/>
      </c>
      <c r="BH30" s="12" t="str">
        <f t="shared" si="7"/>
        <v/>
      </c>
      <c r="BI30" s="54" t="str">
        <f t="shared" si="25"/>
        <v/>
      </c>
      <c r="BJ30" s="39"/>
      <c r="BK30" s="55" t="str">
        <f t="shared" si="8"/>
        <v/>
      </c>
      <c r="BL30" s="13" t="str">
        <f t="shared" si="9"/>
        <v/>
      </c>
      <c r="BM30" s="13" t="str">
        <f t="shared" si="10"/>
        <v/>
      </c>
      <c r="BN30" s="56" t="str">
        <f t="shared" si="11"/>
        <v/>
      </c>
      <c r="BO30" s="39"/>
      <c r="BP30" s="14" t="str">
        <f t="shared" si="12"/>
        <v/>
      </c>
      <c r="BQ30" s="15">
        <v>0</v>
      </c>
      <c r="BR30" s="15" t="str">
        <f t="shared" si="26"/>
        <v/>
      </c>
      <c r="BS30" s="15" t="str">
        <f t="shared" si="27"/>
        <v/>
      </c>
      <c r="BT30" s="16" t="str">
        <f t="shared" si="13"/>
        <v/>
      </c>
      <c r="BU30" s="39"/>
      <c r="BV30" s="51" t="str">
        <f t="shared" si="14"/>
        <v/>
      </c>
      <c r="BW30" s="28" t="str">
        <f t="shared" si="15"/>
        <v/>
      </c>
      <c r="BX30" s="28" t="str">
        <f t="shared" si="16"/>
        <v/>
      </c>
      <c r="BY30" s="28" t="str">
        <f t="shared" si="17"/>
        <v/>
      </c>
      <c r="BZ30" s="28" t="str">
        <f t="shared" si="28"/>
        <v/>
      </c>
      <c r="CA30" s="52" t="str">
        <f t="shared" si="29"/>
        <v/>
      </c>
      <c r="CB30" s="39"/>
      <c r="CC30" s="49" t="str">
        <f t="shared" si="18"/>
        <v>-</v>
      </c>
      <c r="CD30" s="29" t="str">
        <f t="shared" si="19"/>
        <v>-</v>
      </c>
      <c r="CE30" s="29" t="str">
        <f t="shared" si="20"/>
        <v>-</v>
      </c>
      <c r="CF30" s="29" t="str">
        <f t="shared" si="21"/>
        <v>-</v>
      </c>
      <c r="CG30" s="50" t="str">
        <f t="shared" si="22"/>
        <v>-</v>
      </c>
      <c r="CH30" s="39"/>
    </row>
    <row r="31" spans="1:86" s="27" customFormat="1" ht="12.4" customHeight="1" thickBot="1" x14ac:dyDescent="0.25">
      <c r="A31" s="43">
        <f t="shared" si="30"/>
        <v>46323</v>
      </c>
      <c r="B31" s="44" t="str">
        <f>+TEXT(A31,"DDD")</f>
        <v>Wed</v>
      </c>
      <c r="C31" s="2"/>
      <c r="D31" s="2"/>
      <c r="E31" s="3"/>
      <c r="F31" s="2"/>
      <c r="G31" s="2"/>
      <c r="H31" s="4"/>
      <c r="I31" s="4"/>
      <c r="J31" s="86"/>
      <c r="K31" s="5"/>
      <c r="L31" s="2"/>
      <c r="M31" s="2"/>
      <c r="N31" s="2"/>
      <c r="O31" s="2"/>
      <c r="P31" s="3"/>
      <c r="Q31" s="2"/>
      <c r="R31" s="2"/>
      <c r="S31" s="2"/>
      <c r="T31" s="2"/>
      <c r="U31" s="2"/>
      <c r="V31" s="3"/>
      <c r="W31" s="3"/>
      <c r="X31" s="2"/>
      <c r="Y31" s="2"/>
      <c r="Z31" s="2"/>
      <c r="AA31" s="2"/>
      <c r="AB31" s="2"/>
      <c r="AC31" s="2"/>
      <c r="AD31" s="2"/>
      <c r="AE31" s="2"/>
      <c r="AF31" s="3"/>
      <c r="AG31" s="3"/>
      <c r="AH31" s="2"/>
      <c r="AI31" s="6"/>
      <c r="AJ31" s="7"/>
      <c r="AK31" s="6"/>
      <c r="AL31" s="59"/>
      <c r="AM31" s="59"/>
      <c r="AN31" s="59"/>
      <c r="AO31" s="59"/>
      <c r="AP31" s="59"/>
      <c r="AQ31" s="59"/>
      <c r="AR31" s="59"/>
      <c r="AS31" s="59"/>
      <c r="AT31" s="8"/>
      <c r="AU31" s="8"/>
      <c r="AV31" s="9"/>
      <c r="AW31" s="8"/>
      <c r="AX31" s="10" t="str">
        <f t="shared" si="23"/>
        <v>-</v>
      </c>
      <c r="AY31" s="39"/>
      <c r="AZ31" s="1" t="str">
        <f t="shared" si="1"/>
        <v/>
      </c>
      <c r="BA31" s="11" t="str">
        <f t="shared" si="2"/>
        <v/>
      </c>
      <c r="BB31" s="1" t="str">
        <f t="shared" si="3"/>
        <v/>
      </c>
      <c r="BC31" s="39"/>
      <c r="BD31" s="53" t="str">
        <f t="shared" si="4"/>
        <v/>
      </c>
      <c r="BE31" s="12" t="str">
        <f t="shared" si="5"/>
        <v/>
      </c>
      <c r="BF31" s="12" t="str">
        <f t="shared" si="6"/>
        <v/>
      </c>
      <c r="BG31" s="12" t="str">
        <f t="shared" si="24"/>
        <v/>
      </c>
      <c r="BH31" s="12" t="str">
        <f t="shared" si="7"/>
        <v/>
      </c>
      <c r="BI31" s="54" t="str">
        <f t="shared" si="25"/>
        <v/>
      </c>
      <c r="BJ31" s="39"/>
      <c r="BK31" s="55" t="str">
        <f t="shared" si="8"/>
        <v/>
      </c>
      <c r="BL31" s="13" t="str">
        <f t="shared" si="9"/>
        <v/>
      </c>
      <c r="BM31" s="13" t="str">
        <f t="shared" si="10"/>
        <v/>
      </c>
      <c r="BN31" s="56" t="str">
        <f t="shared" si="11"/>
        <v/>
      </c>
      <c r="BO31" s="39"/>
      <c r="BP31" s="14" t="str">
        <f t="shared" si="12"/>
        <v/>
      </c>
      <c r="BQ31" s="15">
        <v>0</v>
      </c>
      <c r="BR31" s="15" t="str">
        <f t="shared" si="26"/>
        <v/>
      </c>
      <c r="BS31" s="15" t="str">
        <f t="shared" si="27"/>
        <v/>
      </c>
      <c r="BT31" s="16" t="str">
        <f t="shared" si="13"/>
        <v/>
      </c>
      <c r="BU31" s="39"/>
      <c r="BV31" s="51" t="str">
        <f t="shared" si="14"/>
        <v/>
      </c>
      <c r="BW31" s="28" t="str">
        <f t="shared" si="15"/>
        <v/>
      </c>
      <c r="BX31" s="28" t="str">
        <f t="shared" si="16"/>
        <v/>
      </c>
      <c r="BY31" s="28" t="str">
        <f t="shared" si="17"/>
        <v/>
      </c>
      <c r="BZ31" s="28" t="str">
        <f t="shared" si="28"/>
        <v/>
      </c>
      <c r="CA31" s="52" t="str">
        <f t="shared" si="29"/>
        <v/>
      </c>
      <c r="CB31" s="39"/>
      <c r="CC31" s="49" t="str">
        <f t="shared" si="18"/>
        <v>-</v>
      </c>
      <c r="CD31" s="29" t="str">
        <f t="shared" si="19"/>
        <v>-</v>
      </c>
      <c r="CE31" s="29" t="str">
        <f t="shared" si="20"/>
        <v>-</v>
      </c>
      <c r="CF31" s="29" t="str">
        <f t="shared" si="21"/>
        <v>-</v>
      </c>
      <c r="CG31" s="50" t="str">
        <f t="shared" si="22"/>
        <v>-</v>
      </c>
      <c r="CH31" s="39"/>
    </row>
    <row r="32" spans="1:86" s="27" customFormat="1" ht="12.4" customHeight="1" thickBot="1" x14ac:dyDescent="0.25">
      <c r="A32" s="43">
        <f t="shared" si="30"/>
        <v>46324</v>
      </c>
      <c r="B32" s="44" t="str">
        <f>+TEXT(A32,"DDD")</f>
        <v>Thu</v>
      </c>
      <c r="C32" s="2"/>
      <c r="D32" s="2"/>
      <c r="E32" s="3"/>
      <c r="F32" s="2"/>
      <c r="G32" s="2"/>
      <c r="H32" s="4"/>
      <c r="I32" s="4"/>
      <c r="J32" s="86"/>
      <c r="K32" s="5"/>
      <c r="L32" s="2"/>
      <c r="M32" s="2"/>
      <c r="N32" s="2"/>
      <c r="O32" s="2"/>
      <c r="P32" s="3"/>
      <c r="Q32" s="2"/>
      <c r="R32" s="2"/>
      <c r="S32" s="2"/>
      <c r="T32" s="2"/>
      <c r="U32" s="2"/>
      <c r="V32" s="3"/>
      <c r="W32" s="3"/>
      <c r="X32" s="2"/>
      <c r="Y32" s="2"/>
      <c r="Z32" s="2"/>
      <c r="AA32" s="2"/>
      <c r="AB32" s="2"/>
      <c r="AC32" s="2"/>
      <c r="AD32" s="2"/>
      <c r="AE32" s="2"/>
      <c r="AF32" s="3"/>
      <c r="AG32" s="3"/>
      <c r="AH32" s="2"/>
      <c r="AI32" s="6"/>
      <c r="AJ32" s="7"/>
      <c r="AK32" s="6"/>
      <c r="AL32" s="59"/>
      <c r="AM32" s="59"/>
      <c r="AN32" s="59"/>
      <c r="AO32" s="59"/>
      <c r="AP32" s="59"/>
      <c r="AQ32" s="59"/>
      <c r="AR32" s="59"/>
      <c r="AS32" s="59"/>
      <c r="AT32" s="8"/>
      <c r="AU32" s="8"/>
      <c r="AV32" s="9"/>
      <c r="AW32" s="8"/>
      <c r="AX32" s="10" t="str">
        <f>IFERROR(AN32/AW32,"-")</f>
        <v>-</v>
      </c>
      <c r="AY32" s="39"/>
      <c r="AZ32" s="1" t="str">
        <f t="shared" si="1"/>
        <v/>
      </c>
      <c r="BA32" s="11" t="str">
        <f t="shared" si="2"/>
        <v/>
      </c>
      <c r="BB32" s="1" t="str">
        <f t="shared" si="3"/>
        <v/>
      </c>
      <c r="BC32" s="39"/>
      <c r="BD32" s="53" t="str">
        <f t="shared" si="4"/>
        <v/>
      </c>
      <c r="BE32" s="12" t="str">
        <f t="shared" si="5"/>
        <v/>
      </c>
      <c r="BF32" s="12" t="str">
        <f t="shared" si="6"/>
        <v/>
      </c>
      <c r="BG32" s="12" t="str">
        <f t="shared" si="24"/>
        <v/>
      </c>
      <c r="BH32" s="12" t="str">
        <f t="shared" si="7"/>
        <v/>
      </c>
      <c r="BI32" s="54" t="str">
        <f t="shared" si="25"/>
        <v/>
      </c>
      <c r="BJ32" s="39"/>
      <c r="BK32" s="55" t="str">
        <f t="shared" si="8"/>
        <v/>
      </c>
      <c r="BL32" s="13" t="str">
        <f t="shared" si="9"/>
        <v/>
      </c>
      <c r="BM32" s="13" t="str">
        <f t="shared" si="10"/>
        <v/>
      </c>
      <c r="BN32" s="56" t="str">
        <f t="shared" si="11"/>
        <v/>
      </c>
      <c r="BO32" s="39"/>
      <c r="BP32" s="14" t="str">
        <f t="shared" si="12"/>
        <v/>
      </c>
      <c r="BQ32" s="15">
        <v>0</v>
      </c>
      <c r="BR32" s="15" t="str">
        <f t="shared" si="26"/>
        <v/>
      </c>
      <c r="BS32" s="15" t="str">
        <f t="shared" si="27"/>
        <v/>
      </c>
      <c r="BT32" s="16" t="str">
        <f t="shared" si="13"/>
        <v/>
      </c>
      <c r="BU32" s="39"/>
      <c r="BV32" s="51" t="str">
        <f t="shared" si="14"/>
        <v/>
      </c>
      <c r="BW32" s="28" t="str">
        <f t="shared" si="15"/>
        <v/>
      </c>
      <c r="BX32" s="28" t="str">
        <f t="shared" si="16"/>
        <v/>
      </c>
      <c r="BY32" s="28" t="str">
        <f t="shared" si="17"/>
        <v/>
      </c>
      <c r="BZ32" s="28" t="str">
        <f t="shared" si="28"/>
        <v/>
      </c>
      <c r="CA32" s="52" t="str">
        <f t="shared" si="29"/>
        <v/>
      </c>
      <c r="CB32" s="39"/>
      <c r="CC32" s="49" t="str">
        <f t="shared" si="18"/>
        <v>-</v>
      </c>
      <c r="CD32" s="29" t="str">
        <f t="shared" si="19"/>
        <v>-</v>
      </c>
      <c r="CE32" s="29" t="str">
        <f t="shared" si="20"/>
        <v>-</v>
      </c>
      <c r="CF32" s="29" t="str">
        <f t="shared" si="21"/>
        <v>-</v>
      </c>
      <c r="CG32" s="50" t="str">
        <f t="shared" si="22"/>
        <v>-</v>
      </c>
      <c r="CH32" s="39"/>
    </row>
    <row r="33" spans="1:86" s="27" customFormat="1" ht="12.4" customHeight="1" thickBot="1" x14ac:dyDescent="0.25">
      <c r="A33" s="43">
        <f t="shared" si="30"/>
        <v>46325</v>
      </c>
      <c r="B33" s="44" t="str">
        <f>+TEXT(A33,"DDD")</f>
        <v>Fri</v>
      </c>
      <c r="C33" s="2"/>
      <c r="D33" s="2"/>
      <c r="E33" s="3"/>
      <c r="F33" s="2"/>
      <c r="G33" s="2"/>
      <c r="H33" s="4"/>
      <c r="I33" s="4"/>
      <c r="J33" s="86"/>
      <c r="K33" s="5"/>
      <c r="L33" s="2"/>
      <c r="M33" s="2"/>
      <c r="N33" s="2"/>
      <c r="O33" s="2"/>
      <c r="P33" s="3"/>
      <c r="Q33" s="2"/>
      <c r="R33" s="2"/>
      <c r="S33" s="2"/>
      <c r="T33" s="2"/>
      <c r="U33" s="2"/>
      <c r="V33" s="3"/>
      <c r="W33" s="3"/>
      <c r="X33" s="2"/>
      <c r="Y33" s="2"/>
      <c r="Z33" s="2"/>
      <c r="AA33" s="2"/>
      <c r="AB33" s="2"/>
      <c r="AC33" s="2"/>
      <c r="AD33" s="2"/>
      <c r="AE33" s="2"/>
      <c r="AF33" s="3"/>
      <c r="AG33" s="3"/>
      <c r="AH33" s="2"/>
      <c r="AI33" s="6"/>
      <c r="AJ33" s="7"/>
      <c r="AK33" s="6"/>
      <c r="AL33" s="59"/>
      <c r="AM33" s="59"/>
      <c r="AN33" s="59"/>
      <c r="AO33" s="59"/>
      <c r="AP33" s="59"/>
      <c r="AQ33" s="59"/>
      <c r="AR33" s="59"/>
      <c r="AS33" s="59"/>
      <c r="AT33" s="8"/>
      <c r="AU33" s="8"/>
      <c r="AV33" s="9"/>
      <c r="AW33" s="8"/>
      <c r="AX33" s="10" t="str">
        <f>IFERROR(AN33/AW33,"-")</f>
        <v>-</v>
      </c>
      <c r="AY33" s="39"/>
      <c r="AZ33" s="1" t="str">
        <f t="shared" si="1"/>
        <v/>
      </c>
      <c r="BA33" s="11" t="str">
        <f t="shared" si="2"/>
        <v/>
      </c>
      <c r="BB33" s="1" t="str">
        <f t="shared" si="3"/>
        <v/>
      </c>
      <c r="BC33" s="39"/>
      <c r="BD33" s="53" t="str">
        <f t="shared" si="4"/>
        <v/>
      </c>
      <c r="BE33" s="12" t="str">
        <f t="shared" si="5"/>
        <v/>
      </c>
      <c r="BF33" s="12" t="str">
        <f t="shared" si="6"/>
        <v/>
      </c>
      <c r="BG33" s="12" t="str">
        <f t="shared" si="24"/>
        <v/>
      </c>
      <c r="BH33" s="12" t="str">
        <f t="shared" si="7"/>
        <v/>
      </c>
      <c r="BI33" s="54" t="str">
        <f t="shared" si="25"/>
        <v/>
      </c>
      <c r="BJ33" s="39"/>
      <c r="BK33" s="55" t="str">
        <f t="shared" si="8"/>
        <v/>
      </c>
      <c r="BL33" s="13" t="str">
        <f t="shared" si="9"/>
        <v/>
      </c>
      <c r="BM33" s="13" t="str">
        <f t="shared" si="10"/>
        <v/>
      </c>
      <c r="BN33" s="56" t="str">
        <f t="shared" si="11"/>
        <v/>
      </c>
      <c r="BO33" s="39"/>
      <c r="BP33" s="14" t="str">
        <f t="shared" si="12"/>
        <v/>
      </c>
      <c r="BQ33" s="15">
        <v>0</v>
      </c>
      <c r="BR33" s="15" t="str">
        <f t="shared" si="26"/>
        <v/>
      </c>
      <c r="BS33" s="15" t="str">
        <f t="shared" si="27"/>
        <v/>
      </c>
      <c r="BT33" s="16" t="str">
        <f t="shared" si="13"/>
        <v/>
      </c>
      <c r="BU33" s="39"/>
      <c r="BV33" s="51" t="str">
        <f t="shared" si="14"/>
        <v/>
      </c>
      <c r="BW33" s="28" t="str">
        <f t="shared" si="15"/>
        <v/>
      </c>
      <c r="BX33" s="28" t="str">
        <f t="shared" si="16"/>
        <v/>
      </c>
      <c r="BY33" s="28" t="str">
        <f t="shared" si="17"/>
        <v/>
      </c>
      <c r="BZ33" s="28" t="str">
        <f t="shared" si="28"/>
        <v/>
      </c>
      <c r="CA33" s="52" t="str">
        <f t="shared" si="29"/>
        <v/>
      </c>
      <c r="CB33" s="39"/>
      <c r="CC33" s="49" t="str">
        <f t="shared" si="18"/>
        <v>-</v>
      </c>
      <c r="CD33" s="29" t="str">
        <f t="shared" si="19"/>
        <v>-</v>
      </c>
      <c r="CE33" s="29" t="str">
        <f t="shared" si="20"/>
        <v>-</v>
      </c>
      <c r="CF33" s="29" t="str">
        <f t="shared" si="21"/>
        <v>-</v>
      </c>
      <c r="CG33" s="50" t="str">
        <f t="shared" si="22"/>
        <v>-</v>
      </c>
      <c r="CH33" s="39"/>
    </row>
    <row r="34" spans="1:86" s="27" customFormat="1" ht="12.4" customHeight="1" thickBot="1" x14ac:dyDescent="0.25">
      <c r="A34" s="43">
        <f t="shared" si="30"/>
        <v>46326</v>
      </c>
      <c r="B34" s="44" t="str">
        <f>+TEXT(A34,"DDD")</f>
        <v>Sat</v>
      </c>
      <c r="C34" s="2"/>
      <c r="D34" s="2"/>
      <c r="E34" s="3"/>
      <c r="F34" s="2"/>
      <c r="G34" s="2"/>
      <c r="H34" s="4"/>
      <c r="I34" s="4"/>
      <c r="J34" s="86"/>
      <c r="K34" s="5"/>
      <c r="L34" s="2"/>
      <c r="M34" s="2"/>
      <c r="N34" s="2"/>
      <c r="O34" s="2"/>
      <c r="P34" s="3"/>
      <c r="Q34" s="2"/>
      <c r="R34" s="2"/>
      <c r="S34" s="2"/>
      <c r="T34" s="2"/>
      <c r="U34" s="2"/>
      <c r="V34" s="3"/>
      <c r="W34" s="3"/>
      <c r="X34" s="2"/>
      <c r="Y34" s="2"/>
      <c r="Z34" s="2"/>
      <c r="AA34" s="2"/>
      <c r="AB34" s="2"/>
      <c r="AC34" s="2"/>
      <c r="AD34" s="2"/>
      <c r="AE34" s="2"/>
      <c r="AF34" s="3"/>
      <c r="AG34" s="3"/>
      <c r="AH34" s="2"/>
      <c r="AI34" s="6"/>
      <c r="AJ34" s="7"/>
      <c r="AK34" s="6"/>
      <c r="AL34" s="59"/>
      <c r="AM34" s="59"/>
      <c r="AN34" s="59"/>
      <c r="AO34" s="59"/>
      <c r="AP34" s="59"/>
      <c r="AQ34" s="59"/>
      <c r="AR34" s="59"/>
      <c r="AS34" s="59"/>
      <c r="AT34" s="8"/>
      <c r="AU34" s="8"/>
      <c r="AV34" s="9"/>
      <c r="AW34" s="8"/>
      <c r="AX34" s="10" t="str">
        <f>IFERROR(AN34/AW34,"-")</f>
        <v>-</v>
      </c>
      <c r="AY34" s="39"/>
      <c r="AZ34" s="1" t="str">
        <f t="shared" si="1"/>
        <v/>
      </c>
      <c r="BA34" s="11" t="str">
        <f t="shared" si="2"/>
        <v/>
      </c>
      <c r="BB34" s="1" t="str">
        <f t="shared" si="3"/>
        <v/>
      </c>
      <c r="BC34" s="39"/>
      <c r="BD34" s="53" t="str">
        <f t="shared" si="4"/>
        <v/>
      </c>
      <c r="BE34" s="12" t="str">
        <f t="shared" si="5"/>
        <v/>
      </c>
      <c r="BF34" s="12" t="str">
        <f t="shared" si="6"/>
        <v/>
      </c>
      <c r="BG34" s="12" t="str">
        <f t="shared" si="24"/>
        <v/>
      </c>
      <c r="BH34" s="12" t="str">
        <f t="shared" si="7"/>
        <v/>
      </c>
      <c r="BI34" s="54" t="str">
        <f t="shared" si="25"/>
        <v/>
      </c>
      <c r="BJ34" s="39"/>
      <c r="BK34" s="55" t="str">
        <f t="shared" si="8"/>
        <v/>
      </c>
      <c r="BL34" s="13" t="str">
        <f t="shared" si="9"/>
        <v/>
      </c>
      <c r="BM34" s="13" t="str">
        <f t="shared" si="10"/>
        <v/>
      </c>
      <c r="BN34" s="56" t="str">
        <f t="shared" si="11"/>
        <v/>
      </c>
      <c r="BO34" s="39"/>
      <c r="BP34" s="14" t="str">
        <f t="shared" si="12"/>
        <v/>
      </c>
      <c r="BQ34" s="15">
        <v>0</v>
      </c>
      <c r="BR34" s="15" t="str">
        <f t="shared" si="26"/>
        <v/>
      </c>
      <c r="BS34" s="15" t="str">
        <f t="shared" si="27"/>
        <v/>
      </c>
      <c r="BT34" s="16" t="str">
        <f t="shared" si="13"/>
        <v/>
      </c>
      <c r="BU34" s="39"/>
      <c r="BV34" s="51" t="str">
        <f t="shared" si="14"/>
        <v/>
      </c>
      <c r="BW34" s="28" t="str">
        <f t="shared" si="15"/>
        <v/>
      </c>
      <c r="BX34" s="28" t="str">
        <f t="shared" si="16"/>
        <v/>
      </c>
      <c r="BY34" s="28" t="str">
        <f t="shared" si="17"/>
        <v/>
      </c>
      <c r="BZ34" s="28" t="str">
        <f t="shared" si="28"/>
        <v/>
      </c>
      <c r="CA34" s="52" t="str">
        <f t="shared" si="29"/>
        <v/>
      </c>
      <c r="CB34" s="39"/>
      <c r="CC34" s="49" t="str">
        <f t="shared" si="18"/>
        <v>-</v>
      </c>
      <c r="CD34" s="29" t="str">
        <f t="shared" si="19"/>
        <v>-</v>
      </c>
      <c r="CE34" s="29" t="str">
        <f t="shared" si="20"/>
        <v>-</v>
      </c>
      <c r="CF34" s="29" t="str">
        <f t="shared" si="21"/>
        <v>-</v>
      </c>
      <c r="CG34" s="50" t="str">
        <f t="shared" si="22"/>
        <v>-</v>
      </c>
      <c r="CH34" s="39"/>
    </row>
    <row r="35" spans="1:86" s="27" customFormat="1" ht="13.15" customHeight="1" thickBot="1" x14ac:dyDescent="0.25">
      <c r="A35" s="288" t="s">
        <v>68</v>
      </c>
      <c r="B35" s="289"/>
      <c r="C35" s="45" t="e">
        <f>AVERAGE(C4:C34)</f>
        <v>#DIV/0!</v>
      </c>
      <c r="D35" s="45" t="e">
        <f t="shared" ref="D35:AW35" si="31">AVERAGE(D4:D34)</f>
        <v>#DIV/0!</v>
      </c>
      <c r="E35" s="45" t="e">
        <f t="shared" si="31"/>
        <v>#DIV/0!</v>
      </c>
      <c r="F35" s="45" t="e">
        <f t="shared" si="31"/>
        <v>#DIV/0!</v>
      </c>
      <c r="G35" s="45" t="e">
        <f t="shared" si="31"/>
        <v>#DIV/0!</v>
      </c>
      <c r="H35" s="45" t="e">
        <f t="shared" si="31"/>
        <v>#DIV/0!</v>
      </c>
      <c r="I35" s="45" t="e">
        <f t="shared" si="31"/>
        <v>#DIV/0!</v>
      </c>
      <c r="J35" s="45" t="e">
        <f t="shared" si="31"/>
        <v>#DIV/0!</v>
      </c>
      <c r="K35" s="45" t="e">
        <f t="shared" si="31"/>
        <v>#DIV/0!</v>
      </c>
      <c r="L35" s="45" t="e">
        <f t="shared" si="31"/>
        <v>#DIV/0!</v>
      </c>
      <c r="M35" s="45" t="e">
        <f t="shared" si="31"/>
        <v>#DIV/0!</v>
      </c>
      <c r="N35" s="45" t="e">
        <f t="shared" si="31"/>
        <v>#DIV/0!</v>
      </c>
      <c r="O35" s="45" t="e">
        <f t="shared" si="31"/>
        <v>#DIV/0!</v>
      </c>
      <c r="P35" s="45" t="e">
        <f t="shared" si="31"/>
        <v>#DIV/0!</v>
      </c>
      <c r="Q35" s="45" t="e">
        <f t="shared" si="31"/>
        <v>#DIV/0!</v>
      </c>
      <c r="R35" s="45" t="e">
        <f t="shared" si="31"/>
        <v>#DIV/0!</v>
      </c>
      <c r="S35" s="45" t="e">
        <f t="shared" si="31"/>
        <v>#DIV/0!</v>
      </c>
      <c r="T35" s="45" t="e">
        <f t="shared" si="31"/>
        <v>#DIV/0!</v>
      </c>
      <c r="U35" s="45" t="e">
        <f t="shared" si="31"/>
        <v>#DIV/0!</v>
      </c>
      <c r="V35" s="45" t="e">
        <f t="shared" si="31"/>
        <v>#DIV/0!</v>
      </c>
      <c r="W35" s="45" t="e">
        <f t="shared" si="31"/>
        <v>#DIV/0!</v>
      </c>
      <c r="X35" s="45" t="e">
        <f t="shared" si="31"/>
        <v>#DIV/0!</v>
      </c>
      <c r="Y35" s="45" t="e">
        <f t="shared" si="31"/>
        <v>#DIV/0!</v>
      </c>
      <c r="Z35" s="45" t="e">
        <f t="shared" si="31"/>
        <v>#DIV/0!</v>
      </c>
      <c r="AA35" s="45" t="e">
        <f t="shared" si="31"/>
        <v>#DIV/0!</v>
      </c>
      <c r="AB35" s="45" t="e">
        <f t="shared" si="31"/>
        <v>#DIV/0!</v>
      </c>
      <c r="AC35" s="45" t="e">
        <f t="shared" si="31"/>
        <v>#DIV/0!</v>
      </c>
      <c r="AD35" s="45" t="e">
        <f t="shared" si="31"/>
        <v>#DIV/0!</v>
      </c>
      <c r="AE35" s="45" t="e">
        <f t="shared" si="31"/>
        <v>#DIV/0!</v>
      </c>
      <c r="AF35" s="45" t="e">
        <f t="shared" si="31"/>
        <v>#DIV/0!</v>
      </c>
      <c r="AG35" s="45" t="e">
        <f t="shared" si="31"/>
        <v>#DIV/0!</v>
      </c>
      <c r="AH35" s="45" t="e">
        <f t="shared" si="31"/>
        <v>#DIV/0!</v>
      </c>
      <c r="AI35" s="45" t="e">
        <f t="shared" si="31"/>
        <v>#DIV/0!</v>
      </c>
      <c r="AJ35" s="45" t="e">
        <f t="shared" si="31"/>
        <v>#DIV/0!</v>
      </c>
      <c r="AK35" s="45" t="e">
        <f t="shared" si="31"/>
        <v>#DIV/0!</v>
      </c>
      <c r="AL35" s="45" t="e">
        <f t="shared" si="31"/>
        <v>#DIV/0!</v>
      </c>
      <c r="AM35" s="45" t="e">
        <f t="shared" si="31"/>
        <v>#DIV/0!</v>
      </c>
      <c r="AN35" s="45" t="e">
        <f t="shared" si="31"/>
        <v>#DIV/0!</v>
      </c>
      <c r="AO35" s="45" t="e">
        <f t="shared" si="31"/>
        <v>#DIV/0!</v>
      </c>
      <c r="AP35" s="45" t="e">
        <f t="shared" si="31"/>
        <v>#DIV/0!</v>
      </c>
      <c r="AQ35" s="45" t="e">
        <f t="shared" si="31"/>
        <v>#DIV/0!</v>
      </c>
      <c r="AR35" s="45" t="e">
        <f t="shared" si="31"/>
        <v>#DIV/0!</v>
      </c>
      <c r="AS35" s="45" t="e">
        <f t="shared" si="31"/>
        <v>#DIV/0!</v>
      </c>
      <c r="AT35" s="45" t="e">
        <f t="shared" si="31"/>
        <v>#DIV/0!</v>
      </c>
      <c r="AU35" s="45" t="e">
        <f t="shared" si="31"/>
        <v>#DIV/0!</v>
      </c>
      <c r="AV35" s="45" t="e">
        <f t="shared" si="31"/>
        <v>#DIV/0!</v>
      </c>
      <c r="AW35" s="45" t="e">
        <f t="shared" si="31"/>
        <v>#DIV/0!</v>
      </c>
      <c r="AX35" s="46" t="str">
        <f t="shared" si="23"/>
        <v>-</v>
      </c>
      <c r="AY35" s="39"/>
      <c r="AZ35" s="18" t="e">
        <f t="shared" si="1"/>
        <v>#DIV/0!</v>
      </c>
      <c r="BA35" s="19" t="e">
        <f t="shared" si="2"/>
        <v>#DIV/0!</v>
      </c>
      <c r="BB35" s="20" t="e">
        <f t="shared" si="3"/>
        <v>#DIV/0!</v>
      </c>
      <c r="BC35" s="39"/>
      <c r="BD35" s="18" t="e">
        <f t="shared" si="4"/>
        <v>#DIV/0!</v>
      </c>
      <c r="BE35" s="21" t="e">
        <f t="shared" si="5"/>
        <v>#DIV/0!</v>
      </c>
      <c r="BF35" s="21" t="e">
        <f t="shared" si="6"/>
        <v>#DIV/0!</v>
      </c>
      <c r="BG35" s="21" t="e">
        <f t="shared" si="24"/>
        <v>#DIV/0!</v>
      </c>
      <c r="BH35" s="21" t="e">
        <f t="shared" si="7"/>
        <v>#DIV/0!</v>
      </c>
      <c r="BI35" s="20" t="e">
        <f t="shared" si="25"/>
        <v>#DIV/0!</v>
      </c>
      <c r="BJ35" s="39"/>
      <c r="BK35" s="18" t="e">
        <f t="shared" si="8"/>
        <v>#DIV/0!</v>
      </c>
      <c r="BL35" s="21" t="e">
        <f t="shared" si="9"/>
        <v>#DIV/0!</v>
      </c>
      <c r="BM35" s="21" t="e">
        <f t="shared" si="10"/>
        <v>#DIV/0!</v>
      </c>
      <c r="BN35" s="20" t="e">
        <f t="shared" si="11"/>
        <v>#DIV/0!</v>
      </c>
      <c r="BO35" s="39"/>
      <c r="BP35" s="18" t="e">
        <f t="shared" si="12"/>
        <v>#DIV/0!</v>
      </c>
      <c r="BQ35" s="21">
        <v>0</v>
      </c>
      <c r="BR35" s="21" t="e">
        <f t="shared" si="26"/>
        <v>#DIV/0!</v>
      </c>
      <c r="BS35" s="21" t="e">
        <f t="shared" si="27"/>
        <v>#DIV/0!</v>
      </c>
      <c r="BT35" s="20" t="e">
        <f t="shared" si="13"/>
        <v>#DIV/0!</v>
      </c>
      <c r="BU35" s="39"/>
      <c r="BV35" s="30" t="e">
        <f t="shared" si="14"/>
        <v>#DIV/0!</v>
      </c>
      <c r="BW35" s="31" t="e">
        <f t="shared" si="15"/>
        <v>#DIV/0!</v>
      </c>
      <c r="BX35" s="31" t="e">
        <f t="shared" si="16"/>
        <v>#DIV/0!</v>
      </c>
      <c r="BY35" s="31" t="e">
        <f t="shared" si="17"/>
        <v>#DIV/0!</v>
      </c>
      <c r="BZ35" s="31" t="e">
        <f t="shared" si="28"/>
        <v>#DIV/0!</v>
      </c>
      <c r="CA35" s="32" t="e">
        <f t="shared" si="29"/>
        <v>#DIV/0!</v>
      </c>
      <c r="CB35" s="39"/>
      <c r="CC35" s="30" t="str">
        <f t="shared" si="18"/>
        <v>-</v>
      </c>
      <c r="CD35" s="31" t="str">
        <f t="shared" si="19"/>
        <v>-</v>
      </c>
      <c r="CE35" s="31" t="str">
        <f t="shared" si="20"/>
        <v>-</v>
      </c>
      <c r="CF35" s="31" t="str">
        <f t="shared" si="21"/>
        <v>-</v>
      </c>
      <c r="CG35" s="32" t="str">
        <f t="shared" si="22"/>
        <v>-</v>
      </c>
      <c r="CH35" s="39"/>
    </row>
    <row r="36" spans="1:86" s="27" customFormat="1" ht="13.15" customHeight="1" thickBot="1" x14ac:dyDescent="0.25">
      <c r="A36" s="288" t="s">
        <v>69</v>
      </c>
      <c r="B36" s="289"/>
      <c r="C36" s="47">
        <f>SUM(C4:C34)</f>
        <v>0</v>
      </c>
      <c r="D36" s="47">
        <f t="shared" ref="D36:AW36" si="32">SUM(D4:D34)</f>
        <v>0</v>
      </c>
      <c r="E36" s="47">
        <f t="shared" si="32"/>
        <v>0</v>
      </c>
      <c r="F36" s="47">
        <f t="shared" si="32"/>
        <v>0</v>
      </c>
      <c r="G36" s="47">
        <f t="shared" si="32"/>
        <v>0</v>
      </c>
      <c r="H36" s="47">
        <f t="shared" si="32"/>
        <v>0</v>
      </c>
      <c r="I36" s="47">
        <f t="shared" si="32"/>
        <v>0</v>
      </c>
      <c r="J36" s="47">
        <f t="shared" si="32"/>
        <v>0</v>
      </c>
      <c r="K36" s="47">
        <f t="shared" si="32"/>
        <v>0</v>
      </c>
      <c r="L36" s="47">
        <f t="shared" si="32"/>
        <v>0</v>
      </c>
      <c r="M36" s="47">
        <f t="shared" si="32"/>
        <v>0</v>
      </c>
      <c r="N36" s="47">
        <f t="shared" si="32"/>
        <v>0</v>
      </c>
      <c r="O36" s="47">
        <f t="shared" si="32"/>
        <v>0</v>
      </c>
      <c r="P36" s="47">
        <f t="shared" si="32"/>
        <v>0</v>
      </c>
      <c r="Q36" s="47">
        <f t="shared" si="32"/>
        <v>0</v>
      </c>
      <c r="R36" s="47">
        <f t="shared" si="32"/>
        <v>0</v>
      </c>
      <c r="S36" s="47">
        <f t="shared" si="32"/>
        <v>0</v>
      </c>
      <c r="T36" s="47">
        <f t="shared" si="32"/>
        <v>0</v>
      </c>
      <c r="U36" s="47">
        <f t="shared" si="32"/>
        <v>0</v>
      </c>
      <c r="V36" s="47">
        <f t="shared" si="32"/>
        <v>0</v>
      </c>
      <c r="W36" s="47">
        <f t="shared" si="32"/>
        <v>0</v>
      </c>
      <c r="X36" s="47">
        <f t="shared" si="32"/>
        <v>0</v>
      </c>
      <c r="Y36" s="47">
        <f t="shared" si="32"/>
        <v>0</v>
      </c>
      <c r="Z36" s="47">
        <f t="shared" si="32"/>
        <v>0</v>
      </c>
      <c r="AA36" s="47">
        <f t="shared" si="32"/>
        <v>0</v>
      </c>
      <c r="AB36" s="47">
        <f t="shared" si="32"/>
        <v>0</v>
      </c>
      <c r="AC36" s="47">
        <f t="shared" si="32"/>
        <v>0</v>
      </c>
      <c r="AD36" s="47">
        <f t="shared" si="32"/>
        <v>0</v>
      </c>
      <c r="AE36" s="47">
        <f t="shared" si="32"/>
        <v>0</v>
      </c>
      <c r="AF36" s="47">
        <f t="shared" si="32"/>
        <v>0</v>
      </c>
      <c r="AG36" s="47">
        <f t="shared" si="32"/>
        <v>0</v>
      </c>
      <c r="AH36" s="47">
        <f t="shared" si="32"/>
        <v>0</v>
      </c>
      <c r="AI36" s="47">
        <f t="shared" si="32"/>
        <v>0</v>
      </c>
      <c r="AJ36" s="47">
        <f t="shared" si="32"/>
        <v>0</v>
      </c>
      <c r="AK36" s="47">
        <f t="shared" si="32"/>
        <v>0</v>
      </c>
      <c r="AL36" s="47">
        <f t="shared" si="32"/>
        <v>0</v>
      </c>
      <c r="AM36" s="47">
        <f t="shared" si="32"/>
        <v>0</v>
      </c>
      <c r="AN36" s="47">
        <f t="shared" si="32"/>
        <v>0</v>
      </c>
      <c r="AO36" s="47">
        <f t="shared" si="32"/>
        <v>0</v>
      </c>
      <c r="AP36" s="47">
        <f t="shared" si="32"/>
        <v>0</v>
      </c>
      <c r="AQ36" s="47">
        <f t="shared" si="32"/>
        <v>0</v>
      </c>
      <c r="AR36" s="47">
        <f t="shared" si="32"/>
        <v>0</v>
      </c>
      <c r="AS36" s="47">
        <f t="shared" si="32"/>
        <v>0</v>
      </c>
      <c r="AT36" s="47">
        <f t="shared" si="32"/>
        <v>0</v>
      </c>
      <c r="AU36" s="47">
        <f t="shared" si="32"/>
        <v>0</v>
      </c>
      <c r="AV36" s="47">
        <f t="shared" si="32"/>
        <v>0</v>
      </c>
      <c r="AW36" s="47">
        <f t="shared" si="32"/>
        <v>0</v>
      </c>
      <c r="AX36" s="48" t="str">
        <f t="shared" si="23"/>
        <v>-</v>
      </c>
      <c r="AY36" s="40"/>
      <c r="AZ36" s="23" t="str">
        <f t="shared" si="1"/>
        <v/>
      </c>
      <c r="BA36" s="24" t="str">
        <f t="shared" si="2"/>
        <v/>
      </c>
      <c r="BB36" s="25" t="str">
        <f t="shared" si="3"/>
        <v/>
      </c>
      <c r="BC36" s="40"/>
      <c r="BD36" s="23" t="str">
        <f t="shared" si="4"/>
        <v/>
      </c>
      <c r="BE36" s="26" t="str">
        <f t="shared" si="5"/>
        <v/>
      </c>
      <c r="BF36" s="26" t="str">
        <f t="shared" si="6"/>
        <v/>
      </c>
      <c r="BG36" s="26" t="str">
        <f t="shared" si="24"/>
        <v/>
      </c>
      <c r="BH36" s="26" t="str">
        <f t="shared" si="7"/>
        <v/>
      </c>
      <c r="BI36" s="25" t="str">
        <f t="shared" si="25"/>
        <v/>
      </c>
      <c r="BJ36" s="40"/>
      <c r="BK36" s="23" t="str">
        <f t="shared" si="8"/>
        <v/>
      </c>
      <c r="BL36" s="26" t="str">
        <f t="shared" si="9"/>
        <v/>
      </c>
      <c r="BM36" s="26" t="str">
        <f t="shared" si="10"/>
        <v/>
      </c>
      <c r="BN36" s="25" t="str">
        <f t="shared" si="11"/>
        <v/>
      </c>
      <c r="BO36" s="40"/>
      <c r="BP36" s="23" t="str">
        <f t="shared" si="12"/>
        <v/>
      </c>
      <c r="BQ36" s="26">
        <v>0</v>
      </c>
      <c r="BR36" s="26" t="str">
        <f t="shared" si="26"/>
        <v/>
      </c>
      <c r="BS36" s="26" t="str">
        <f t="shared" si="27"/>
        <v/>
      </c>
      <c r="BT36" s="25" t="str">
        <f t="shared" si="13"/>
        <v/>
      </c>
      <c r="BU36" s="40"/>
      <c r="BV36" s="33" t="str">
        <f t="shared" si="14"/>
        <v/>
      </c>
      <c r="BW36" s="34" t="str">
        <f t="shared" si="15"/>
        <v/>
      </c>
      <c r="BX36" s="34" t="str">
        <f t="shared" si="16"/>
        <v/>
      </c>
      <c r="BY36" s="34" t="str">
        <f t="shared" si="17"/>
        <v/>
      </c>
      <c r="BZ36" s="34" t="str">
        <f t="shared" si="28"/>
        <v/>
      </c>
      <c r="CA36" s="35" t="str">
        <f t="shared" si="29"/>
        <v/>
      </c>
      <c r="CB36" s="40"/>
      <c r="CC36" s="33" t="str">
        <f t="shared" si="18"/>
        <v>-</v>
      </c>
      <c r="CD36" s="34" t="str">
        <f t="shared" si="19"/>
        <v>-</v>
      </c>
      <c r="CE36" s="34" t="str">
        <f t="shared" si="20"/>
        <v>-</v>
      </c>
      <c r="CF36" s="34" t="str">
        <f t="shared" si="21"/>
        <v>-</v>
      </c>
      <c r="CG36" s="35" t="str">
        <f t="shared" si="22"/>
        <v>-</v>
      </c>
      <c r="CH36" s="40"/>
    </row>
    <row r="37" spans="1:86" x14ac:dyDescent="0.2"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</sheetData>
  <mergeCells count="88"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topLeftCell="B1" workbookViewId="0">
      <selection activeCell="B4" sqref="B4"/>
    </sheetView>
  </sheetViews>
  <sheetFormatPr defaultColWidth="0" defaultRowHeight="11.25" x14ac:dyDescent="0.2"/>
  <cols>
    <col min="1" max="1" width="9.42578125" style="36" bestFit="1" customWidth="1"/>
    <col min="2" max="2" width="4.5703125" style="36" customWidth="1"/>
    <col min="3" max="3" width="15.42578125" style="36" bestFit="1" customWidth="1"/>
    <col min="4" max="4" width="18.7109375" style="36" bestFit="1" customWidth="1"/>
    <col min="5" max="5" width="19.85546875" style="36" bestFit="1" customWidth="1"/>
    <col min="6" max="6" width="15.85546875" style="36" bestFit="1" customWidth="1"/>
    <col min="7" max="7" width="8.42578125" style="36" bestFit="1" customWidth="1"/>
    <col min="8" max="8" width="18.42578125" style="36" bestFit="1" customWidth="1"/>
    <col min="9" max="9" width="8.85546875" style="36" bestFit="1" customWidth="1"/>
    <col min="10" max="10" width="9.42578125" style="36" customWidth="1"/>
    <col min="11" max="11" width="10.85546875" style="36" bestFit="1" customWidth="1"/>
    <col min="12" max="20" width="8.42578125" style="36" bestFit="1" customWidth="1"/>
    <col min="21" max="21" width="5.85546875" style="36" bestFit="1" customWidth="1"/>
    <col min="22" max="34" width="8.42578125" style="36" bestFit="1" customWidth="1"/>
    <col min="35" max="35" width="13.140625" style="36" bestFit="1" customWidth="1"/>
    <col min="36" max="36" width="15.5703125" style="36" bestFit="1" customWidth="1"/>
    <col min="37" max="37" width="16.140625" style="36" bestFit="1" customWidth="1"/>
    <col min="38" max="38" width="15.28515625" style="36" bestFit="1" customWidth="1"/>
    <col min="39" max="39" width="15.7109375" style="36" bestFit="1" customWidth="1"/>
    <col min="40" max="40" width="16.140625" style="36" bestFit="1" customWidth="1"/>
    <col min="41" max="41" width="9.85546875" style="36" bestFit="1" customWidth="1"/>
    <col min="42" max="42" width="13.7109375" style="36" bestFit="1" customWidth="1"/>
    <col min="43" max="43" width="11" style="36" bestFit="1" customWidth="1"/>
    <col min="44" max="44" width="10.140625" style="36" bestFit="1" customWidth="1"/>
    <col min="45" max="45" width="12.42578125" style="38" bestFit="1" customWidth="1"/>
    <col min="46" max="46" width="8.42578125" style="36" bestFit="1" customWidth="1"/>
    <col min="47" max="47" width="10.7109375" style="36" customWidth="1"/>
    <col min="48" max="48" width="16.140625" style="36" bestFit="1" customWidth="1"/>
    <col min="49" max="50" width="16" style="36" bestFit="1" customWidth="1"/>
    <col min="51" max="51" width="2.28515625" style="36" customWidth="1"/>
    <col min="52" max="52" width="16.28515625" style="36" bestFit="1" customWidth="1"/>
    <col min="53" max="53" width="11.85546875" style="36" bestFit="1" customWidth="1"/>
    <col min="54" max="54" width="12.7109375" style="36" bestFit="1" customWidth="1"/>
    <col min="55" max="55" width="1.5703125" style="36" customWidth="1"/>
    <col min="56" max="56" width="12.5703125" style="36" bestFit="1" customWidth="1"/>
    <col min="57" max="57" width="13.28515625" style="36" bestFit="1" customWidth="1"/>
    <col min="58" max="58" width="20.28515625" style="36" bestFit="1" customWidth="1"/>
    <col min="59" max="59" width="9.42578125" style="36" bestFit="1" customWidth="1"/>
    <col min="60" max="60" width="14.7109375" style="36" bestFit="1" customWidth="1"/>
    <col min="61" max="61" width="10.5703125" style="36" bestFit="1" customWidth="1"/>
    <col min="62" max="62" width="1.85546875" style="36" customWidth="1"/>
    <col min="63" max="63" width="20.140625" style="36" bestFit="1" customWidth="1"/>
    <col min="64" max="64" width="25.28515625" style="36" bestFit="1" customWidth="1"/>
    <col min="65" max="65" width="14" style="36" bestFit="1" customWidth="1"/>
    <col min="66" max="66" width="18" style="36" bestFit="1" customWidth="1"/>
    <col min="67" max="67" width="2.140625" style="36" customWidth="1"/>
    <col min="68" max="68" width="9.140625" style="36" bestFit="1" customWidth="1"/>
    <col min="69" max="69" width="12.85546875" style="36" bestFit="1" customWidth="1"/>
    <col min="70" max="70" width="14" style="36" bestFit="1" customWidth="1"/>
    <col min="71" max="71" width="13.7109375" style="36" bestFit="1" customWidth="1"/>
    <col min="72" max="72" width="7.85546875" style="36" bestFit="1" customWidth="1"/>
    <col min="73" max="73" width="2.140625" style="36" customWidth="1"/>
    <col min="74" max="74" width="18.42578125" style="36" bestFit="1" customWidth="1"/>
    <col min="75" max="75" width="14.42578125" style="36" bestFit="1" customWidth="1"/>
    <col min="76" max="76" width="18.42578125" style="36" bestFit="1" customWidth="1"/>
    <col min="77" max="77" width="18.85546875" style="36" bestFit="1" customWidth="1"/>
    <col min="78" max="78" width="18" style="36" bestFit="1" customWidth="1"/>
    <col min="79" max="79" width="18.5703125" style="36" bestFit="1" customWidth="1"/>
    <col min="80" max="80" width="1.85546875" style="36" customWidth="1"/>
    <col min="81" max="81" width="7.5703125" style="36" bestFit="1" customWidth="1"/>
    <col min="82" max="82" width="5" style="36" bestFit="1" customWidth="1"/>
    <col min="83" max="83" width="5.85546875" style="36" bestFit="1" customWidth="1"/>
    <col min="84" max="84" width="4.7109375" style="36" bestFit="1" customWidth="1"/>
    <col min="85" max="85" width="8.42578125" style="36" bestFit="1" customWidth="1"/>
    <col min="86" max="103" width="0" style="36" hidden="1" customWidth="1"/>
    <col min="104" max="16384" width="10.7109375" style="36" hidden="1"/>
  </cols>
  <sheetData>
    <row r="1" spans="1:95" s="27" customFormat="1" ht="13.15" customHeight="1" thickBot="1" x14ac:dyDescent="0.25">
      <c r="A1" s="269" t="s">
        <v>0</v>
      </c>
      <c r="B1" s="270"/>
      <c r="C1" s="9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2"/>
      <c r="AY1" s="39"/>
      <c r="AZ1" s="271" t="s">
        <v>1</v>
      </c>
      <c r="BA1" s="272"/>
      <c r="BB1" s="273"/>
      <c r="BC1" s="39"/>
      <c r="BD1" s="256" t="s">
        <v>2</v>
      </c>
      <c r="BE1" s="257"/>
      <c r="BF1" s="257"/>
      <c r="BG1" s="257"/>
      <c r="BH1" s="257"/>
      <c r="BI1" s="258"/>
      <c r="BJ1" s="39"/>
      <c r="BK1" s="256" t="s">
        <v>3</v>
      </c>
      <c r="BL1" s="257"/>
      <c r="BM1" s="257"/>
      <c r="BN1" s="258"/>
      <c r="BO1" s="39"/>
      <c r="BP1" s="256" t="s">
        <v>4</v>
      </c>
      <c r="BQ1" s="257"/>
      <c r="BR1" s="257"/>
      <c r="BS1" s="257"/>
      <c r="BT1" s="258"/>
      <c r="BU1" s="39"/>
      <c r="BV1" s="256" t="s">
        <v>5</v>
      </c>
      <c r="BW1" s="257"/>
      <c r="BX1" s="257"/>
      <c r="BY1" s="257"/>
      <c r="BZ1" s="257"/>
      <c r="CA1" s="258"/>
      <c r="CB1" s="39"/>
      <c r="CC1" s="256" t="s">
        <v>6</v>
      </c>
      <c r="CD1" s="257"/>
      <c r="CE1" s="257"/>
      <c r="CF1" s="257"/>
      <c r="CG1" s="258"/>
      <c r="CH1" s="39"/>
    </row>
    <row r="2" spans="1:95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87</v>
      </c>
      <c r="V2" s="259" t="s">
        <v>78</v>
      </c>
      <c r="W2" s="259" t="s">
        <v>24</v>
      </c>
      <c r="X2" s="259" t="s">
        <v>85</v>
      </c>
      <c r="Y2" s="259" t="s">
        <v>25</v>
      </c>
      <c r="Z2" s="259" t="s">
        <v>70</v>
      </c>
      <c r="AA2" s="259" t="s">
        <v>79</v>
      </c>
      <c r="AB2" s="259" t="s">
        <v>76</v>
      </c>
      <c r="AC2" s="259" t="s">
        <v>77</v>
      </c>
      <c r="AD2" s="259" t="s">
        <v>80</v>
      </c>
      <c r="AE2" s="259" t="s">
        <v>75</v>
      </c>
      <c r="AF2" s="259" t="s">
        <v>74</v>
      </c>
      <c r="AG2" s="259" t="s">
        <v>72</v>
      </c>
      <c r="AH2" s="259" t="s">
        <v>73</v>
      </c>
      <c r="AI2" s="259" t="s">
        <v>26</v>
      </c>
      <c r="AJ2" s="259" t="s">
        <v>27</v>
      </c>
      <c r="AK2" s="259" t="s">
        <v>28</v>
      </c>
      <c r="AL2" s="276" t="s">
        <v>29</v>
      </c>
      <c r="AM2" s="276" t="s">
        <v>30</v>
      </c>
      <c r="AN2" s="286" t="s">
        <v>31</v>
      </c>
      <c r="AO2" s="286" t="s">
        <v>32</v>
      </c>
      <c r="AP2" s="286" t="s">
        <v>33</v>
      </c>
      <c r="AQ2" s="286" t="s">
        <v>34</v>
      </c>
      <c r="AR2" s="286" t="s">
        <v>35</v>
      </c>
      <c r="AS2" s="286" t="s">
        <v>36</v>
      </c>
      <c r="AT2" s="315" t="s">
        <v>37</v>
      </c>
      <c r="AU2" s="278" t="s">
        <v>82</v>
      </c>
      <c r="AV2" s="278" t="s">
        <v>81</v>
      </c>
      <c r="AW2" s="280" t="s">
        <v>38</v>
      </c>
      <c r="AX2" s="282" t="s">
        <v>39</v>
      </c>
      <c r="AY2" s="39"/>
      <c r="AZ2" s="284" t="s">
        <v>40</v>
      </c>
      <c r="BA2" s="311" t="s">
        <v>41</v>
      </c>
      <c r="BB2" s="313" t="s">
        <v>42</v>
      </c>
      <c r="BC2" s="39"/>
      <c r="BD2" s="292" t="s">
        <v>43</v>
      </c>
      <c r="BE2" s="294" t="s">
        <v>44</v>
      </c>
      <c r="BF2" s="294" t="s">
        <v>45</v>
      </c>
      <c r="BG2" s="294" t="s">
        <v>46</v>
      </c>
      <c r="BH2" s="294" t="s">
        <v>47</v>
      </c>
      <c r="BI2" s="298" t="s">
        <v>48</v>
      </c>
      <c r="BJ2" s="39"/>
      <c r="BK2" s="302" t="s">
        <v>49</v>
      </c>
      <c r="BL2" s="303" t="s">
        <v>50</v>
      </c>
      <c r="BM2" s="303" t="s">
        <v>51</v>
      </c>
      <c r="BN2" s="310" t="s">
        <v>52</v>
      </c>
      <c r="BO2" s="39"/>
      <c r="BP2" s="292" t="s">
        <v>53</v>
      </c>
      <c r="BQ2" s="294" t="s">
        <v>54</v>
      </c>
      <c r="BR2" s="296" t="s">
        <v>67</v>
      </c>
      <c r="BS2" s="294" t="s">
        <v>55</v>
      </c>
      <c r="BT2" s="298" t="s">
        <v>86</v>
      </c>
      <c r="BU2" s="39"/>
      <c r="BV2" s="300" t="s">
        <v>56</v>
      </c>
      <c r="BW2" s="290" t="s">
        <v>57</v>
      </c>
      <c r="BX2" s="290" t="s">
        <v>58</v>
      </c>
      <c r="BY2" s="259" t="s">
        <v>59</v>
      </c>
      <c r="BZ2" s="290" t="s">
        <v>60</v>
      </c>
      <c r="CA2" s="306" t="s">
        <v>61</v>
      </c>
      <c r="CB2" s="39"/>
      <c r="CC2" s="308" t="s">
        <v>62</v>
      </c>
      <c r="CD2" s="296" t="s">
        <v>63</v>
      </c>
      <c r="CE2" s="296" t="s">
        <v>64</v>
      </c>
      <c r="CF2" s="296" t="s">
        <v>65</v>
      </c>
      <c r="CG2" s="304" t="s">
        <v>66</v>
      </c>
      <c r="CH2" s="39"/>
    </row>
    <row r="3" spans="1:95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77"/>
      <c r="AM3" s="277"/>
      <c r="AN3" s="287"/>
      <c r="AO3" s="287"/>
      <c r="AP3" s="287"/>
      <c r="AQ3" s="287"/>
      <c r="AR3" s="287"/>
      <c r="AS3" s="287"/>
      <c r="AT3" s="316"/>
      <c r="AU3" s="279"/>
      <c r="AV3" s="279"/>
      <c r="AW3" s="281"/>
      <c r="AX3" s="283" t="s">
        <v>38</v>
      </c>
      <c r="AY3" s="39"/>
      <c r="AZ3" s="285"/>
      <c r="BA3" s="312"/>
      <c r="BB3" s="314"/>
      <c r="BC3" s="39"/>
      <c r="BD3" s="293"/>
      <c r="BE3" s="295"/>
      <c r="BF3" s="295"/>
      <c r="BG3" s="295"/>
      <c r="BH3" s="295"/>
      <c r="BI3" s="299"/>
      <c r="BJ3" s="39"/>
      <c r="BK3" s="293"/>
      <c r="BL3" s="295"/>
      <c r="BM3" s="295"/>
      <c r="BN3" s="299"/>
      <c r="BO3" s="39"/>
      <c r="BP3" s="293"/>
      <c r="BQ3" s="295"/>
      <c r="BR3" s="297"/>
      <c r="BS3" s="295"/>
      <c r="BT3" s="299"/>
      <c r="BU3" s="39"/>
      <c r="BV3" s="301"/>
      <c r="BW3" s="291"/>
      <c r="BX3" s="291"/>
      <c r="BY3" s="260"/>
      <c r="BZ3" s="291"/>
      <c r="CA3" s="307"/>
      <c r="CB3" s="39"/>
      <c r="CC3" s="309"/>
      <c r="CD3" s="297"/>
      <c r="CE3" s="297"/>
      <c r="CF3" s="297"/>
      <c r="CG3" s="305"/>
      <c r="CH3" s="39"/>
    </row>
    <row r="4" spans="1:95" s="27" customFormat="1" ht="12.4" customHeight="1" thickBot="1" x14ac:dyDescent="0.25">
      <c r="A4" s="43">
        <f>EL_DEL_CD2_JO_!A4</f>
        <v>46296</v>
      </c>
      <c r="B4" s="44" t="str">
        <f t="shared" ref="B4:B30" si="0">+TEXT(A4,"DDD")</f>
        <v>Thu</v>
      </c>
      <c r="C4" s="2"/>
      <c r="D4" s="2"/>
      <c r="E4" s="3"/>
      <c r="F4" s="2"/>
      <c r="G4" s="2"/>
      <c r="H4" s="4"/>
      <c r="I4" s="4"/>
      <c r="J4" s="86"/>
      <c r="K4" s="5"/>
      <c r="L4" s="2"/>
      <c r="M4" s="2"/>
      <c r="N4" s="2"/>
      <c r="O4" s="2"/>
      <c r="P4" s="3"/>
      <c r="Q4" s="2"/>
      <c r="R4" s="2"/>
      <c r="S4" s="2"/>
      <c r="T4" s="2"/>
      <c r="U4" s="2"/>
      <c r="V4" s="3"/>
      <c r="W4" s="3"/>
      <c r="X4" s="2"/>
      <c r="Y4" s="2"/>
      <c r="Z4" s="2"/>
      <c r="AA4" s="2"/>
      <c r="AB4" s="2"/>
      <c r="AC4" s="2"/>
      <c r="AD4" s="2"/>
      <c r="AE4" s="2"/>
      <c r="AF4" s="3"/>
      <c r="AG4" s="3"/>
      <c r="AH4" s="2"/>
      <c r="AI4" s="6"/>
      <c r="AJ4" s="7"/>
      <c r="AK4" s="6"/>
      <c r="AL4" s="59"/>
      <c r="AM4" s="59"/>
      <c r="AN4" s="59"/>
      <c r="AO4" s="59"/>
      <c r="AP4" s="59"/>
      <c r="AQ4" s="59"/>
      <c r="AR4" s="59"/>
      <c r="AS4" s="59"/>
      <c r="AT4" s="8"/>
      <c r="AU4" s="8"/>
      <c r="AV4" s="9"/>
      <c r="AW4" s="8"/>
      <c r="AX4" s="2"/>
      <c r="AY4" s="3"/>
      <c r="AZ4" s="2"/>
      <c r="BA4" s="2"/>
      <c r="BB4" s="4"/>
      <c r="BC4" s="4"/>
      <c r="BD4" s="86"/>
      <c r="BE4" s="5"/>
      <c r="BF4" s="2"/>
      <c r="BG4" s="2"/>
      <c r="BH4" s="2"/>
      <c r="BI4" s="2"/>
      <c r="BJ4" s="3"/>
      <c r="BK4" s="2"/>
      <c r="BL4" s="2"/>
      <c r="BM4" s="2"/>
      <c r="BN4" s="2"/>
      <c r="BO4" s="2"/>
      <c r="BP4" s="3"/>
      <c r="BQ4" s="3"/>
      <c r="BR4" s="2"/>
      <c r="BS4" s="2"/>
      <c r="BT4" s="2"/>
      <c r="BU4" s="2"/>
      <c r="BV4" s="2"/>
      <c r="BW4" s="2"/>
      <c r="BX4" s="2"/>
      <c r="BY4" s="2"/>
      <c r="BZ4" s="3"/>
      <c r="CA4" s="3"/>
      <c r="CB4" s="2"/>
      <c r="CC4" s="6"/>
      <c r="CD4" s="7"/>
      <c r="CE4" s="6"/>
      <c r="CF4" s="59"/>
      <c r="CG4" s="59"/>
      <c r="CH4" s="59"/>
      <c r="CI4" s="59"/>
      <c r="CJ4" s="59"/>
      <c r="CK4" s="59"/>
      <c r="CL4" s="59"/>
      <c r="CM4" s="59"/>
      <c r="CN4" s="8"/>
      <c r="CO4" s="8"/>
      <c r="CP4" s="9"/>
      <c r="CQ4" s="8"/>
    </row>
    <row r="5" spans="1:95" s="27" customFormat="1" ht="12.4" customHeight="1" thickBot="1" x14ac:dyDescent="0.25">
      <c r="A5" s="43">
        <f>A4+1</f>
        <v>46297</v>
      </c>
      <c r="B5" s="44" t="str">
        <f t="shared" si="0"/>
        <v>Fri</v>
      </c>
      <c r="C5" s="2"/>
      <c r="D5" s="2"/>
      <c r="E5" s="3"/>
      <c r="F5" s="2"/>
      <c r="G5" s="2"/>
      <c r="H5" s="4"/>
      <c r="I5" s="4"/>
      <c r="J5" s="86"/>
      <c r="K5" s="5"/>
      <c r="L5" s="2"/>
      <c r="M5" s="2"/>
      <c r="N5" s="2"/>
      <c r="O5" s="2"/>
      <c r="P5" s="3"/>
      <c r="Q5" s="2"/>
      <c r="R5" s="2"/>
      <c r="S5" s="2"/>
      <c r="T5" s="2"/>
      <c r="U5" s="2"/>
      <c r="V5" s="3"/>
      <c r="W5" s="3"/>
      <c r="X5" s="2"/>
      <c r="Y5" s="2"/>
      <c r="Z5" s="2"/>
      <c r="AA5" s="2"/>
      <c r="AB5" s="2"/>
      <c r="AC5" s="2"/>
      <c r="AD5" s="2"/>
      <c r="AE5" s="2"/>
      <c r="AF5" s="3"/>
      <c r="AG5" s="3"/>
      <c r="AH5" s="2"/>
      <c r="AI5" s="6"/>
      <c r="AJ5" s="7"/>
      <c r="AK5" s="6"/>
      <c r="AL5" s="59"/>
      <c r="AM5" s="59"/>
      <c r="AN5" s="59"/>
      <c r="AO5" s="59"/>
      <c r="AP5" s="59"/>
      <c r="AQ5" s="59"/>
      <c r="AR5" s="59"/>
      <c r="AS5" s="59"/>
      <c r="AT5" s="8"/>
      <c r="AU5" s="8"/>
      <c r="AV5" s="9"/>
      <c r="AW5" s="8"/>
      <c r="AX5" s="10" t="str">
        <f t="shared" ref="AX5:AX36" si="1">IFERROR(AN5/AW5,"-")</f>
        <v>-</v>
      </c>
      <c r="AY5" s="39"/>
      <c r="AZ5" s="1" t="str">
        <f t="shared" ref="AZ5:AZ36" si="2">IF(E5&gt;0,F5/E5,"")</f>
        <v/>
      </c>
      <c r="BA5" s="11" t="str">
        <f t="shared" ref="BA5:BA36" si="3">+IF(E5&gt;0,G5/E5,"")</f>
        <v/>
      </c>
      <c r="BB5" s="1" t="str">
        <f t="shared" ref="BB5:BB36" si="4">+IF(E5&gt;0,AJ5/E5,"")</f>
        <v/>
      </c>
      <c r="BC5" s="39"/>
      <c r="BD5" s="53" t="str">
        <f t="shared" ref="BD5:BD36" si="5">+IF(G5&gt;0,I5/G5,"")</f>
        <v/>
      </c>
      <c r="BE5" s="12" t="str">
        <f t="shared" ref="BE5:BE36" si="6">+IF(G5&gt;0,J5/G5,"")</f>
        <v/>
      </c>
      <c r="BF5" s="12" t="str">
        <f t="shared" ref="BF5:BF36" si="7">+IF(I5&gt;0,L5/I5,"")</f>
        <v/>
      </c>
      <c r="BG5" s="12" t="str">
        <f t="shared" ref="BG5:BG36" si="8">+IF(SUM(AO5:AR5)&gt;0,AO5/AN5,"")</f>
        <v/>
      </c>
      <c r="BH5" s="12" t="str">
        <f t="shared" ref="BH5:BH36" si="9">+IF(G5&gt;0,K5/G5,"")</f>
        <v/>
      </c>
      <c r="BI5" s="54" t="str">
        <f t="shared" ref="BI5:BI36" si="10">+IF(SUM(AO5:AR5)&gt;0,AQ5/AN5,"")</f>
        <v/>
      </c>
      <c r="BJ5" s="39"/>
      <c r="BK5" s="55" t="str">
        <f t="shared" ref="BK5:BK36" si="11">+IF(E5&gt;0,(AJ5/E5),"")</f>
        <v/>
      </c>
      <c r="BL5" s="13" t="str">
        <f t="shared" ref="BL5:BL36" si="12">+IF(E5&gt;0,(AJ5/F5),"")</f>
        <v/>
      </c>
      <c r="BM5" s="13" t="str">
        <f t="shared" ref="BM5:BM36" si="13">+IF(E5&gt;0,(AJ5/G5),"")</f>
        <v/>
      </c>
      <c r="BN5" s="56" t="str">
        <f t="shared" ref="BN5:BN36" si="14">+IF(E5&gt;0,(AJ5/J5),"")</f>
        <v/>
      </c>
      <c r="BO5" s="39"/>
      <c r="BP5" s="14" t="str">
        <f t="shared" ref="BP5:BP36" si="15">IF(AJ5&gt;0,(N5/AJ5),"")</f>
        <v/>
      </c>
      <c r="BQ5" s="15">
        <v>0</v>
      </c>
      <c r="BR5" s="15" t="str">
        <f t="shared" ref="BR5:BR36" si="16">IF(AJ5&gt;0,(AK5/AJ5),"")</f>
        <v/>
      </c>
      <c r="BS5" s="15" t="str">
        <f t="shared" ref="BS5:BS36" si="17">IF(AJ5&gt;0,(AK5/AJ5),"")</f>
        <v/>
      </c>
      <c r="BT5" s="16" t="str">
        <f t="shared" ref="BT5:BT36" si="18">IF(J5&gt;0,AD5/J5,"")</f>
        <v/>
      </c>
      <c r="BU5" s="39"/>
      <c r="BV5" s="51" t="str">
        <f t="shared" ref="BV5:BV36" si="19">IF(AN5&gt;0,(E5/AN5),"")</f>
        <v/>
      </c>
      <c r="BW5" s="28" t="str">
        <f t="shared" ref="BW5:BW36" si="20">IF(AN5&gt;0,(G5/AN5),"")</f>
        <v/>
      </c>
      <c r="BX5" s="28" t="str">
        <f t="shared" ref="BX5:BX36" si="21">IF(AN5&gt;0,(J5/AN5),"")</f>
        <v/>
      </c>
      <c r="BY5" s="28" t="str">
        <f t="shared" ref="BY5:BY36" si="22">IF(AN5&gt;0,(K5/AN5),"")</f>
        <v/>
      </c>
      <c r="BZ5" s="28" t="str">
        <f t="shared" ref="BZ5:BZ36" si="23">IF(AN5&gt;0,(AJ5/AN5),"")</f>
        <v/>
      </c>
      <c r="CA5" s="52" t="str">
        <f t="shared" ref="CA5:CA36" si="24">IF(AN5&gt;0,(AK5/AN5),"")</f>
        <v/>
      </c>
      <c r="CB5" s="39"/>
      <c r="CC5" s="49" t="str">
        <f t="shared" ref="CC5:CC36" si="25">IFERROR(((AN5-AO5)*3600)/J5,"-")</f>
        <v>-</v>
      </c>
      <c r="CD5" s="29" t="str">
        <f t="shared" ref="CD5:CD36" si="26">IFERROR((AR5*3600)/J5,"-")</f>
        <v>-</v>
      </c>
      <c r="CE5" s="29" t="str">
        <f t="shared" ref="CE5:CE36" si="27">IFERROR((AQ5*3600)/J5,"-")</f>
        <v>-</v>
      </c>
      <c r="CF5" s="29" t="str">
        <f t="shared" ref="CF5:CF36" si="28">IFERROR((AO5*3600)/J5,"-")</f>
        <v>-</v>
      </c>
      <c r="CG5" s="50" t="str">
        <f t="shared" ref="CG5:CG36" si="29">IFERROR((AP5*3600)/J5,"-")</f>
        <v>-</v>
      </c>
      <c r="CH5" s="39"/>
    </row>
    <row r="6" spans="1:95" s="27" customFormat="1" ht="12.4" customHeight="1" thickBot="1" x14ac:dyDescent="0.25">
      <c r="A6" s="43">
        <f t="shared" ref="A6:A34" si="30">A5+1</f>
        <v>46298</v>
      </c>
      <c r="B6" s="44" t="str">
        <f t="shared" si="0"/>
        <v>Sat</v>
      </c>
      <c r="C6" s="2"/>
      <c r="D6" s="2"/>
      <c r="E6" s="3"/>
      <c r="F6" s="2"/>
      <c r="G6" s="2"/>
      <c r="H6" s="4"/>
      <c r="I6" s="4"/>
      <c r="J6" s="86"/>
      <c r="K6" s="5"/>
      <c r="L6" s="2"/>
      <c r="M6" s="2"/>
      <c r="N6" s="2"/>
      <c r="O6" s="2"/>
      <c r="P6" s="3"/>
      <c r="Q6" s="2"/>
      <c r="R6" s="2"/>
      <c r="S6" s="2"/>
      <c r="T6" s="2"/>
      <c r="U6" s="2"/>
      <c r="V6" s="3"/>
      <c r="W6" s="3"/>
      <c r="X6" s="2"/>
      <c r="Y6" s="2"/>
      <c r="Z6" s="2"/>
      <c r="AA6" s="2"/>
      <c r="AB6" s="2"/>
      <c r="AC6" s="2"/>
      <c r="AD6" s="2"/>
      <c r="AE6" s="2"/>
      <c r="AF6" s="3"/>
      <c r="AG6" s="3"/>
      <c r="AH6" s="2"/>
      <c r="AI6" s="6"/>
      <c r="AJ6" s="7"/>
      <c r="AK6" s="6"/>
      <c r="AL6" s="59"/>
      <c r="AM6" s="59"/>
      <c r="AN6" s="59"/>
      <c r="AO6" s="59"/>
      <c r="AP6" s="59"/>
      <c r="AQ6" s="59"/>
      <c r="AR6" s="59"/>
      <c r="AS6" s="59"/>
      <c r="AT6" s="8"/>
      <c r="AU6" s="8"/>
      <c r="AV6" s="9"/>
      <c r="AW6" s="8"/>
      <c r="AX6" s="10" t="str">
        <f t="shared" si="1"/>
        <v>-</v>
      </c>
      <c r="AY6" s="39"/>
      <c r="AZ6" s="1" t="str">
        <f t="shared" si="2"/>
        <v/>
      </c>
      <c r="BA6" s="11" t="str">
        <f t="shared" si="3"/>
        <v/>
      </c>
      <c r="BB6" s="1" t="str">
        <f t="shared" si="4"/>
        <v/>
      </c>
      <c r="BC6" s="39"/>
      <c r="BD6" s="53" t="str">
        <f t="shared" si="5"/>
        <v/>
      </c>
      <c r="BE6" s="12" t="str">
        <f t="shared" si="6"/>
        <v/>
      </c>
      <c r="BF6" s="12" t="str">
        <f t="shared" si="7"/>
        <v/>
      </c>
      <c r="BG6" s="12" t="str">
        <f t="shared" si="8"/>
        <v/>
      </c>
      <c r="BH6" s="12" t="str">
        <f t="shared" si="9"/>
        <v/>
      </c>
      <c r="BI6" s="54" t="str">
        <f t="shared" si="10"/>
        <v/>
      </c>
      <c r="BJ6" s="39"/>
      <c r="BK6" s="55" t="str">
        <f t="shared" si="11"/>
        <v/>
      </c>
      <c r="BL6" s="13" t="str">
        <f t="shared" si="12"/>
        <v/>
      </c>
      <c r="BM6" s="13" t="str">
        <f t="shared" si="13"/>
        <v/>
      </c>
      <c r="BN6" s="56" t="str">
        <f t="shared" si="14"/>
        <v/>
      </c>
      <c r="BO6" s="39"/>
      <c r="BP6" s="14" t="str">
        <f t="shared" si="15"/>
        <v/>
      </c>
      <c r="BQ6" s="15">
        <v>0</v>
      </c>
      <c r="BR6" s="15" t="str">
        <f t="shared" si="16"/>
        <v/>
      </c>
      <c r="BS6" s="15" t="str">
        <f t="shared" si="17"/>
        <v/>
      </c>
      <c r="BT6" s="16" t="str">
        <f t="shared" si="18"/>
        <v/>
      </c>
      <c r="BU6" s="39"/>
      <c r="BV6" s="51" t="str">
        <f t="shared" si="19"/>
        <v/>
      </c>
      <c r="BW6" s="28" t="str">
        <f t="shared" si="20"/>
        <v/>
      </c>
      <c r="BX6" s="28" t="str">
        <f t="shared" si="21"/>
        <v/>
      </c>
      <c r="BY6" s="28" t="str">
        <f t="shared" si="22"/>
        <v/>
      </c>
      <c r="BZ6" s="28" t="str">
        <f t="shared" si="23"/>
        <v/>
      </c>
      <c r="CA6" s="52" t="str">
        <f t="shared" si="24"/>
        <v/>
      </c>
      <c r="CB6" s="39"/>
      <c r="CC6" s="49" t="str">
        <f t="shared" si="25"/>
        <v>-</v>
      </c>
      <c r="CD6" s="29" t="str">
        <f t="shared" si="26"/>
        <v>-</v>
      </c>
      <c r="CE6" s="29" t="str">
        <f t="shared" si="27"/>
        <v>-</v>
      </c>
      <c r="CF6" s="29" t="str">
        <f t="shared" si="28"/>
        <v>-</v>
      </c>
      <c r="CG6" s="50" t="str">
        <f t="shared" si="29"/>
        <v>-</v>
      </c>
      <c r="CH6" s="39"/>
    </row>
    <row r="7" spans="1:95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2"/>
      <c r="D7" s="2"/>
      <c r="E7" s="3"/>
      <c r="F7" s="2"/>
      <c r="G7" s="2"/>
      <c r="H7" s="4"/>
      <c r="I7" s="4"/>
      <c r="J7" s="86"/>
      <c r="K7" s="5"/>
      <c r="L7" s="2"/>
      <c r="M7" s="2"/>
      <c r="N7" s="2"/>
      <c r="O7" s="2"/>
      <c r="P7" s="3"/>
      <c r="Q7" s="2"/>
      <c r="R7" s="2"/>
      <c r="S7" s="2"/>
      <c r="T7" s="2"/>
      <c r="U7" s="2"/>
      <c r="V7" s="3"/>
      <c r="W7" s="3"/>
      <c r="X7" s="2"/>
      <c r="Y7" s="2"/>
      <c r="Z7" s="2"/>
      <c r="AA7" s="2"/>
      <c r="AB7" s="2"/>
      <c r="AC7" s="2"/>
      <c r="AD7" s="2"/>
      <c r="AE7" s="2"/>
      <c r="AF7" s="3"/>
      <c r="AG7" s="3"/>
      <c r="AH7" s="2"/>
      <c r="AI7" s="6"/>
      <c r="AJ7" s="7"/>
      <c r="AK7" s="6"/>
      <c r="AL7" s="59"/>
      <c r="AM7" s="59"/>
      <c r="AN7" s="59"/>
      <c r="AO7" s="59"/>
      <c r="AP7" s="59"/>
      <c r="AQ7" s="59"/>
      <c r="AR7" s="59"/>
      <c r="AS7" s="59"/>
      <c r="AT7" s="8"/>
      <c r="AU7" s="8"/>
      <c r="AV7" s="9"/>
      <c r="AW7" s="8"/>
      <c r="AX7" s="10" t="str">
        <f t="shared" si="1"/>
        <v>-</v>
      </c>
      <c r="AY7" s="39"/>
      <c r="AZ7" s="1" t="str">
        <f t="shared" si="2"/>
        <v/>
      </c>
      <c r="BA7" s="11" t="str">
        <f t="shared" si="3"/>
        <v/>
      </c>
      <c r="BB7" s="1" t="str">
        <f t="shared" si="4"/>
        <v/>
      </c>
      <c r="BC7" s="39"/>
      <c r="BD7" s="53" t="str">
        <f t="shared" si="5"/>
        <v/>
      </c>
      <c r="BE7" s="12" t="str">
        <f t="shared" si="6"/>
        <v/>
      </c>
      <c r="BF7" s="12" t="str">
        <f t="shared" si="7"/>
        <v/>
      </c>
      <c r="BG7" s="12" t="str">
        <f t="shared" si="8"/>
        <v/>
      </c>
      <c r="BH7" s="12" t="str">
        <f t="shared" si="9"/>
        <v/>
      </c>
      <c r="BI7" s="54" t="str">
        <f t="shared" si="10"/>
        <v/>
      </c>
      <c r="BJ7" s="39"/>
      <c r="BK7" s="55" t="str">
        <f t="shared" si="11"/>
        <v/>
      </c>
      <c r="BL7" s="13" t="str">
        <f t="shared" si="12"/>
        <v/>
      </c>
      <c r="BM7" s="13" t="str">
        <f t="shared" si="13"/>
        <v/>
      </c>
      <c r="BN7" s="56" t="str">
        <f t="shared" si="14"/>
        <v/>
      </c>
      <c r="BO7" s="39"/>
      <c r="BP7" s="14" t="str">
        <f t="shared" si="15"/>
        <v/>
      </c>
      <c r="BQ7" s="15">
        <v>0</v>
      </c>
      <c r="BR7" s="15" t="str">
        <f t="shared" si="16"/>
        <v/>
      </c>
      <c r="BS7" s="15" t="str">
        <f t="shared" si="17"/>
        <v/>
      </c>
      <c r="BT7" s="16" t="str">
        <f t="shared" si="18"/>
        <v/>
      </c>
      <c r="BU7" s="39"/>
      <c r="BV7" s="51" t="str">
        <f t="shared" si="19"/>
        <v/>
      </c>
      <c r="BW7" s="28" t="str">
        <f t="shared" si="20"/>
        <v/>
      </c>
      <c r="BX7" s="28" t="str">
        <f t="shared" si="21"/>
        <v/>
      </c>
      <c r="BY7" s="28" t="str">
        <f t="shared" si="22"/>
        <v/>
      </c>
      <c r="BZ7" s="28" t="str">
        <f t="shared" si="23"/>
        <v/>
      </c>
      <c r="CA7" s="52" t="str">
        <f t="shared" si="24"/>
        <v/>
      </c>
      <c r="CB7" s="39"/>
      <c r="CC7" s="49" t="str">
        <f t="shared" si="25"/>
        <v>-</v>
      </c>
      <c r="CD7" s="29" t="str">
        <f t="shared" si="26"/>
        <v>-</v>
      </c>
      <c r="CE7" s="29" t="str">
        <f t="shared" si="27"/>
        <v>-</v>
      </c>
      <c r="CF7" s="29" t="str">
        <f t="shared" si="28"/>
        <v>-</v>
      </c>
      <c r="CG7" s="50" t="str">
        <f t="shared" si="29"/>
        <v>-</v>
      </c>
      <c r="CH7" s="39"/>
    </row>
    <row r="8" spans="1:95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2"/>
      <c r="D8" s="2"/>
      <c r="E8" s="3"/>
      <c r="F8" s="2"/>
      <c r="G8" s="2"/>
      <c r="H8" s="4"/>
      <c r="I8" s="4"/>
      <c r="J8" s="86"/>
      <c r="K8" s="5"/>
      <c r="L8" s="2"/>
      <c r="M8" s="2"/>
      <c r="N8" s="2"/>
      <c r="O8" s="2"/>
      <c r="P8" s="3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  <c r="AD8" s="2"/>
      <c r="AE8" s="2"/>
      <c r="AF8" s="3"/>
      <c r="AG8" s="3"/>
      <c r="AH8" s="2"/>
      <c r="AI8" s="6"/>
      <c r="AJ8" s="7"/>
      <c r="AK8" s="6"/>
      <c r="AL8" s="59"/>
      <c r="AM8" s="59"/>
      <c r="AN8" s="59"/>
      <c r="AO8" s="59"/>
      <c r="AP8" s="59"/>
      <c r="AQ8" s="59"/>
      <c r="AR8" s="59"/>
      <c r="AS8" s="59"/>
      <c r="AT8" s="8"/>
      <c r="AU8" s="8"/>
      <c r="AV8" s="9"/>
      <c r="AW8" s="8"/>
      <c r="AX8" s="10" t="str">
        <f t="shared" si="1"/>
        <v>-</v>
      </c>
      <c r="AY8" s="39"/>
      <c r="AZ8" s="1" t="str">
        <f t="shared" si="2"/>
        <v/>
      </c>
      <c r="BA8" s="11" t="str">
        <f t="shared" si="3"/>
        <v/>
      </c>
      <c r="BB8" s="1" t="str">
        <f t="shared" si="4"/>
        <v/>
      </c>
      <c r="BC8" s="39"/>
      <c r="BD8" s="53" t="str">
        <f t="shared" si="5"/>
        <v/>
      </c>
      <c r="BE8" s="12" t="str">
        <f t="shared" si="6"/>
        <v/>
      </c>
      <c r="BF8" s="12" t="str">
        <f t="shared" si="7"/>
        <v/>
      </c>
      <c r="BG8" s="12" t="str">
        <f t="shared" si="8"/>
        <v/>
      </c>
      <c r="BH8" s="12" t="str">
        <f t="shared" si="9"/>
        <v/>
      </c>
      <c r="BI8" s="54" t="str">
        <f t="shared" si="10"/>
        <v/>
      </c>
      <c r="BJ8" s="39"/>
      <c r="BK8" s="55" t="str">
        <f t="shared" si="11"/>
        <v/>
      </c>
      <c r="BL8" s="13" t="str">
        <f t="shared" si="12"/>
        <v/>
      </c>
      <c r="BM8" s="13" t="str">
        <f t="shared" si="13"/>
        <v/>
      </c>
      <c r="BN8" s="56" t="str">
        <f t="shared" si="14"/>
        <v/>
      </c>
      <c r="BO8" s="39"/>
      <c r="BP8" s="14" t="str">
        <f t="shared" si="15"/>
        <v/>
      </c>
      <c r="BQ8" s="15">
        <v>0</v>
      </c>
      <c r="BR8" s="15" t="str">
        <f t="shared" si="16"/>
        <v/>
      </c>
      <c r="BS8" s="15" t="str">
        <f t="shared" si="17"/>
        <v/>
      </c>
      <c r="BT8" s="16" t="str">
        <f t="shared" si="18"/>
        <v/>
      </c>
      <c r="BU8" s="39"/>
      <c r="BV8" s="51" t="str">
        <f t="shared" si="19"/>
        <v/>
      </c>
      <c r="BW8" s="28" t="str">
        <f t="shared" si="20"/>
        <v/>
      </c>
      <c r="BX8" s="28" t="str">
        <f t="shared" si="21"/>
        <v/>
      </c>
      <c r="BY8" s="28" t="str">
        <f t="shared" si="22"/>
        <v/>
      </c>
      <c r="BZ8" s="28" t="str">
        <f t="shared" si="23"/>
        <v/>
      </c>
      <c r="CA8" s="52" t="str">
        <f t="shared" si="24"/>
        <v/>
      </c>
      <c r="CB8" s="39"/>
      <c r="CC8" s="49" t="str">
        <f t="shared" si="25"/>
        <v>-</v>
      </c>
      <c r="CD8" s="29" t="str">
        <f t="shared" si="26"/>
        <v>-</v>
      </c>
      <c r="CE8" s="29" t="str">
        <f t="shared" si="27"/>
        <v>-</v>
      </c>
      <c r="CF8" s="29" t="str">
        <f t="shared" si="28"/>
        <v>-</v>
      </c>
      <c r="CG8" s="50" t="str">
        <f t="shared" si="29"/>
        <v>-</v>
      </c>
      <c r="CH8" s="39"/>
    </row>
    <row r="9" spans="1:95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2"/>
      <c r="D9" s="2"/>
      <c r="E9" s="3"/>
      <c r="F9" s="2"/>
      <c r="G9" s="2"/>
      <c r="H9" s="4"/>
      <c r="I9" s="4"/>
      <c r="J9" s="86"/>
      <c r="K9" s="5"/>
      <c r="L9" s="2"/>
      <c r="M9" s="2"/>
      <c r="N9" s="2"/>
      <c r="O9" s="2"/>
      <c r="P9" s="3"/>
      <c r="Q9" s="2"/>
      <c r="R9" s="2"/>
      <c r="S9" s="2"/>
      <c r="T9" s="2"/>
      <c r="U9" s="2"/>
      <c r="V9" s="3"/>
      <c r="W9" s="3"/>
      <c r="X9" s="2"/>
      <c r="Y9" s="2"/>
      <c r="Z9" s="2"/>
      <c r="AA9" s="2"/>
      <c r="AB9" s="2"/>
      <c r="AC9" s="2"/>
      <c r="AD9" s="2"/>
      <c r="AE9" s="2"/>
      <c r="AF9" s="3"/>
      <c r="AG9" s="3"/>
      <c r="AH9" s="2"/>
      <c r="AI9" s="6"/>
      <c r="AJ9" s="7"/>
      <c r="AK9" s="6"/>
      <c r="AL9" s="59"/>
      <c r="AM9" s="59"/>
      <c r="AN9" s="59"/>
      <c r="AO9" s="59"/>
      <c r="AP9" s="59"/>
      <c r="AQ9" s="59"/>
      <c r="AR9" s="59"/>
      <c r="AS9" s="59"/>
      <c r="AT9" s="8"/>
      <c r="AU9" s="8"/>
      <c r="AV9" s="9"/>
      <c r="AW9" s="8"/>
      <c r="AX9" s="10" t="str">
        <f t="shared" si="1"/>
        <v>-</v>
      </c>
      <c r="AY9" s="39"/>
      <c r="AZ9" s="1" t="str">
        <f t="shared" si="2"/>
        <v/>
      </c>
      <c r="BA9" s="11" t="str">
        <f t="shared" si="3"/>
        <v/>
      </c>
      <c r="BB9" s="1" t="str">
        <f t="shared" si="4"/>
        <v/>
      </c>
      <c r="BC9" s="39"/>
      <c r="BD9" s="53" t="str">
        <f t="shared" si="5"/>
        <v/>
      </c>
      <c r="BE9" s="12" t="str">
        <f t="shared" si="6"/>
        <v/>
      </c>
      <c r="BF9" s="12" t="str">
        <f t="shared" si="7"/>
        <v/>
      </c>
      <c r="BG9" s="12" t="str">
        <f t="shared" si="8"/>
        <v/>
      </c>
      <c r="BH9" s="12" t="str">
        <f t="shared" si="9"/>
        <v/>
      </c>
      <c r="BI9" s="54" t="str">
        <f t="shared" si="10"/>
        <v/>
      </c>
      <c r="BJ9" s="39"/>
      <c r="BK9" s="55" t="str">
        <f t="shared" si="11"/>
        <v/>
      </c>
      <c r="BL9" s="13" t="str">
        <f t="shared" si="12"/>
        <v/>
      </c>
      <c r="BM9" s="13" t="str">
        <f t="shared" si="13"/>
        <v/>
      </c>
      <c r="BN9" s="56" t="str">
        <f t="shared" si="14"/>
        <v/>
      </c>
      <c r="BO9" s="39"/>
      <c r="BP9" s="14" t="str">
        <f t="shared" si="15"/>
        <v/>
      </c>
      <c r="BQ9" s="15">
        <v>0</v>
      </c>
      <c r="BR9" s="15" t="str">
        <f t="shared" si="16"/>
        <v/>
      </c>
      <c r="BS9" s="15" t="str">
        <f t="shared" si="17"/>
        <v/>
      </c>
      <c r="BT9" s="16" t="str">
        <f t="shared" si="18"/>
        <v/>
      </c>
      <c r="BU9" s="39"/>
      <c r="BV9" s="51" t="str">
        <f t="shared" si="19"/>
        <v/>
      </c>
      <c r="BW9" s="28" t="str">
        <f t="shared" si="20"/>
        <v/>
      </c>
      <c r="BX9" s="28" t="str">
        <f t="shared" si="21"/>
        <v/>
      </c>
      <c r="BY9" s="28" t="str">
        <f t="shared" si="22"/>
        <v/>
      </c>
      <c r="BZ9" s="28" t="str">
        <f t="shared" si="23"/>
        <v/>
      </c>
      <c r="CA9" s="52" t="str">
        <f t="shared" si="24"/>
        <v/>
      </c>
      <c r="CB9" s="39"/>
      <c r="CC9" s="49" t="str">
        <f t="shared" si="25"/>
        <v>-</v>
      </c>
      <c r="CD9" s="29" t="str">
        <f t="shared" si="26"/>
        <v>-</v>
      </c>
      <c r="CE9" s="29" t="str">
        <f t="shared" si="27"/>
        <v>-</v>
      </c>
      <c r="CF9" s="29" t="str">
        <f t="shared" si="28"/>
        <v>-</v>
      </c>
      <c r="CG9" s="50" t="str">
        <f t="shared" si="29"/>
        <v>-</v>
      </c>
      <c r="CH9" s="39"/>
    </row>
    <row r="10" spans="1:95" s="27" customFormat="1" ht="12.4" customHeight="1" thickBot="1" x14ac:dyDescent="0.25">
      <c r="A10" s="43">
        <f t="shared" si="30"/>
        <v>46302</v>
      </c>
      <c r="B10" s="44" t="str">
        <f>+TEXT(A10,"DDD")</f>
        <v>Wed</v>
      </c>
      <c r="C10" s="2"/>
      <c r="D10" s="2"/>
      <c r="E10" s="3"/>
      <c r="F10" s="2"/>
      <c r="G10" s="2"/>
      <c r="H10" s="4"/>
      <c r="I10" s="4"/>
      <c r="J10" s="86"/>
      <c r="K10" s="5"/>
      <c r="L10" s="2"/>
      <c r="M10" s="2"/>
      <c r="N10" s="2"/>
      <c r="O10" s="2"/>
      <c r="P10" s="3"/>
      <c r="Q10" s="2"/>
      <c r="R10" s="2"/>
      <c r="S10" s="2"/>
      <c r="T10" s="2"/>
      <c r="U10" s="2"/>
      <c r="V10" s="3"/>
      <c r="W10" s="3"/>
      <c r="X10" s="2"/>
      <c r="Y10" s="2"/>
      <c r="Z10" s="2"/>
      <c r="AA10" s="2"/>
      <c r="AB10" s="2"/>
      <c r="AC10" s="2"/>
      <c r="AD10" s="2"/>
      <c r="AE10" s="2"/>
      <c r="AF10" s="3"/>
      <c r="AG10" s="3"/>
      <c r="AH10" s="2"/>
      <c r="AI10" s="6"/>
      <c r="AJ10" s="7"/>
      <c r="AK10" s="6"/>
      <c r="AL10" s="59"/>
      <c r="AM10" s="59"/>
      <c r="AN10" s="59"/>
      <c r="AO10" s="59"/>
      <c r="AP10" s="59"/>
      <c r="AQ10" s="59"/>
      <c r="AR10" s="59"/>
      <c r="AS10" s="59"/>
      <c r="AT10" s="8"/>
      <c r="AU10" s="8"/>
      <c r="AV10" s="9"/>
      <c r="AW10" s="8"/>
      <c r="AX10" s="10" t="str">
        <f t="shared" si="1"/>
        <v>-</v>
      </c>
      <c r="AY10" s="39"/>
      <c r="AZ10" s="1" t="str">
        <f t="shared" si="2"/>
        <v/>
      </c>
      <c r="BA10" s="11" t="str">
        <f t="shared" si="3"/>
        <v/>
      </c>
      <c r="BB10" s="1" t="str">
        <f t="shared" si="4"/>
        <v/>
      </c>
      <c r="BC10" s="39"/>
      <c r="BD10" s="53" t="str">
        <f t="shared" si="5"/>
        <v/>
      </c>
      <c r="BE10" s="12" t="str">
        <f t="shared" si="6"/>
        <v/>
      </c>
      <c r="BF10" s="12" t="str">
        <f t="shared" si="7"/>
        <v/>
      </c>
      <c r="BG10" s="12" t="str">
        <f t="shared" si="8"/>
        <v/>
      </c>
      <c r="BH10" s="12" t="str">
        <f t="shared" si="9"/>
        <v/>
      </c>
      <c r="BI10" s="54" t="str">
        <f t="shared" si="10"/>
        <v/>
      </c>
      <c r="BJ10" s="39"/>
      <c r="BK10" s="55" t="str">
        <f t="shared" si="11"/>
        <v/>
      </c>
      <c r="BL10" s="13" t="str">
        <f t="shared" si="12"/>
        <v/>
      </c>
      <c r="BM10" s="13" t="str">
        <f t="shared" si="13"/>
        <v/>
      </c>
      <c r="BN10" s="56" t="str">
        <f t="shared" si="14"/>
        <v/>
      </c>
      <c r="BO10" s="39"/>
      <c r="BP10" s="14" t="str">
        <f t="shared" si="15"/>
        <v/>
      </c>
      <c r="BQ10" s="15">
        <v>0</v>
      </c>
      <c r="BR10" s="15" t="str">
        <f t="shared" si="16"/>
        <v/>
      </c>
      <c r="BS10" s="15" t="str">
        <f t="shared" si="17"/>
        <v/>
      </c>
      <c r="BT10" s="16" t="str">
        <f t="shared" si="18"/>
        <v/>
      </c>
      <c r="BU10" s="39"/>
      <c r="BV10" s="51" t="str">
        <f t="shared" si="19"/>
        <v/>
      </c>
      <c r="BW10" s="28" t="str">
        <f t="shared" si="20"/>
        <v/>
      </c>
      <c r="BX10" s="28" t="str">
        <f t="shared" si="21"/>
        <v/>
      </c>
      <c r="BY10" s="28" t="str">
        <f t="shared" si="22"/>
        <v/>
      </c>
      <c r="BZ10" s="28" t="str">
        <f t="shared" si="23"/>
        <v/>
      </c>
      <c r="CA10" s="52" t="str">
        <f t="shared" si="24"/>
        <v/>
      </c>
      <c r="CB10" s="39"/>
      <c r="CC10" s="49" t="str">
        <f t="shared" si="25"/>
        <v>-</v>
      </c>
      <c r="CD10" s="29" t="str">
        <f t="shared" si="26"/>
        <v>-</v>
      </c>
      <c r="CE10" s="29" t="str">
        <f t="shared" si="27"/>
        <v>-</v>
      </c>
      <c r="CF10" s="29" t="str">
        <f t="shared" si="28"/>
        <v>-</v>
      </c>
      <c r="CG10" s="50" t="str">
        <f t="shared" si="29"/>
        <v>-</v>
      </c>
      <c r="CH10" s="39"/>
    </row>
    <row r="11" spans="1:95" s="27" customFormat="1" ht="12.4" customHeight="1" thickBot="1" x14ac:dyDescent="0.25">
      <c r="A11" s="43">
        <f t="shared" si="30"/>
        <v>46303</v>
      </c>
      <c r="B11" s="44" t="str">
        <f>+TEXT(A11,"DDD")</f>
        <v>Thu</v>
      </c>
      <c r="C11" s="2"/>
      <c r="D11" s="2"/>
      <c r="E11" s="3"/>
      <c r="F11" s="2"/>
      <c r="G11" s="2"/>
      <c r="H11" s="4"/>
      <c r="I11" s="4"/>
      <c r="J11" s="86"/>
      <c r="K11" s="5"/>
      <c r="L11" s="2"/>
      <c r="M11" s="2"/>
      <c r="N11" s="2"/>
      <c r="O11" s="2"/>
      <c r="P11" s="3"/>
      <c r="Q11" s="2"/>
      <c r="R11" s="2"/>
      <c r="S11" s="2"/>
      <c r="T11" s="2"/>
      <c r="U11" s="2"/>
      <c r="V11" s="3"/>
      <c r="W11" s="3"/>
      <c r="X11" s="2"/>
      <c r="Y11" s="2"/>
      <c r="Z11" s="2"/>
      <c r="AA11" s="2"/>
      <c r="AB11" s="2"/>
      <c r="AC11" s="2"/>
      <c r="AD11" s="2"/>
      <c r="AE11" s="2"/>
      <c r="AF11" s="3"/>
      <c r="AG11" s="3"/>
      <c r="AH11" s="2"/>
      <c r="AI11" s="6"/>
      <c r="AJ11" s="7"/>
      <c r="AK11" s="6"/>
      <c r="AL11" s="59"/>
      <c r="AM11" s="59"/>
      <c r="AN11" s="59"/>
      <c r="AO11" s="59"/>
      <c r="AP11" s="59"/>
      <c r="AQ11" s="59"/>
      <c r="AR11" s="59"/>
      <c r="AS11" s="59"/>
      <c r="AT11" s="8"/>
      <c r="AU11" s="8"/>
      <c r="AV11" s="9"/>
      <c r="AW11" s="8"/>
      <c r="AX11" s="10" t="str">
        <f t="shared" si="1"/>
        <v>-</v>
      </c>
      <c r="AY11" s="39"/>
      <c r="AZ11" s="1" t="str">
        <f t="shared" si="2"/>
        <v/>
      </c>
      <c r="BA11" s="11" t="str">
        <f t="shared" si="3"/>
        <v/>
      </c>
      <c r="BB11" s="1" t="str">
        <f t="shared" si="4"/>
        <v/>
      </c>
      <c r="BC11" s="39"/>
      <c r="BD11" s="53" t="str">
        <f t="shared" si="5"/>
        <v/>
      </c>
      <c r="BE11" s="12" t="str">
        <f t="shared" si="6"/>
        <v/>
      </c>
      <c r="BF11" s="12" t="str">
        <f t="shared" si="7"/>
        <v/>
      </c>
      <c r="BG11" s="12" t="str">
        <f t="shared" si="8"/>
        <v/>
      </c>
      <c r="BH11" s="12" t="str">
        <f t="shared" si="9"/>
        <v/>
      </c>
      <c r="BI11" s="54" t="str">
        <f t="shared" si="10"/>
        <v/>
      </c>
      <c r="BJ11" s="39"/>
      <c r="BK11" s="55" t="str">
        <f t="shared" si="11"/>
        <v/>
      </c>
      <c r="BL11" s="13" t="str">
        <f t="shared" si="12"/>
        <v/>
      </c>
      <c r="BM11" s="13" t="str">
        <f t="shared" si="13"/>
        <v/>
      </c>
      <c r="BN11" s="56" t="str">
        <f t="shared" si="14"/>
        <v/>
      </c>
      <c r="BO11" s="39"/>
      <c r="BP11" s="14" t="str">
        <f t="shared" si="15"/>
        <v/>
      </c>
      <c r="BQ11" s="15">
        <v>0</v>
      </c>
      <c r="BR11" s="15" t="str">
        <f t="shared" si="16"/>
        <v/>
      </c>
      <c r="BS11" s="15" t="str">
        <f t="shared" si="17"/>
        <v/>
      </c>
      <c r="BT11" s="16" t="str">
        <f t="shared" si="18"/>
        <v/>
      </c>
      <c r="BU11" s="39"/>
      <c r="BV11" s="51" t="str">
        <f t="shared" si="19"/>
        <v/>
      </c>
      <c r="BW11" s="28" t="str">
        <f t="shared" si="20"/>
        <v/>
      </c>
      <c r="BX11" s="28" t="str">
        <f t="shared" si="21"/>
        <v/>
      </c>
      <c r="BY11" s="28" t="str">
        <f t="shared" si="22"/>
        <v/>
      </c>
      <c r="BZ11" s="28" t="str">
        <f t="shared" si="23"/>
        <v/>
      </c>
      <c r="CA11" s="52" t="str">
        <f t="shared" si="24"/>
        <v/>
      </c>
      <c r="CB11" s="39"/>
      <c r="CC11" s="49" t="str">
        <f t="shared" si="25"/>
        <v>-</v>
      </c>
      <c r="CD11" s="29" t="str">
        <f t="shared" si="26"/>
        <v>-</v>
      </c>
      <c r="CE11" s="29" t="str">
        <f t="shared" si="27"/>
        <v>-</v>
      </c>
      <c r="CF11" s="29" t="str">
        <f t="shared" si="28"/>
        <v>-</v>
      </c>
      <c r="CG11" s="50" t="str">
        <f t="shared" si="29"/>
        <v>-</v>
      </c>
      <c r="CH11" s="39"/>
    </row>
    <row r="12" spans="1:95" s="27" customFormat="1" ht="12.4" customHeight="1" thickBot="1" x14ac:dyDescent="0.25">
      <c r="A12" s="43">
        <f t="shared" si="30"/>
        <v>46304</v>
      </c>
      <c r="B12" s="44" t="str">
        <f>+TEXT(A12,"DDD")</f>
        <v>Fri</v>
      </c>
      <c r="C12" s="60"/>
      <c r="D12" s="60"/>
      <c r="E12" s="3"/>
      <c r="F12" s="2"/>
      <c r="G12" s="2"/>
      <c r="H12" s="4"/>
      <c r="I12" s="4"/>
      <c r="J12" s="86"/>
      <c r="K12" s="5"/>
      <c r="L12" s="2"/>
      <c r="M12" s="2"/>
      <c r="N12" s="2"/>
      <c r="O12" s="2"/>
      <c r="P12" s="3"/>
      <c r="Q12" s="2"/>
      <c r="R12" s="2"/>
      <c r="S12" s="2"/>
      <c r="T12" s="2"/>
      <c r="U12" s="2"/>
      <c r="V12" s="3"/>
      <c r="W12" s="3"/>
      <c r="X12" s="2"/>
      <c r="Y12" s="2"/>
      <c r="Z12" s="2"/>
      <c r="AA12" s="2"/>
      <c r="AB12" s="2"/>
      <c r="AC12" s="2"/>
      <c r="AD12" s="2"/>
      <c r="AE12" s="2"/>
      <c r="AF12" s="3"/>
      <c r="AG12" s="3"/>
      <c r="AH12" s="2"/>
      <c r="AI12" s="6"/>
      <c r="AJ12" s="7"/>
      <c r="AK12" s="6"/>
      <c r="AL12" s="59"/>
      <c r="AM12" s="59"/>
      <c r="AN12" s="59"/>
      <c r="AO12" s="59"/>
      <c r="AP12" s="59"/>
      <c r="AQ12" s="59"/>
      <c r="AR12" s="59"/>
      <c r="AS12" s="59"/>
      <c r="AT12" s="8"/>
      <c r="AU12" s="8"/>
      <c r="AV12" s="9"/>
      <c r="AW12" s="8"/>
      <c r="AX12" s="10" t="str">
        <f t="shared" si="1"/>
        <v>-</v>
      </c>
      <c r="AY12" s="39"/>
      <c r="AZ12" s="1" t="str">
        <f t="shared" si="2"/>
        <v/>
      </c>
      <c r="BA12" s="11" t="str">
        <f t="shared" si="3"/>
        <v/>
      </c>
      <c r="BB12" s="1" t="str">
        <f t="shared" si="4"/>
        <v/>
      </c>
      <c r="BC12" s="39"/>
      <c r="BD12" s="53" t="str">
        <f t="shared" si="5"/>
        <v/>
      </c>
      <c r="BE12" s="12" t="str">
        <f t="shared" si="6"/>
        <v/>
      </c>
      <c r="BF12" s="12" t="str">
        <f t="shared" si="7"/>
        <v/>
      </c>
      <c r="BG12" s="12" t="str">
        <f t="shared" si="8"/>
        <v/>
      </c>
      <c r="BH12" s="12" t="str">
        <f t="shared" si="9"/>
        <v/>
      </c>
      <c r="BI12" s="54" t="str">
        <f t="shared" si="10"/>
        <v/>
      </c>
      <c r="BJ12" s="39"/>
      <c r="BK12" s="55" t="str">
        <f t="shared" si="11"/>
        <v/>
      </c>
      <c r="BL12" s="13" t="str">
        <f t="shared" si="12"/>
        <v/>
      </c>
      <c r="BM12" s="13" t="str">
        <f t="shared" si="13"/>
        <v/>
      </c>
      <c r="BN12" s="56" t="str">
        <f t="shared" si="14"/>
        <v/>
      </c>
      <c r="BO12" s="39"/>
      <c r="BP12" s="14" t="str">
        <f t="shared" si="15"/>
        <v/>
      </c>
      <c r="BQ12" s="15">
        <v>0</v>
      </c>
      <c r="BR12" s="15" t="str">
        <f t="shared" si="16"/>
        <v/>
      </c>
      <c r="BS12" s="15" t="str">
        <f t="shared" si="17"/>
        <v/>
      </c>
      <c r="BT12" s="16" t="str">
        <f t="shared" si="18"/>
        <v/>
      </c>
      <c r="BU12" s="39"/>
      <c r="BV12" s="51" t="str">
        <f t="shared" si="19"/>
        <v/>
      </c>
      <c r="BW12" s="28" t="str">
        <f t="shared" si="20"/>
        <v/>
      </c>
      <c r="BX12" s="28" t="str">
        <f t="shared" si="21"/>
        <v/>
      </c>
      <c r="BY12" s="28" t="str">
        <f t="shared" si="22"/>
        <v/>
      </c>
      <c r="BZ12" s="28" t="str">
        <f t="shared" si="23"/>
        <v/>
      </c>
      <c r="CA12" s="52" t="str">
        <f t="shared" si="24"/>
        <v/>
      </c>
      <c r="CB12" s="39"/>
      <c r="CC12" s="49" t="str">
        <f t="shared" si="25"/>
        <v>-</v>
      </c>
      <c r="CD12" s="29" t="str">
        <f t="shared" si="26"/>
        <v>-</v>
      </c>
      <c r="CE12" s="29" t="str">
        <f t="shared" si="27"/>
        <v>-</v>
      </c>
      <c r="CF12" s="29" t="str">
        <f t="shared" si="28"/>
        <v>-</v>
      </c>
      <c r="CG12" s="50" t="str">
        <f t="shared" si="29"/>
        <v>-</v>
      </c>
      <c r="CH12" s="39"/>
    </row>
    <row r="13" spans="1:95" s="27" customFormat="1" ht="12.4" customHeight="1" thickBot="1" x14ac:dyDescent="0.25">
      <c r="A13" s="43">
        <f t="shared" si="30"/>
        <v>46305</v>
      </c>
      <c r="B13" s="44" t="str">
        <f>+TEXT(A13,"DDD")</f>
        <v>Sat</v>
      </c>
      <c r="C13" s="2"/>
      <c r="D13" s="2"/>
      <c r="E13" s="3"/>
      <c r="F13" s="2"/>
      <c r="G13" s="2"/>
      <c r="H13" s="4"/>
      <c r="I13" s="4"/>
      <c r="J13" s="86"/>
      <c r="K13" s="5"/>
      <c r="L13" s="2"/>
      <c r="M13" s="2"/>
      <c r="N13" s="2"/>
      <c r="O13" s="2"/>
      <c r="P13" s="3"/>
      <c r="Q13" s="2"/>
      <c r="R13" s="2"/>
      <c r="S13" s="2"/>
      <c r="T13" s="2"/>
      <c r="U13" s="2"/>
      <c r="V13" s="3"/>
      <c r="W13" s="3"/>
      <c r="X13" s="2"/>
      <c r="Y13" s="2"/>
      <c r="Z13" s="2"/>
      <c r="AA13" s="2"/>
      <c r="AB13" s="2"/>
      <c r="AC13" s="2"/>
      <c r="AD13" s="2"/>
      <c r="AE13" s="2"/>
      <c r="AF13" s="3"/>
      <c r="AG13" s="3"/>
      <c r="AH13" s="2"/>
      <c r="AI13" s="6"/>
      <c r="AJ13" s="7"/>
      <c r="AK13" s="6"/>
      <c r="AL13" s="59"/>
      <c r="AM13" s="59"/>
      <c r="AN13" s="59"/>
      <c r="AO13" s="59"/>
      <c r="AP13" s="59"/>
      <c r="AQ13" s="59"/>
      <c r="AR13" s="59"/>
      <c r="AS13" s="59"/>
      <c r="AT13" s="8"/>
      <c r="AU13" s="8"/>
      <c r="AV13" s="9"/>
      <c r="AW13" s="8"/>
      <c r="AX13" s="10" t="str">
        <f t="shared" si="1"/>
        <v>-</v>
      </c>
      <c r="AY13" s="39"/>
      <c r="AZ13" s="1" t="str">
        <f t="shared" si="2"/>
        <v/>
      </c>
      <c r="BA13" s="11" t="str">
        <f t="shared" si="3"/>
        <v/>
      </c>
      <c r="BB13" s="1" t="str">
        <f t="shared" si="4"/>
        <v/>
      </c>
      <c r="BC13" s="39"/>
      <c r="BD13" s="53" t="str">
        <f t="shared" si="5"/>
        <v/>
      </c>
      <c r="BE13" s="12" t="str">
        <f t="shared" si="6"/>
        <v/>
      </c>
      <c r="BF13" s="12" t="str">
        <f t="shared" si="7"/>
        <v/>
      </c>
      <c r="BG13" s="12" t="str">
        <f t="shared" si="8"/>
        <v/>
      </c>
      <c r="BH13" s="12" t="str">
        <f t="shared" si="9"/>
        <v/>
      </c>
      <c r="BI13" s="54" t="str">
        <f t="shared" si="10"/>
        <v/>
      </c>
      <c r="BJ13" s="39"/>
      <c r="BK13" s="55" t="str">
        <f t="shared" si="11"/>
        <v/>
      </c>
      <c r="BL13" s="13" t="str">
        <f t="shared" si="12"/>
        <v/>
      </c>
      <c r="BM13" s="13" t="str">
        <f t="shared" si="13"/>
        <v/>
      </c>
      <c r="BN13" s="56" t="str">
        <f t="shared" si="14"/>
        <v/>
      </c>
      <c r="BO13" s="39"/>
      <c r="BP13" s="14" t="str">
        <f t="shared" si="15"/>
        <v/>
      </c>
      <c r="BQ13" s="15">
        <v>0</v>
      </c>
      <c r="BR13" s="15" t="str">
        <f t="shared" si="16"/>
        <v/>
      </c>
      <c r="BS13" s="15" t="str">
        <f t="shared" si="17"/>
        <v/>
      </c>
      <c r="BT13" s="16" t="str">
        <f t="shared" si="18"/>
        <v/>
      </c>
      <c r="BU13" s="39"/>
      <c r="BV13" s="51" t="str">
        <f t="shared" si="19"/>
        <v/>
      </c>
      <c r="BW13" s="28" t="str">
        <f t="shared" si="20"/>
        <v/>
      </c>
      <c r="BX13" s="28" t="str">
        <f t="shared" si="21"/>
        <v/>
      </c>
      <c r="BY13" s="28" t="str">
        <f t="shared" si="22"/>
        <v/>
      </c>
      <c r="BZ13" s="28" t="str">
        <f t="shared" si="23"/>
        <v/>
      </c>
      <c r="CA13" s="52" t="str">
        <f t="shared" si="24"/>
        <v/>
      </c>
      <c r="CB13" s="39"/>
      <c r="CC13" s="49" t="str">
        <f t="shared" si="25"/>
        <v>-</v>
      </c>
      <c r="CD13" s="29" t="str">
        <f t="shared" si="26"/>
        <v>-</v>
      </c>
      <c r="CE13" s="29" t="str">
        <f t="shared" si="27"/>
        <v>-</v>
      </c>
      <c r="CF13" s="29" t="str">
        <f t="shared" si="28"/>
        <v>-</v>
      </c>
      <c r="CG13" s="50" t="str">
        <f t="shared" si="29"/>
        <v>-</v>
      </c>
      <c r="CH13" s="39"/>
    </row>
    <row r="14" spans="1:95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2"/>
      <c r="D14" s="2"/>
      <c r="E14" s="3"/>
      <c r="F14" s="2"/>
      <c r="G14" s="2"/>
      <c r="H14" s="4"/>
      <c r="I14" s="4"/>
      <c r="J14" s="86"/>
      <c r="K14" s="5"/>
      <c r="L14" s="2"/>
      <c r="M14" s="2"/>
      <c r="N14" s="2"/>
      <c r="O14" s="2"/>
      <c r="P14" s="3"/>
      <c r="Q14" s="2"/>
      <c r="R14" s="2"/>
      <c r="S14" s="2"/>
      <c r="T14" s="2"/>
      <c r="U14" s="2"/>
      <c r="V14" s="3"/>
      <c r="W14" s="3"/>
      <c r="X14" s="2"/>
      <c r="Y14" s="2"/>
      <c r="Z14" s="2"/>
      <c r="AA14" s="2"/>
      <c r="AB14" s="2"/>
      <c r="AC14" s="2"/>
      <c r="AD14" s="2"/>
      <c r="AE14" s="2"/>
      <c r="AF14" s="3"/>
      <c r="AG14" s="3"/>
      <c r="AH14" s="2"/>
      <c r="AI14" s="6"/>
      <c r="AJ14" s="7"/>
      <c r="AK14" s="6"/>
      <c r="AL14" s="59"/>
      <c r="AM14" s="59"/>
      <c r="AN14" s="59"/>
      <c r="AO14" s="59"/>
      <c r="AP14" s="59"/>
      <c r="AQ14" s="59"/>
      <c r="AR14" s="59"/>
      <c r="AS14" s="59"/>
      <c r="AT14" s="8"/>
      <c r="AU14" s="8"/>
      <c r="AV14" s="9"/>
      <c r="AW14" s="8"/>
      <c r="AX14" s="10" t="str">
        <f t="shared" si="1"/>
        <v>-</v>
      </c>
      <c r="AY14" s="39"/>
      <c r="AZ14" s="1" t="str">
        <f t="shared" si="2"/>
        <v/>
      </c>
      <c r="BA14" s="11" t="str">
        <f t="shared" si="3"/>
        <v/>
      </c>
      <c r="BB14" s="1" t="str">
        <f t="shared" si="4"/>
        <v/>
      </c>
      <c r="BC14" s="39"/>
      <c r="BD14" s="53" t="str">
        <f t="shared" si="5"/>
        <v/>
      </c>
      <c r="BE14" s="12" t="str">
        <f t="shared" si="6"/>
        <v/>
      </c>
      <c r="BF14" s="12" t="str">
        <f t="shared" si="7"/>
        <v/>
      </c>
      <c r="BG14" s="12" t="str">
        <f t="shared" si="8"/>
        <v/>
      </c>
      <c r="BH14" s="12" t="str">
        <f t="shared" si="9"/>
        <v/>
      </c>
      <c r="BI14" s="54" t="str">
        <f t="shared" si="10"/>
        <v/>
      </c>
      <c r="BJ14" s="39"/>
      <c r="BK14" s="55" t="str">
        <f t="shared" si="11"/>
        <v/>
      </c>
      <c r="BL14" s="13" t="str">
        <f t="shared" si="12"/>
        <v/>
      </c>
      <c r="BM14" s="13" t="str">
        <f t="shared" si="13"/>
        <v/>
      </c>
      <c r="BN14" s="56" t="str">
        <f t="shared" si="14"/>
        <v/>
      </c>
      <c r="BO14" s="39"/>
      <c r="BP14" s="14" t="str">
        <f t="shared" si="15"/>
        <v/>
      </c>
      <c r="BQ14" s="15">
        <v>0</v>
      </c>
      <c r="BR14" s="15" t="str">
        <f t="shared" si="16"/>
        <v/>
      </c>
      <c r="BS14" s="15" t="str">
        <f t="shared" si="17"/>
        <v/>
      </c>
      <c r="BT14" s="16" t="str">
        <f t="shared" si="18"/>
        <v/>
      </c>
      <c r="BU14" s="39"/>
      <c r="BV14" s="51" t="str">
        <f t="shared" si="19"/>
        <v/>
      </c>
      <c r="BW14" s="28" t="str">
        <f t="shared" si="20"/>
        <v/>
      </c>
      <c r="BX14" s="28" t="str">
        <f t="shared" si="21"/>
        <v/>
      </c>
      <c r="BY14" s="28" t="str">
        <f t="shared" si="22"/>
        <v/>
      </c>
      <c r="BZ14" s="28" t="str">
        <f t="shared" si="23"/>
        <v/>
      </c>
      <c r="CA14" s="52" t="str">
        <f t="shared" si="24"/>
        <v/>
      </c>
      <c r="CB14" s="39"/>
      <c r="CC14" s="49" t="str">
        <f t="shared" si="25"/>
        <v>-</v>
      </c>
      <c r="CD14" s="29" t="str">
        <f t="shared" si="26"/>
        <v>-</v>
      </c>
      <c r="CE14" s="29" t="str">
        <f t="shared" si="27"/>
        <v>-</v>
      </c>
      <c r="CF14" s="29" t="str">
        <f t="shared" si="28"/>
        <v>-</v>
      </c>
      <c r="CG14" s="50" t="str">
        <f t="shared" si="29"/>
        <v>-</v>
      </c>
      <c r="CH14" s="39"/>
    </row>
    <row r="15" spans="1:95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2"/>
      <c r="D15" s="2"/>
      <c r="E15" s="3"/>
      <c r="F15" s="2"/>
      <c r="G15" s="2"/>
      <c r="H15" s="4"/>
      <c r="I15" s="4"/>
      <c r="J15" s="86"/>
      <c r="K15" s="5"/>
      <c r="L15" s="2"/>
      <c r="M15" s="2"/>
      <c r="N15" s="2"/>
      <c r="O15" s="2"/>
      <c r="P15" s="3"/>
      <c r="Q15" s="2"/>
      <c r="R15" s="2"/>
      <c r="S15" s="2"/>
      <c r="T15" s="2"/>
      <c r="U15" s="2"/>
      <c r="V15" s="3"/>
      <c r="W15" s="3"/>
      <c r="X15" s="2"/>
      <c r="Y15" s="2"/>
      <c r="Z15" s="2"/>
      <c r="AA15" s="2"/>
      <c r="AB15" s="2"/>
      <c r="AC15" s="2"/>
      <c r="AD15" s="2"/>
      <c r="AE15" s="2"/>
      <c r="AF15" s="3"/>
      <c r="AG15" s="3"/>
      <c r="AH15" s="2"/>
      <c r="AI15" s="6"/>
      <c r="AJ15" s="7"/>
      <c r="AK15" s="6"/>
      <c r="AL15" s="59"/>
      <c r="AM15" s="59"/>
      <c r="AN15" s="59"/>
      <c r="AO15" s="59"/>
      <c r="AP15" s="59"/>
      <c r="AQ15" s="59"/>
      <c r="AR15" s="59"/>
      <c r="AS15" s="59"/>
      <c r="AT15" s="8"/>
      <c r="AU15" s="8"/>
      <c r="AV15" s="9"/>
      <c r="AW15" s="8"/>
      <c r="AX15" s="10" t="str">
        <f t="shared" si="1"/>
        <v>-</v>
      </c>
      <c r="AY15" s="39"/>
      <c r="AZ15" s="1" t="str">
        <f t="shared" si="2"/>
        <v/>
      </c>
      <c r="BA15" s="11" t="str">
        <f t="shared" si="3"/>
        <v/>
      </c>
      <c r="BB15" s="1" t="str">
        <f t="shared" si="4"/>
        <v/>
      </c>
      <c r="BC15" s="39"/>
      <c r="BD15" s="53" t="str">
        <f t="shared" si="5"/>
        <v/>
      </c>
      <c r="BE15" s="12" t="str">
        <f t="shared" si="6"/>
        <v/>
      </c>
      <c r="BF15" s="12" t="str">
        <f t="shared" si="7"/>
        <v/>
      </c>
      <c r="BG15" s="12" t="str">
        <f t="shared" si="8"/>
        <v/>
      </c>
      <c r="BH15" s="12" t="str">
        <f t="shared" si="9"/>
        <v/>
      </c>
      <c r="BI15" s="54" t="str">
        <f t="shared" si="10"/>
        <v/>
      </c>
      <c r="BJ15" s="39"/>
      <c r="BK15" s="55" t="str">
        <f t="shared" si="11"/>
        <v/>
      </c>
      <c r="BL15" s="13" t="str">
        <f t="shared" si="12"/>
        <v/>
      </c>
      <c r="BM15" s="13" t="str">
        <f t="shared" si="13"/>
        <v/>
      </c>
      <c r="BN15" s="56" t="str">
        <f t="shared" si="14"/>
        <v/>
      </c>
      <c r="BO15" s="39"/>
      <c r="BP15" s="14" t="str">
        <f t="shared" si="15"/>
        <v/>
      </c>
      <c r="BQ15" s="15">
        <v>0</v>
      </c>
      <c r="BR15" s="15" t="str">
        <f t="shared" si="16"/>
        <v/>
      </c>
      <c r="BS15" s="15" t="str">
        <f t="shared" si="17"/>
        <v/>
      </c>
      <c r="BT15" s="16" t="str">
        <f t="shared" si="18"/>
        <v/>
      </c>
      <c r="BU15" s="39"/>
      <c r="BV15" s="51" t="str">
        <f t="shared" si="19"/>
        <v/>
      </c>
      <c r="BW15" s="28" t="str">
        <f t="shared" si="20"/>
        <v/>
      </c>
      <c r="BX15" s="28" t="str">
        <f t="shared" si="21"/>
        <v/>
      </c>
      <c r="BY15" s="28" t="str">
        <f t="shared" si="22"/>
        <v/>
      </c>
      <c r="BZ15" s="28" t="str">
        <f t="shared" si="23"/>
        <v/>
      </c>
      <c r="CA15" s="52" t="str">
        <f t="shared" si="24"/>
        <v/>
      </c>
      <c r="CB15" s="39"/>
      <c r="CC15" s="49" t="str">
        <f t="shared" si="25"/>
        <v>-</v>
      </c>
      <c r="CD15" s="29" t="str">
        <f t="shared" si="26"/>
        <v>-</v>
      </c>
      <c r="CE15" s="29" t="str">
        <f t="shared" si="27"/>
        <v>-</v>
      </c>
      <c r="CF15" s="29" t="str">
        <f t="shared" si="28"/>
        <v>-</v>
      </c>
      <c r="CG15" s="50" t="str">
        <f t="shared" si="29"/>
        <v>-</v>
      </c>
      <c r="CH15" s="39"/>
    </row>
    <row r="16" spans="1:95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2"/>
      <c r="D16" s="2"/>
      <c r="E16" s="3"/>
      <c r="F16" s="2"/>
      <c r="G16" s="2"/>
      <c r="H16" s="4"/>
      <c r="I16" s="4"/>
      <c r="J16" s="86"/>
      <c r="K16" s="5"/>
      <c r="L16" s="2"/>
      <c r="M16" s="2"/>
      <c r="N16" s="2"/>
      <c r="O16" s="2"/>
      <c r="P16" s="3"/>
      <c r="Q16" s="2"/>
      <c r="R16" s="2"/>
      <c r="S16" s="2"/>
      <c r="T16" s="2"/>
      <c r="U16" s="2"/>
      <c r="V16" s="3"/>
      <c r="W16" s="3"/>
      <c r="X16" s="2"/>
      <c r="Y16" s="2"/>
      <c r="Z16" s="2"/>
      <c r="AA16" s="2"/>
      <c r="AB16" s="2"/>
      <c r="AC16" s="2"/>
      <c r="AD16" s="2"/>
      <c r="AE16" s="2"/>
      <c r="AF16" s="3"/>
      <c r="AG16" s="3"/>
      <c r="AH16" s="2"/>
      <c r="AI16" s="6"/>
      <c r="AJ16" s="7"/>
      <c r="AK16" s="6"/>
      <c r="AL16" s="59"/>
      <c r="AM16" s="59"/>
      <c r="AN16" s="59"/>
      <c r="AO16" s="59"/>
      <c r="AP16" s="59"/>
      <c r="AQ16" s="59"/>
      <c r="AR16" s="59"/>
      <c r="AS16" s="59"/>
      <c r="AT16" s="8"/>
      <c r="AU16" s="8"/>
      <c r="AV16" s="9"/>
      <c r="AW16" s="8"/>
      <c r="AX16" s="10" t="str">
        <f t="shared" si="1"/>
        <v>-</v>
      </c>
      <c r="AY16" s="39"/>
      <c r="AZ16" s="1" t="str">
        <f t="shared" si="2"/>
        <v/>
      </c>
      <c r="BA16" s="11" t="str">
        <f t="shared" si="3"/>
        <v/>
      </c>
      <c r="BB16" s="1" t="str">
        <f t="shared" si="4"/>
        <v/>
      </c>
      <c r="BC16" s="39"/>
      <c r="BD16" s="53" t="str">
        <f t="shared" si="5"/>
        <v/>
      </c>
      <c r="BE16" s="12" t="str">
        <f t="shared" si="6"/>
        <v/>
      </c>
      <c r="BF16" s="12" t="str">
        <f t="shared" si="7"/>
        <v/>
      </c>
      <c r="BG16" s="12" t="str">
        <f t="shared" si="8"/>
        <v/>
      </c>
      <c r="BH16" s="12" t="str">
        <f t="shared" si="9"/>
        <v/>
      </c>
      <c r="BI16" s="54" t="str">
        <f t="shared" si="10"/>
        <v/>
      </c>
      <c r="BJ16" s="39"/>
      <c r="BK16" s="55" t="str">
        <f t="shared" si="11"/>
        <v/>
      </c>
      <c r="BL16" s="13" t="str">
        <f t="shared" si="12"/>
        <v/>
      </c>
      <c r="BM16" s="13" t="str">
        <f t="shared" si="13"/>
        <v/>
      </c>
      <c r="BN16" s="56" t="str">
        <f t="shared" si="14"/>
        <v/>
      </c>
      <c r="BO16" s="39"/>
      <c r="BP16" s="14" t="str">
        <f t="shared" si="15"/>
        <v/>
      </c>
      <c r="BQ16" s="15">
        <v>0</v>
      </c>
      <c r="BR16" s="15" t="str">
        <f t="shared" si="16"/>
        <v/>
      </c>
      <c r="BS16" s="15" t="str">
        <f t="shared" si="17"/>
        <v/>
      </c>
      <c r="BT16" s="16" t="str">
        <f t="shared" si="18"/>
        <v/>
      </c>
      <c r="BU16" s="39"/>
      <c r="BV16" s="51" t="str">
        <f t="shared" si="19"/>
        <v/>
      </c>
      <c r="BW16" s="28" t="str">
        <f t="shared" si="20"/>
        <v/>
      </c>
      <c r="BX16" s="28" t="str">
        <f t="shared" si="21"/>
        <v/>
      </c>
      <c r="BY16" s="28" t="str">
        <f t="shared" si="22"/>
        <v/>
      </c>
      <c r="BZ16" s="28" t="str">
        <f t="shared" si="23"/>
        <v/>
      </c>
      <c r="CA16" s="52" t="str">
        <f t="shared" si="24"/>
        <v/>
      </c>
      <c r="CB16" s="39"/>
      <c r="CC16" s="49" t="str">
        <f t="shared" si="25"/>
        <v>-</v>
      </c>
      <c r="CD16" s="29" t="str">
        <f t="shared" si="26"/>
        <v>-</v>
      </c>
      <c r="CE16" s="29" t="str">
        <f t="shared" si="27"/>
        <v>-</v>
      </c>
      <c r="CF16" s="29" t="str">
        <f t="shared" si="28"/>
        <v>-</v>
      </c>
      <c r="CG16" s="50" t="str">
        <f t="shared" si="29"/>
        <v>-</v>
      </c>
      <c r="CH16" s="39"/>
    </row>
    <row r="17" spans="1:86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2"/>
      <c r="D17" s="2"/>
      <c r="E17" s="3"/>
      <c r="F17" s="2"/>
      <c r="G17" s="2"/>
      <c r="H17" s="4"/>
      <c r="I17" s="4"/>
      <c r="J17" s="86"/>
      <c r="K17" s="5"/>
      <c r="L17" s="2"/>
      <c r="M17" s="2"/>
      <c r="N17" s="2"/>
      <c r="O17" s="2"/>
      <c r="P17" s="3"/>
      <c r="Q17" s="2"/>
      <c r="R17" s="2"/>
      <c r="S17" s="2"/>
      <c r="T17" s="2"/>
      <c r="U17" s="2"/>
      <c r="V17" s="3"/>
      <c r="W17" s="3"/>
      <c r="X17" s="2"/>
      <c r="Y17" s="2"/>
      <c r="Z17" s="2"/>
      <c r="AA17" s="2"/>
      <c r="AB17" s="2"/>
      <c r="AC17" s="2"/>
      <c r="AD17" s="2"/>
      <c r="AE17" s="2"/>
      <c r="AF17" s="3"/>
      <c r="AG17" s="3"/>
      <c r="AH17" s="2"/>
      <c r="AI17" s="6"/>
      <c r="AJ17" s="7"/>
      <c r="AK17" s="6"/>
      <c r="AL17" s="59"/>
      <c r="AM17" s="59"/>
      <c r="AN17" s="59"/>
      <c r="AO17" s="59"/>
      <c r="AP17" s="59"/>
      <c r="AQ17" s="59"/>
      <c r="AR17" s="59"/>
      <c r="AS17" s="59"/>
      <c r="AT17" s="8"/>
      <c r="AU17" s="8"/>
      <c r="AV17" s="9"/>
      <c r="AW17" s="8"/>
      <c r="AX17" s="10" t="str">
        <f t="shared" si="1"/>
        <v>-</v>
      </c>
      <c r="AY17" s="39"/>
      <c r="AZ17" s="1" t="str">
        <f t="shared" si="2"/>
        <v/>
      </c>
      <c r="BA17" s="11" t="str">
        <f t="shared" si="3"/>
        <v/>
      </c>
      <c r="BB17" s="1" t="str">
        <f t="shared" si="4"/>
        <v/>
      </c>
      <c r="BC17" s="39"/>
      <c r="BD17" s="53" t="str">
        <f t="shared" si="5"/>
        <v/>
      </c>
      <c r="BE17" s="12" t="str">
        <f t="shared" si="6"/>
        <v/>
      </c>
      <c r="BF17" s="12" t="str">
        <f t="shared" si="7"/>
        <v/>
      </c>
      <c r="BG17" s="12" t="str">
        <f t="shared" si="8"/>
        <v/>
      </c>
      <c r="BH17" s="12" t="str">
        <f t="shared" si="9"/>
        <v/>
      </c>
      <c r="BI17" s="54" t="str">
        <f t="shared" si="10"/>
        <v/>
      </c>
      <c r="BJ17" s="39"/>
      <c r="BK17" s="55" t="str">
        <f t="shared" si="11"/>
        <v/>
      </c>
      <c r="BL17" s="13" t="str">
        <f t="shared" si="12"/>
        <v/>
      </c>
      <c r="BM17" s="13" t="str">
        <f t="shared" si="13"/>
        <v/>
      </c>
      <c r="BN17" s="56" t="str">
        <f t="shared" si="14"/>
        <v/>
      </c>
      <c r="BO17" s="39"/>
      <c r="BP17" s="14" t="str">
        <f t="shared" si="15"/>
        <v/>
      </c>
      <c r="BQ17" s="15">
        <v>0</v>
      </c>
      <c r="BR17" s="15" t="str">
        <f t="shared" si="16"/>
        <v/>
      </c>
      <c r="BS17" s="15" t="str">
        <f t="shared" si="17"/>
        <v/>
      </c>
      <c r="BT17" s="16" t="str">
        <f t="shared" si="18"/>
        <v/>
      </c>
      <c r="BU17" s="39"/>
      <c r="BV17" s="51" t="str">
        <f t="shared" si="19"/>
        <v/>
      </c>
      <c r="BW17" s="28" t="str">
        <f t="shared" si="20"/>
        <v/>
      </c>
      <c r="BX17" s="28" t="str">
        <f t="shared" si="21"/>
        <v/>
      </c>
      <c r="BY17" s="28" t="str">
        <f t="shared" si="22"/>
        <v/>
      </c>
      <c r="BZ17" s="28" t="str">
        <f t="shared" si="23"/>
        <v/>
      </c>
      <c r="CA17" s="52" t="str">
        <f t="shared" si="24"/>
        <v/>
      </c>
      <c r="CB17" s="39"/>
      <c r="CC17" s="49" t="str">
        <f t="shared" si="25"/>
        <v>-</v>
      </c>
      <c r="CD17" s="29" t="str">
        <f t="shared" si="26"/>
        <v>-</v>
      </c>
      <c r="CE17" s="29" t="str">
        <f t="shared" si="27"/>
        <v>-</v>
      </c>
      <c r="CF17" s="29" t="str">
        <f t="shared" si="28"/>
        <v>-</v>
      </c>
      <c r="CG17" s="50" t="str">
        <f t="shared" si="29"/>
        <v>-</v>
      </c>
      <c r="CH17" s="39"/>
    </row>
    <row r="18" spans="1:86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2"/>
      <c r="D18" s="2"/>
      <c r="E18" s="3"/>
      <c r="F18" s="2"/>
      <c r="G18" s="2"/>
      <c r="H18" s="4"/>
      <c r="I18" s="4"/>
      <c r="J18" s="86"/>
      <c r="K18" s="5"/>
      <c r="L18" s="2"/>
      <c r="M18" s="2"/>
      <c r="N18" s="2"/>
      <c r="O18" s="2"/>
      <c r="P18" s="3"/>
      <c r="Q18" s="2"/>
      <c r="R18" s="2"/>
      <c r="S18" s="2"/>
      <c r="T18" s="2"/>
      <c r="U18" s="2"/>
      <c r="V18" s="3"/>
      <c r="W18" s="3"/>
      <c r="X18" s="2"/>
      <c r="Y18" s="2"/>
      <c r="Z18" s="2"/>
      <c r="AA18" s="2"/>
      <c r="AB18" s="2"/>
      <c r="AC18" s="2"/>
      <c r="AD18" s="2"/>
      <c r="AE18" s="2"/>
      <c r="AF18" s="3"/>
      <c r="AG18" s="3"/>
      <c r="AH18" s="2"/>
      <c r="AI18" s="6"/>
      <c r="AJ18" s="7"/>
      <c r="AK18" s="6"/>
      <c r="AL18" s="59"/>
      <c r="AM18" s="59"/>
      <c r="AN18" s="59"/>
      <c r="AO18" s="59"/>
      <c r="AP18" s="59"/>
      <c r="AQ18" s="59"/>
      <c r="AR18" s="59"/>
      <c r="AS18" s="59"/>
      <c r="AT18" s="8"/>
      <c r="AU18" s="8"/>
      <c r="AV18" s="9"/>
      <c r="AW18" s="8"/>
      <c r="AX18" s="10" t="str">
        <f t="shared" si="1"/>
        <v>-</v>
      </c>
      <c r="AY18" s="39"/>
      <c r="AZ18" s="1" t="str">
        <f t="shared" si="2"/>
        <v/>
      </c>
      <c r="BA18" s="11" t="str">
        <f t="shared" si="3"/>
        <v/>
      </c>
      <c r="BB18" s="1" t="str">
        <f t="shared" si="4"/>
        <v/>
      </c>
      <c r="BC18" s="39"/>
      <c r="BD18" s="53" t="str">
        <f t="shared" si="5"/>
        <v/>
      </c>
      <c r="BE18" s="12" t="str">
        <f t="shared" si="6"/>
        <v/>
      </c>
      <c r="BF18" s="12" t="str">
        <f t="shared" si="7"/>
        <v/>
      </c>
      <c r="BG18" s="12" t="str">
        <f t="shared" si="8"/>
        <v/>
      </c>
      <c r="BH18" s="12" t="str">
        <f t="shared" si="9"/>
        <v/>
      </c>
      <c r="BI18" s="54" t="str">
        <f t="shared" si="10"/>
        <v/>
      </c>
      <c r="BJ18" s="39"/>
      <c r="BK18" s="55" t="str">
        <f t="shared" si="11"/>
        <v/>
      </c>
      <c r="BL18" s="13" t="str">
        <f t="shared" si="12"/>
        <v/>
      </c>
      <c r="BM18" s="13" t="str">
        <f t="shared" si="13"/>
        <v/>
      </c>
      <c r="BN18" s="56" t="str">
        <f t="shared" si="14"/>
        <v/>
      </c>
      <c r="BO18" s="39"/>
      <c r="BP18" s="14" t="str">
        <f t="shared" si="15"/>
        <v/>
      </c>
      <c r="BQ18" s="15">
        <v>0</v>
      </c>
      <c r="BR18" s="15" t="str">
        <f t="shared" si="16"/>
        <v/>
      </c>
      <c r="BS18" s="15" t="str">
        <f t="shared" si="17"/>
        <v/>
      </c>
      <c r="BT18" s="16" t="str">
        <f t="shared" si="18"/>
        <v/>
      </c>
      <c r="BU18" s="39"/>
      <c r="BV18" s="51" t="str">
        <f t="shared" si="19"/>
        <v/>
      </c>
      <c r="BW18" s="28" t="str">
        <f t="shared" si="20"/>
        <v/>
      </c>
      <c r="BX18" s="28" t="str">
        <f t="shared" si="21"/>
        <v/>
      </c>
      <c r="BY18" s="28" t="str">
        <f t="shared" si="22"/>
        <v/>
      </c>
      <c r="BZ18" s="28" t="str">
        <f t="shared" si="23"/>
        <v/>
      </c>
      <c r="CA18" s="52" t="str">
        <f t="shared" si="24"/>
        <v/>
      </c>
      <c r="CB18" s="39"/>
      <c r="CC18" s="49" t="str">
        <f t="shared" si="25"/>
        <v>-</v>
      </c>
      <c r="CD18" s="29" t="str">
        <f t="shared" si="26"/>
        <v>-</v>
      </c>
      <c r="CE18" s="29" t="str">
        <f t="shared" si="27"/>
        <v>-</v>
      </c>
      <c r="CF18" s="29" t="str">
        <f t="shared" si="28"/>
        <v>-</v>
      </c>
      <c r="CG18" s="50" t="str">
        <f t="shared" si="29"/>
        <v>-</v>
      </c>
      <c r="CH18" s="39"/>
    </row>
    <row r="19" spans="1:86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2"/>
      <c r="D19" s="2"/>
      <c r="E19" s="3"/>
      <c r="F19" s="2"/>
      <c r="G19" s="2"/>
      <c r="H19" s="4"/>
      <c r="I19" s="4"/>
      <c r="J19" s="86"/>
      <c r="K19" s="5"/>
      <c r="L19" s="2"/>
      <c r="M19" s="2"/>
      <c r="N19" s="2"/>
      <c r="O19" s="2"/>
      <c r="P19" s="3"/>
      <c r="Q19" s="2"/>
      <c r="R19" s="2"/>
      <c r="S19" s="2"/>
      <c r="T19" s="2"/>
      <c r="U19" s="2"/>
      <c r="V19" s="3"/>
      <c r="W19" s="3"/>
      <c r="X19" s="2"/>
      <c r="Y19" s="2"/>
      <c r="Z19" s="2"/>
      <c r="AA19" s="2"/>
      <c r="AB19" s="2"/>
      <c r="AC19" s="2"/>
      <c r="AD19" s="2"/>
      <c r="AE19" s="2"/>
      <c r="AF19" s="3"/>
      <c r="AG19" s="3"/>
      <c r="AH19" s="2"/>
      <c r="AI19" s="6"/>
      <c r="AJ19" s="7"/>
      <c r="AK19" s="6"/>
      <c r="AL19" s="59"/>
      <c r="AM19" s="59"/>
      <c r="AN19" s="59"/>
      <c r="AO19" s="59"/>
      <c r="AP19" s="59"/>
      <c r="AQ19" s="59"/>
      <c r="AR19" s="59"/>
      <c r="AS19" s="59"/>
      <c r="AT19" s="8"/>
      <c r="AU19" s="8"/>
      <c r="AV19" s="9"/>
      <c r="AW19" s="8"/>
      <c r="AX19" s="10" t="str">
        <f t="shared" si="1"/>
        <v>-</v>
      </c>
      <c r="AY19" s="39"/>
      <c r="AZ19" s="1" t="str">
        <f t="shared" si="2"/>
        <v/>
      </c>
      <c r="BA19" s="11" t="str">
        <f t="shared" si="3"/>
        <v/>
      </c>
      <c r="BB19" s="1" t="str">
        <f t="shared" si="4"/>
        <v/>
      </c>
      <c r="BC19" s="39"/>
      <c r="BD19" s="53" t="str">
        <f t="shared" si="5"/>
        <v/>
      </c>
      <c r="BE19" s="12" t="str">
        <f t="shared" si="6"/>
        <v/>
      </c>
      <c r="BF19" s="12" t="str">
        <f t="shared" si="7"/>
        <v/>
      </c>
      <c r="BG19" s="12" t="str">
        <f t="shared" si="8"/>
        <v/>
      </c>
      <c r="BH19" s="12" t="str">
        <f t="shared" si="9"/>
        <v/>
      </c>
      <c r="BI19" s="54" t="str">
        <f t="shared" si="10"/>
        <v/>
      </c>
      <c r="BJ19" s="39"/>
      <c r="BK19" s="55" t="str">
        <f t="shared" si="11"/>
        <v/>
      </c>
      <c r="BL19" s="13" t="str">
        <f t="shared" si="12"/>
        <v/>
      </c>
      <c r="BM19" s="13" t="str">
        <f t="shared" si="13"/>
        <v/>
      </c>
      <c r="BN19" s="56" t="str">
        <f t="shared" si="14"/>
        <v/>
      </c>
      <c r="BO19" s="39"/>
      <c r="BP19" s="14" t="str">
        <f t="shared" si="15"/>
        <v/>
      </c>
      <c r="BQ19" s="15">
        <v>0</v>
      </c>
      <c r="BR19" s="15" t="str">
        <f t="shared" si="16"/>
        <v/>
      </c>
      <c r="BS19" s="15" t="str">
        <f t="shared" si="17"/>
        <v/>
      </c>
      <c r="BT19" s="16" t="str">
        <f t="shared" si="18"/>
        <v/>
      </c>
      <c r="BU19" s="39"/>
      <c r="BV19" s="51" t="str">
        <f t="shared" si="19"/>
        <v/>
      </c>
      <c r="BW19" s="28" t="str">
        <f t="shared" si="20"/>
        <v/>
      </c>
      <c r="BX19" s="28" t="str">
        <f t="shared" si="21"/>
        <v/>
      </c>
      <c r="BY19" s="28" t="str">
        <f t="shared" si="22"/>
        <v/>
      </c>
      <c r="BZ19" s="28" t="str">
        <f t="shared" si="23"/>
        <v/>
      </c>
      <c r="CA19" s="52" t="str">
        <f t="shared" si="24"/>
        <v/>
      </c>
      <c r="CB19" s="39"/>
      <c r="CC19" s="49" t="str">
        <f t="shared" si="25"/>
        <v>-</v>
      </c>
      <c r="CD19" s="29" t="str">
        <f t="shared" si="26"/>
        <v>-</v>
      </c>
      <c r="CE19" s="29" t="str">
        <f t="shared" si="27"/>
        <v>-</v>
      </c>
      <c r="CF19" s="29" t="str">
        <f t="shared" si="28"/>
        <v>-</v>
      </c>
      <c r="CG19" s="50" t="str">
        <f t="shared" si="29"/>
        <v>-</v>
      </c>
      <c r="CH19" s="39"/>
    </row>
    <row r="20" spans="1:86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2"/>
      <c r="D20" s="2"/>
      <c r="E20" s="3"/>
      <c r="F20" s="2"/>
      <c r="G20" s="2"/>
      <c r="H20" s="4"/>
      <c r="I20" s="4"/>
      <c r="J20" s="86"/>
      <c r="K20" s="5"/>
      <c r="L20" s="2"/>
      <c r="M20" s="2"/>
      <c r="N20" s="2"/>
      <c r="O20" s="2"/>
      <c r="P20" s="3"/>
      <c r="Q20" s="2"/>
      <c r="R20" s="2"/>
      <c r="S20" s="2"/>
      <c r="T20" s="2"/>
      <c r="U20" s="2"/>
      <c r="V20" s="3"/>
      <c r="W20" s="3"/>
      <c r="X20" s="2"/>
      <c r="Y20" s="2"/>
      <c r="Z20" s="2"/>
      <c r="AA20" s="2"/>
      <c r="AB20" s="2"/>
      <c r="AC20" s="2"/>
      <c r="AD20" s="2"/>
      <c r="AE20" s="2"/>
      <c r="AF20" s="3"/>
      <c r="AG20" s="3"/>
      <c r="AH20" s="2"/>
      <c r="AI20" s="6"/>
      <c r="AJ20" s="7"/>
      <c r="AK20" s="6"/>
      <c r="AL20" s="59"/>
      <c r="AM20" s="59"/>
      <c r="AN20" s="59"/>
      <c r="AO20" s="59"/>
      <c r="AP20" s="59"/>
      <c r="AQ20" s="59"/>
      <c r="AR20" s="59"/>
      <c r="AS20" s="59"/>
      <c r="AT20" s="8"/>
      <c r="AU20" s="8"/>
      <c r="AV20" s="9"/>
      <c r="AW20" s="8"/>
      <c r="AX20" s="10" t="str">
        <f t="shared" si="1"/>
        <v>-</v>
      </c>
      <c r="AY20" s="39"/>
      <c r="AZ20" s="1" t="str">
        <f t="shared" si="2"/>
        <v/>
      </c>
      <c r="BA20" s="11" t="str">
        <f t="shared" si="3"/>
        <v/>
      </c>
      <c r="BB20" s="1" t="str">
        <f t="shared" si="4"/>
        <v/>
      </c>
      <c r="BC20" s="39"/>
      <c r="BD20" s="53" t="str">
        <f t="shared" si="5"/>
        <v/>
      </c>
      <c r="BE20" s="12" t="str">
        <f t="shared" si="6"/>
        <v/>
      </c>
      <c r="BF20" s="12" t="str">
        <f t="shared" si="7"/>
        <v/>
      </c>
      <c r="BG20" s="12" t="str">
        <f t="shared" si="8"/>
        <v/>
      </c>
      <c r="BH20" s="12" t="str">
        <f t="shared" si="9"/>
        <v/>
      </c>
      <c r="BI20" s="54" t="str">
        <f t="shared" si="10"/>
        <v/>
      </c>
      <c r="BJ20" s="39"/>
      <c r="BK20" s="55" t="str">
        <f t="shared" si="11"/>
        <v/>
      </c>
      <c r="BL20" s="13" t="str">
        <f t="shared" si="12"/>
        <v/>
      </c>
      <c r="BM20" s="13" t="str">
        <f t="shared" si="13"/>
        <v/>
      </c>
      <c r="BN20" s="56" t="str">
        <f t="shared" si="14"/>
        <v/>
      </c>
      <c r="BO20" s="39"/>
      <c r="BP20" s="14" t="str">
        <f t="shared" si="15"/>
        <v/>
      </c>
      <c r="BQ20" s="15">
        <v>0</v>
      </c>
      <c r="BR20" s="15" t="str">
        <f t="shared" si="16"/>
        <v/>
      </c>
      <c r="BS20" s="15" t="str">
        <f t="shared" si="17"/>
        <v/>
      </c>
      <c r="BT20" s="16" t="str">
        <f t="shared" si="18"/>
        <v/>
      </c>
      <c r="BU20" s="39"/>
      <c r="BV20" s="51" t="str">
        <f t="shared" si="19"/>
        <v/>
      </c>
      <c r="BW20" s="28" t="str">
        <f t="shared" si="20"/>
        <v/>
      </c>
      <c r="BX20" s="28" t="str">
        <f t="shared" si="21"/>
        <v/>
      </c>
      <c r="BY20" s="28" t="str">
        <f t="shared" si="22"/>
        <v/>
      </c>
      <c r="BZ20" s="28" t="str">
        <f t="shared" si="23"/>
        <v/>
      </c>
      <c r="CA20" s="52" t="str">
        <f t="shared" si="24"/>
        <v/>
      </c>
      <c r="CB20" s="39"/>
      <c r="CC20" s="49" t="str">
        <f t="shared" si="25"/>
        <v>-</v>
      </c>
      <c r="CD20" s="29" t="str">
        <f t="shared" si="26"/>
        <v>-</v>
      </c>
      <c r="CE20" s="29" t="str">
        <f t="shared" si="27"/>
        <v>-</v>
      </c>
      <c r="CF20" s="29" t="str">
        <f t="shared" si="28"/>
        <v>-</v>
      </c>
      <c r="CG20" s="50" t="str">
        <f t="shared" si="29"/>
        <v>-</v>
      </c>
      <c r="CH20" s="39"/>
    </row>
    <row r="21" spans="1:86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2"/>
      <c r="D21" s="2"/>
      <c r="E21" s="3"/>
      <c r="F21" s="2"/>
      <c r="G21" s="2"/>
      <c r="H21" s="4"/>
      <c r="I21" s="4"/>
      <c r="J21" s="86"/>
      <c r="K21" s="5"/>
      <c r="L21" s="2"/>
      <c r="M21" s="2"/>
      <c r="N21" s="2"/>
      <c r="O21" s="2"/>
      <c r="P21" s="3"/>
      <c r="Q21" s="2"/>
      <c r="R21" s="2"/>
      <c r="S21" s="2"/>
      <c r="T21" s="2"/>
      <c r="U21" s="2"/>
      <c r="V21" s="3"/>
      <c r="W21" s="3"/>
      <c r="X21" s="2"/>
      <c r="Y21" s="2"/>
      <c r="Z21" s="2"/>
      <c r="AA21" s="2"/>
      <c r="AB21" s="2"/>
      <c r="AC21" s="2"/>
      <c r="AD21" s="2"/>
      <c r="AE21" s="2"/>
      <c r="AF21" s="3"/>
      <c r="AG21" s="3"/>
      <c r="AH21" s="2"/>
      <c r="AI21" s="6"/>
      <c r="AJ21" s="7"/>
      <c r="AK21" s="6"/>
      <c r="AL21" s="59"/>
      <c r="AM21" s="59"/>
      <c r="AN21" s="59"/>
      <c r="AO21" s="59"/>
      <c r="AP21" s="59"/>
      <c r="AQ21" s="59"/>
      <c r="AR21" s="59"/>
      <c r="AS21" s="59"/>
      <c r="AT21" s="8"/>
      <c r="AU21" s="8"/>
      <c r="AV21" s="9"/>
      <c r="AW21" s="8"/>
      <c r="AX21" s="10" t="str">
        <f t="shared" si="1"/>
        <v>-</v>
      </c>
      <c r="AY21" s="39"/>
      <c r="AZ21" s="1" t="str">
        <f t="shared" si="2"/>
        <v/>
      </c>
      <c r="BA21" s="11" t="str">
        <f t="shared" si="3"/>
        <v/>
      </c>
      <c r="BB21" s="1" t="str">
        <f t="shared" si="4"/>
        <v/>
      </c>
      <c r="BC21" s="39"/>
      <c r="BD21" s="53" t="str">
        <f t="shared" si="5"/>
        <v/>
      </c>
      <c r="BE21" s="12" t="str">
        <f t="shared" si="6"/>
        <v/>
      </c>
      <c r="BF21" s="12" t="str">
        <f t="shared" si="7"/>
        <v/>
      </c>
      <c r="BG21" s="12" t="str">
        <f t="shared" si="8"/>
        <v/>
      </c>
      <c r="BH21" s="12" t="str">
        <f t="shared" si="9"/>
        <v/>
      </c>
      <c r="BI21" s="54" t="str">
        <f t="shared" si="10"/>
        <v/>
      </c>
      <c r="BJ21" s="39"/>
      <c r="BK21" s="55" t="str">
        <f t="shared" si="11"/>
        <v/>
      </c>
      <c r="BL21" s="13" t="str">
        <f t="shared" si="12"/>
        <v/>
      </c>
      <c r="BM21" s="13" t="str">
        <f t="shared" si="13"/>
        <v/>
      </c>
      <c r="BN21" s="56" t="str">
        <f t="shared" si="14"/>
        <v/>
      </c>
      <c r="BO21" s="39"/>
      <c r="BP21" s="14" t="str">
        <f t="shared" si="15"/>
        <v/>
      </c>
      <c r="BQ21" s="15">
        <v>0</v>
      </c>
      <c r="BR21" s="15" t="str">
        <f t="shared" si="16"/>
        <v/>
      </c>
      <c r="BS21" s="15" t="str">
        <f t="shared" si="17"/>
        <v/>
      </c>
      <c r="BT21" s="16" t="str">
        <f t="shared" si="18"/>
        <v/>
      </c>
      <c r="BU21" s="39"/>
      <c r="BV21" s="51" t="str">
        <f t="shared" si="19"/>
        <v/>
      </c>
      <c r="BW21" s="28" t="str">
        <f t="shared" si="20"/>
        <v/>
      </c>
      <c r="BX21" s="28" t="str">
        <f t="shared" si="21"/>
        <v/>
      </c>
      <c r="BY21" s="28" t="str">
        <f t="shared" si="22"/>
        <v/>
      </c>
      <c r="BZ21" s="28" t="str">
        <f t="shared" si="23"/>
        <v/>
      </c>
      <c r="CA21" s="52" t="str">
        <f t="shared" si="24"/>
        <v/>
      </c>
      <c r="CB21" s="39"/>
      <c r="CC21" s="49" t="str">
        <f t="shared" si="25"/>
        <v>-</v>
      </c>
      <c r="CD21" s="29" t="str">
        <f t="shared" si="26"/>
        <v>-</v>
      </c>
      <c r="CE21" s="29" t="str">
        <f t="shared" si="27"/>
        <v>-</v>
      </c>
      <c r="CF21" s="29" t="str">
        <f t="shared" si="28"/>
        <v>-</v>
      </c>
      <c r="CG21" s="50" t="str">
        <f t="shared" si="29"/>
        <v>-</v>
      </c>
      <c r="CH21" s="39"/>
    </row>
    <row r="22" spans="1:86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2"/>
      <c r="D22" s="2"/>
      <c r="E22" s="3"/>
      <c r="F22" s="2"/>
      <c r="G22" s="2"/>
      <c r="H22" s="4"/>
      <c r="I22" s="4"/>
      <c r="J22" s="86"/>
      <c r="K22" s="5"/>
      <c r="L22" s="2"/>
      <c r="M22" s="2"/>
      <c r="N22" s="2"/>
      <c r="O22" s="2"/>
      <c r="P22" s="3"/>
      <c r="Q22" s="2"/>
      <c r="R22" s="2"/>
      <c r="S22" s="2"/>
      <c r="T22" s="2"/>
      <c r="U22" s="2"/>
      <c r="V22" s="3"/>
      <c r="W22" s="3"/>
      <c r="X22" s="2"/>
      <c r="Y22" s="2"/>
      <c r="Z22" s="2"/>
      <c r="AA22" s="2"/>
      <c r="AB22" s="2"/>
      <c r="AC22" s="2"/>
      <c r="AD22" s="2"/>
      <c r="AE22" s="2"/>
      <c r="AF22" s="3"/>
      <c r="AG22" s="3"/>
      <c r="AH22" s="2"/>
      <c r="AI22" s="6"/>
      <c r="AJ22" s="7"/>
      <c r="AK22" s="6"/>
      <c r="AL22" s="59"/>
      <c r="AM22" s="59"/>
      <c r="AN22" s="59"/>
      <c r="AO22" s="59"/>
      <c r="AP22" s="59"/>
      <c r="AQ22" s="59"/>
      <c r="AR22" s="59"/>
      <c r="AS22" s="59"/>
      <c r="AT22" s="8"/>
      <c r="AU22" s="8"/>
      <c r="AV22" s="9"/>
      <c r="AW22" s="8"/>
      <c r="AX22" s="10" t="str">
        <f t="shared" si="1"/>
        <v>-</v>
      </c>
      <c r="AY22" s="39"/>
      <c r="AZ22" s="1" t="str">
        <f t="shared" si="2"/>
        <v/>
      </c>
      <c r="BA22" s="11" t="str">
        <f t="shared" si="3"/>
        <v/>
      </c>
      <c r="BB22" s="1" t="str">
        <f t="shared" si="4"/>
        <v/>
      </c>
      <c r="BC22" s="39"/>
      <c r="BD22" s="53" t="str">
        <f t="shared" si="5"/>
        <v/>
      </c>
      <c r="BE22" s="12" t="str">
        <f t="shared" si="6"/>
        <v/>
      </c>
      <c r="BF22" s="12" t="str">
        <f t="shared" si="7"/>
        <v/>
      </c>
      <c r="BG22" s="12" t="str">
        <f t="shared" si="8"/>
        <v/>
      </c>
      <c r="BH22" s="12" t="str">
        <f t="shared" si="9"/>
        <v/>
      </c>
      <c r="BI22" s="54" t="str">
        <f t="shared" si="10"/>
        <v/>
      </c>
      <c r="BJ22" s="39"/>
      <c r="BK22" s="55" t="str">
        <f t="shared" si="11"/>
        <v/>
      </c>
      <c r="BL22" s="13" t="str">
        <f t="shared" si="12"/>
        <v/>
      </c>
      <c r="BM22" s="13" t="str">
        <f t="shared" si="13"/>
        <v/>
      </c>
      <c r="BN22" s="56" t="str">
        <f t="shared" si="14"/>
        <v/>
      </c>
      <c r="BO22" s="39"/>
      <c r="BP22" s="14" t="str">
        <f t="shared" si="15"/>
        <v/>
      </c>
      <c r="BQ22" s="15">
        <v>0</v>
      </c>
      <c r="BR22" s="15" t="str">
        <f t="shared" si="16"/>
        <v/>
      </c>
      <c r="BS22" s="15" t="str">
        <f t="shared" si="17"/>
        <v/>
      </c>
      <c r="BT22" s="16" t="str">
        <f t="shared" si="18"/>
        <v/>
      </c>
      <c r="BU22" s="39"/>
      <c r="BV22" s="51" t="str">
        <f t="shared" si="19"/>
        <v/>
      </c>
      <c r="BW22" s="28" t="str">
        <f t="shared" si="20"/>
        <v/>
      </c>
      <c r="BX22" s="28" t="str">
        <f t="shared" si="21"/>
        <v/>
      </c>
      <c r="BY22" s="28" t="str">
        <f t="shared" si="22"/>
        <v/>
      </c>
      <c r="BZ22" s="28" t="str">
        <f t="shared" si="23"/>
        <v/>
      </c>
      <c r="CA22" s="52" t="str">
        <f t="shared" si="24"/>
        <v/>
      </c>
      <c r="CB22" s="39"/>
      <c r="CC22" s="49" t="str">
        <f t="shared" si="25"/>
        <v>-</v>
      </c>
      <c r="CD22" s="29" t="str">
        <f t="shared" si="26"/>
        <v>-</v>
      </c>
      <c r="CE22" s="29" t="str">
        <f t="shared" si="27"/>
        <v>-</v>
      </c>
      <c r="CF22" s="29" t="str">
        <f t="shared" si="28"/>
        <v>-</v>
      </c>
      <c r="CG22" s="50" t="str">
        <f t="shared" si="29"/>
        <v>-</v>
      </c>
      <c r="CH22" s="39"/>
    </row>
    <row r="23" spans="1:86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2"/>
      <c r="D23" s="2"/>
      <c r="E23" s="3"/>
      <c r="F23" s="2"/>
      <c r="G23" s="2"/>
      <c r="H23" s="4"/>
      <c r="I23" s="4"/>
      <c r="J23" s="86"/>
      <c r="K23" s="5"/>
      <c r="L23" s="2"/>
      <c r="M23" s="2"/>
      <c r="N23" s="2"/>
      <c r="O23" s="2"/>
      <c r="P23" s="3"/>
      <c r="Q23" s="2"/>
      <c r="R23" s="2"/>
      <c r="S23" s="2"/>
      <c r="T23" s="2"/>
      <c r="U23" s="2"/>
      <c r="V23" s="3"/>
      <c r="W23" s="3"/>
      <c r="X23" s="2"/>
      <c r="Y23" s="2"/>
      <c r="Z23" s="2"/>
      <c r="AA23" s="2"/>
      <c r="AB23" s="2"/>
      <c r="AC23" s="2"/>
      <c r="AD23" s="2"/>
      <c r="AE23" s="2"/>
      <c r="AF23" s="3"/>
      <c r="AG23" s="3"/>
      <c r="AH23" s="2"/>
      <c r="AI23" s="6"/>
      <c r="AJ23" s="7"/>
      <c r="AK23" s="6"/>
      <c r="AL23" s="59"/>
      <c r="AM23" s="59"/>
      <c r="AN23" s="59"/>
      <c r="AO23" s="59"/>
      <c r="AP23" s="59"/>
      <c r="AQ23" s="59"/>
      <c r="AR23" s="59"/>
      <c r="AS23" s="59"/>
      <c r="AT23" s="8"/>
      <c r="AU23" s="8"/>
      <c r="AV23" s="9"/>
      <c r="AW23" s="8"/>
      <c r="AX23" s="10" t="str">
        <f t="shared" si="1"/>
        <v>-</v>
      </c>
      <c r="AY23" s="39"/>
      <c r="AZ23" s="1" t="str">
        <f t="shared" si="2"/>
        <v/>
      </c>
      <c r="BA23" s="11" t="str">
        <f t="shared" si="3"/>
        <v/>
      </c>
      <c r="BB23" s="1" t="str">
        <f t="shared" si="4"/>
        <v/>
      </c>
      <c r="BC23" s="39"/>
      <c r="BD23" s="53" t="str">
        <f t="shared" si="5"/>
        <v/>
      </c>
      <c r="BE23" s="12" t="str">
        <f t="shared" si="6"/>
        <v/>
      </c>
      <c r="BF23" s="12" t="str">
        <f t="shared" si="7"/>
        <v/>
      </c>
      <c r="BG23" s="12" t="str">
        <f t="shared" si="8"/>
        <v/>
      </c>
      <c r="BH23" s="12" t="str">
        <f t="shared" si="9"/>
        <v/>
      </c>
      <c r="BI23" s="54" t="str">
        <f t="shared" si="10"/>
        <v/>
      </c>
      <c r="BJ23" s="39"/>
      <c r="BK23" s="55" t="str">
        <f t="shared" si="11"/>
        <v/>
      </c>
      <c r="BL23" s="13" t="str">
        <f t="shared" si="12"/>
        <v/>
      </c>
      <c r="BM23" s="13" t="str">
        <f t="shared" si="13"/>
        <v/>
      </c>
      <c r="BN23" s="56" t="str">
        <f t="shared" si="14"/>
        <v/>
      </c>
      <c r="BO23" s="39"/>
      <c r="BP23" s="14" t="str">
        <f t="shared" si="15"/>
        <v/>
      </c>
      <c r="BQ23" s="15">
        <v>0</v>
      </c>
      <c r="BR23" s="15" t="str">
        <f t="shared" si="16"/>
        <v/>
      </c>
      <c r="BS23" s="15" t="str">
        <f t="shared" si="17"/>
        <v/>
      </c>
      <c r="BT23" s="16" t="str">
        <f t="shared" si="18"/>
        <v/>
      </c>
      <c r="BU23" s="39"/>
      <c r="BV23" s="51" t="str">
        <f t="shared" si="19"/>
        <v/>
      </c>
      <c r="BW23" s="28" t="str">
        <f t="shared" si="20"/>
        <v/>
      </c>
      <c r="BX23" s="28" t="str">
        <f t="shared" si="21"/>
        <v/>
      </c>
      <c r="BY23" s="28" t="str">
        <f t="shared" si="22"/>
        <v/>
      </c>
      <c r="BZ23" s="28" t="str">
        <f t="shared" si="23"/>
        <v/>
      </c>
      <c r="CA23" s="52" t="str">
        <f t="shared" si="24"/>
        <v/>
      </c>
      <c r="CB23" s="39"/>
      <c r="CC23" s="49" t="str">
        <f t="shared" si="25"/>
        <v>-</v>
      </c>
      <c r="CD23" s="29" t="str">
        <f t="shared" si="26"/>
        <v>-</v>
      </c>
      <c r="CE23" s="29" t="str">
        <f t="shared" si="27"/>
        <v>-</v>
      </c>
      <c r="CF23" s="29" t="str">
        <f t="shared" si="28"/>
        <v>-</v>
      </c>
      <c r="CG23" s="50" t="str">
        <f t="shared" si="29"/>
        <v>-</v>
      </c>
      <c r="CH23" s="39"/>
    </row>
    <row r="24" spans="1:86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2"/>
      <c r="D24" s="2"/>
      <c r="E24" s="3"/>
      <c r="F24" s="2"/>
      <c r="G24" s="2"/>
      <c r="H24" s="4"/>
      <c r="I24" s="4"/>
      <c r="J24" s="86"/>
      <c r="K24" s="5"/>
      <c r="L24" s="2"/>
      <c r="M24" s="2"/>
      <c r="N24" s="2"/>
      <c r="O24" s="2"/>
      <c r="P24" s="3"/>
      <c r="Q24" s="2"/>
      <c r="R24" s="2"/>
      <c r="S24" s="2"/>
      <c r="T24" s="2"/>
      <c r="U24" s="2"/>
      <c r="V24" s="3"/>
      <c r="W24" s="3"/>
      <c r="X24" s="2"/>
      <c r="Y24" s="2"/>
      <c r="Z24" s="2"/>
      <c r="AA24" s="2"/>
      <c r="AB24" s="2"/>
      <c r="AC24" s="2"/>
      <c r="AD24" s="2"/>
      <c r="AE24" s="2"/>
      <c r="AF24" s="3"/>
      <c r="AG24" s="3"/>
      <c r="AH24" s="2"/>
      <c r="AI24" s="6"/>
      <c r="AJ24" s="7"/>
      <c r="AK24" s="6"/>
      <c r="AL24" s="59"/>
      <c r="AM24" s="59"/>
      <c r="AN24" s="59"/>
      <c r="AO24" s="59"/>
      <c r="AP24" s="59"/>
      <c r="AQ24" s="59"/>
      <c r="AR24" s="59"/>
      <c r="AS24" s="59"/>
      <c r="AT24" s="8"/>
      <c r="AU24" s="8"/>
      <c r="AV24" s="9"/>
      <c r="AW24" s="8"/>
      <c r="AX24" s="10" t="str">
        <f t="shared" si="1"/>
        <v>-</v>
      </c>
      <c r="AY24" s="39"/>
      <c r="AZ24" s="1" t="str">
        <f t="shared" si="2"/>
        <v/>
      </c>
      <c r="BA24" s="11" t="str">
        <f t="shared" si="3"/>
        <v/>
      </c>
      <c r="BB24" s="1" t="str">
        <f t="shared" si="4"/>
        <v/>
      </c>
      <c r="BC24" s="39"/>
      <c r="BD24" s="53" t="str">
        <f t="shared" si="5"/>
        <v/>
      </c>
      <c r="BE24" s="12" t="str">
        <f t="shared" si="6"/>
        <v/>
      </c>
      <c r="BF24" s="12" t="str">
        <f t="shared" si="7"/>
        <v/>
      </c>
      <c r="BG24" s="12" t="str">
        <f t="shared" si="8"/>
        <v/>
      </c>
      <c r="BH24" s="12" t="str">
        <f t="shared" si="9"/>
        <v/>
      </c>
      <c r="BI24" s="54" t="str">
        <f t="shared" si="10"/>
        <v/>
      </c>
      <c r="BJ24" s="39"/>
      <c r="BK24" s="55" t="str">
        <f t="shared" si="11"/>
        <v/>
      </c>
      <c r="BL24" s="13" t="str">
        <f t="shared" si="12"/>
        <v/>
      </c>
      <c r="BM24" s="13" t="str">
        <f t="shared" si="13"/>
        <v/>
      </c>
      <c r="BN24" s="56" t="str">
        <f t="shared" si="14"/>
        <v/>
      </c>
      <c r="BO24" s="39"/>
      <c r="BP24" s="14" t="str">
        <f t="shared" si="15"/>
        <v/>
      </c>
      <c r="BQ24" s="15">
        <v>0</v>
      </c>
      <c r="BR24" s="15" t="str">
        <f t="shared" si="16"/>
        <v/>
      </c>
      <c r="BS24" s="15" t="str">
        <f t="shared" si="17"/>
        <v/>
      </c>
      <c r="BT24" s="16" t="str">
        <f t="shared" si="18"/>
        <v/>
      </c>
      <c r="BU24" s="39"/>
      <c r="BV24" s="51" t="str">
        <f t="shared" si="19"/>
        <v/>
      </c>
      <c r="BW24" s="28" t="str">
        <f t="shared" si="20"/>
        <v/>
      </c>
      <c r="BX24" s="28" t="str">
        <f t="shared" si="21"/>
        <v/>
      </c>
      <c r="BY24" s="28" t="str">
        <f t="shared" si="22"/>
        <v/>
      </c>
      <c r="BZ24" s="28" t="str">
        <f t="shared" si="23"/>
        <v/>
      </c>
      <c r="CA24" s="52" t="str">
        <f t="shared" si="24"/>
        <v/>
      </c>
      <c r="CB24" s="39"/>
      <c r="CC24" s="49" t="str">
        <f t="shared" si="25"/>
        <v>-</v>
      </c>
      <c r="CD24" s="29" t="str">
        <f t="shared" si="26"/>
        <v>-</v>
      </c>
      <c r="CE24" s="29" t="str">
        <f t="shared" si="27"/>
        <v>-</v>
      </c>
      <c r="CF24" s="29" t="str">
        <f t="shared" si="28"/>
        <v>-</v>
      </c>
      <c r="CG24" s="50" t="str">
        <f t="shared" si="29"/>
        <v>-</v>
      </c>
      <c r="CH24" s="39"/>
    </row>
    <row r="25" spans="1:86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2"/>
      <c r="D25" s="2"/>
      <c r="E25" s="3"/>
      <c r="F25" s="2"/>
      <c r="G25" s="2"/>
      <c r="H25" s="4"/>
      <c r="I25" s="4"/>
      <c r="J25" s="86"/>
      <c r="K25" s="5"/>
      <c r="L25" s="2"/>
      <c r="M25" s="2"/>
      <c r="N25" s="2"/>
      <c r="O25" s="2"/>
      <c r="P25" s="3"/>
      <c r="Q25" s="2"/>
      <c r="R25" s="2"/>
      <c r="S25" s="2"/>
      <c r="T25" s="2"/>
      <c r="U25" s="2"/>
      <c r="V25" s="3"/>
      <c r="W25" s="3"/>
      <c r="X25" s="2"/>
      <c r="Y25" s="2"/>
      <c r="Z25" s="2"/>
      <c r="AA25" s="2"/>
      <c r="AB25" s="2"/>
      <c r="AC25" s="2"/>
      <c r="AD25" s="2"/>
      <c r="AE25" s="2"/>
      <c r="AF25" s="3"/>
      <c r="AG25" s="3"/>
      <c r="AH25" s="2"/>
      <c r="AI25" s="6"/>
      <c r="AJ25" s="7"/>
      <c r="AK25" s="6"/>
      <c r="AL25" s="59"/>
      <c r="AM25" s="59"/>
      <c r="AN25" s="59"/>
      <c r="AO25" s="59"/>
      <c r="AP25" s="59"/>
      <c r="AQ25" s="59"/>
      <c r="AR25" s="59"/>
      <c r="AS25" s="59"/>
      <c r="AT25" s="8"/>
      <c r="AU25" s="8"/>
      <c r="AV25" s="9"/>
      <c r="AW25" s="8"/>
      <c r="AX25" s="10" t="str">
        <f t="shared" si="1"/>
        <v>-</v>
      </c>
      <c r="AY25" s="39"/>
      <c r="AZ25" s="1" t="str">
        <f t="shared" si="2"/>
        <v/>
      </c>
      <c r="BA25" s="11" t="str">
        <f t="shared" si="3"/>
        <v/>
      </c>
      <c r="BB25" s="1" t="str">
        <f t="shared" si="4"/>
        <v/>
      </c>
      <c r="BC25" s="39"/>
      <c r="BD25" s="53" t="str">
        <f t="shared" si="5"/>
        <v/>
      </c>
      <c r="BE25" s="12" t="str">
        <f t="shared" si="6"/>
        <v/>
      </c>
      <c r="BF25" s="12" t="str">
        <f t="shared" si="7"/>
        <v/>
      </c>
      <c r="BG25" s="12" t="str">
        <f t="shared" si="8"/>
        <v/>
      </c>
      <c r="BH25" s="12" t="str">
        <f t="shared" si="9"/>
        <v/>
      </c>
      <c r="BI25" s="54" t="str">
        <f t="shared" si="10"/>
        <v/>
      </c>
      <c r="BJ25" s="39"/>
      <c r="BK25" s="55" t="str">
        <f t="shared" si="11"/>
        <v/>
      </c>
      <c r="BL25" s="13" t="str">
        <f t="shared" si="12"/>
        <v/>
      </c>
      <c r="BM25" s="13" t="str">
        <f t="shared" si="13"/>
        <v/>
      </c>
      <c r="BN25" s="56" t="str">
        <f t="shared" si="14"/>
        <v/>
      </c>
      <c r="BO25" s="39"/>
      <c r="BP25" s="14" t="str">
        <f t="shared" si="15"/>
        <v/>
      </c>
      <c r="BQ25" s="15">
        <v>0</v>
      </c>
      <c r="BR25" s="15" t="str">
        <f t="shared" si="16"/>
        <v/>
      </c>
      <c r="BS25" s="15" t="str">
        <f t="shared" si="17"/>
        <v/>
      </c>
      <c r="BT25" s="16" t="str">
        <f t="shared" si="18"/>
        <v/>
      </c>
      <c r="BU25" s="39"/>
      <c r="BV25" s="51" t="str">
        <f t="shared" si="19"/>
        <v/>
      </c>
      <c r="BW25" s="28" t="str">
        <f t="shared" si="20"/>
        <v/>
      </c>
      <c r="BX25" s="28" t="str">
        <f t="shared" si="21"/>
        <v/>
      </c>
      <c r="BY25" s="28" t="str">
        <f t="shared" si="22"/>
        <v/>
      </c>
      <c r="BZ25" s="28" t="str">
        <f t="shared" si="23"/>
        <v/>
      </c>
      <c r="CA25" s="52" t="str">
        <f t="shared" si="24"/>
        <v/>
      </c>
      <c r="CB25" s="39"/>
      <c r="CC25" s="49" t="str">
        <f t="shared" si="25"/>
        <v>-</v>
      </c>
      <c r="CD25" s="29" t="str">
        <f t="shared" si="26"/>
        <v>-</v>
      </c>
      <c r="CE25" s="29" t="str">
        <f t="shared" si="27"/>
        <v>-</v>
      </c>
      <c r="CF25" s="29" t="str">
        <f t="shared" si="28"/>
        <v>-</v>
      </c>
      <c r="CG25" s="50" t="str">
        <f t="shared" si="29"/>
        <v>-</v>
      </c>
      <c r="CH25" s="39"/>
    </row>
    <row r="26" spans="1:86" s="27" customFormat="1" ht="12.4" customHeight="1" thickBot="1" x14ac:dyDescent="0.25">
      <c r="A26" s="43">
        <f t="shared" si="30"/>
        <v>46318</v>
      </c>
      <c r="B26" s="44" t="str">
        <f>+TEXT(A26,"DDD")</f>
        <v>Fri</v>
      </c>
      <c r="C26" s="2"/>
      <c r="D26" s="2"/>
      <c r="E26" s="3"/>
      <c r="F26" s="2"/>
      <c r="G26" s="2"/>
      <c r="H26" s="4"/>
      <c r="I26" s="4"/>
      <c r="J26" s="86"/>
      <c r="K26" s="5"/>
      <c r="L26" s="2"/>
      <c r="M26" s="2"/>
      <c r="N26" s="2"/>
      <c r="O26" s="2"/>
      <c r="P26" s="3"/>
      <c r="Q26" s="2"/>
      <c r="R26" s="2"/>
      <c r="S26" s="2"/>
      <c r="T26" s="2"/>
      <c r="U26" s="2"/>
      <c r="V26" s="3"/>
      <c r="W26" s="3"/>
      <c r="X26" s="2"/>
      <c r="Y26" s="2"/>
      <c r="Z26" s="2"/>
      <c r="AA26" s="2"/>
      <c r="AB26" s="2"/>
      <c r="AC26" s="2"/>
      <c r="AD26" s="2"/>
      <c r="AE26" s="2"/>
      <c r="AF26" s="3"/>
      <c r="AG26" s="3"/>
      <c r="AH26" s="2"/>
      <c r="AI26" s="6"/>
      <c r="AJ26" s="7"/>
      <c r="AK26" s="6"/>
      <c r="AL26" s="59"/>
      <c r="AM26" s="59"/>
      <c r="AN26" s="59"/>
      <c r="AO26" s="59"/>
      <c r="AP26" s="59"/>
      <c r="AQ26" s="59"/>
      <c r="AR26" s="59"/>
      <c r="AS26" s="59"/>
      <c r="AT26" s="8"/>
      <c r="AU26" s="8"/>
      <c r="AV26" s="9"/>
      <c r="AW26" s="8"/>
      <c r="AX26" s="10" t="str">
        <f t="shared" si="1"/>
        <v>-</v>
      </c>
      <c r="AY26" s="39"/>
      <c r="AZ26" s="1" t="str">
        <f t="shared" si="2"/>
        <v/>
      </c>
      <c r="BA26" s="11" t="str">
        <f t="shared" si="3"/>
        <v/>
      </c>
      <c r="BB26" s="1" t="str">
        <f t="shared" si="4"/>
        <v/>
      </c>
      <c r="BC26" s="39"/>
      <c r="BD26" s="53" t="str">
        <f t="shared" si="5"/>
        <v/>
      </c>
      <c r="BE26" s="12" t="str">
        <f t="shared" si="6"/>
        <v/>
      </c>
      <c r="BF26" s="12" t="str">
        <f t="shared" si="7"/>
        <v/>
      </c>
      <c r="BG26" s="12" t="str">
        <f t="shared" si="8"/>
        <v/>
      </c>
      <c r="BH26" s="12" t="str">
        <f t="shared" si="9"/>
        <v/>
      </c>
      <c r="BI26" s="54" t="str">
        <f t="shared" si="10"/>
        <v/>
      </c>
      <c r="BJ26" s="39"/>
      <c r="BK26" s="55" t="str">
        <f t="shared" si="11"/>
        <v/>
      </c>
      <c r="BL26" s="13" t="str">
        <f t="shared" si="12"/>
        <v/>
      </c>
      <c r="BM26" s="13" t="str">
        <f t="shared" si="13"/>
        <v/>
      </c>
      <c r="BN26" s="56" t="str">
        <f t="shared" si="14"/>
        <v/>
      </c>
      <c r="BO26" s="39"/>
      <c r="BP26" s="14" t="str">
        <f t="shared" si="15"/>
        <v/>
      </c>
      <c r="BQ26" s="15">
        <v>0</v>
      </c>
      <c r="BR26" s="15" t="str">
        <f t="shared" si="16"/>
        <v/>
      </c>
      <c r="BS26" s="15" t="str">
        <f t="shared" si="17"/>
        <v/>
      </c>
      <c r="BT26" s="16" t="str">
        <f t="shared" si="18"/>
        <v/>
      </c>
      <c r="BU26" s="39"/>
      <c r="BV26" s="51" t="str">
        <f t="shared" si="19"/>
        <v/>
      </c>
      <c r="BW26" s="28" t="str">
        <f t="shared" si="20"/>
        <v/>
      </c>
      <c r="BX26" s="28" t="str">
        <f t="shared" si="21"/>
        <v/>
      </c>
      <c r="BY26" s="28" t="str">
        <f t="shared" si="22"/>
        <v/>
      </c>
      <c r="BZ26" s="28" t="str">
        <f t="shared" si="23"/>
        <v/>
      </c>
      <c r="CA26" s="52" t="str">
        <f t="shared" si="24"/>
        <v/>
      </c>
      <c r="CB26" s="39"/>
      <c r="CC26" s="49" t="str">
        <f t="shared" si="25"/>
        <v>-</v>
      </c>
      <c r="CD26" s="29" t="str">
        <f t="shared" si="26"/>
        <v>-</v>
      </c>
      <c r="CE26" s="29" t="str">
        <f t="shared" si="27"/>
        <v>-</v>
      </c>
      <c r="CF26" s="29" t="str">
        <f t="shared" si="28"/>
        <v>-</v>
      </c>
      <c r="CG26" s="50" t="str">
        <f t="shared" si="29"/>
        <v>-</v>
      </c>
      <c r="CH26" s="39"/>
    </row>
    <row r="27" spans="1:86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2"/>
      <c r="D27" s="2"/>
      <c r="E27" s="3"/>
      <c r="F27" s="2"/>
      <c r="G27" s="2"/>
      <c r="H27" s="4"/>
      <c r="I27" s="4"/>
      <c r="J27" s="86"/>
      <c r="K27" s="5"/>
      <c r="L27" s="2"/>
      <c r="M27" s="2"/>
      <c r="N27" s="2"/>
      <c r="O27" s="2"/>
      <c r="P27" s="3"/>
      <c r="Q27" s="2"/>
      <c r="R27" s="2"/>
      <c r="S27" s="2"/>
      <c r="T27" s="2"/>
      <c r="U27" s="2"/>
      <c r="V27" s="3"/>
      <c r="W27" s="3"/>
      <c r="X27" s="2"/>
      <c r="Y27" s="2"/>
      <c r="Z27" s="2"/>
      <c r="AA27" s="2"/>
      <c r="AB27" s="2"/>
      <c r="AC27" s="2"/>
      <c r="AD27" s="2"/>
      <c r="AE27" s="2"/>
      <c r="AF27" s="3"/>
      <c r="AG27" s="3"/>
      <c r="AH27" s="2"/>
      <c r="AI27" s="6"/>
      <c r="AJ27" s="7"/>
      <c r="AK27" s="6"/>
      <c r="AL27" s="59"/>
      <c r="AM27" s="59"/>
      <c r="AN27" s="59"/>
      <c r="AO27" s="59"/>
      <c r="AP27" s="59"/>
      <c r="AQ27" s="59"/>
      <c r="AR27" s="59"/>
      <c r="AS27" s="59"/>
      <c r="AT27" s="8"/>
      <c r="AU27" s="8"/>
      <c r="AV27" s="9"/>
      <c r="AW27" s="8"/>
      <c r="AX27" s="10" t="str">
        <f t="shared" si="1"/>
        <v>-</v>
      </c>
      <c r="AY27" s="39"/>
      <c r="AZ27" s="1" t="str">
        <f t="shared" si="2"/>
        <v/>
      </c>
      <c r="BA27" s="11" t="str">
        <f t="shared" si="3"/>
        <v/>
      </c>
      <c r="BB27" s="1" t="str">
        <f t="shared" si="4"/>
        <v/>
      </c>
      <c r="BC27" s="39"/>
      <c r="BD27" s="53" t="str">
        <f t="shared" si="5"/>
        <v/>
      </c>
      <c r="BE27" s="12" t="str">
        <f t="shared" si="6"/>
        <v/>
      </c>
      <c r="BF27" s="12" t="str">
        <f t="shared" si="7"/>
        <v/>
      </c>
      <c r="BG27" s="12" t="str">
        <f t="shared" si="8"/>
        <v/>
      </c>
      <c r="BH27" s="12" t="str">
        <f t="shared" si="9"/>
        <v/>
      </c>
      <c r="BI27" s="54" t="str">
        <f t="shared" si="10"/>
        <v/>
      </c>
      <c r="BJ27" s="39"/>
      <c r="BK27" s="55" t="str">
        <f t="shared" si="11"/>
        <v/>
      </c>
      <c r="BL27" s="13" t="str">
        <f t="shared" si="12"/>
        <v/>
      </c>
      <c r="BM27" s="13" t="str">
        <f t="shared" si="13"/>
        <v/>
      </c>
      <c r="BN27" s="56" t="str">
        <f t="shared" si="14"/>
        <v/>
      </c>
      <c r="BO27" s="39"/>
      <c r="BP27" s="14" t="str">
        <f t="shared" si="15"/>
        <v/>
      </c>
      <c r="BQ27" s="15">
        <v>0</v>
      </c>
      <c r="BR27" s="15" t="str">
        <f t="shared" si="16"/>
        <v/>
      </c>
      <c r="BS27" s="15" t="str">
        <f t="shared" si="17"/>
        <v/>
      </c>
      <c r="BT27" s="16" t="str">
        <f t="shared" si="18"/>
        <v/>
      </c>
      <c r="BU27" s="39"/>
      <c r="BV27" s="51" t="str">
        <f t="shared" si="19"/>
        <v/>
      </c>
      <c r="BW27" s="28" t="str">
        <f t="shared" si="20"/>
        <v/>
      </c>
      <c r="BX27" s="28" t="str">
        <f t="shared" si="21"/>
        <v/>
      </c>
      <c r="BY27" s="28" t="str">
        <f t="shared" si="22"/>
        <v/>
      </c>
      <c r="BZ27" s="28" t="str">
        <f t="shared" si="23"/>
        <v/>
      </c>
      <c r="CA27" s="52" t="str">
        <f t="shared" si="24"/>
        <v/>
      </c>
      <c r="CB27" s="39"/>
      <c r="CC27" s="49" t="str">
        <f t="shared" si="25"/>
        <v>-</v>
      </c>
      <c r="CD27" s="29" t="str">
        <f t="shared" si="26"/>
        <v>-</v>
      </c>
      <c r="CE27" s="29" t="str">
        <f t="shared" si="27"/>
        <v>-</v>
      </c>
      <c r="CF27" s="29" t="str">
        <f t="shared" si="28"/>
        <v>-</v>
      </c>
      <c r="CG27" s="50" t="str">
        <f t="shared" si="29"/>
        <v>-</v>
      </c>
      <c r="CH27" s="39"/>
    </row>
    <row r="28" spans="1:86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2"/>
      <c r="D28" s="2"/>
      <c r="E28" s="3"/>
      <c r="F28" s="2"/>
      <c r="G28" s="2"/>
      <c r="H28" s="4"/>
      <c r="I28" s="4"/>
      <c r="J28" s="86"/>
      <c r="K28" s="5"/>
      <c r="L28" s="2"/>
      <c r="M28" s="2"/>
      <c r="N28" s="2"/>
      <c r="O28" s="2"/>
      <c r="P28" s="3"/>
      <c r="Q28" s="2"/>
      <c r="R28" s="2"/>
      <c r="S28" s="2"/>
      <c r="T28" s="2"/>
      <c r="U28" s="2"/>
      <c r="V28" s="3"/>
      <c r="W28" s="3"/>
      <c r="X28" s="2"/>
      <c r="Y28" s="2"/>
      <c r="Z28" s="2"/>
      <c r="AA28" s="2"/>
      <c r="AB28" s="2"/>
      <c r="AC28" s="2"/>
      <c r="AD28" s="2"/>
      <c r="AE28" s="2"/>
      <c r="AF28" s="3"/>
      <c r="AG28" s="3"/>
      <c r="AH28" s="2"/>
      <c r="AI28" s="6"/>
      <c r="AJ28" s="7"/>
      <c r="AK28" s="6"/>
      <c r="AL28" s="59"/>
      <c r="AM28" s="59"/>
      <c r="AN28" s="59"/>
      <c r="AO28" s="59"/>
      <c r="AP28" s="59"/>
      <c r="AQ28" s="59"/>
      <c r="AR28" s="59"/>
      <c r="AS28" s="59"/>
      <c r="AT28" s="8"/>
      <c r="AU28" s="8"/>
      <c r="AV28" s="9"/>
      <c r="AW28" s="8"/>
      <c r="AX28" s="10" t="str">
        <f t="shared" si="1"/>
        <v>-</v>
      </c>
      <c r="AY28" s="39"/>
      <c r="AZ28" s="1" t="str">
        <f t="shared" si="2"/>
        <v/>
      </c>
      <c r="BA28" s="11" t="str">
        <f t="shared" si="3"/>
        <v/>
      </c>
      <c r="BB28" s="1" t="str">
        <f t="shared" si="4"/>
        <v/>
      </c>
      <c r="BC28" s="39"/>
      <c r="BD28" s="53" t="str">
        <f t="shared" si="5"/>
        <v/>
      </c>
      <c r="BE28" s="12" t="str">
        <f t="shared" si="6"/>
        <v/>
      </c>
      <c r="BF28" s="12" t="str">
        <f t="shared" si="7"/>
        <v/>
      </c>
      <c r="BG28" s="12" t="str">
        <f t="shared" si="8"/>
        <v/>
      </c>
      <c r="BH28" s="12" t="str">
        <f t="shared" si="9"/>
        <v/>
      </c>
      <c r="BI28" s="54" t="str">
        <f t="shared" si="10"/>
        <v/>
      </c>
      <c r="BJ28" s="39"/>
      <c r="BK28" s="55" t="str">
        <f t="shared" si="11"/>
        <v/>
      </c>
      <c r="BL28" s="13" t="str">
        <f t="shared" si="12"/>
        <v/>
      </c>
      <c r="BM28" s="13" t="str">
        <f t="shared" si="13"/>
        <v/>
      </c>
      <c r="BN28" s="56" t="str">
        <f t="shared" si="14"/>
        <v/>
      </c>
      <c r="BO28" s="39"/>
      <c r="BP28" s="14" t="str">
        <f t="shared" si="15"/>
        <v/>
      </c>
      <c r="BQ28" s="15">
        <v>0</v>
      </c>
      <c r="BR28" s="15" t="str">
        <f t="shared" si="16"/>
        <v/>
      </c>
      <c r="BS28" s="15" t="str">
        <f t="shared" si="17"/>
        <v/>
      </c>
      <c r="BT28" s="16" t="str">
        <f t="shared" si="18"/>
        <v/>
      </c>
      <c r="BU28" s="39"/>
      <c r="BV28" s="51" t="str">
        <f t="shared" si="19"/>
        <v/>
      </c>
      <c r="BW28" s="28" t="str">
        <f t="shared" si="20"/>
        <v/>
      </c>
      <c r="BX28" s="28" t="str">
        <f t="shared" si="21"/>
        <v/>
      </c>
      <c r="BY28" s="28" t="str">
        <f t="shared" si="22"/>
        <v/>
      </c>
      <c r="BZ28" s="28" t="str">
        <f t="shared" si="23"/>
        <v/>
      </c>
      <c r="CA28" s="52" t="str">
        <f t="shared" si="24"/>
        <v/>
      </c>
      <c r="CB28" s="39"/>
      <c r="CC28" s="49" t="str">
        <f t="shared" si="25"/>
        <v>-</v>
      </c>
      <c r="CD28" s="29" t="str">
        <f t="shared" si="26"/>
        <v>-</v>
      </c>
      <c r="CE28" s="29" t="str">
        <f t="shared" si="27"/>
        <v>-</v>
      </c>
      <c r="CF28" s="29" t="str">
        <f t="shared" si="28"/>
        <v>-</v>
      </c>
      <c r="CG28" s="50" t="str">
        <f t="shared" si="29"/>
        <v>-</v>
      </c>
      <c r="CH28" s="39"/>
    </row>
    <row r="29" spans="1:86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2"/>
      <c r="D29" s="2"/>
      <c r="E29" s="3"/>
      <c r="F29" s="2"/>
      <c r="G29" s="2"/>
      <c r="H29" s="4"/>
      <c r="I29" s="4"/>
      <c r="J29" s="86"/>
      <c r="K29" s="5"/>
      <c r="L29" s="2"/>
      <c r="M29" s="2"/>
      <c r="N29" s="2"/>
      <c r="O29" s="2"/>
      <c r="P29" s="3"/>
      <c r="Q29" s="2"/>
      <c r="R29" s="2"/>
      <c r="S29" s="2"/>
      <c r="T29" s="2"/>
      <c r="U29" s="2"/>
      <c r="V29" s="3"/>
      <c r="W29" s="3"/>
      <c r="X29" s="2"/>
      <c r="Y29" s="2"/>
      <c r="Z29" s="2"/>
      <c r="AA29" s="2"/>
      <c r="AB29" s="2"/>
      <c r="AC29" s="2"/>
      <c r="AD29" s="2"/>
      <c r="AE29" s="2"/>
      <c r="AF29" s="3"/>
      <c r="AG29" s="3"/>
      <c r="AH29" s="2"/>
      <c r="AI29" s="6"/>
      <c r="AJ29" s="7"/>
      <c r="AK29" s="6"/>
      <c r="AL29" s="59"/>
      <c r="AM29" s="59"/>
      <c r="AN29" s="59"/>
      <c r="AO29" s="59"/>
      <c r="AP29" s="59"/>
      <c r="AQ29" s="59"/>
      <c r="AR29" s="59"/>
      <c r="AS29" s="59"/>
      <c r="AT29" s="8"/>
      <c r="AU29" s="8"/>
      <c r="AV29" s="9"/>
      <c r="AW29" s="8"/>
      <c r="AX29" s="10" t="str">
        <f>IFERROR(AN29/AW29,"-")</f>
        <v>-</v>
      </c>
      <c r="AY29" s="39"/>
      <c r="AZ29" s="1" t="str">
        <f t="shared" si="2"/>
        <v/>
      </c>
      <c r="BA29" s="11" t="str">
        <f t="shared" si="3"/>
        <v/>
      </c>
      <c r="BB29" s="1" t="str">
        <f t="shared" si="4"/>
        <v/>
      </c>
      <c r="BC29" s="39"/>
      <c r="BD29" s="53" t="str">
        <f t="shared" si="5"/>
        <v/>
      </c>
      <c r="BE29" s="12" t="str">
        <f t="shared" si="6"/>
        <v/>
      </c>
      <c r="BF29" s="12" t="str">
        <f t="shared" si="7"/>
        <v/>
      </c>
      <c r="BG29" s="12" t="str">
        <f t="shared" si="8"/>
        <v/>
      </c>
      <c r="BH29" s="12" t="str">
        <f t="shared" si="9"/>
        <v/>
      </c>
      <c r="BI29" s="54" t="str">
        <f t="shared" si="10"/>
        <v/>
      </c>
      <c r="BJ29" s="39"/>
      <c r="BK29" s="55" t="str">
        <f t="shared" si="11"/>
        <v/>
      </c>
      <c r="BL29" s="13" t="str">
        <f t="shared" si="12"/>
        <v/>
      </c>
      <c r="BM29" s="13" t="str">
        <f t="shared" si="13"/>
        <v/>
      </c>
      <c r="BN29" s="56" t="str">
        <f t="shared" si="14"/>
        <v/>
      </c>
      <c r="BO29" s="39"/>
      <c r="BP29" s="14" t="str">
        <f t="shared" si="15"/>
        <v/>
      </c>
      <c r="BQ29" s="15">
        <v>0</v>
      </c>
      <c r="BR29" s="15" t="str">
        <f t="shared" si="16"/>
        <v/>
      </c>
      <c r="BS29" s="15" t="str">
        <f t="shared" si="17"/>
        <v/>
      </c>
      <c r="BT29" s="16" t="str">
        <f t="shared" si="18"/>
        <v/>
      </c>
      <c r="BU29" s="39"/>
      <c r="BV29" s="51" t="str">
        <f t="shared" si="19"/>
        <v/>
      </c>
      <c r="BW29" s="28" t="str">
        <f t="shared" si="20"/>
        <v/>
      </c>
      <c r="BX29" s="28" t="str">
        <f t="shared" si="21"/>
        <v/>
      </c>
      <c r="BY29" s="28" t="str">
        <f t="shared" si="22"/>
        <v/>
      </c>
      <c r="BZ29" s="28" t="str">
        <f t="shared" si="23"/>
        <v/>
      </c>
      <c r="CA29" s="52" t="str">
        <f t="shared" si="24"/>
        <v/>
      </c>
      <c r="CB29" s="39"/>
      <c r="CC29" s="49" t="str">
        <f t="shared" si="25"/>
        <v>-</v>
      </c>
      <c r="CD29" s="29" t="str">
        <f t="shared" si="26"/>
        <v>-</v>
      </c>
      <c r="CE29" s="29" t="str">
        <f t="shared" si="27"/>
        <v>-</v>
      </c>
      <c r="CF29" s="29" t="str">
        <f t="shared" si="28"/>
        <v>-</v>
      </c>
      <c r="CG29" s="50" t="str">
        <f t="shared" si="29"/>
        <v>-</v>
      </c>
      <c r="CH29" s="39"/>
    </row>
    <row r="30" spans="1:86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2"/>
      <c r="D30" s="2"/>
      <c r="E30" s="3"/>
      <c r="F30" s="2"/>
      <c r="G30" s="2"/>
      <c r="H30" s="4"/>
      <c r="I30" s="4"/>
      <c r="J30" s="86"/>
      <c r="K30" s="5"/>
      <c r="L30" s="2"/>
      <c r="M30" s="2"/>
      <c r="N30" s="2"/>
      <c r="O30" s="2"/>
      <c r="P30" s="3"/>
      <c r="Q30" s="2"/>
      <c r="R30" s="2"/>
      <c r="S30" s="2"/>
      <c r="T30" s="2"/>
      <c r="U30" s="2"/>
      <c r="V30" s="3"/>
      <c r="W30" s="3"/>
      <c r="X30" s="2"/>
      <c r="Y30" s="2"/>
      <c r="Z30" s="2"/>
      <c r="AA30" s="2"/>
      <c r="AB30" s="2"/>
      <c r="AC30" s="2"/>
      <c r="AD30" s="2"/>
      <c r="AE30" s="2"/>
      <c r="AF30" s="3"/>
      <c r="AG30" s="3"/>
      <c r="AH30" s="2"/>
      <c r="AI30" s="6"/>
      <c r="AJ30" s="7"/>
      <c r="AK30" s="6"/>
      <c r="AL30" s="59"/>
      <c r="AM30" s="59"/>
      <c r="AN30" s="59"/>
      <c r="AO30" s="59"/>
      <c r="AP30" s="59"/>
      <c r="AQ30" s="59"/>
      <c r="AR30" s="59"/>
      <c r="AS30" s="59"/>
      <c r="AT30" s="8"/>
      <c r="AU30" s="8"/>
      <c r="AV30" s="9"/>
      <c r="AW30" s="8"/>
      <c r="AX30" s="10" t="str">
        <f>IFERROR(AN30/AW30,"-")</f>
        <v>-</v>
      </c>
      <c r="AY30" s="39"/>
      <c r="AZ30" s="1" t="str">
        <f t="shared" si="2"/>
        <v/>
      </c>
      <c r="BA30" s="11" t="str">
        <f t="shared" si="3"/>
        <v/>
      </c>
      <c r="BB30" s="1" t="str">
        <f t="shared" si="4"/>
        <v/>
      </c>
      <c r="BC30" s="39"/>
      <c r="BD30" s="53" t="str">
        <f t="shared" si="5"/>
        <v/>
      </c>
      <c r="BE30" s="12" t="str">
        <f t="shared" si="6"/>
        <v/>
      </c>
      <c r="BF30" s="12" t="str">
        <f t="shared" si="7"/>
        <v/>
      </c>
      <c r="BG30" s="12" t="str">
        <f t="shared" si="8"/>
        <v/>
      </c>
      <c r="BH30" s="12" t="str">
        <f t="shared" si="9"/>
        <v/>
      </c>
      <c r="BI30" s="54" t="str">
        <f t="shared" si="10"/>
        <v/>
      </c>
      <c r="BJ30" s="39"/>
      <c r="BK30" s="55" t="str">
        <f t="shared" si="11"/>
        <v/>
      </c>
      <c r="BL30" s="13" t="str">
        <f t="shared" si="12"/>
        <v/>
      </c>
      <c r="BM30" s="13" t="str">
        <f t="shared" si="13"/>
        <v/>
      </c>
      <c r="BN30" s="56" t="str">
        <f t="shared" si="14"/>
        <v/>
      </c>
      <c r="BO30" s="39"/>
      <c r="BP30" s="14" t="str">
        <f t="shared" si="15"/>
        <v/>
      </c>
      <c r="BQ30" s="15">
        <v>0</v>
      </c>
      <c r="BR30" s="15" t="str">
        <f t="shared" si="16"/>
        <v/>
      </c>
      <c r="BS30" s="15" t="str">
        <f t="shared" si="17"/>
        <v/>
      </c>
      <c r="BT30" s="16" t="str">
        <f t="shared" si="18"/>
        <v/>
      </c>
      <c r="BU30" s="39"/>
      <c r="BV30" s="51" t="str">
        <f t="shared" si="19"/>
        <v/>
      </c>
      <c r="BW30" s="28" t="str">
        <f t="shared" si="20"/>
        <v/>
      </c>
      <c r="BX30" s="28" t="str">
        <f t="shared" si="21"/>
        <v/>
      </c>
      <c r="BY30" s="28" t="str">
        <f t="shared" si="22"/>
        <v/>
      </c>
      <c r="BZ30" s="28" t="str">
        <f t="shared" si="23"/>
        <v/>
      </c>
      <c r="CA30" s="52" t="str">
        <f t="shared" si="24"/>
        <v/>
      </c>
      <c r="CB30" s="39"/>
      <c r="CC30" s="49" t="str">
        <f t="shared" si="25"/>
        <v>-</v>
      </c>
      <c r="CD30" s="29" t="str">
        <f t="shared" si="26"/>
        <v>-</v>
      </c>
      <c r="CE30" s="29" t="str">
        <f t="shared" si="27"/>
        <v>-</v>
      </c>
      <c r="CF30" s="29" t="str">
        <f t="shared" si="28"/>
        <v>-</v>
      </c>
      <c r="CG30" s="50" t="str">
        <f t="shared" si="29"/>
        <v>-</v>
      </c>
      <c r="CH30" s="39"/>
    </row>
    <row r="31" spans="1:86" s="27" customFormat="1" ht="12.4" customHeight="1" thickBot="1" x14ac:dyDescent="0.25">
      <c r="A31" s="43">
        <f t="shared" si="30"/>
        <v>46323</v>
      </c>
      <c r="B31" s="44" t="str">
        <f>+TEXT(A31,"DDD")</f>
        <v>Wed</v>
      </c>
      <c r="C31" s="2"/>
      <c r="D31" s="2"/>
      <c r="E31" s="3"/>
      <c r="F31" s="2"/>
      <c r="G31" s="2"/>
      <c r="H31" s="4"/>
      <c r="I31" s="4"/>
      <c r="J31" s="86"/>
      <c r="K31" s="5"/>
      <c r="L31" s="2"/>
      <c r="M31" s="2"/>
      <c r="N31" s="2"/>
      <c r="O31" s="2"/>
      <c r="P31" s="3"/>
      <c r="Q31" s="2"/>
      <c r="R31" s="2"/>
      <c r="S31" s="2"/>
      <c r="T31" s="2"/>
      <c r="U31" s="2"/>
      <c r="V31" s="3"/>
      <c r="W31" s="3"/>
      <c r="X31" s="2"/>
      <c r="Y31" s="2"/>
      <c r="Z31" s="2"/>
      <c r="AA31" s="2"/>
      <c r="AB31" s="2"/>
      <c r="AC31" s="2"/>
      <c r="AD31" s="2"/>
      <c r="AE31" s="2"/>
      <c r="AF31" s="3"/>
      <c r="AG31" s="3"/>
      <c r="AH31" s="2"/>
      <c r="AI31" s="6"/>
      <c r="AJ31" s="7"/>
      <c r="AK31" s="6"/>
      <c r="AL31" s="59"/>
      <c r="AM31" s="59"/>
      <c r="AN31" s="59"/>
      <c r="AO31" s="59"/>
      <c r="AP31" s="59"/>
      <c r="AQ31" s="59"/>
      <c r="AR31" s="59"/>
      <c r="AS31" s="59"/>
      <c r="AT31" s="8"/>
      <c r="AU31" s="8"/>
      <c r="AV31" s="9"/>
      <c r="AW31" s="8"/>
      <c r="AX31" s="10" t="str">
        <f t="shared" si="1"/>
        <v>-</v>
      </c>
      <c r="AY31" s="39"/>
      <c r="AZ31" s="1" t="str">
        <f t="shared" si="2"/>
        <v/>
      </c>
      <c r="BA31" s="11" t="str">
        <f t="shared" si="3"/>
        <v/>
      </c>
      <c r="BB31" s="1" t="str">
        <f t="shared" si="4"/>
        <v/>
      </c>
      <c r="BC31" s="39"/>
      <c r="BD31" s="53" t="str">
        <f t="shared" si="5"/>
        <v/>
      </c>
      <c r="BE31" s="12" t="str">
        <f t="shared" si="6"/>
        <v/>
      </c>
      <c r="BF31" s="12" t="str">
        <f t="shared" si="7"/>
        <v/>
      </c>
      <c r="BG31" s="12" t="str">
        <f t="shared" si="8"/>
        <v/>
      </c>
      <c r="BH31" s="12" t="str">
        <f t="shared" si="9"/>
        <v/>
      </c>
      <c r="BI31" s="54" t="str">
        <f t="shared" si="10"/>
        <v/>
      </c>
      <c r="BJ31" s="39"/>
      <c r="BK31" s="55" t="str">
        <f t="shared" si="11"/>
        <v/>
      </c>
      <c r="BL31" s="13" t="str">
        <f t="shared" si="12"/>
        <v/>
      </c>
      <c r="BM31" s="13" t="str">
        <f t="shared" si="13"/>
        <v/>
      </c>
      <c r="BN31" s="56" t="str">
        <f t="shared" si="14"/>
        <v/>
      </c>
      <c r="BO31" s="39"/>
      <c r="BP31" s="14" t="str">
        <f t="shared" si="15"/>
        <v/>
      </c>
      <c r="BQ31" s="15">
        <v>0</v>
      </c>
      <c r="BR31" s="15" t="str">
        <f t="shared" si="16"/>
        <v/>
      </c>
      <c r="BS31" s="15" t="str">
        <f t="shared" si="17"/>
        <v/>
      </c>
      <c r="BT31" s="16" t="str">
        <f t="shared" si="18"/>
        <v/>
      </c>
      <c r="BU31" s="39"/>
      <c r="BV31" s="51" t="str">
        <f t="shared" si="19"/>
        <v/>
      </c>
      <c r="BW31" s="28" t="str">
        <f t="shared" si="20"/>
        <v/>
      </c>
      <c r="BX31" s="28" t="str">
        <f t="shared" si="21"/>
        <v/>
      </c>
      <c r="BY31" s="28" t="str">
        <f t="shared" si="22"/>
        <v/>
      </c>
      <c r="BZ31" s="28" t="str">
        <f t="shared" si="23"/>
        <v/>
      </c>
      <c r="CA31" s="52" t="str">
        <f t="shared" si="24"/>
        <v/>
      </c>
      <c r="CB31" s="39"/>
      <c r="CC31" s="49" t="str">
        <f t="shared" si="25"/>
        <v>-</v>
      </c>
      <c r="CD31" s="29" t="str">
        <f t="shared" si="26"/>
        <v>-</v>
      </c>
      <c r="CE31" s="29" t="str">
        <f t="shared" si="27"/>
        <v>-</v>
      </c>
      <c r="CF31" s="29" t="str">
        <f t="shared" si="28"/>
        <v>-</v>
      </c>
      <c r="CG31" s="50" t="str">
        <f t="shared" si="29"/>
        <v>-</v>
      </c>
      <c r="CH31" s="39"/>
    </row>
    <row r="32" spans="1:86" s="27" customFormat="1" ht="12.4" customHeight="1" thickBot="1" x14ac:dyDescent="0.25">
      <c r="A32" s="43">
        <f t="shared" si="30"/>
        <v>46324</v>
      </c>
      <c r="B32" s="44" t="str">
        <f>+TEXT(A32,"DDD")</f>
        <v>Thu</v>
      </c>
      <c r="C32" s="2"/>
      <c r="D32" s="2"/>
      <c r="E32" s="3"/>
      <c r="F32" s="2"/>
      <c r="G32" s="2"/>
      <c r="H32" s="4"/>
      <c r="I32" s="4"/>
      <c r="J32" s="86"/>
      <c r="K32" s="5"/>
      <c r="L32" s="2"/>
      <c r="M32" s="2"/>
      <c r="N32" s="2"/>
      <c r="O32" s="2"/>
      <c r="P32" s="3"/>
      <c r="Q32" s="2"/>
      <c r="R32" s="2"/>
      <c r="S32" s="2"/>
      <c r="T32" s="2"/>
      <c r="U32" s="2"/>
      <c r="V32" s="3"/>
      <c r="W32" s="3"/>
      <c r="X32" s="2"/>
      <c r="Y32" s="2"/>
      <c r="Z32" s="2"/>
      <c r="AA32" s="2"/>
      <c r="AB32" s="2"/>
      <c r="AC32" s="2"/>
      <c r="AD32" s="2"/>
      <c r="AE32" s="2"/>
      <c r="AF32" s="3"/>
      <c r="AG32" s="3"/>
      <c r="AH32" s="2"/>
      <c r="AI32" s="6"/>
      <c r="AJ32" s="7"/>
      <c r="AK32" s="6"/>
      <c r="AL32" s="59"/>
      <c r="AM32" s="59"/>
      <c r="AN32" s="59"/>
      <c r="AO32" s="59"/>
      <c r="AP32" s="59"/>
      <c r="AQ32" s="59"/>
      <c r="AR32" s="59"/>
      <c r="AS32" s="59"/>
      <c r="AT32" s="8"/>
      <c r="AU32" s="8"/>
      <c r="AV32" s="9"/>
      <c r="AW32" s="8"/>
      <c r="AX32" s="10" t="str">
        <f>IFERROR(AN32/AW32,"-")</f>
        <v>-</v>
      </c>
      <c r="AY32" s="39"/>
      <c r="AZ32" s="1" t="str">
        <f t="shared" si="2"/>
        <v/>
      </c>
      <c r="BA32" s="11" t="str">
        <f t="shared" si="3"/>
        <v/>
      </c>
      <c r="BB32" s="1" t="str">
        <f t="shared" si="4"/>
        <v/>
      </c>
      <c r="BC32" s="39"/>
      <c r="BD32" s="53" t="str">
        <f t="shared" si="5"/>
        <v/>
      </c>
      <c r="BE32" s="12" t="str">
        <f t="shared" si="6"/>
        <v/>
      </c>
      <c r="BF32" s="12" t="str">
        <f t="shared" si="7"/>
        <v/>
      </c>
      <c r="BG32" s="12" t="str">
        <f t="shared" si="8"/>
        <v/>
      </c>
      <c r="BH32" s="12" t="str">
        <f t="shared" si="9"/>
        <v/>
      </c>
      <c r="BI32" s="54" t="str">
        <f t="shared" si="10"/>
        <v/>
      </c>
      <c r="BJ32" s="39"/>
      <c r="BK32" s="55" t="str">
        <f t="shared" si="11"/>
        <v/>
      </c>
      <c r="BL32" s="13" t="str">
        <f t="shared" si="12"/>
        <v/>
      </c>
      <c r="BM32" s="13" t="str">
        <f t="shared" si="13"/>
        <v/>
      </c>
      <c r="BN32" s="56" t="str">
        <f t="shared" si="14"/>
        <v/>
      </c>
      <c r="BO32" s="39"/>
      <c r="BP32" s="14" t="str">
        <f t="shared" si="15"/>
        <v/>
      </c>
      <c r="BQ32" s="15">
        <v>0</v>
      </c>
      <c r="BR32" s="15" t="str">
        <f t="shared" si="16"/>
        <v/>
      </c>
      <c r="BS32" s="15" t="str">
        <f t="shared" si="17"/>
        <v/>
      </c>
      <c r="BT32" s="16" t="str">
        <f t="shared" si="18"/>
        <v/>
      </c>
      <c r="BU32" s="39"/>
      <c r="BV32" s="51" t="str">
        <f t="shared" si="19"/>
        <v/>
      </c>
      <c r="BW32" s="28" t="str">
        <f t="shared" si="20"/>
        <v/>
      </c>
      <c r="BX32" s="28" t="str">
        <f t="shared" si="21"/>
        <v/>
      </c>
      <c r="BY32" s="28" t="str">
        <f t="shared" si="22"/>
        <v/>
      </c>
      <c r="BZ32" s="28" t="str">
        <f t="shared" si="23"/>
        <v/>
      </c>
      <c r="CA32" s="52" t="str">
        <f t="shared" si="24"/>
        <v/>
      </c>
      <c r="CB32" s="39"/>
      <c r="CC32" s="49" t="str">
        <f t="shared" si="25"/>
        <v>-</v>
      </c>
      <c r="CD32" s="29" t="str">
        <f t="shared" si="26"/>
        <v>-</v>
      </c>
      <c r="CE32" s="29" t="str">
        <f t="shared" si="27"/>
        <v>-</v>
      </c>
      <c r="CF32" s="29" t="str">
        <f t="shared" si="28"/>
        <v>-</v>
      </c>
      <c r="CG32" s="50" t="str">
        <f t="shared" si="29"/>
        <v>-</v>
      </c>
      <c r="CH32" s="39"/>
    </row>
    <row r="33" spans="1:86" s="27" customFormat="1" ht="12.4" customHeight="1" thickBot="1" x14ac:dyDescent="0.25">
      <c r="A33" s="43">
        <f t="shared" si="30"/>
        <v>46325</v>
      </c>
      <c r="B33" s="44" t="str">
        <f>+TEXT(A33,"DDD")</f>
        <v>Fri</v>
      </c>
      <c r="C33" s="2"/>
      <c r="D33" s="2"/>
      <c r="E33" s="3"/>
      <c r="F33" s="2"/>
      <c r="G33" s="2"/>
      <c r="H33" s="4"/>
      <c r="I33" s="4"/>
      <c r="J33" s="86"/>
      <c r="K33" s="5"/>
      <c r="L33" s="2"/>
      <c r="M33" s="2"/>
      <c r="N33" s="2"/>
      <c r="O33" s="2"/>
      <c r="P33" s="3"/>
      <c r="Q33" s="2"/>
      <c r="R33" s="2"/>
      <c r="S33" s="2"/>
      <c r="T33" s="2"/>
      <c r="U33" s="2"/>
      <c r="V33" s="3"/>
      <c r="W33" s="3"/>
      <c r="X33" s="2"/>
      <c r="Y33" s="2"/>
      <c r="Z33" s="2"/>
      <c r="AA33" s="2"/>
      <c r="AB33" s="2"/>
      <c r="AC33" s="2"/>
      <c r="AD33" s="2"/>
      <c r="AE33" s="2"/>
      <c r="AF33" s="3"/>
      <c r="AG33" s="3"/>
      <c r="AH33" s="2"/>
      <c r="AI33" s="6"/>
      <c r="AJ33" s="7"/>
      <c r="AK33" s="6"/>
      <c r="AL33" s="59"/>
      <c r="AM33" s="59"/>
      <c r="AN33" s="59"/>
      <c r="AO33" s="59"/>
      <c r="AP33" s="59"/>
      <c r="AQ33" s="59"/>
      <c r="AR33" s="59"/>
      <c r="AS33" s="59"/>
      <c r="AT33" s="8"/>
      <c r="AU33" s="8"/>
      <c r="AV33" s="9"/>
      <c r="AW33" s="8"/>
      <c r="AX33" s="10" t="str">
        <f>IFERROR(AN33/AW33,"-")</f>
        <v>-</v>
      </c>
      <c r="AY33" s="39"/>
      <c r="AZ33" s="1" t="str">
        <f t="shared" si="2"/>
        <v/>
      </c>
      <c r="BA33" s="11" t="str">
        <f t="shared" si="3"/>
        <v/>
      </c>
      <c r="BB33" s="1" t="str">
        <f t="shared" si="4"/>
        <v/>
      </c>
      <c r="BC33" s="39"/>
      <c r="BD33" s="53" t="str">
        <f t="shared" si="5"/>
        <v/>
      </c>
      <c r="BE33" s="12" t="str">
        <f t="shared" si="6"/>
        <v/>
      </c>
      <c r="BF33" s="12" t="str">
        <f t="shared" si="7"/>
        <v/>
      </c>
      <c r="BG33" s="12" t="str">
        <f t="shared" si="8"/>
        <v/>
      </c>
      <c r="BH33" s="12" t="str">
        <f t="shared" si="9"/>
        <v/>
      </c>
      <c r="BI33" s="54" t="str">
        <f t="shared" si="10"/>
        <v/>
      </c>
      <c r="BJ33" s="39"/>
      <c r="BK33" s="55" t="str">
        <f t="shared" si="11"/>
        <v/>
      </c>
      <c r="BL33" s="13" t="str">
        <f t="shared" si="12"/>
        <v/>
      </c>
      <c r="BM33" s="13" t="str">
        <f t="shared" si="13"/>
        <v/>
      </c>
      <c r="BN33" s="56" t="str">
        <f t="shared" si="14"/>
        <v/>
      </c>
      <c r="BO33" s="39"/>
      <c r="BP33" s="14" t="str">
        <f t="shared" si="15"/>
        <v/>
      </c>
      <c r="BQ33" s="15">
        <v>0</v>
      </c>
      <c r="BR33" s="15" t="str">
        <f t="shared" si="16"/>
        <v/>
      </c>
      <c r="BS33" s="15" t="str">
        <f t="shared" si="17"/>
        <v/>
      </c>
      <c r="BT33" s="16" t="str">
        <f t="shared" si="18"/>
        <v/>
      </c>
      <c r="BU33" s="39"/>
      <c r="BV33" s="51" t="str">
        <f t="shared" si="19"/>
        <v/>
      </c>
      <c r="BW33" s="28" t="str">
        <f t="shared" si="20"/>
        <v/>
      </c>
      <c r="BX33" s="28" t="str">
        <f t="shared" si="21"/>
        <v/>
      </c>
      <c r="BY33" s="28" t="str">
        <f t="shared" si="22"/>
        <v/>
      </c>
      <c r="BZ33" s="28" t="str">
        <f t="shared" si="23"/>
        <v/>
      </c>
      <c r="CA33" s="52" t="str">
        <f t="shared" si="24"/>
        <v/>
      </c>
      <c r="CB33" s="39"/>
      <c r="CC33" s="49" t="str">
        <f t="shared" si="25"/>
        <v>-</v>
      </c>
      <c r="CD33" s="29" t="str">
        <f t="shared" si="26"/>
        <v>-</v>
      </c>
      <c r="CE33" s="29" t="str">
        <f t="shared" si="27"/>
        <v>-</v>
      </c>
      <c r="CF33" s="29" t="str">
        <f t="shared" si="28"/>
        <v>-</v>
      </c>
      <c r="CG33" s="50" t="str">
        <f t="shared" si="29"/>
        <v>-</v>
      </c>
      <c r="CH33" s="39"/>
    </row>
    <row r="34" spans="1:86" s="27" customFormat="1" ht="12.4" customHeight="1" thickBot="1" x14ac:dyDescent="0.25">
      <c r="A34" s="43">
        <f t="shared" si="30"/>
        <v>46326</v>
      </c>
      <c r="B34" s="44" t="str">
        <f>+TEXT(A34,"DDD")</f>
        <v>Sat</v>
      </c>
      <c r="C34" s="2"/>
      <c r="D34" s="2"/>
      <c r="E34" s="3"/>
      <c r="F34" s="2"/>
      <c r="G34" s="2"/>
      <c r="H34" s="4"/>
      <c r="I34" s="4"/>
      <c r="J34" s="86"/>
      <c r="K34" s="5"/>
      <c r="L34" s="2"/>
      <c r="M34" s="2"/>
      <c r="N34" s="2"/>
      <c r="O34" s="2"/>
      <c r="P34" s="3"/>
      <c r="Q34" s="2"/>
      <c r="R34" s="2"/>
      <c r="S34" s="2"/>
      <c r="T34" s="2"/>
      <c r="U34" s="2"/>
      <c r="V34" s="3"/>
      <c r="W34" s="3"/>
      <c r="X34" s="2"/>
      <c r="Y34" s="2"/>
      <c r="Z34" s="2"/>
      <c r="AA34" s="2"/>
      <c r="AB34" s="2"/>
      <c r="AC34" s="2"/>
      <c r="AD34" s="2"/>
      <c r="AE34" s="2"/>
      <c r="AF34" s="3"/>
      <c r="AG34" s="3"/>
      <c r="AH34" s="2"/>
      <c r="AI34" s="6"/>
      <c r="AJ34" s="7"/>
      <c r="AK34" s="6"/>
      <c r="AL34" s="59"/>
      <c r="AM34" s="59"/>
      <c r="AN34" s="59"/>
      <c r="AO34" s="59"/>
      <c r="AP34" s="59"/>
      <c r="AQ34" s="59"/>
      <c r="AR34" s="59"/>
      <c r="AS34" s="59"/>
      <c r="AT34" s="8"/>
      <c r="AU34" s="8"/>
      <c r="AV34" s="9"/>
      <c r="AW34" s="8"/>
      <c r="AX34" s="10" t="str">
        <f>IFERROR(AN34/AW34,"-")</f>
        <v>-</v>
      </c>
      <c r="AY34" s="39"/>
      <c r="AZ34" s="1" t="str">
        <f t="shared" si="2"/>
        <v/>
      </c>
      <c r="BA34" s="11" t="str">
        <f t="shared" si="3"/>
        <v/>
      </c>
      <c r="BB34" s="1" t="str">
        <f t="shared" si="4"/>
        <v/>
      </c>
      <c r="BC34" s="39"/>
      <c r="BD34" s="53" t="str">
        <f t="shared" si="5"/>
        <v/>
      </c>
      <c r="BE34" s="12" t="str">
        <f t="shared" si="6"/>
        <v/>
      </c>
      <c r="BF34" s="12" t="str">
        <f t="shared" si="7"/>
        <v/>
      </c>
      <c r="BG34" s="12" t="str">
        <f t="shared" si="8"/>
        <v/>
      </c>
      <c r="BH34" s="12" t="str">
        <f t="shared" si="9"/>
        <v/>
      </c>
      <c r="BI34" s="54" t="str">
        <f t="shared" si="10"/>
        <v/>
      </c>
      <c r="BJ34" s="39"/>
      <c r="BK34" s="55" t="str">
        <f t="shared" si="11"/>
        <v/>
      </c>
      <c r="BL34" s="13" t="str">
        <f t="shared" si="12"/>
        <v/>
      </c>
      <c r="BM34" s="13" t="str">
        <f t="shared" si="13"/>
        <v/>
      </c>
      <c r="BN34" s="56" t="str">
        <f t="shared" si="14"/>
        <v/>
      </c>
      <c r="BO34" s="39"/>
      <c r="BP34" s="14" t="str">
        <f t="shared" si="15"/>
        <v/>
      </c>
      <c r="BQ34" s="15">
        <v>0</v>
      </c>
      <c r="BR34" s="15" t="str">
        <f t="shared" si="16"/>
        <v/>
      </c>
      <c r="BS34" s="15" t="str">
        <f t="shared" si="17"/>
        <v/>
      </c>
      <c r="BT34" s="16" t="str">
        <f t="shared" si="18"/>
        <v/>
      </c>
      <c r="BU34" s="39"/>
      <c r="BV34" s="51" t="str">
        <f t="shared" si="19"/>
        <v/>
      </c>
      <c r="BW34" s="28" t="str">
        <f t="shared" si="20"/>
        <v/>
      </c>
      <c r="BX34" s="28" t="str">
        <f t="shared" si="21"/>
        <v/>
      </c>
      <c r="BY34" s="28" t="str">
        <f t="shared" si="22"/>
        <v/>
      </c>
      <c r="BZ34" s="28" t="str">
        <f t="shared" si="23"/>
        <v/>
      </c>
      <c r="CA34" s="52" t="str">
        <f t="shared" si="24"/>
        <v/>
      </c>
      <c r="CB34" s="39"/>
      <c r="CC34" s="49" t="str">
        <f t="shared" si="25"/>
        <v>-</v>
      </c>
      <c r="CD34" s="29" t="str">
        <f t="shared" si="26"/>
        <v>-</v>
      </c>
      <c r="CE34" s="29" t="str">
        <f t="shared" si="27"/>
        <v>-</v>
      </c>
      <c r="CF34" s="29" t="str">
        <f t="shared" si="28"/>
        <v>-</v>
      </c>
      <c r="CG34" s="50" t="str">
        <f t="shared" si="29"/>
        <v>-</v>
      </c>
      <c r="CH34" s="39"/>
    </row>
    <row r="35" spans="1:86" s="27" customFormat="1" ht="13.15" customHeight="1" thickBot="1" x14ac:dyDescent="0.25">
      <c r="A35" s="288" t="s">
        <v>68</v>
      </c>
      <c r="B35" s="289"/>
      <c r="C35" s="45" t="e">
        <f>AVERAGE(C4:C34)</f>
        <v>#DIV/0!</v>
      </c>
      <c r="D35" s="45" t="e">
        <f t="shared" ref="D35:AW35" si="31">AVERAGE(D4:D34)</f>
        <v>#DIV/0!</v>
      </c>
      <c r="E35" s="45" t="e">
        <f t="shared" si="31"/>
        <v>#DIV/0!</v>
      </c>
      <c r="F35" s="45" t="e">
        <f t="shared" si="31"/>
        <v>#DIV/0!</v>
      </c>
      <c r="G35" s="45" t="e">
        <f t="shared" si="31"/>
        <v>#DIV/0!</v>
      </c>
      <c r="H35" s="45" t="e">
        <f t="shared" si="31"/>
        <v>#DIV/0!</v>
      </c>
      <c r="I35" s="45" t="e">
        <f t="shared" si="31"/>
        <v>#DIV/0!</v>
      </c>
      <c r="J35" s="45" t="e">
        <f t="shared" si="31"/>
        <v>#DIV/0!</v>
      </c>
      <c r="K35" s="45" t="e">
        <f t="shared" si="31"/>
        <v>#DIV/0!</v>
      </c>
      <c r="L35" s="45" t="e">
        <f t="shared" si="31"/>
        <v>#DIV/0!</v>
      </c>
      <c r="M35" s="45" t="e">
        <f t="shared" si="31"/>
        <v>#DIV/0!</v>
      </c>
      <c r="N35" s="45" t="e">
        <f t="shared" si="31"/>
        <v>#DIV/0!</v>
      </c>
      <c r="O35" s="45" t="e">
        <f t="shared" si="31"/>
        <v>#DIV/0!</v>
      </c>
      <c r="P35" s="45" t="e">
        <f t="shared" si="31"/>
        <v>#DIV/0!</v>
      </c>
      <c r="Q35" s="45" t="e">
        <f t="shared" si="31"/>
        <v>#DIV/0!</v>
      </c>
      <c r="R35" s="45" t="e">
        <f t="shared" si="31"/>
        <v>#DIV/0!</v>
      </c>
      <c r="S35" s="45" t="e">
        <f t="shared" si="31"/>
        <v>#DIV/0!</v>
      </c>
      <c r="T35" s="45" t="e">
        <f t="shared" si="31"/>
        <v>#DIV/0!</v>
      </c>
      <c r="U35" s="45" t="e">
        <f t="shared" si="31"/>
        <v>#DIV/0!</v>
      </c>
      <c r="V35" s="45" t="e">
        <f t="shared" si="31"/>
        <v>#DIV/0!</v>
      </c>
      <c r="W35" s="45" t="e">
        <f t="shared" si="31"/>
        <v>#DIV/0!</v>
      </c>
      <c r="X35" s="45" t="e">
        <f t="shared" si="31"/>
        <v>#DIV/0!</v>
      </c>
      <c r="Y35" s="45" t="e">
        <f t="shared" si="31"/>
        <v>#DIV/0!</v>
      </c>
      <c r="Z35" s="45" t="e">
        <f t="shared" si="31"/>
        <v>#DIV/0!</v>
      </c>
      <c r="AA35" s="45" t="e">
        <f t="shared" si="31"/>
        <v>#DIV/0!</v>
      </c>
      <c r="AB35" s="45" t="e">
        <f t="shared" si="31"/>
        <v>#DIV/0!</v>
      </c>
      <c r="AC35" s="45" t="e">
        <f t="shared" si="31"/>
        <v>#DIV/0!</v>
      </c>
      <c r="AD35" s="45" t="e">
        <f t="shared" si="31"/>
        <v>#DIV/0!</v>
      </c>
      <c r="AE35" s="45" t="e">
        <f t="shared" si="31"/>
        <v>#DIV/0!</v>
      </c>
      <c r="AF35" s="45" t="e">
        <f t="shared" si="31"/>
        <v>#DIV/0!</v>
      </c>
      <c r="AG35" s="45" t="e">
        <f t="shared" si="31"/>
        <v>#DIV/0!</v>
      </c>
      <c r="AH35" s="45" t="e">
        <f t="shared" si="31"/>
        <v>#DIV/0!</v>
      </c>
      <c r="AI35" s="45" t="e">
        <f t="shared" si="31"/>
        <v>#DIV/0!</v>
      </c>
      <c r="AJ35" s="45" t="e">
        <f t="shared" si="31"/>
        <v>#DIV/0!</v>
      </c>
      <c r="AK35" s="45" t="e">
        <f t="shared" si="31"/>
        <v>#DIV/0!</v>
      </c>
      <c r="AL35" s="45" t="e">
        <f t="shared" si="31"/>
        <v>#DIV/0!</v>
      </c>
      <c r="AM35" s="45" t="e">
        <f t="shared" si="31"/>
        <v>#DIV/0!</v>
      </c>
      <c r="AN35" s="45" t="e">
        <f t="shared" si="31"/>
        <v>#DIV/0!</v>
      </c>
      <c r="AO35" s="45" t="e">
        <f t="shared" si="31"/>
        <v>#DIV/0!</v>
      </c>
      <c r="AP35" s="45" t="e">
        <f t="shared" si="31"/>
        <v>#DIV/0!</v>
      </c>
      <c r="AQ35" s="45" t="e">
        <f t="shared" si="31"/>
        <v>#DIV/0!</v>
      </c>
      <c r="AR35" s="45" t="e">
        <f t="shared" si="31"/>
        <v>#DIV/0!</v>
      </c>
      <c r="AS35" s="45" t="e">
        <f t="shared" si="31"/>
        <v>#DIV/0!</v>
      </c>
      <c r="AT35" s="45" t="e">
        <f t="shared" si="31"/>
        <v>#DIV/0!</v>
      </c>
      <c r="AU35" s="45" t="e">
        <f t="shared" si="31"/>
        <v>#DIV/0!</v>
      </c>
      <c r="AV35" s="45" t="e">
        <f t="shared" si="31"/>
        <v>#DIV/0!</v>
      </c>
      <c r="AW35" s="45" t="e">
        <f t="shared" si="31"/>
        <v>#DIV/0!</v>
      </c>
      <c r="AX35" s="46" t="str">
        <f t="shared" si="1"/>
        <v>-</v>
      </c>
      <c r="AY35" s="39"/>
      <c r="AZ35" s="18" t="e">
        <f t="shared" si="2"/>
        <v>#DIV/0!</v>
      </c>
      <c r="BA35" s="19" t="e">
        <f t="shared" si="3"/>
        <v>#DIV/0!</v>
      </c>
      <c r="BB35" s="20" t="e">
        <f t="shared" si="4"/>
        <v>#DIV/0!</v>
      </c>
      <c r="BC35" s="39"/>
      <c r="BD35" s="18" t="e">
        <f t="shared" si="5"/>
        <v>#DIV/0!</v>
      </c>
      <c r="BE35" s="21" t="e">
        <f t="shared" si="6"/>
        <v>#DIV/0!</v>
      </c>
      <c r="BF35" s="21" t="e">
        <f t="shared" si="7"/>
        <v>#DIV/0!</v>
      </c>
      <c r="BG35" s="21" t="e">
        <f t="shared" si="8"/>
        <v>#DIV/0!</v>
      </c>
      <c r="BH35" s="21" t="e">
        <f t="shared" si="9"/>
        <v>#DIV/0!</v>
      </c>
      <c r="BI35" s="20" t="e">
        <f t="shared" si="10"/>
        <v>#DIV/0!</v>
      </c>
      <c r="BJ35" s="39"/>
      <c r="BK35" s="18" t="e">
        <f t="shared" si="11"/>
        <v>#DIV/0!</v>
      </c>
      <c r="BL35" s="21" t="e">
        <f t="shared" si="12"/>
        <v>#DIV/0!</v>
      </c>
      <c r="BM35" s="21" t="e">
        <f t="shared" si="13"/>
        <v>#DIV/0!</v>
      </c>
      <c r="BN35" s="20" t="e">
        <f t="shared" si="14"/>
        <v>#DIV/0!</v>
      </c>
      <c r="BO35" s="39"/>
      <c r="BP35" s="18" t="e">
        <f t="shared" si="15"/>
        <v>#DIV/0!</v>
      </c>
      <c r="BQ35" s="21">
        <v>0</v>
      </c>
      <c r="BR35" s="21" t="e">
        <f t="shared" si="16"/>
        <v>#DIV/0!</v>
      </c>
      <c r="BS35" s="21" t="e">
        <f t="shared" si="17"/>
        <v>#DIV/0!</v>
      </c>
      <c r="BT35" s="20" t="e">
        <f t="shared" si="18"/>
        <v>#DIV/0!</v>
      </c>
      <c r="BU35" s="39"/>
      <c r="BV35" s="30" t="e">
        <f t="shared" si="19"/>
        <v>#DIV/0!</v>
      </c>
      <c r="BW35" s="31" t="e">
        <f t="shared" si="20"/>
        <v>#DIV/0!</v>
      </c>
      <c r="BX35" s="31" t="e">
        <f t="shared" si="21"/>
        <v>#DIV/0!</v>
      </c>
      <c r="BY35" s="31" t="e">
        <f t="shared" si="22"/>
        <v>#DIV/0!</v>
      </c>
      <c r="BZ35" s="31" t="e">
        <f t="shared" si="23"/>
        <v>#DIV/0!</v>
      </c>
      <c r="CA35" s="32" t="e">
        <f t="shared" si="24"/>
        <v>#DIV/0!</v>
      </c>
      <c r="CB35" s="39"/>
      <c r="CC35" s="30" t="str">
        <f t="shared" si="25"/>
        <v>-</v>
      </c>
      <c r="CD35" s="31" t="str">
        <f t="shared" si="26"/>
        <v>-</v>
      </c>
      <c r="CE35" s="31" t="str">
        <f t="shared" si="27"/>
        <v>-</v>
      </c>
      <c r="CF35" s="31" t="str">
        <f t="shared" si="28"/>
        <v>-</v>
      </c>
      <c r="CG35" s="32" t="str">
        <f t="shared" si="29"/>
        <v>-</v>
      </c>
      <c r="CH35" s="39"/>
    </row>
    <row r="36" spans="1:86" s="27" customFormat="1" ht="13.15" customHeight="1" thickBot="1" x14ac:dyDescent="0.25">
      <c r="A36" s="288" t="s">
        <v>69</v>
      </c>
      <c r="B36" s="289"/>
      <c r="C36" s="47">
        <f>SUM(C4:C34)</f>
        <v>0</v>
      </c>
      <c r="D36" s="47">
        <f t="shared" ref="D36:AW36" si="32">SUM(D4:D34)</f>
        <v>0</v>
      </c>
      <c r="E36" s="47">
        <f t="shared" si="32"/>
        <v>0</v>
      </c>
      <c r="F36" s="47">
        <f t="shared" si="32"/>
        <v>0</v>
      </c>
      <c r="G36" s="47">
        <f t="shared" si="32"/>
        <v>0</v>
      </c>
      <c r="H36" s="47">
        <f t="shared" si="32"/>
        <v>0</v>
      </c>
      <c r="I36" s="47">
        <f t="shared" si="32"/>
        <v>0</v>
      </c>
      <c r="J36" s="47">
        <f t="shared" si="32"/>
        <v>0</v>
      </c>
      <c r="K36" s="47">
        <f t="shared" si="32"/>
        <v>0</v>
      </c>
      <c r="L36" s="47">
        <f t="shared" si="32"/>
        <v>0</v>
      </c>
      <c r="M36" s="47">
        <f t="shared" si="32"/>
        <v>0</v>
      </c>
      <c r="N36" s="47">
        <f t="shared" si="32"/>
        <v>0</v>
      </c>
      <c r="O36" s="47">
        <f t="shared" si="32"/>
        <v>0</v>
      </c>
      <c r="P36" s="47">
        <f t="shared" si="32"/>
        <v>0</v>
      </c>
      <c r="Q36" s="47">
        <f t="shared" si="32"/>
        <v>0</v>
      </c>
      <c r="R36" s="47">
        <f t="shared" si="32"/>
        <v>0</v>
      </c>
      <c r="S36" s="47">
        <f t="shared" si="32"/>
        <v>0</v>
      </c>
      <c r="T36" s="47">
        <f t="shared" si="32"/>
        <v>0</v>
      </c>
      <c r="U36" s="47">
        <f t="shared" si="32"/>
        <v>0</v>
      </c>
      <c r="V36" s="47">
        <f t="shared" si="32"/>
        <v>0</v>
      </c>
      <c r="W36" s="47">
        <f t="shared" si="32"/>
        <v>0</v>
      </c>
      <c r="X36" s="47">
        <f t="shared" si="32"/>
        <v>0</v>
      </c>
      <c r="Y36" s="47">
        <f t="shared" si="32"/>
        <v>0</v>
      </c>
      <c r="Z36" s="47">
        <f t="shared" si="32"/>
        <v>0</v>
      </c>
      <c r="AA36" s="47">
        <f t="shared" si="32"/>
        <v>0</v>
      </c>
      <c r="AB36" s="47">
        <f t="shared" si="32"/>
        <v>0</v>
      </c>
      <c r="AC36" s="47">
        <f t="shared" si="32"/>
        <v>0</v>
      </c>
      <c r="AD36" s="47">
        <f t="shared" si="32"/>
        <v>0</v>
      </c>
      <c r="AE36" s="47">
        <f t="shared" si="32"/>
        <v>0</v>
      </c>
      <c r="AF36" s="47">
        <f t="shared" si="32"/>
        <v>0</v>
      </c>
      <c r="AG36" s="47">
        <f t="shared" si="32"/>
        <v>0</v>
      </c>
      <c r="AH36" s="47">
        <f t="shared" si="32"/>
        <v>0</v>
      </c>
      <c r="AI36" s="47">
        <f t="shared" si="32"/>
        <v>0</v>
      </c>
      <c r="AJ36" s="47">
        <f t="shared" si="32"/>
        <v>0</v>
      </c>
      <c r="AK36" s="47">
        <f t="shared" si="32"/>
        <v>0</v>
      </c>
      <c r="AL36" s="47">
        <f t="shared" si="32"/>
        <v>0</v>
      </c>
      <c r="AM36" s="47">
        <f t="shared" si="32"/>
        <v>0</v>
      </c>
      <c r="AN36" s="47">
        <f t="shared" si="32"/>
        <v>0</v>
      </c>
      <c r="AO36" s="47">
        <f t="shared" si="32"/>
        <v>0</v>
      </c>
      <c r="AP36" s="47">
        <f t="shared" si="32"/>
        <v>0</v>
      </c>
      <c r="AQ36" s="47">
        <f t="shared" si="32"/>
        <v>0</v>
      </c>
      <c r="AR36" s="47">
        <f t="shared" si="32"/>
        <v>0</v>
      </c>
      <c r="AS36" s="47">
        <f t="shared" si="32"/>
        <v>0</v>
      </c>
      <c r="AT36" s="47">
        <f t="shared" si="32"/>
        <v>0</v>
      </c>
      <c r="AU36" s="47">
        <f t="shared" si="32"/>
        <v>0</v>
      </c>
      <c r="AV36" s="47">
        <f t="shared" si="32"/>
        <v>0</v>
      </c>
      <c r="AW36" s="47">
        <f t="shared" si="32"/>
        <v>0</v>
      </c>
      <c r="AX36" s="48" t="str">
        <f t="shared" si="1"/>
        <v>-</v>
      </c>
      <c r="AY36" s="40"/>
      <c r="AZ36" s="23" t="str">
        <f t="shared" si="2"/>
        <v/>
      </c>
      <c r="BA36" s="24" t="str">
        <f t="shared" si="3"/>
        <v/>
      </c>
      <c r="BB36" s="25" t="str">
        <f t="shared" si="4"/>
        <v/>
      </c>
      <c r="BC36" s="40"/>
      <c r="BD36" s="23" t="str">
        <f t="shared" si="5"/>
        <v/>
      </c>
      <c r="BE36" s="26" t="str">
        <f t="shared" si="6"/>
        <v/>
      </c>
      <c r="BF36" s="26" t="str">
        <f t="shared" si="7"/>
        <v/>
      </c>
      <c r="BG36" s="26" t="str">
        <f t="shared" si="8"/>
        <v/>
      </c>
      <c r="BH36" s="26" t="str">
        <f t="shared" si="9"/>
        <v/>
      </c>
      <c r="BI36" s="25" t="str">
        <f t="shared" si="10"/>
        <v/>
      </c>
      <c r="BJ36" s="40"/>
      <c r="BK36" s="23" t="str">
        <f t="shared" si="11"/>
        <v/>
      </c>
      <c r="BL36" s="26" t="str">
        <f t="shared" si="12"/>
        <v/>
      </c>
      <c r="BM36" s="26" t="str">
        <f t="shared" si="13"/>
        <v/>
      </c>
      <c r="BN36" s="25" t="str">
        <f t="shared" si="14"/>
        <v/>
      </c>
      <c r="BO36" s="40"/>
      <c r="BP36" s="23" t="str">
        <f t="shared" si="15"/>
        <v/>
      </c>
      <c r="BQ36" s="26">
        <v>0</v>
      </c>
      <c r="BR36" s="26" t="str">
        <f t="shared" si="16"/>
        <v/>
      </c>
      <c r="BS36" s="26" t="str">
        <f t="shared" si="17"/>
        <v/>
      </c>
      <c r="BT36" s="25" t="str">
        <f t="shared" si="18"/>
        <v/>
      </c>
      <c r="BU36" s="40"/>
      <c r="BV36" s="33" t="str">
        <f t="shared" si="19"/>
        <v/>
      </c>
      <c r="BW36" s="34" t="str">
        <f t="shared" si="20"/>
        <v/>
      </c>
      <c r="BX36" s="34" t="str">
        <f t="shared" si="21"/>
        <v/>
      </c>
      <c r="BY36" s="34" t="str">
        <f t="shared" si="22"/>
        <v/>
      </c>
      <c r="BZ36" s="34" t="str">
        <f t="shared" si="23"/>
        <v/>
      </c>
      <c r="CA36" s="35" t="str">
        <f t="shared" si="24"/>
        <v/>
      </c>
      <c r="CB36" s="40"/>
      <c r="CC36" s="33" t="str">
        <f t="shared" si="25"/>
        <v>-</v>
      </c>
      <c r="CD36" s="34" t="str">
        <f t="shared" si="26"/>
        <v>-</v>
      </c>
      <c r="CE36" s="34" t="str">
        <f t="shared" si="27"/>
        <v>-</v>
      </c>
      <c r="CF36" s="34" t="str">
        <f t="shared" si="28"/>
        <v>-</v>
      </c>
      <c r="CG36" s="35" t="str">
        <f t="shared" si="29"/>
        <v>-</v>
      </c>
      <c r="CH36" s="40"/>
    </row>
    <row r="37" spans="1:86" x14ac:dyDescent="0.2"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</sheetData>
  <mergeCells count="88"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workbookViewId="0">
      <selection activeCell="C4" sqref="C4:AW4"/>
    </sheetView>
  </sheetViews>
  <sheetFormatPr defaultColWidth="0" defaultRowHeight="11.25" x14ac:dyDescent="0.2"/>
  <cols>
    <col min="1" max="1" width="9.5703125" style="154" bestFit="1" customWidth="1"/>
    <col min="2" max="2" width="4.5703125" style="154" customWidth="1"/>
    <col min="3" max="3" width="15.5703125" style="154" bestFit="1" customWidth="1"/>
    <col min="4" max="4" width="18.85546875" style="154" bestFit="1" customWidth="1"/>
    <col min="5" max="5" width="20" style="154" bestFit="1" customWidth="1"/>
    <col min="6" max="6" width="16" style="154" bestFit="1" customWidth="1"/>
    <col min="7" max="7" width="8.5703125" style="154" bestFit="1" customWidth="1"/>
    <col min="8" max="8" width="18.5703125" style="154" bestFit="1" customWidth="1"/>
    <col min="9" max="9" width="9" style="154" bestFit="1" customWidth="1"/>
    <col min="10" max="10" width="9.42578125" style="154" customWidth="1"/>
    <col min="11" max="11" width="11" style="154" bestFit="1" customWidth="1"/>
    <col min="12" max="20" width="8.5703125" style="154" bestFit="1" customWidth="1"/>
    <col min="21" max="21" width="6" style="154" bestFit="1" customWidth="1"/>
    <col min="22" max="34" width="8.5703125" style="154" bestFit="1" customWidth="1"/>
    <col min="35" max="35" width="13.28515625" style="154" bestFit="1" customWidth="1"/>
    <col min="36" max="36" width="15.7109375" style="154" bestFit="1" customWidth="1"/>
    <col min="37" max="37" width="16.28515625" style="154" bestFit="1" customWidth="1"/>
    <col min="38" max="38" width="15.42578125" style="154" bestFit="1" customWidth="1"/>
    <col min="39" max="39" width="15.85546875" style="154" bestFit="1" customWidth="1"/>
    <col min="40" max="40" width="16.28515625" style="154" bestFit="1" customWidth="1"/>
    <col min="41" max="41" width="10" style="154" bestFit="1" customWidth="1"/>
    <col min="42" max="42" width="13.85546875" style="154" bestFit="1" customWidth="1"/>
    <col min="43" max="43" width="11.140625" style="154" bestFit="1" customWidth="1"/>
    <col min="44" max="44" width="10.28515625" style="154" bestFit="1" customWidth="1"/>
    <col min="45" max="45" width="12.5703125" style="158" bestFit="1" customWidth="1"/>
    <col min="46" max="46" width="10" style="154" bestFit="1" customWidth="1"/>
    <col min="47" max="47" width="10.7109375" style="154" customWidth="1"/>
    <col min="48" max="48" width="16.28515625" style="154" bestFit="1" customWidth="1"/>
    <col min="49" max="50" width="16.140625" style="154" bestFit="1" customWidth="1"/>
    <col min="51" max="51" width="2.28515625" style="154" customWidth="1"/>
    <col min="52" max="52" width="16.42578125" style="154" bestFit="1" customWidth="1"/>
    <col min="53" max="53" width="12" style="154" bestFit="1" customWidth="1"/>
    <col min="54" max="54" width="12.85546875" style="154" bestFit="1" customWidth="1"/>
    <col min="55" max="55" width="1.5703125" style="154" customWidth="1"/>
    <col min="56" max="56" width="12.7109375" style="154" bestFit="1" customWidth="1"/>
    <col min="57" max="57" width="13.42578125" style="154" bestFit="1" customWidth="1"/>
    <col min="58" max="58" width="20.42578125" style="154" bestFit="1" customWidth="1"/>
    <col min="59" max="59" width="9.5703125" style="154" bestFit="1" customWidth="1"/>
    <col min="60" max="60" width="14.85546875" style="154" bestFit="1" customWidth="1"/>
    <col min="61" max="61" width="10.7109375" style="154" bestFit="1" customWidth="1"/>
    <col min="62" max="62" width="1.85546875" style="154" customWidth="1"/>
    <col min="63" max="63" width="20.28515625" style="154" bestFit="1" customWidth="1"/>
    <col min="64" max="64" width="25.42578125" style="154" bestFit="1" customWidth="1"/>
    <col min="65" max="65" width="14.140625" style="154" bestFit="1" customWidth="1"/>
    <col min="66" max="66" width="18.140625" style="154" bestFit="1" customWidth="1"/>
    <col min="67" max="67" width="2.140625" style="154" customWidth="1"/>
    <col min="68" max="68" width="9.28515625" style="154" bestFit="1" customWidth="1"/>
    <col min="69" max="69" width="13" style="154" bestFit="1" customWidth="1"/>
    <col min="70" max="70" width="14.140625" style="154" bestFit="1" customWidth="1"/>
    <col min="71" max="71" width="13.85546875" style="154" bestFit="1" customWidth="1"/>
    <col min="72" max="72" width="8" style="154" bestFit="1" customWidth="1"/>
    <col min="73" max="73" width="2.140625" style="154" customWidth="1"/>
    <col min="74" max="74" width="18.5703125" style="154" bestFit="1" customWidth="1"/>
    <col min="75" max="75" width="14.5703125" style="154" bestFit="1" customWidth="1"/>
    <col min="76" max="76" width="18.5703125" style="154" bestFit="1" customWidth="1"/>
    <col min="77" max="77" width="19" style="154" bestFit="1" customWidth="1"/>
    <col min="78" max="78" width="18.140625" style="154" bestFit="1" customWidth="1"/>
    <col min="79" max="79" width="18.7109375" style="154" bestFit="1" customWidth="1"/>
    <col min="80" max="80" width="1.85546875" style="154" customWidth="1"/>
    <col min="81" max="81" width="5.5703125" style="154" customWidth="1"/>
    <col min="82" max="82" width="5.7109375" style="154" bestFit="1" customWidth="1"/>
    <col min="83" max="83" width="6" style="154" bestFit="1" customWidth="1"/>
    <col min="84" max="84" width="6.7109375" style="154" bestFit="1" customWidth="1"/>
    <col min="85" max="85" width="8.5703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93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0" si="0">+TEXT(A4,"DDD")</f>
        <v>Thu</v>
      </c>
      <c r="C4" s="98"/>
      <c r="D4" s="98"/>
      <c r="E4" s="103"/>
      <c r="F4" s="98"/>
      <c r="G4" s="98"/>
      <c r="H4" s="104"/>
      <c r="I4" s="104"/>
      <c r="J4" s="105"/>
      <c r="K4" s="106"/>
      <c r="L4" s="98"/>
      <c r="M4" s="98"/>
      <c r="N4" s="98"/>
      <c r="O4" s="98"/>
      <c r="P4" s="103"/>
      <c r="Q4" s="98"/>
      <c r="R4" s="98"/>
      <c r="S4" s="98"/>
      <c r="T4" s="98"/>
      <c r="U4" s="98"/>
      <c r="V4" s="103"/>
      <c r="W4" s="103"/>
      <c r="X4" s="98"/>
      <c r="Y4" s="98"/>
      <c r="Z4" s="98"/>
      <c r="AA4" s="98"/>
      <c r="AB4" s="98"/>
      <c r="AC4" s="98"/>
      <c r="AD4" s="98"/>
      <c r="AE4" s="98"/>
      <c r="AF4" s="103"/>
      <c r="AG4" s="103"/>
      <c r="AH4" s="98"/>
      <c r="AI4" s="107"/>
      <c r="AJ4" s="108"/>
      <c r="AK4" s="107"/>
      <c r="AL4" s="99"/>
      <c r="AM4" s="99"/>
      <c r="AN4" s="99"/>
      <c r="AO4" s="99"/>
      <c r="AP4" s="99"/>
      <c r="AQ4" s="99"/>
      <c r="AR4" s="99"/>
      <c r="AS4" s="99"/>
      <c r="AT4" s="100"/>
      <c r="AU4" s="100"/>
      <c r="AV4" s="101"/>
      <c r="AW4" s="100"/>
      <c r="AX4" s="102" t="str">
        <f>IFERROR(AN4/AW4,"-")</f>
        <v>-</v>
      </c>
      <c r="AY4" s="151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51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51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51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51"/>
      <c r="BV4" s="127" t="str">
        <f t="shared" ref="BV4:BV36" si="14">IF(AN4&gt;0,(E4/AN4),"")</f>
        <v/>
      </c>
      <c r="BW4" s="127" t="str">
        <f t="shared" ref="BW4:BW36" si="15">IF(AN4&gt;0,(G4/AN4),"")</f>
        <v/>
      </c>
      <c r="BX4" s="127" t="str">
        <f t="shared" ref="BX4:BX36" si="16">IF(AN4&gt;0,(J4/AN4),"")</f>
        <v/>
      </c>
      <c r="BY4" s="127" t="str">
        <f t="shared" ref="BY4:BY36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51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51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99"/>
      <c r="AM5" s="99"/>
      <c r="AN5" s="99"/>
      <c r="AO5" s="99"/>
      <c r="AP5" s="99"/>
      <c r="AQ5" s="99"/>
      <c r="AR5" s="99"/>
      <c r="AS5" s="99"/>
      <c r="AT5" s="100"/>
      <c r="AU5" s="100"/>
      <c r="AV5" s="101"/>
      <c r="AW5" s="100"/>
      <c r="AX5" s="102" t="str">
        <f t="shared" ref="AX5:AX36" si="23">IFERROR(AN5/AW5,"-")</f>
        <v>-</v>
      </c>
      <c r="AY5" s="151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51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ref="BG5:BG36" si="24">+IF(SUM(AO5:AR5)&gt;0,AO5/AN5,"")</f>
        <v/>
      </c>
      <c r="BH5" s="119" t="str">
        <f t="shared" si="7"/>
        <v/>
      </c>
      <c r="BI5" s="120" t="str">
        <f t="shared" ref="BI5:BI36" si="25">+IF(SUM(AO5:AR5)&gt;0,AQ5/AN5,"")</f>
        <v/>
      </c>
      <c r="BJ5" s="151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51"/>
      <c r="BP5" s="124" t="str">
        <f t="shared" si="12"/>
        <v/>
      </c>
      <c r="BQ5" s="125">
        <v>0</v>
      </c>
      <c r="BR5" s="125" t="str">
        <f t="shared" ref="BR5:BR36" si="26">IF(AJ5&gt;0,(AK5/AJ5),"")</f>
        <v/>
      </c>
      <c r="BS5" s="125" t="str">
        <f t="shared" ref="BS5:BS36" si="27">IF(AJ5&gt;0,(AK5/AJ5),"")</f>
        <v/>
      </c>
      <c r="BT5" s="126" t="str">
        <f t="shared" si="13"/>
        <v/>
      </c>
      <c r="BU5" s="151"/>
      <c r="BV5" s="132" t="str">
        <f t="shared" si="14"/>
        <v/>
      </c>
      <c r="BW5" s="127" t="str">
        <f t="shared" si="15"/>
        <v/>
      </c>
      <c r="BX5" s="127" t="str">
        <f t="shared" si="16"/>
        <v/>
      </c>
      <c r="BY5" s="127" t="str">
        <f t="shared" si="17"/>
        <v/>
      </c>
      <c r="BZ5" s="127" t="str">
        <f t="shared" ref="BZ5:BZ36" si="28">IF(AN5&gt;0,(AJ5/AN5),"")</f>
        <v/>
      </c>
      <c r="CA5" s="128" t="str">
        <f t="shared" ref="CA5:CA36" si="29">IF(AN5&gt;0,(AK5/AN5),"")</f>
        <v/>
      </c>
      <c r="CB5" s="151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51"/>
    </row>
    <row r="6" spans="1:86" s="115" customFormat="1" ht="12.4" customHeight="1" thickBot="1" x14ac:dyDescent="0.25">
      <c r="A6" s="96">
        <f t="shared" ref="A6:A34" si="30">A5+1</f>
        <v>46298</v>
      </c>
      <c r="B6" s="97" t="str">
        <f t="shared" si="0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99"/>
      <c r="AM6" s="99"/>
      <c r="AN6" s="99"/>
      <c r="AO6" s="99"/>
      <c r="AP6" s="99"/>
      <c r="AQ6" s="99"/>
      <c r="AR6" s="99"/>
      <c r="AS6" s="99"/>
      <c r="AT6" s="100"/>
      <c r="AU6" s="100"/>
      <c r="AV6" s="101"/>
      <c r="AW6" s="100"/>
      <c r="AX6" s="102" t="str">
        <f t="shared" si="23"/>
        <v>-</v>
      </c>
      <c r="AY6" s="151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51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24"/>
        <v/>
      </c>
      <c r="BH6" s="119" t="str">
        <f t="shared" si="7"/>
        <v/>
      </c>
      <c r="BI6" s="120" t="str">
        <f t="shared" si="25"/>
        <v/>
      </c>
      <c r="BJ6" s="151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51"/>
      <c r="BP6" s="124" t="str">
        <f t="shared" si="12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3"/>
        <v/>
      </c>
      <c r="BU6" s="151"/>
      <c r="BV6" s="132" t="str">
        <f t="shared" si="14"/>
        <v/>
      </c>
      <c r="BW6" s="127" t="str">
        <f t="shared" si="15"/>
        <v/>
      </c>
      <c r="BX6" s="127" t="str">
        <f t="shared" si="16"/>
        <v/>
      </c>
      <c r="BY6" s="127" t="str">
        <f t="shared" si="17"/>
        <v/>
      </c>
      <c r="BZ6" s="127" t="str">
        <f t="shared" si="28"/>
        <v/>
      </c>
      <c r="CA6" s="128" t="str">
        <f t="shared" si="29"/>
        <v/>
      </c>
      <c r="CB6" s="151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51"/>
    </row>
    <row r="7" spans="1:86" s="115" customFormat="1" ht="12.4" customHeight="1" thickBot="1" x14ac:dyDescent="0.25">
      <c r="A7" s="96">
        <f t="shared" si="30"/>
        <v>46299</v>
      </c>
      <c r="B7" s="97" t="str">
        <f t="shared" si="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99"/>
      <c r="AM7" s="99"/>
      <c r="AN7" s="99"/>
      <c r="AO7" s="99"/>
      <c r="AP7" s="99"/>
      <c r="AQ7" s="99"/>
      <c r="AR7" s="99"/>
      <c r="AS7" s="99"/>
      <c r="AT7" s="100"/>
      <c r="AU7" s="100"/>
      <c r="AV7" s="101"/>
      <c r="AW7" s="100"/>
      <c r="AX7" s="102" t="str">
        <f t="shared" si="23"/>
        <v>-</v>
      </c>
      <c r="AY7" s="151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51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24"/>
        <v/>
      </c>
      <c r="BH7" s="119" t="str">
        <f t="shared" si="7"/>
        <v/>
      </c>
      <c r="BI7" s="120" t="str">
        <f t="shared" si="25"/>
        <v/>
      </c>
      <c r="BJ7" s="151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51"/>
      <c r="BP7" s="124" t="str">
        <f t="shared" si="12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3"/>
        <v/>
      </c>
      <c r="BU7" s="151"/>
      <c r="BV7" s="132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si="28"/>
        <v/>
      </c>
      <c r="CA7" s="128" t="str">
        <f t="shared" si="29"/>
        <v/>
      </c>
      <c r="CB7" s="151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51"/>
    </row>
    <row r="8" spans="1:86" s="115" customFormat="1" ht="12.4" customHeight="1" thickBot="1" x14ac:dyDescent="0.25">
      <c r="A8" s="96">
        <f t="shared" si="30"/>
        <v>46300</v>
      </c>
      <c r="B8" s="97" t="str">
        <f t="shared" si="0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99"/>
      <c r="AM8" s="99"/>
      <c r="AN8" s="99"/>
      <c r="AO8" s="99"/>
      <c r="AP8" s="99"/>
      <c r="AQ8" s="99"/>
      <c r="AR8" s="99"/>
      <c r="AS8" s="99"/>
      <c r="AT8" s="100"/>
      <c r="AU8" s="100"/>
      <c r="AV8" s="101"/>
      <c r="AW8" s="100"/>
      <c r="AX8" s="102" t="str">
        <f t="shared" si="23"/>
        <v>-</v>
      </c>
      <c r="AY8" s="151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51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24"/>
        <v/>
      </c>
      <c r="BH8" s="119" t="str">
        <f t="shared" si="7"/>
        <v/>
      </c>
      <c r="BI8" s="120" t="str">
        <f t="shared" si="25"/>
        <v/>
      </c>
      <c r="BJ8" s="151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51"/>
      <c r="BP8" s="124" t="str">
        <f t="shared" si="12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3"/>
        <v/>
      </c>
      <c r="BU8" s="151"/>
      <c r="BV8" s="132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 t="shared" si="28"/>
        <v/>
      </c>
      <c r="CA8" s="128" t="str">
        <f t="shared" si="29"/>
        <v/>
      </c>
      <c r="CB8" s="151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51"/>
    </row>
    <row r="9" spans="1:86" s="115" customFormat="1" ht="12.4" customHeight="1" thickBot="1" x14ac:dyDescent="0.25">
      <c r="A9" s="96">
        <f t="shared" si="30"/>
        <v>46301</v>
      </c>
      <c r="B9" s="97" t="str">
        <f t="shared" si="0"/>
        <v>Tue</v>
      </c>
      <c r="C9" s="98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99"/>
      <c r="AM9" s="99"/>
      <c r="AN9" s="99"/>
      <c r="AO9" s="99"/>
      <c r="AP9" s="99"/>
      <c r="AQ9" s="99"/>
      <c r="AR9" s="99"/>
      <c r="AS9" s="99"/>
      <c r="AT9" s="100"/>
      <c r="AU9" s="100"/>
      <c r="AV9" s="101"/>
      <c r="AW9" s="100"/>
      <c r="AX9" s="102" t="str">
        <f t="shared" si="23"/>
        <v>-</v>
      </c>
      <c r="AY9" s="151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51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24"/>
        <v/>
      </c>
      <c r="BH9" s="119" t="str">
        <f t="shared" si="7"/>
        <v/>
      </c>
      <c r="BI9" s="120" t="str">
        <f t="shared" si="25"/>
        <v/>
      </c>
      <c r="BJ9" s="151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51"/>
      <c r="BP9" s="124" t="str">
        <f t="shared" si="12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3"/>
        <v/>
      </c>
      <c r="BU9" s="151"/>
      <c r="BV9" s="132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 t="shared" si="28"/>
        <v/>
      </c>
      <c r="CA9" s="128" t="str">
        <f t="shared" si="29"/>
        <v/>
      </c>
      <c r="CB9" s="151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51"/>
    </row>
    <row r="10" spans="1:86" s="115" customFormat="1" ht="12.4" customHeight="1" thickBot="1" x14ac:dyDescent="0.25">
      <c r="A10" s="96">
        <f t="shared" si="30"/>
        <v>46302</v>
      </c>
      <c r="B10" s="97" t="str">
        <f>+TEXT(A10,"DDD")</f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99"/>
      <c r="AM10" s="99"/>
      <c r="AN10" s="99"/>
      <c r="AO10" s="99"/>
      <c r="AP10" s="99"/>
      <c r="AQ10" s="99"/>
      <c r="AR10" s="99"/>
      <c r="AS10" s="99"/>
      <c r="AT10" s="100"/>
      <c r="AU10" s="100"/>
      <c r="AV10" s="101"/>
      <c r="AW10" s="100"/>
      <c r="AX10" s="102" t="str">
        <f t="shared" si="23"/>
        <v>-</v>
      </c>
      <c r="AY10" s="151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51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4"/>
        <v/>
      </c>
      <c r="BH10" s="119" t="str">
        <f t="shared" si="7"/>
        <v/>
      </c>
      <c r="BI10" s="120" t="str">
        <f t="shared" si="25"/>
        <v/>
      </c>
      <c r="BJ10" s="151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51"/>
      <c r="BP10" s="124" t="str">
        <f t="shared" si="12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3"/>
        <v/>
      </c>
      <c r="BU10" s="151"/>
      <c r="BV10" s="132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8"/>
        <v/>
      </c>
      <c r="CA10" s="128" t="str">
        <f t="shared" si="29"/>
        <v/>
      </c>
      <c r="CB10" s="151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51"/>
    </row>
    <row r="11" spans="1:86" s="115" customFormat="1" ht="12.4" customHeight="1" thickBot="1" x14ac:dyDescent="0.25">
      <c r="A11" s="96">
        <f t="shared" si="30"/>
        <v>46303</v>
      </c>
      <c r="B11" s="97" t="str">
        <f>+TEXT(A11,"DDD")</f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99"/>
      <c r="AM11" s="99"/>
      <c r="AN11" s="99"/>
      <c r="AO11" s="99"/>
      <c r="AP11" s="99"/>
      <c r="AQ11" s="99"/>
      <c r="AR11" s="99"/>
      <c r="AS11" s="99"/>
      <c r="AT11" s="100"/>
      <c r="AU11" s="100"/>
      <c r="AV11" s="101"/>
      <c r="AW11" s="100"/>
      <c r="AX11" s="102" t="str">
        <f t="shared" si="23"/>
        <v>-</v>
      </c>
      <c r="AY11" s="151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51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4"/>
        <v/>
      </c>
      <c r="BH11" s="119" t="str">
        <f t="shared" si="7"/>
        <v/>
      </c>
      <c r="BI11" s="120" t="str">
        <f t="shared" si="25"/>
        <v/>
      </c>
      <c r="BJ11" s="151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51"/>
      <c r="BP11" s="124" t="str">
        <f t="shared" si="12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3"/>
        <v/>
      </c>
      <c r="BU11" s="151"/>
      <c r="BV11" s="132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8"/>
        <v/>
      </c>
      <c r="CA11" s="128" t="str">
        <f t="shared" si="29"/>
        <v/>
      </c>
      <c r="CB11" s="151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51"/>
    </row>
    <row r="12" spans="1:86" s="115" customFormat="1" ht="12.4" customHeight="1" thickBot="1" x14ac:dyDescent="0.25">
      <c r="A12" s="96">
        <f t="shared" si="30"/>
        <v>46304</v>
      </c>
      <c r="B12" s="97" t="str">
        <f>+TEXT(A12,"DDD")</f>
        <v>Fri</v>
      </c>
      <c r="C12" s="60"/>
      <c r="D12" s="98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99"/>
      <c r="AM12" s="99"/>
      <c r="AN12" s="99"/>
      <c r="AO12" s="99"/>
      <c r="AP12" s="99"/>
      <c r="AQ12" s="99"/>
      <c r="AR12" s="99"/>
      <c r="AS12" s="99"/>
      <c r="AT12" s="100"/>
      <c r="AU12" s="100"/>
      <c r="AV12" s="101"/>
      <c r="AW12" s="100"/>
      <c r="AX12" s="102" t="str">
        <f t="shared" si="23"/>
        <v>-</v>
      </c>
      <c r="AY12" s="151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51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4"/>
        <v/>
      </c>
      <c r="BH12" s="119" t="str">
        <f t="shared" si="7"/>
        <v/>
      </c>
      <c r="BI12" s="120" t="str">
        <f t="shared" si="25"/>
        <v/>
      </c>
      <c r="BJ12" s="151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51"/>
      <c r="BP12" s="124" t="str">
        <f t="shared" si="12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3"/>
        <v/>
      </c>
      <c r="BU12" s="151"/>
      <c r="BV12" s="132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8"/>
        <v/>
      </c>
      <c r="CA12" s="128" t="str">
        <f t="shared" si="29"/>
        <v/>
      </c>
      <c r="CB12" s="151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51"/>
    </row>
    <row r="13" spans="1:86" s="115" customFormat="1" ht="12.4" customHeight="1" thickBot="1" x14ac:dyDescent="0.25">
      <c r="A13" s="96">
        <f t="shared" si="30"/>
        <v>46305</v>
      </c>
      <c r="B13" s="97" t="str">
        <f>+TEXT(A13,"DDD")</f>
        <v>Sat</v>
      </c>
      <c r="C13" s="98"/>
      <c r="D13" s="98"/>
      <c r="E13" s="103"/>
      <c r="F13" s="98"/>
      <c r="G13" s="98"/>
      <c r="H13" s="104"/>
      <c r="I13" s="104"/>
      <c r="J13" s="105"/>
      <c r="K13" s="106"/>
      <c r="L13" s="98"/>
      <c r="M13" s="98"/>
      <c r="N13" s="98"/>
      <c r="O13" s="98"/>
      <c r="P13" s="103"/>
      <c r="Q13" s="98"/>
      <c r="R13" s="98"/>
      <c r="S13" s="98"/>
      <c r="T13" s="98"/>
      <c r="U13" s="98"/>
      <c r="V13" s="103"/>
      <c r="W13" s="103"/>
      <c r="X13" s="98"/>
      <c r="Y13" s="98"/>
      <c r="Z13" s="98"/>
      <c r="AA13" s="98"/>
      <c r="AB13" s="98"/>
      <c r="AC13" s="98"/>
      <c r="AD13" s="98"/>
      <c r="AE13" s="98"/>
      <c r="AF13" s="103"/>
      <c r="AG13" s="103"/>
      <c r="AH13" s="98"/>
      <c r="AI13" s="107"/>
      <c r="AJ13" s="108"/>
      <c r="AK13" s="107"/>
      <c r="AL13" s="99"/>
      <c r="AM13" s="99"/>
      <c r="AN13" s="99"/>
      <c r="AO13" s="99"/>
      <c r="AP13" s="99"/>
      <c r="AQ13" s="99"/>
      <c r="AR13" s="99"/>
      <c r="AS13" s="99"/>
      <c r="AT13" s="100"/>
      <c r="AU13" s="100"/>
      <c r="AV13" s="101"/>
      <c r="AW13" s="100"/>
      <c r="AX13" s="102" t="str">
        <f t="shared" si="23"/>
        <v>-</v>
      </c>
      <c r="AY13" s="151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51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4"/>
        <v/>
      </c>
      <c r="BH13" s="119" t="str">
        <f t="shared" si="7"/>
        <v/>
      </c>
      <c r="BI13" s="120" t="str">
        <f t="shared" si="25"/>
        <v/>
      </c>
      <c r="BJ13" s="151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51"/>
      <c r="BP13" s="124" t="str">
        <f t="shared" si="12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3"/>
        <v/>
      </c>
      <c r="BU13" s="151"/>
      <c r="BV13" s="132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8"/>
        <v/>
      </c>
      <c r="CA13" s="128" t="str">
        <f t="shared" si="29"/>
        <v/>
      </c>
      <c r="CB13" s="151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51"/>
    </row>
    <row r="14" spans="1:86" s="115" customFormat="1" ht="12.4" customHeight="1" thickBot="1" x14ac:dyDescent="0.25">
      <c r="A14" s="96">
        <f t="shared" si="30"/>
        <v>46306</v>
      </c>
      <c r="B14" s="97" t="str">
        <f t="shared" si="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60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99"/>
      <c r="AM14" s="99"/>
      <c r="AN14" s="99"/>
      <c r="AO14" s="99"/>
      <c r="AP14" s="99"/>
      <c r="AQ14" s="99"/>
      <c r="AR14" s="99"/>
      <c r="AS14" s="99"/>
      <c r="AT14" s="100"/>
      <c r="AU14" s="100"/>
      <c r="AV14" s="101"/>
      <c r="AW14" s="100"/>
      <c r="AX14" s="102" t="str">
        <f t="shared" si="23"/>
        <v>-</v>
      </c>
      <c r="AY14" s="151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51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4"/>
        <v/>
      </c>
      <c r="BH14" s="119" t="str">
        <f t="shared" si="7"/>
        <v/>
      </c>
      <c r="BI14" s="120" t="str">
        <f t="shared" si="25"/>
        <v/>
      </c>
      <c r="BJ14" s="151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51"/>
      <c r="BP14" s="124" t="str">
        <f t="shared" si="12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3"/>
        <v/>
      </c>
      <c r="BU14" s="151"/>
      <c r="BV14" s="132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8"/>
        <v/>
      </c>
      <c r="CA14" s="128" t="str">
        <f t="shared" si="29"/>
        <v/>
      </c>
      <c r="CB14" s="151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51"/>
    </row>
    <row r="15" spans="1:86" s="115" customFormat="1" ht="12.4" customHeight="1" thickBot="1" x14ac:dyDescent="0.25">
      <c r="A15" s="96">
        <f t="shared" si="30"/>
        <v>46307</v>
      </c>
      <c r="B15" s="97" t="str">
        <f t="shared" si="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60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99"/>
      <c r="AM15" s="99"/>
      <c r="AN15" s="99"/>
      <c r="AO15" s="99"/>
      <c r="AP15" s="99"/>
      <c r="AQ15" s="99"/>
      <c r="AR15" s="99"/>
      <c r="AS15" s="99"/>
      <c r="AT15" s="100"/>
      <c r="AU15" s="100"/>
      <c r="AV15" s="101"/>
      <c r="AW15" s="100"/>
      <c r="AX15" s="102" t="str">
        <f t="shared" si="23"/>
        <v>-</v>
      </c>
      <c r="AY15" s="151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51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24"/>
        <v/>
      </c>
      <c r="BH15" s="119" t="str">
        <f t="shared" si="7"/>
        <v/>
      </c>
      <c r="BI15" s="120" t="str">
        <f t="shared" si="25"/>
        <v/>
      </c>
      <c r="BJ15" s="151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51"/>
      <c r="BP15" s="124" t="str">
        <f t="shared" si="12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3"/>
        <v/>
      </c>
      <c r="BU15" s="151"/>
      <c r="BV15" s="132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 t="shared" si="28"/>
        <v/>
      </c>
      <c r="CA15" s="128" t="str">
        <f t="shared" si="29"/>
        <v/>
      </c>
      <c r="CB15" s="151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51"/>
    </row>
    <row r="16" spans="1:86" s="115" customFormat="1" ht="12.4" customHeight="1" thickBot="1" x14ac:dyDescent="0.25">
      <c r="A16" s="96">
        <f t="shared" si="30"/>
        <v>46308</v>
      </c>
      <c r="B16" s="97" t="str">
        <f t="shared" si="0"/>
        <v>Tue</v>
      </c>
      <c r="C16" s="103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99"/>
      <c r="AM16" s="99"/>
      <c r="AN16" s="99"/>
      <c r="AO16" s="99"/>
      <c r="AP16" s="99"/>
      <c r="AQ16" s="99"/>
      <c r="AR16" s="99"/>
      <c r="AS16" s="99"/>
      <c r="AT16" s="100"/>
      <c r="AU16" s="100"/>
      <c r="AV16" s="101"/>
      <c r="AW16" s="100"/>
      <c r="AX16" s="102" t="str">
        <f t="shared" si="23"/>
        <v>-</v>
      </c>
      <c r="AY16" s="151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51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24"/>
        <v/>
      </c>
      <c r="BH16" s="119" t="str">
        <f t="shared" si="7"/>
        <v/>
      </c>
      <c r="BI16" s="120" t="str">
        <f t="shared" si="25"/>
        <v/>
      </c>
      <c r="BJ16" s="151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51"/>
      <c r="BP16" s="124" t="str">
        <f t="shared" si="12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3"/>
        <v/>
      </c>
      <c r="BU16" s="151"/>
      <c r="BV16" s="132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 t="shared" si="28"/>
        <v/>
      </c>
      <c r="CA16" s="128" t="str">
        <f t="shared" si="29"/>
        <v/>
      </c>
      <c r="CB16" s="151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51"/>
    </row>
    <row r="17" spans="1:86" s="115" customFormat="1" ht="12.4" customHeight="1" thickBot="1" x14ac:dyDescent="0.25">
      <c r="A17" s="96">
        <f t="shared" si="30"/>
        <v>46309</v>
      </c>
      <c r="B17" s="97" t="str">
        <f t="shared" si="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99"/>
      <c r="AM17" s="99"/>
      <c r="AN17" s="99"/>
      <c r="AO17" s="99"/>
      <c r="AP17" s="99"/>
      <c r="AQ17" s="99"/>
      <c r="AR17" s="99"/>
      <c r="AS17" s="99"/>
      <c r="AT17" s="100"/>
      <c r="AU17" s="100"/>
      <c r="AV17" s="101"/>
      <c r="AW17" s="100"/>
      <c r="AX17" s="102" t="str">
        <f t="shared" si="23"/>
        <v>-</v>
      </c>
      <c r="AY17" s="151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51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4"/>
        <v/>
      </c>
      <c r="BH17" s="119" t="str">
        <f t="shared" si="7"/>
        <v/>
      </c>
      <c r="BI17" s="120" t="str">
        <f t="shared" si="25"/>
        <v/>
      </c>
      <c r="BJ17" s="151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51"/>
      <c r="BP17" s="124" t="str">
        <f t="shared" si="12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3"/>
        <v/>
      </c>
      <c r="BU17" s="151"/>
      <c r="BV17" s="132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8"/>
        <v/>
      </c>
      <c r="CA17" s="128" t="str">
        <f t="shared" si="29"/>
        <v/>
      </c>
      <c r="CB17" s="151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51"/>
    </row>
    <row r="18" spans="1:86" s="115" customFormat="1" ht="12.4" customHeight="1" thickBot="1" x14ac:dyDescent="0.25">
      <c r="A18" s="96">
        <f t="shared" si="30"/>
        <v>46310</v>
      </c>
      <c r="B18" s="97" t="str">
        <f t="shared" si="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99"/>
      <c r="AM18" s="99"/>
      <c r="AN18" s="99"/>
      <c r="AO18" s="99"/>
      <c r="AP18" s="99"/>
      <c r="AQ18" s="99"/>
      <c r="AR18" s="99"/>
      <c r="AS18" s="99"/>
      <c r="AT18" s="100"/>
      <c r="AU18" s="100"/>
      <c r="AV18" s="101"/>
      <c r="AW18" s="100"/>
      <c r="AX18" s="102" t="str">
        <f t="shared" si="23"/>
        <v>-</v>
      </c>
      <c r="AY18" s="151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51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4"/>
        <v/>
      </c>
      <c r="BH18" s="119" t="str">
        <f t="shared" si="7"/>
        <v/>
      </c>
      <c r="BI18" s="120" t="str">
        <f t="shared" si="25"/>
        <v/>
      </c>
      <c r="BJ18" s="151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51"/>
      <c r="BP18" s="124" t="str">
        <f t="shared" si="12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3"/>
        <v/>
      </c>
      <c r="BU18" s="151"/>
      <c r="BV18" s="132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8"/>
        <v/>
      </c>
      <c r="CA18" s="128" t="str">
        <f t="shared" si="29"/>
        <v/>
      </c>
      <c r="CB18" s="151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51"/>
    </row>
    <row r="19" spans="1:86" s="115" customFormat="1" ht="12.4" customHeight="1" thickBot="1" x14ac:dyDescent="0.25">
      <c r="A19" s="96">
        <f t="shared" si="30"/>
        <v>46311</v>
      </c>
      <c r="B19" s="97" t="str">
        <f t="shared" si="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99"/>
      <c r="AM19" s="99"/>
      <c r="AN19" s="99"/>
      <c r="AO19" s="99"/>
      <c r="AP19" s="99"/>
      <c r="AQ19" s="99"/>
      <c r="AR19" s="99"/>
      <c r="AS19" s="99"/>
      <c r="AT19" s="100"/>
      <c r="AU19" s="100"/>
      <c r="AV19" s="101"/>
      <c r="AW19" s="100"/>
      <c r="AX19" s="102" t="str">
        <f t="shared" si="23"/>
        <v>-</v>
      </c>
      <c r="AY19" s="151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51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4"/>
        <v/>
      </c>
      <c r="BH19" s="119" t="str">
        <f t="shared" si="7"/>
        <v/>
      </c>
      <c r="BI19" s="120" t="str">
        <f t="shared" si="25"/>
        <v/>
      </c>
      <c r="BJ19" s="151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51"/>
      <c r="BP19" s="124" t="str">
        <f t="shared" si="12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3"/>
        <v/>
      </c>
      <c r="BU19" s="151"/>
      <c r="BV19" s="132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8"/>
        <v/>
      </c>
      <c r="CA19" s="128" t="str">
        <f t="shared" si="29"/>
        <v/>
      </c>
      <c r="CB19" s="151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51"/>
    </row>
    <row r="20" spans="1:86" s="115" customFormat="1" ht="12.4" customHeight="1" thickBot="1" x14ac:dyDescent="0.25">
      <c r="A20" s="96">
        <f t="shared" si="30"/>
        <v>46312</v>
      </c>
      <c r="B20" s="97" t="str">
        <f t="shared" si="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99"/>
      <c r="AM20" s="99"/>
      <c r="AN20" s="99"/>
      <c r="AO20" s="99"/>
      <c r="AP20" s="99"/>
      <c r="AQ20" s="99"/>
      <c r="AR20" s="99"/>
      <c r="AS20" s="99"/>
      <c r="AT20" s="100"/>
      <c r="AU20" s="100"/>
      <c r="AV20" s="101"/>
      <c r="AW20" s="100"/>
      <c r="AX20" s="102" t="str">
        <f t="shared" si="23"/>
        <v>-</v>
      </c>
      <c r="AY20" s="151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51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4"/>
        <v/>
      </c>
      <c r="BH20" s="119" t="str">
        <f t="shared" si="7"/>
        <v/>
      </c>
      <c r="BI20" s="120" t="str">
        <f t="shared" si="25"/>
        <v/>
      </c>
      <c r="BJ20" s="151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51"/>
      <c r="BP20" s="124" t="str">
        <f t="shared" si="12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3"/>
        <v/>
      </c>
      <c r="BU20" s="151"/>
      <c r="BV20" s="132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8"/>
        <v/>
      </c>
      <c r="CA20" s="128" t="str">
        <f t="shared" si="29"/>
        <v/>
      </c>
      <c r="CB20" s="151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51"/>
    </row>
    <row r="21" spans="1:86" s="115" customFormat="1" ht="12.4" customHeight="1" thickBot="1" x14ac:dyDescent="0.25">
      <c r="A21" s="96">
        <f t="shared" si="30"/>
        <v>46313</v>
      </c>
      <c r="B21" s="97" t="str">
        <f t="shared" si="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99"/>
      <c r="AM21" s="99"/>
      <c r="AN21" s="99"/>
      <c r="AO21" s="99"/>
      <c r="AP21" s="99"/>
      <c r="AQ21" s="99"/>
      <c r="AR21" s="99"/>
      <c r="AS21" s="99"/>
      <c r="AT21" s="100"/>
      <c r="AU21" s="100"/>
      <c r="AV21" s="101"/>
      <c r="AW21" s="100"/>
      <c r="AX21" s="102" t="str">
        <f t="shared" si="23"/>
        <v>-</v>
      </c>
      <c r="AY21" s="151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51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4"/>
        <v/>
      </c>
      <c r="BH21" s="119" t="str">
        <f t="shared" si="7"/>
        <v/>
      </c>
      <c r="BI21" s="120" t="str">
        <f t="shared" si="25"/>
        <v/>
      </c>
      <c r="BJ21" s="151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51"/>
      <c r="BP21" s="124" t="str">
        <f t="shared" si="12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3"/>
        <v/>
      </c>
      <c r="BU21" s="151"/>
      <c r="BV21" s="132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8"/>
        <v/>
      </c>
      <c r="CA21" s="128" t="str">
        <f t="shared" si="29"/>
        <v/>
      </c>
      <c r="CB21" s="151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51"/>
    </row>
    <row r="22" spans="1:86" s="115" customFormat="1" ht="12.4" customHeight="1" thickBot="1" x14ac:dyDescent="0.25">
      <c r="A22" s="96">
        <f t="shared" si="30"/>
        <v>46314</v>
      </c>
      <c r="B22" s="97" t="str">
        <f t="shared" si="0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99"/>
      <c r="AM22" s="99"/>
      <c r="AN22" s="99"/>
      <c r="AO22" s="99"/>
      <c r="AP22" s="99"/>
      <c r="AQ22" s="99"/>
      <c r="AR22" s="99"/>
      <c r="AS22" s="99"/>
      <c r="AT22" s="100"/>
      <c r="AU22" s="100"/>
      <c r="AV22" s="101"/>
      <c r="AW22" s="100"/>
      <c r="AX22" s="102" t="str">
        <f t="shared" si="23"/>
        <v>-</v>
      </c>
      <c r="AY22" s="151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51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4"/>
        <v/>
      </c>
      <c r="BH22" s="119" t="str">
        <f t="shared" si="7"/>
        <v/>
      </c>
      <c r="BI22" s="120" t="str">
        <f t="shared" si="25"/>
        <v/>
      </c>
      <c r="BJ22" s="151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51"/>
      <c r="BP22" s="124" t="str">
        <f t="shared" si="12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3"/>
        <v/>
      </c>
      <c r="BU22" s="151"/>
      <c r="BV22" s="132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8"/>
        <v/>
      </c>
      <c r="CA22" s="128" t="str">
        <f t="shared" si="29"/>
        <v/>
      </c>
      <c r="CB22" s="151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51"/>
    </row>
    <row r="23" spans="1:86" s="115" customFormat="1" ht="12.4" customHeight="1" thickBot="1" x14ac:dyDescent="0.25">
      <c r="A23" s="96">
        <f t="shared" si="30"/>
        <v>46315</v>
      </c>
      <c r="B23" s="97" t="str">
        <f t="shared" si="0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99"/>
      <c r="AM23" s="99"/>
      <c r="AN23" s="99"/>
      <c r="AO23" s="99"/>
      <c r="AP23" s="99"/>
      <c r="AQ23" s="99"/>
      <c r="AR23" s="99"/>
      <c r="AS23" s="99"/>
      <c r="AT23" s="100"/>
      <c r="AU23" s="100"/>
      <c r="AV23" s="101"/>
      <c r="AW23" s="100"/>
      <c r="AX23" s="102" t="str">
        <f t="shared" si="23"/>
        <v>-</v>
      </c>
      <c r="AY23" s="151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51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24"/>
        <v/>
      </c>
      <c r="BH23" s="119" t="str">
        <f t="shared" si="7"/>
        <v/>
      </c>
      <c r="BI23" s="120" t="str">
        <f t="shared" si="25"/>
        <v/>
      </c>
      <c r="BJ23" s="151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51"/>
      <c r="BP23" s="124" t="str">
        <f t="shared" si="12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3"/>
        <v/>
      </c>
      <c r="BU23" s="151"/>
      <c r="BV23" s="132" t="str">
        <f t="shared" si="14"/>
        <v/>
      </c>
      <c r="BW23" s="127" t="str">
        <f t="shared" si="15"/>
        <v/>
      </c>
      <c r="BX23" s="127" t="str">
        <f t="shared" si="16"/>
        <v/>
      </c>
      <c r="BY23" s="127" t="str">
        <f t="shared" si="17"/>
        <v/>
      </c>
      <c r="BZ23" s="127" t="str">
        <f t="shared" si="28"/>
        <v/>
      </c>
      <c r="CA23" s="128" t="str">
        <f t="shared" si="29"/>
        <v/>
      </c>
      <c r="CB23" s="151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51"/>
    </row>
    <row r="24" spans="1:86" s="115" customFormat="1" ht="12.4" customHeight="1" thickBot="1" x14ac:dyDescent="0.25">
      <c r="A24" s="96">
        <f t="shared" si="30"/>
        <v>46316</v>
      </c>
      <c r="B24" s="97" t="str">
        <f t="shared" si="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99"/>
      <c r="AM24" s="99"/>
      <c r="AN24" s="99"/>
      <c r="AO24" s="99"/>
      <c r="AP24" s="99"/>
      <c r="AQ24" s="99"/>
      <c r="AR24" s="99"/>
      <c r="AS24" s="99"/>
      <c r="AT24" s="100"/>
      <c r="AU24" s="100"/>
      <c r="AV24" s="101"/>
      <c r="AW24" s="100"/>
      <c r="AX24" s="102" t="str">
        <f t="shared" si="23"/>
        <v>-</v>
      </c>
      <c r="AY24" s="151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51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24"/>
        <v/>
      </c>
      <c r="BH24" s="119" t="str">
        <f t="shared" si="7"/>
        <v/>
      </c>
      <c r="BI24" s="120" t="str">
        <f t="shared" si="25"/>
        <v/>
      </c>
      <c r="BJ24" s="151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51"/>
      <c r="BP24" s="124" t="str">
        <f t="shared" si="12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3"/>
        <v/>
      </c>
      <c r="BU24" s="151"/>
      <c r="BV24" s="132" t="str">
        <f t="shared" si="14"/>
        <v/>
      </c>
      <c r="BW24" s="127" t="str">
        <f t="shared" si="15"/>
        <v/>
      </c>
      <c r="BX24" s="127" t="str">
        <f t="shared" si="16"/>
        <v/>
      </c>
      <c r="BY24" s="127" t="str">
        <f t="shared" si="17"/>
        <v/>
      </c>
      <c r="BZ24" s="127" t="str">
        <f t="shared" si="28"/>
        <v/>
      </c>
      <c r="CA24" s="128" t="str">
        <f t="shared" si="29"/>
        <v/>
      </c>
      <c r="CB24" s="151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51"/>
    </row>
    <row r="25" spans="1:86" s="115" customFormat="1" ht="12.4" customHeight="1" thickBot="1" x14ac:dyDescent="0.25">
      <c r="A25" s="96">
        <f t="shared" si="30"/>
        <v>46317</v>
      </c>
      <c r="B25" s="97" t="str">
        <f t="shared" si="0"/>
        <v>Thu</v>
      </c>
      <c r="C25" s="98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99"/>
      <c r="AM25" s="99"/>
      <c r="AN25" s="99"/>
      <c r="AO25" s="99"/>
      <c r="AP25" s="99"/>
      <c r="AQ25" s="99"/>
      <c r="AR25" s="99"/>
      <c r="AS25" s="99"/>
      <c r="AT25" s="100"/>
      <c r="AU25" s="100"/>
      <c r="AV25" s="101"/>
      <c r="AW25" s="100"/>
      <c r="AX25" s="102" t="str">
        <f t="shared" si="23"/>
        <v>-</v>
      </c>
      <c r="AY25" s="151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51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4"/>
        <v/>
      </c>
      <c r="BH25" s="119" t="str">
        <f t="shared" si="7"/>
        <v/>
      </c>
      <c r="BI25" s="120" t="str">
        <f t="shared" si="25"/>
        <v/>
      </c>
      <c r="BJ25" s="151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51"/>
      <c r="BP25" s="124" t="str">
        <f t="shared" si="12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3"/>
        <v/>
      </c>
      <c r="BU25" s="151"/>
      <c r="BV25" s="132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8"/>
        <v/>
      </c>
      <c r="CA25" s="128" t="str">
        <f t="shared" si="29"/>
        <v/>
      </c>
      <c r="CB25" s="151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51"/>
    </row>
    <row r="26" spans="1:86" s="115" customFormat="1" ht="12.4" customHeight="1" thickBot="1" x14ac:dyDescent="0.25">
      <c r="A26" s="96">
        <f t="shared" si="30"/>
        <v>46318</v>
      </c>
      <c r="B26" s="97" t="str">
        <f>+TEXT(A26,"DDD")</f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99"/>
      <c r="AM26" s="99"/>
      <c r="AN26" s="99"/>
      <c r="AO26" s="99"/>
      <c r="AP26" s="99"/>
      <c r="AQ26" s="99"/>
      <c r="AR26" s="99"/>
      <c r="AS26" s="99"/>
      <c r="AT26" s="100"/>
      <c r="AU26" s="100"/>
      <c r="AV26" s="101"/>
      <c r="AW26" s="100"/>
      <c r="AX26" s="102" t="str">
        <f t="shared" si="23"/>
        <v>-</v>
      </c>
      <c r="AY26" s="151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51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4"/>
        <v/>
      </c>
      <c r="BH26" s="119" t="str">
        <f t="shared" si="7"/>
        <v/>
      </c>
      <c r="BI26" s="120" t="str">
        <f t="shared" si="25"/>
        <v/>
      </c>
      <c r="BJ26" s="151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51"/>
      <c r="BP26" s="124" t="str">
        <f t="shared" si="12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3"/>
        <v/>
      </c>
      <c r="BU26" s="151"/>
      <c r="BV26" s="132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8"/>
        <v/>
      </c>
      <c r="CA26" s="128" t="str">
        <f t="shared" si="29"/>
        <v/>
      </c>
      <c r="CB26" s="151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51"/>
    </row>
    <row r="27" spans="1:86" s="115" customFormat="1" ht="12.4" customHeight="1" thickBot="1" x14ac:dyDescent="0.25">
      <c r="A27" s="96">
        <f t="shared" si="30"/>
        <v>46319</v>
      </c>
      <c r="B27" s="97" t="str">
        <f t="shared" si="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99"/>
      <c r="AM27" s="99"/>
      <c r="AN27" s="99"/>
      <c r="AO27" s="99"/>
      <c r="AP27" s="99"/>
      <c r="AQ27" s="99"/>
      <c r="AR27" s="99"/>
      <c r="AS27" s="99"/>
      <c r="AT27" s="100"/>
      <c r="AU27" s="100"/>
      <c r="AV27" s="101"/>
      <c r="AW27" s="100"/>
      <c r="AX27" s="102" t="str">
        <f t="shared" si="23"/>
        <v>-</v>
      </c>
      <c r="AY27" s="151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51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4"/>
        <v/>
      </c>
      <c r="BH27" s="119" t="str">
        <f t="shared" si="7"/>
        <v/>
      </c>
      <c r="BI27" s="120" t="str">
        <f t="shared" si="25"/>
        <v/>
      </c>
      <c r="BJ27" s="151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51"/>
      <c r="BP27" s="124" t="str">
        <f t="shared" si="12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3"/>
        <v/>
      </c>
      <c r="BU27" s="151"/>
      <c r="BV27" s="132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8"/>
        <v/>
      </c>
      <c r="CA27" s="128" t="str">
        <f t="shared" si="29"/>
        <v/>
      </c>
      <c r="CB27" s="151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51"/>
    </row>
    <row r="28" spans="1:86" s="115" customFormat="1" ht="12.4" customHeight="1" thickBot="1" x14ac:dyDescent="0.25">
      <c r="A28" s="96">
        <f t="shared" si="30"/>
        <v>46320</v>
      </c>
      <c r="B28" s="97" t="str">
        <f t="shared" si="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99"/>
      <c r="AM28" s="99"/>
      <c r="AN28" s="99"/>
      <c r="AO28" s="99"/>
      <c r="AP28" s="99"/>
      <c r="AQ28" s="99"/>
      <c r="AR28" s="99"/>
      <c r="AS28" s="99"/>
      <c r="AT28" s="100"/>
      <c r="AU28" s="100"/>
      <c r="AV28" s="101"/>
      <c r="AW28" s="100"/>
      <c r="AX28" s="102" t="str">
        <f t="shared" si="23"/>
        <v>-</v>
      </c>
      <c r="AY28" s="151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51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4"/>
        <v/>
      </c>
      <c r="BH28" s="119" t="str">
        <f t="shared" si="7"/>
        <v/>
      </c>
      <c r="BI28" s="120" t="str">
        <f t="shared" si="25"/>
        <v/>
      </c>
      <c r="BJ28" s="151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51"/>
      <c r="BP28" s="124" t="str">
        <f t="shared" si="12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3"/>
        <v/>
      </c>
      <c r="BU28" s="151"/>
      <c r="BV28" s="132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8"/>
        <v/>
      </c>
      <c r="CA28" s="128" t="str">
        <f t="shared" si="29"/>
        <v/>
      </c>
      <c r="CB28" s="151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51"/>
    </row>
    <row r="29" spans="1:86" s="115" customFormat="1" ht="12.4" customHeight="1" thickBot="1" x14ac:dyDescent="0.25">
      <c r="A29" s="96">
        <f t="shared" si="30"/>
        <v>46321</v>
      </c>
      <c r="B29" s="97" t="str">
        <f t="shared" si="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99"/>
      <c r="AM29" s="99"/>
      <c r="AN29" s="99"/>
      <c r="AO29" s="99"/>
      <c r="AP29" s="99"/>
      <c r="AQ29" s="99"/>
      <c r="AR29" s="99"/>
      <c r="AS29" s="99"/>
      <c r="AT29" s="100"/>
      <c r="AU29" s="100"/>
      <c r="AV29" s="101"/>
      <c r="AW29" s="100"/>
      <c r="AX29" s="102" t="str">
        <f>IFERROR(AN29/AW29,"-")</f>
        <v>-</v>
      </c>
      <c r="AY29" s="151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51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4"/>
        <v/>
      </c>
      <c r="BH29" s="119" t="str">
        <f t="shared" si="7"/>
        <v/>
      </c>
      <c r="BI29" s="120" t="str">
        <f t="shared" si="25"/>
        <v/>
      </c>
      <c r="BJ29" s="151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51"/>
      <c r="BP29" s="124" t="str">
        <f t="shared" si="12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3"/>
        <v/>
      </c>
      <c r="BU29" s="151"/>
      <c r="BV29" s="132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8"/>
        <v/>
      </c>
      <c r="CA29" s="128" t="str">
        <f t="shared" si="29"/>
        <v/>
      </c>
      <c r="CB29" s="151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51"/>
    </row>
    <row r="30" spans="1:86" s="115" customFormat="1" ht="12.4" customHeight="1" thickBot="1" x14ac:dyDescent="0.25">
      <c r="A30" s="96">
        <f t="shared" si="30"/>
        <v>46322</v>
      </c>
      <c r="B30" s="97" t="str">
        <f t="shared" si="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99"/>
      <c r="AM30" s="99"/>
      <c r="AN30" s="99"/>
      <c r="AO30" s="99"/>
      <c r="AP30" s="99"/>
      <c r="AQ30" s="99"/>
      <c r="AR30" s="99"/>
      <c r="AS30" s="99"/>
      <c r="AT30" s="100"/>
      <c r="AU30" s="100"/>
      <c r="AV30" s="101"/>
      <c r="AW30" s="100"/>
      <c r="AX30" s="102" t="str">
        <f>IFERROR(AN30/AW30,"-")</f>
        <v>-</v>
      </c>
      <c r="AY30" s="151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51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4"/>
        <v/>
      </c>
      <c r="BH30" s="119" t="str">
        <f t="shared" si="7"/>
        <v/>
      </c>
      <c r="BI30" s="120" t="str">
        <f t="shared" si="25"/>
        <v/>
      </c>
      <c r="BJ30" s="151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51"/>
      <c r="BP30" s="124" t="str">
        <f t="shared" si="12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3"/>
        <v/>
      </c>
      <c r="BU30" s="151"/>
      <c r="BV30" s="132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8"/>
        <v/>
      </c>
      <c r="CA30" s="128" t="str">
        <f t="shared" si="29"/>
        <v/>
      </c>
      <c r="CB30" s="151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51"/>
    </row>
    <row r="31" spans="1:86" s="115" customFormat="1" ht="12.4" customHeight="1" thickBot="1" x14ac:dyDescent="0.25">
      <c r="A31" s="96">
        <f t="shared" si="30"/>
        <v>46323</v>
      </c>
      <c r="B31" s="97" t="str">
        <f>+TEXT(A31,"DDD")</f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99"/>
      <c r="AM31" s="99"/>
      <c r="AN31" s="99"/>
      <c r="AO31" s="99"/>
      <c r="AP31" s="99"/>
      <c r="AQ31" s="99"/>
      <c r="AR31" s="99"/>
      <c r="AS31" s="99"/>
      <c r="AT31" s="100"/>
      <c r="AU31" s="100"/>
      <c r="AV31" s="101"/>
      <c r="AW31" s="100"/>
      <c r="AX31" s="102" t="str">
        <f t="shared" si="23"/>
        <v>-</v>
      </c>
      <c r="AY31" s="151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51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4"/>
        <v/>
      </c>
      <c r="BH31" s="119" t="str">
        <f t="shared" si="7"/>
        <v/>
      </c>
      <c r="BI31" s="120" t="str">
        <f t="shared" si="25"/>
        <v/>
      </c>
      <c r="BJ31" s="151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51"/>
      <c r="BP31" s="124" t="str">
        <f t="shared" si="12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3"/>
        <v/>
      </c>
      <c r="BU31" s="151"/>
      <c r="BV31" s="132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8"/>
        <v/>
      </c>
      <c r="CA31" s="128" t="str">
        <f t="shared" si="29"/>
        <v/>
      </c>
      <c r="CB31" s="151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51"/>
    </row>
    <row r="32" spans="1:86" s="115" customFormat="1" ht="12.4" customHeight="1" thickBot="1" x14ac:dyDescent="0.25">
      <c r="A32" s="96">
        <f t="shared" si="30"/>
        <v>46324</v>
      </c>
      <c r="B32" s="97" t="str">
        <f>+TEXT(A32,"DDD")</f>
        <v>Thu</v>
      </c>
      <c r="C32" s="98"/>
      <c r="D32" s="98"/>
      <c r="E32" s="103"/>
      <c r="F32" s="98"/>
      <c r="G32" s="98"/>
      <c r="H32" s="104"/>
      <c r="I32" s="104"/>
      <c r="J32" s="105"/>
      <c r="K32" s="106"/>
      <c r="L32" s="98"/>
      <c r="M32" s="98"/>
      <c r="N32" s="98"/>
      <c r="O32" s="98"/>
      <c r="P32" s="103"/>
      <c r="Q32" s="98"/>
      <c r="R32" s="98"/>
      <c r="S32" s="98"/>
      <c r="T32" s="98"/>
      <c r="U32" s="98"/>
      <c r="V32" s="103"/>
      <c r="W32" s="103"/>
      <c r="X32" s="98"/>
      <c r="Y32" s="98"/>
      <c r="Z32" s="98"/>
      <c r="AA32" s="98"/>
      <c r="AB32" s="98"/>
      <c r="AC32" s="98"/>
      <c r="AD32" s="98"/>
      <c r="AE32" s="98"/>
      <c r="AF32" s="103"/>
      <c r="AG32" s="103"/>
      <c r="AH32" s="98"/>
      <c r="AI32" s="107"/>
      <c r="AJ32" s="108"/>
      <c r="AK32" s="107"/>
      <c r="AL32" s="99"/>
      <c r="AM32" s="99"/>
      <c r="AN32" s="99"/>
      <c r="AO32" s="99"/>
      <c r="AP32" s="99"/>
      <c r="AQ32" s="99"/>
      <c r="AR32" s="99"/>
      <c r="AS32" s="99"/>
      <c r="AT32" s="100"/>
      <c r="AU32" s="100"/>
      <c r="AV32" s="101"/>
      <c r="AW32" s="100"/>
      <c r="AX32" s="102" t="str">
        <f>IFERROR(AN32/AW32,"-")</f>
        <v>-</v>
      </c>
      <c r="AY32" s="151"/>
      <c r="AZ32" s="116" t="str">
        <f t="shared" si="1"/>
        <v/>
      </c>
      <c r="BA32" s="117" t="str">
        <f t="shared" si="2"/>
        <v/>
      </c>
      <c r="BB32" s="116" t="str">
        <f t="shared" si="3"/>
        <v/>
      </c>
      <c r="BC32" s="151"/>
      <c r="BD32" s="118" t="str">
        <f t="shared" si="4"/>
        <v/>
      </c>
      <c r="BE32" s="119" t="str">
        <f t="shared" si="5"/>
        <v/>
      </c>
      <c r="BF32" s="119" t="str">
        <f t="shared" si="6"/>
        <v/>
      </c>
      <c r="BG32" s="119" t="str">
        <f t="shared" si="24"/>
        <v/>
      </c>
      <c r="BH32" s="119" t="str">
        <f t="shared" si="7"/>
        <v/>
      </c>
      <c r="BI32" s="120" t="str">
        <f t="shared" si="25"/>
        <v/>
      </c>
      <c r="BJ32" s="151"/>
      <c r="BK32" s="121" t="str">
        <f t="shared" si="8"/>
        <v/>
      </c>
      <c r="BL32" s="122" t="str">
        <f t="shared" si="9"/>
        <v/>
      </c>
      <c r="BM32" s="122" t="str">
        <f t="shared" si="10"/>
        <v/>
      </c>
      <c r="BN32" s="123" t="str">
        <f t="shared" si="11"/>
        <v/>
      </c>
      <c r="BO32" s="151"/>
      <c r="BP32" s="124" t="str">
        <f t="shared" si="12"/>
        <v/>
      </c>
      <c r="BQ32" s="125">
        <v>0</v>
      </c>
      <c r="BR32" s="125" t="str">
        <f t="shared" si="26"/>
        <v/>
      </c>
      <c r="BS32" s="125" t="str">
        <f t="shared" si="27"/>
        <v/>
      </c>
      <c r="BT32" s="126" t="str">
        <f t="shared" si="13"/>
        <v/>
      </c>
      <c r="BU32" s="151"/>
      <c r="BV32" s="132" t="str">
        <f t="shared" si="14"/>
        <v/>
      </c>
      <c r="BW32" s="127" t="str">
        <f t="shared" si="15"/>
        <v/>
      </c>
      <c r="BX32" s="127" t="str">
        <f t="shared" si="16"/>
        <v/>
      </c>
      <c r="BY32" s="127" t="str">
        <f t="shared" si="17"/>
        <v/>
      </c>
      <c r="BZ32" s="127" t="str">
        <f t="shared" si="28"/>
        <v/>
      </c>
      <c r="CA32" s="128" t="str">
        <f t="shared" si="29"/>
        <v/>
      </c>
      <c r="CB32" s="151"/>
      <c r="CC32" s="129" t="str">
        <f t="shared" si="18"/>
        <v>-</v>
      </c>
      <c r="CD32" s="130" t="str">
        <f t="shared" si="19"/>
        <v>-</v>
      </c>
      <c r="CE32" s="130" t="str">
        <f t="shared" si="20"/>
        <v>-</v>
      </c>
      <c r="CF32" s="130" t="str">
        <f t="shared" si="21"/>
        <v>-</v>
      </c>
      <c r="CG32" s="131" t="str">
        <f t="shared" si="22"/>
        <v>-</v>
      </c>
      <c r="CH32" s="151"/>
    </row>
    <row r="33" spans="1:86" s="115" customFormat="1" ht="12.4" customHeight="1" thickBot="1" x14ac:dyDescent="0.25">
      <c r="A33" s="96">
        <f t="shared" si="30"/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99"/>
      <c r="AM33" s="99"/>
      <c r="AN33" s="99"/>
      <c r="AO33" s="99"/>
      <c r="AP33" s="99"/>
      <c r="AQ33" s="99"/>
      <c r="AR33" s="99"/>
      <c r="AS33" s="99"/>
      <c r="AT33" s="100"/>
      <c r="AU33" s="100"/>
      <c r="AV33" s="101"/>
      <c r="AW33" s="100"/>
      <c r="AX33" s="102" t="str">
        <f>IFERROR(AN33/AW33,"-")</f>
        <v>-</v>
      </c>
      <c r="AY33" s="151"/>
      <c r="AZ33" s="116" t="str">
        <f t="shared" si="1"/>
        <v/>
      </c>
      <c r="BA33" s="117" t="str">
        <f t="shared" si="2"/>
        <v/>
      </c>
      <c r="BB33" s="116" t="str">
        <f t="shared" si="3"/>
        <v/>
      </c>
      <c r="BC33" s="151"/>
      <c r="BD33" s="118" t="str">
        <f t="shared" si="4"/>
        <v/>
      </c>
      <c r="BE33" s="119" t="str">
        <f t="shared" si="5"/>
        <v/>
      </c>
      <c r="BF33" s="119" t="str">
        <f t="shared" si="6"/>
        <v/>
      </c>
      <c r="BG33" s="119" t="str">
        <f t="shared" si="24"/>
        <v/>
      </c>
      <c r="BH33" s="119" t="str">
        <f t="shared" si="7"/>
        <v/>
      </c>
      <c r="BI33" s="120" t="str">
        <f t="shared" si="25"/>
        <v/>
      </c>
      <c r="BJ33" s="151"/>
      <c r="BK33" s="121" t="str">
        <f t="shared" si="8"/>
        <v/>
      </c>
      <c r="BL33" s="122" t="str">
        <f t="shared" si="9"/>
        <v/>
      </c>
      <c r="BM33" s="122" t="str">
        <f t="shared" si="10"/>
        <v/>
      </c>
      <c r="BN33" s="123" t="str">
        <f t="shared" si="11"/>
        <v/>
      </c>
      <c r="BO33" s="151"/>
      <c r="BP33" s="124" t="str">
        <f t="shared" si="12"/>
        <v/>
      </c>
      <c r="BQ33" s="125">
        <v>0</v>
      </c>
      <c r="BR33" s="125" t="str">
        <f t="shared" si="26"/>
        <v/>
      </c>
      <c r="BS33" s="125" t="str">
        <f t="shared" si="27"/>
        <v/>
      </c>
      <c r="BT33" s="126" t="str">
        <f t="shared" si="13"/>
        <v/>
      </c>
      <c r="BU33" s="151"/>
      <c r="BV33" s="132" t="str">
        <f t="shared" si="14"/>
        <v/>
      </c>
      <c r="BW33" s="127" t="str">
        <f t="shared" si="15"/>
        <v/>
      </c>
      <c r="BX33" s="127" t="str">
        <f t="shared" si="16"/>
        <v/>
      </c>
      <c r="BY33" s="127" t="str">
        <f t="shared" si="17"/>
        <v/>
      </c>
      <c r="BZ33" s="127" t="str">
        <f t="shared" si="28"/>
        <v/>
      </c>
      <c r="CA33" s="128" t="str">
        <f t="shared" si="29"/>
        <v/>
      </c>
      <c r="CB33" s="151"/>
      <c r="CC33" s="129" t="str">
        <f t="shared" si="18"/>
        <v>-</v>
      </c>
      <c r="CD33" s="130" t="str">
        <f t="shared" si="19"/>
        <v>-</v>
      </c>
      <c r="CE33" s="130" t="str">
        <f t="shared" si="20"/>
        <v>-</v>
      </c>
      <c r="CF33" s="130" t="str">
        <f t="shared" si="21"/>
        <v>-</v>
      </c>
      <c r="CG33" s="131" t="str">
        <f t="shared" si="22"/>
        <v>-</v>
      </c>
      <c r="CH33" s="151"/>
    </row>
    <row r="34" spans="1:86" s="115" customFormat="1" ht="12.4" customHeight="1" thickBot="1" x14ac:dyDescent="0.25">
      <c r="A34" s="96">
        <f t="shared" si="30"/>
        <v>46326</v>
      </c>
      <c r="B34" s="97" t="str">
        <f>+TEXT(A34,"DDD")</f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99"/>
      <c r="AM34" s="99"/>
      <c r="AN34" s="99"/>
      <c r="AO34" s="99"/>
      <c r="AP34" s="99"/>
      <c r="AQ34" s="99"/>
      <c r="AR34" s="99"/>
      <c r="AS34" s="99"/>
      <c r="AT34" s="100"/>
      <c r="AU34" s="100"/>
      <c r="AV34" s="101"/>
      <c r="AW34" s="100"/>
      <c r="AX34" s="102" t="str">
        <f>IFERROR(AN34/AW34,"-")</f>
        <v>-</v>
      </c>
      <c r="AY34" s="151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51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 t="shared" si="24"/>
        <v/>
      </c>
      <c r="BH34" s="119" t="str">
        <f t="shared" si="7"/>
        <v/>
      </c>
      <c r="BI34" s="120" t="str">
        <f t="shared" si="25"/>
        <v/>
      </c>
      <c r="BJ34" s="151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51"/>
      <c r="BP34" s="124" t="str">
        <f t="shared" si="12"/>
        <v/>
      </c>
      <c r="BQ34" s="125">
        <v>0</v>
      </c>
      <c r="BR34" s="125" t="str">
        <f t="shared" si="26"/>
        <v/>
      </c>
      <c r="BS34" s="125" t="str">
        <f t="shared" si="27"/>
        <v/>
      </c>
      <c r="BT34" s="126" t="str">
        <f t="shared" si="13"/>
        <v/>
      </c>
      <c r="BU34" s="151"/>
      <c r="BV34" s="132" t="str">
        <f t="shared" si="14"/>
        <v/>
      </c>
      <c r="BW34" s="127" t="str">
        <f t="shared" si="15"/>
        <v/>
      </c>
      <c r="BX34" s="127" t="str">
        <f t="shared" si="16"/>
        <v/>
      </c>
      <c r="BY34" s="127" t="str">
        <f t="shared" si="17"/>
        <v/>
      </c>
      <c r="BZ34" s="127" t="str">
        <f t="shared" si="28"/>
        <v/>
      </c>
      <c r="CA34" s="128" t="str">
        <f t="shared" si="29"/>
        <v/>
      </c>
      <c r="CB34" s="151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51"/>
    </row>
    <row r="35" spans="1:86" s="115" customFormat="1" ht="13.15" customHeight="1" thickBot="1" x14ac:dyDescent="0.25">
      <c r="A35" s="235" t="s">
        <v>68</v>
      </c>
      <c r="B35" s="236"/>
      <c r="C35" s="109" t="e">
        <f>AVERAGE(C4:C34)</f>
        <v>#DIV/0!</v>
      </c>
      <c r="D35" s="109" t="e">
        <f t="shared" ref="D35:AW35" si="31">AVERAGE(D4:D34)</f>
        <v>#DIV/0!</v>
      </c>
      <c r="E35" s="109" t="e">
        <f t="shared" si="31"/>
        <v>#DIV/0!</v>
      </c>
      <c r="F35" s="109" t="e">
        <f t="shared" si="31"/>
        <v>#DIV/0!</v>
      </c>
      <c r="G35" s="109" t="e">
        <f t="shared" si="31"/>
        <v>#DIV/0!</v>
      </c>
      <c r="H35" s="109" t="e">
        <f t="shared" si="31"/>
        <v>#DIV/0!</v>
      </c>
      <c r="I35" s="109" t="e">
        <f t="shared" si="31"/>
        <v>#DIV/0!</v>
      </c>
      <c r="J35" s="109" t="e">
        <f t="shared" si="31"/>
        <v>#DIV/0!</v>
      </c>
      <c r="K35" s="109" t="e">
        <f t="shared" si="31"/>
        <v>#DIV/0!</v>
      </c>
      <c r="L35" s="109" t="e">
        <f t="shared" si="31"/>
        <v>#DIV/0!</v>
      </c>
      <c r="M35" s="109" t="e">
        <f t="shared" si="31"/>
        <v>#DIV/0!</v>
      </c>
      <c r="N35" s="109" t="e">
        <f t="shared" si="31"/>
        <v>#DIV/0!</v>
      </c>
      <c r="O35" s="109" t="e">
        <f t="shared" si="31"/>
        <v>#DIV/0!</v>
      </c>
      <c r="P35" s="109" t="e">
        <f t="shared" si="31"/>
        <v>#DIV/0!</v>
      </c>
      <c r="Q35" s="109" t="e">
        <f t="shared" si="31"/>
        <v>#DIV/0!</v>
      </c>
      <c r="R35" s="109" t="e">
        <f t="shared" si="31"/>
        <v>#DIV/0!</v>
      </c>
      <c r="S35" s="109" t="e">
        <f t="shared" si="31"/>
        <v>#DIV/0!</v>
      </c>
      <c r="T35" s="109" t="e">
        <f t="shared" si="31"/>
        <v>#DIV/0!</v>
      </c>
      <c r="U35" s="109" t="e">
        <f t="shared" si="31"/>
        <v>#DIV/0!</v>
      </c>
      <c r="V35" s="109" t="e">
        <f t="shared" si="31"/>
        <v>#DIV/0!</v>
      </c>
      <c r="W35" s="109" t="e">
        <f t="shared" si="31"/>
        <v>#DIV/0!</v>
      </c>
      <c r="X35" s="109" t="e">
        <f t="shared" si="31"/>
        <v>#DIV/0!</v>
      </c>
      <c r="Y35" s="109" t="e">
        <f t="shared" si="31"/>
        <v>#DIV/0!</v>
      </c>
      <c r="Z35" s="109" t="e">
        <f t="shared" si="31"/>
        <v>#DIV/0!</v>
      </c>
      <c r="AA35" s="109" t="e">
        <f t="shared" si="31"/>
        <v>#DIV/0!</v>
      </c>
      <c r="AB35" s="109" t="e">
        <f t="shared" si="31"/>
        <v>#DIV/0!</v>
      </c>
      <c r="AC35" s="109" t="e">
        <f t="shared" si="31"/>
        <v>#DIV/0!</v>
      </c>
      <c r="AD35" s="109" t="e">
        <f t="shared" si="31"/>
        <v>#DIV/0!</v>
      </c>
      <c r="AE35" s="109" t="e">
        <f t="shared" si="31"/>
        <v>#DIV/0!</v>
      </c>
      <c r="AF35" s="109" t="e">
        <f t="shared" si="31"/>
        <v>#DIV/0!</v>
      </c>
      <c r="AG35" s="109" t="e">
        <f t="shared" si="31"/>
        <v>#DIV/0!</v>
      </c>
      <c r="AH35" s="109" t="e">
        <f t="shared" si="31"/>
        <v>#DIV/0!</v>
      </c>
      <c r="AI35" s="109" t="e">
        <f t="shared" si="31"/>
        <v>#DIV/0!</v>
      </c>
      <c r="AJ35" s="109" t="e">
        <f t="shared" si="31"/>
        <v>#DIV/0!</v>
      </c>
      <c r="AK35" s="109" t="e">
        <f t="shared" si="31"/>
        <v>#DIV/0!</v>
      </c>
      <c r="AL35" s="109" t="e">
        <f t="shared" si="31"/>
        <v>#DIV/0!</v>
      </c>
      <c r="AM35" s="109" t="e">
        <f t="shared" si="31"/>
        <v>#DIV/0!</v>
      </c>
      <c r="AN35" s="109" t="e">
        <f t="shared" si="31"/>
        <v>#DIV/0!</v>
      </c>
      <c r="AO35" s="109" t="e">
        <f t="shared" si="31"/>
        <v>#DIV/0!</v>
      </c>
      <c r="AP35" s="109" t="e">
        <f t="shared" si="31"/>
        <v>#DIV/0!</v>
      </c>
      <c r="AQ35" s="109" t="e">
        <f t="shared" si="31"/>
        <v>#DIV/0!</v>
      </c>
      <c r="AR35" s="109" t="e">
        <f t="shared" si="31"/>
        <v>#DIV/0!</v>
      </c>
      <c r="AS35" s="109" t="e">
        <f t="shared" si="31"/>
        <v>#DIV/0!</v>
      </c>
      <c r="AT35" s="109" t="e">
        <f t="shared" si="31"/>
        <v>#DIV/0!</v>
      </c>
      <c r="AU35" s="109" t="e">
        <f t="shared" si="31"/>
        <v>#DIV/0!</v>
      </c>
      <c r="AV35" s="109" t="e">
        <f t="shared" si="31"/>
        <v>#DIV/0!</v>
      </c>
      <c r="AW35" s="109" t="e">
        <f t="shared" si="31"/>
        <v>#DIV/0!</v>
      </c>
      <c r="AX35" s="110" t="str">
        <f t="shared" si="23"/>
        <v>-</v>
      </c>
      <c r="AY35" s="151"/>
      <c r="AZ35" s="133" t="e">
        <f t="shared" si="1"/>
        <v>#DIV/0!</v>
      </c>
      <c r="BA35" s="134" t="e">
        <f t="shared" si="2"/>
        <v>#DIV/0!</v>
      </c>
      <c r="BB35" s="135" t="e">
        <f t="shared" si="3"/>
        <v>#DIV/0!</v>
      </c>
      <c r="BC35" s="151"/>
      <c r="BD35" s="133" t="e">
        <f t="shared" si="4"/>
        <v>#DIV/0!</v>
      </c>
      <c r="BE35" s="136" t="e">
        <f t="shared" si="5"/>
        <v>#DIV/0!</v>
      </c>
      <c r="BF35" s="136" t="e">
        <f t="shared" si="6"/>
        <v>#DIV/0!</v>
      </c>
      <c r="BG35" s="136" t="e">
        <f t="shared" si="24"/>
        <v>#DIV/0!</v>
      </c>
      <c r="BH35" s="136" t="e">
        <f t="shared" si="7"/>
        <v>#DIV/0!</v>
      </c>
      <c r="BI35" s="135" t="e">
        <f t="shared" si="25"/>
        <v>#DIV/0!</v>
      </c>
      <c r="BJ35" s="151"/>
      <c r="BK35" s="133" t="e">
        <f t="shared" si="8"/>
        <v>#DIV/0!</v>
      </c>
      <c r="BL35" s="136" t="e">
        <f t="shared" si="9"/>
        <v>#DIV/0!</v>
      </c>
      <c r="BM35" s="136" t="e">
        <f t="shared" si="10"/>
        <v>#DIV/0!</v>
      </c>
      <c r="BN35" s="135" t="e">
        <f t="shared" si="11"/>
        <v>#DIV/0!</v>
      </c>
      <c r="BO35" s="151"/>
      <c r="BP35" s="133" t="e">
        <f t="shared" si="12"/>
        <v>#DIV/0!</v>
      </c>
      <c r="BQ35" s="136">
        <v>0</v>
      </c>
      <c r="BR35" s="136" t="e">
        <f t="shared" si="26"/>
        <v>#DIV/0!</v>
      </c>
      <c r="BS35" s="136" t="e">
        <f t="shared" si="27"/>
        <v>#DIV/0!</v>
      </c>
      <c r="BT35" s="135" t="e">
        <f t="shared" si="13"/>
        <v>#DIV/0!</v>
      </c>
      <c r="BU35" s="151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8"/>
        <v>#DIV/0!</v>
      </c>
      <c r="CA35" s="139" t="e">
        <f t="shared" si="29"/>
        <v>#DIV/0!</v>
      </c>
      <c r="CB35" s="151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51"/>
    </row>
    <row r="36" spans="1:86" s="115" customFormat="1" ht="13.15" customHeight="1" thickBot="1" x14ac:dyDescent="0.25">
      <c r="A36" s="235" t="s">
        <v>69</v>
      </c>
      <c r="B36" s="236"/>
      <c r="C36" s="111">
        <f>SUM(C4:C34)</f>
        <v>0</v>
      </c>
      <c r="D36" s="111">
        <f t="shared" ref="D36:AW36" si="32">SUM(D4:D34)</f>
        <v>0</v>
      </c>
      <c r="E36" s="111">
        <f t="shared" si="32"/>
        <v>0</v>
      </c>
      <c r="F36" s="111">
        <f t="shared" si="32"/>
        <v>0</v>
      </c>
      <c r="G36" s="111">
        <f t="shared" si="32"/>
        <v>0</v>
      </c>
      <c r="H36" s="111">
        <f t="shared" si="32"/>
        <v>0</v>
      </c>
      <c r="I36" s="111">
        <f t="shared" si="32"/>
        <v>0</v>
      </c>
      <c r="J36" s="111">
        <f t="shared" si="32"/>
        <v>0</v>
      </c>
      <c r="K36" s="111">
        <f t="shared" si="32"/>
        <v>0</v>
      </c>
      <c r="L36" s="111">
        <f t="shared" si="32"/>
        <v>0</v>
      </c>
      <c r="M36" s="111">
        <f t="shared" si="32"/>
        <v>0</v>
      </c>
      <c r="N36" s="111">
        <f t="shared" si="32"/>
        <v>0</v>
      </c>
      <c r="O36" s="111">
        <f t="shared" si="32"/>
        <v>0</v>
      </c>
      <c r="P36" s="111">
        <f t="shared" si="32"/>
        <v>0</v>
      </c>
      <c r="Q36" s="111">
        <f t="shared" si="32"/>
        <v>0</v>
      </c>
      <c r="R36" s="111">
        <f t="shared" si="32"/>
        <v>0</v>
      </c>
      <c r="S36" s="111">
        <f t="shared" si="32"/>
        <v>0</v>
      </c>
      <c r="T36" s="111">
        <f t="shared" si="32"/>
        <v>0</v>
      </c>
      <c r="U36" s="111">
        <f t="shared" si="32"/>
        <v>0</v>
      </c>
      <c r="V36" s="111">
        <f t="shared" si="32"/>
        <v>0</v>
      </c>
      <c r="W36" s="111">
        <f t="shared" si="32"/>
        <v>0</v>
      </c>
      <c r="X36" s="111">
        <f t="shared" si="32"/>
        <v>0</v>
      </c>
      <c r="Y36" s="111">
        <f t="shared" si="32"/>
        <v>0</v>
      </c>
      <c r="Z36" s="111">
        <f t="shared" si="32"/>
        <v>0</v>
      </c>
      <c r="AA36" s="111">
        <f t="shared" si="32"/>
        <v>0</v>
      </c>
      <c r="AB36" s="111">
        <f t="shared" si="32"/>
        <v>0</v>
      </c>
      <c r="AC36" s="111">
        <f t="shared" si="32"/>
        <v>0</v>
      </c>
      <c r="AD36" s="111">
        <f t="shared" si="32"/>
        <v>0</v>
      </c>
      <c r="AE36" s="111">
        <f t="shared" si="32"/>
        <v>0</v>
      </c>
      <c r="AF36" s="111">
        <f t="shared" si="32"/>
        <v>0</v>
      </c>
      <c r="AG36" s="111">
        <f t="shared" si="32"/>
        <v>0</v>
      </c>
      <c r="AH36" s="111">
        <f t="shared" si="32"/>
        <v>0</v>
      </c>
      <c r="AI36" s="111">
        <f t="shared" si="32"/>
        <v>0</v>
      </c>
      <c r="AJ36" s="111">
        <f t="shared" si="32"/>
        <v>0</v>
      </c>
      <c r="AK36" s="111">
        <f t="shared" si="32"/>
        <v>0</v>
      </c>
      <c r="AL36" s="111">
        <f t="shared" si="32"/>
        <v>0</v>
      </c>
      <c r="AM36" s="111">
        <f t="shared" si="32"/>
        <v>0</v>
      </c>
      <c r="AN36" s="111">
        <f t="shared" si="32"/>
        <v>0</v>
      </c>
      <c r="AO36" s="111">
        <f t="shared" si="32"/>
        <v>0</v>
      </c>
      <c r="AP36" s="111">
        <f t="shared" si="32"/>
        <v>0</v>
      </c>
      <c r="AQ36" s="111">
        <f t="shared" si="32"/>
        <v>0</v>
      </c>
      <c r="AR36" s="111">
        <f t="shared" si="32"/>
        <v>0</v>
      </c>
      <c r="AS36" s="111">
        <f t="shared" si="32"/>
        <v>0</v>
      </c>
      <c r="AT36" s="111">
        <f t="shared" si="32"/>
        <v>0</v>
      </c>
      <c r="AU36" s="111">
        <f t="shared" si="32"/>
        <v>0</v>
      </c>
      <c r="AV36" s="111">
        <f t="shared" si="32"/>
        <v>0</v>
      </c>
      <c r="AW36" s="111">
        <f t="shared" si="32"/>
        <v>0</v>
      </c>
      <c r="AX36" s="112" t="str">
        <f t="shared" si="23"/>
        <v>-</v>
      </c>
      <c r="AY36" s="156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56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 t="shared" si="24"/>
        <v/>
      </c>
      <c r="BH36" s="144" t="str">
        <f t="shared" si="7"/>
        <v/>
      </c>
      <c r="BI36" s="143" t="str">
        <f t="shared" si="25"/>
        <v/>
      </c>
      <c r="BJ36" s="156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56"/>
      <c r="BP36" s="141" t="str">
        <f t="shared" si="12"/>
        <v/>
      </c>
      <c r="BQ36" s="144">
        <v>0</v>
      </c>
      <c r="BR36" s="144" t="str">
        <f t="shared" si="26"/>
        <v/>
      </c>
      <c r="BS36" s="144" t="str">
        <f t="shared" si="27"/>
        <v/>
      </c>
      <c r="BT36" s="143" t="str">
        <f t="shared" si="13"/>
        <v/>
      </c>
      <c r="BU36" s="156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8"/>
        <v/>
      </c>
      <c r="CA36" s="147" t="str">
        <f t="shared" si="29"/>
        <v/>
      </c>
      <c r="CB36" s="156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56"/>
    </row>
    <row r="37" spans="1:86" x14ac:dyDescent="0.2"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</sheetData>
  <mergeCells count="88"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workbookViewId="0">
      <selection activeCell="C2" sqref="C2:C3"/>
    </sheetView>
  </sheetViews>
  <sheetFormatPr defaultColWidth="0" defaultRowHeight="11.25" x14ac:dyDescent="0.2"/>
  <cols>
    <col min="1" max="1" width="9.7109375" style="154" bestFit="1" customWidth="1"/>
    <col min="2" max="2" width="4.5703125" style="154" customWidth="1"/>
    <col min="3" max="3" width="15.5703125" style="154" bestFit="1" customWidth="1"/>
    <col min="4" max="4" width="18.85546875" style="154" bestFit="1" customWidth="1"/>
    <col min="5" max="5" width="20" style="154" bestFit="1" customWidth="1"/>
    <col min="6" max="6" width="16" style="154" bestFit="1" customWidth="1"/>
    <col min="7" max="7" width="5.5703125" style="154" customWidth="1"/>
    <col min="8" max="8" width="18.5703125" style="154" bestFit="1" customWidth="1"/>
    <col min="9" max="9" width="9" style="154" bestFit="1" customWidth="1"/>
    <col min="10" max="10" width="9.42578125" style="154" customWidth="1"/>
    <col min="11" max="11" width="11" style="154" bestFit="1" customWidth="1"/>
    <col min="12" max="12" width="7.140625" style="154" customWidth="1"/>
    <col min="13" max="13" width="5.85546875" style="154" customWidth="1"/>
    <col min="14" max="14" width="4.42578125" style="154" customWidth="1"/>
    <col min="15" max="15" width="4.7109375" style="154" customWidth="1"/>
    <col min="16" max="16" width="4.5703125" style="154" customWidth="1"/>
    <col min="17" max="17" width="5.42578125" style="154" customWidth="1"/>
    <col min="18" max="18" width="4" style="154" customWidth="1"/>
    <col min="19" max="19" width="4.42578125" style="154" customWidth="1"/>
    <col min="20" max="20" width="3.5703125" style="154" customWidth="1"/>
    <col min="21" max="21" width="6.28515625" style="154" bestFit="1" customWidth="1"/>
    <col min="22" max="23" width="3.28515625" style="154" customWidth="1"/>
    <col min="24" max="24" width="5" style="154" customWidth="1"/>
    <col min="25" max="25" width="3.85546875" style="154" customWidth="1"/>
    <col min="26" max="26" width="3.42578125" style="154" customWidth="1"/>
    <col min="27" max="27" width="5.5703125" style="154" customWidth="1"/>
    <col min="28" max="28" width="5.7109375" style="154" customWidth="1"/>
    <col min="29" max="29" width="4" style="154" customWidth="1"/>
    <col min="30" max="30" width="3.140625" style="154" customWidth="1"/>
    <col min="31" max="31" width="5.42578125" style="154" customWidth="1"/>
    <col min="32" max="33" width="4.42578125" style="154" customWidth="1"/>
    <col min="34" max="34" width="4.28515625" style="154" customWidth="1"/>
    <col min="35" max="35" width="13.28515625" style="154" bestFit="1" customWidth="1"/>
    <col min="36" max="36" width="15.7109375" style="154" bestFit="1" customWidth="1"/>
    <col min="37" max="37" width="16.28515625" style="154" bestFit="1" customWidth="1"/>
    <col min="38" max="38" width="15.42578125" style="154" bestFit="1" customWidth="1"/>
    <col min="39" max="39" width="15.85546875" style="154" bestFit="1" customWidth="1"/>
    <col min="40" max="40" width="16.28515625" style="154" bestFit="1" customWidth="1"/>
    <col min="41" max="41" width="10" style="154" bestFit="1" customWidth="1"/>
    <col min="42" max="42" width="13.85546875" style="154" bestFit="1" customWidth="1"/>
    <col min="43" max="43" width="11.140625" style="154" bestFit="1" customWidth="1"/>
    <col min="44" max="44" width="10.28515625" style="154" bestFit="1" customWidth="1"/>
    <col min="45" max="45" width="12.5703125" style="158" bestFit="1" customWidth="1"/>
    <col min="46" max="46" width="10.7109375" style="154" bestFit="1" customWidth="1"/>
    <col min="47" max="47" width="10.7109375" style="154" customWidth="1"/>
    <col min="48" max="48" width="16.28515625" style="154" bestFit="1" customWidth="1"/>
    <col min="49" max="49" width="16.140625" style="154" bestFit="1" customWidth="1"/>
    <col min="50" max="50" width="16" style="154" bestFit="1" customWidth="1"/>
    <col min="51" max="51" width="2.28515625" style="154" customWidth="1"/>
    <col min="52" max="52" width="16.42578125" style="154" bestFit="1" customWidth="1"/>
    <col min="53" max="53" width="12" style="154" bestFit="1" customWidth="1"/>
    <col min="54" max="54" width="12.85546875" style="154" bestFit="1" customWidth="1"/>
    <col min="55" max="55" width="1.5703125" style="154" customWidth="1"/>
    <col min="56" max="56" width="12.7109375" style="154" bestFit="1" customWidth="1"/>
    <col min="57" max="57" width="13.42578125" style="154" bestFit="1" customWidth="1"/>
    <col min="58" max="58" width="20.42578125" style="154" bestFit="1" customWidth="1"/>
    <col min="59" max="59" width="9.5703125" style="154" bestFit="1" customWidth="1"/>
    <col min="60" max="60" width="14.85546875" style="154" bestFit="1" customWidth="1"/>
    <col min="61" max="61" width="10.7109375" style="154" bestFit="1" customWidth="1"/>
    <col min="62" max="62" width="1.85546875" style="154" customWidth="1"/>
    <col min="63" max="63" width="20.28515625" style="154" bestFit="1" customWidth="1"/>
    <col min="64" max="64" width="25.42578125" style="154" bestFit="1" customWidth="1"/>
    <col min="65" max="65" width="14.140625" style="154" bestFit="1" customWidth="1"/>
    <col min="66" max="66" width="18.140625" style="154" bestFit="1" customWidth="1"/>
    <col min="67" max="67" width="2.140625" style="154" customWidth="1"/>
    <col min="68" max="68" width="9.28515625" style="154" bestFit="1" customWidth="1"/>
    <col min="69" max="69" width="13" style="154" bestFit="1" customWidth="1"/>
    <col min="70" max="70" width="14.140625" style="154" bestFit="1" customWidth="1"/>
    <col min="71" max="71" width="13.85546875" style="154" bestFit="1" customWidth="1"/>
    <col min="72" max="72" width="8" style="154" bestFit="1" customWidth="1"/>
    <col min="73" max="73" width="2.140625" style="154" customWidth="1"/>
    <col min="74" max="74" width="18.5703125" style="154" bestFit="1" customWidth="1"/>
    <col min="75" max="75" width="14.5703125" style="154" bestFit="1" customWidth="1"/>
    <col min="76" max="76" width="18.5703125" style="154" bestFit="1" customWidth="1"/>
    <col min="77" max="77" width="19" style="154" bestFit="1" customWidth="1"/>
    <col min="78" max="78" width="18.140625" style="154" bestFit="1" customWidth="1"/>
    <col min="79" max="79" width="18.7109375" style="154" bestFit="1" customWidth="1"/>
    <col min="80" max="80" width="1.85546875" style="154" customWidth="1"/>
    <col min="81" max="81" width="7.5703125" style="154" bestFit="1" customWidth="1"/>
    <col min="82" max="82" width="5" style="154" bestFit="1" customWidth="1"/>
    <col min="83" max="83" width="5.85546875" style="154" bestFit="1" customWidth="1"/>
    <col min="84" max="84" width="4.7109375" style="154" bestFit="1" customWidth="1"/>
    <col min="85" max="85" width="8.42578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170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0" si="0">+TEXT(A4,"DDD")</f>
        <v>Thu</v>
      </c>
      <c r="C4" s="60"/>
      <c r="D4" s="98"/>
      <c r="E4" s="103"/>
      <c r="F4" s="98"/>
      <c r="G4" s="98"/>
      <c r="H4" s="104"/>
      <c r="I4" s="104"/>
      <c r="J4" s="105"/>
      <c r="K4" s="106"/>
      <c r="L4" s="98"/>
      <c r="M4" s="98"/>
      <c r="N4" s="98"/>
      <c r="O4" s="98"/>
      <c r="P4" s="103"/>
      <c r="Q4" s="98"/>
      <c r="R4" s="98"/>
      <c r="S4" s="98"/>
      <c r="T4" s="98"/>
      <c r="U4" s="98"/>
      <c r="V4" s="103"/>
      <c r="W4" s="103"/>
      <c r="X4" s="98"/>
      <c r="Y4" s="98"/>
      <c r="Z4" s="98"/>
      <c r="AA4" s="98"/>
      <c r="AB4" s="98"/>
      <c r="AC4" s="98"/>
      <c r="AD4" s="98"/>
      <c r="AE4" s="98"/>
      <c r="AF4" s="103"/>
      <c r="AG4" s="103"/>
      <c r="AH4" s="98"/>
      <c r="AI4" s="107"/>
      <c r="AJ4" s="108"/>
      <c r="AK4" s="107"/>
      <c r="AL4" s="99"/>
      <c r="AM4" s="99"/>
      <c r="AN4" s="99"/>
      <c r="AO4" s="99"/>
      <c r="AP4" s="99"/>
      <c r="AQ4" s="99"/>
      <c r="AR4" s="99"/>
      <c r="AS4" s="99"/>
      <c r="AT4" s="100"/>
      <c r="AU4" s="100"/>
      <c r="AV4" s="101"/>
      <c r="AW4" s="100"/>
      <c r="AX4" s="102" t="str">
        <f>IFERROR(AN4/AW4,"-")</f>
        <v>-</v>
      </c>
      <c r="AY4" s="151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51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51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51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51"/>
      <c r="BV4" s="127" t="str">
        <f t="shared" ref="BV4:BV36" si="14">IF(AN4&gt;0,(E4/AN4),"")</f>
        <v/>
      </c>
      <c r="BW4" s="127" t="str">
        <f t="shared" ref="BW4:BW36" si="15">IF(AN4&gt;0,(G4/AN4),"")</f>
        <v/>
      </c>
      <c r="BX4" s="127" t="str">
        <f t="shared" ref="BX4:BX36" si="16">IF(AN4&gt;0,(J4/AN4),"")</f>
        <v/>
      </c>
      <c r="BY4" s="127" t="str">
        <f t="shared" ref="BY4:BY36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51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51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99"/>
      <c r="AM5" s="99"/>
      <c r="AN5" s="99"/>
      <c r="AO5" s="99"/>
      <c r="AP5" s="99"/>
      <c r="AQ5" s="99"/>
      <c r="AR5" s="99"/>
      <c r="AS5" s="99"/>
      <c r="AT5" s="100"/>
      <c r="AU5" s="100"/>
      <c r="AV5" s="101"/>
      <c r="AW5" s="100"/>
      <c r="AX5" s="102" t="str">
        <f>IFERROR(AN5/AW5,"-")</f>
        <v>-</v>
      </c>
      <c r="AY5" s="151"/>
      <c r="AZ5" s="116" t="str">
        <f>IF(E5&gt;0,F5/E5,"")</f>
        <v/>
      </c>
      <c r="BA5" s="117" t="str">
        <f>+IF(E5&gt;0,G5/E5,"")</f>
        <v/>
      </c>
      <c r="BB5" s="116" t="str">
        <f>+IF(E5&gt;0,AJ5/E5,"")</f>
        <v/>
      </c>
      <c r="BC5" s="151"/>
      <c r="BD5" s="118" t="str">
        <f>+IF(G5&gt;0,I5/G5,"")</f>
        <v/>
      </c>
      <c r="BE5" s="119" t="str">
        <f>+IF(G5&gt;0,J5/G5,"")</f>
        <v/>
      </c>
      <c r="BF5" s="119" t="str">
        <f>+IF(I5&gt;0,L5/I5,"")</f>
        <v/>
      </c>
      <c r="BG5" s="119" t="str">
        <f>+IF(SUM(AO5:AR5)&gt;0,AO5/AN5,"")</f>
        <v/>
      </c>
      <c r="BH5" s="119" t="str">
        <f>+IF(G5&gt;0,K5/G5,"")</f>
        <v/>
      </c>
      <c r="BI5" s="120" t="str">
        <f>+IF(SUM(AO5:AR5)&gt;0,AQ5/AN5,"")</f>
        <v/>
      </c>
      <c r="BJ5" s="151"/>
      <c r="BK5" s="121" t="str">
        <f>+IF(E5&gt;0,(AJ5/E5),"")</f>
        <v/>
      </c>
      <c r="BL5" s="122" t="str">
        <f>+IF(E5&gt;0,(AJ5/F5),"")</f>
        <v/>
      </c>
      <c r="BM5" s="122" t="str">
        <f>+IF(E5&gt;0,(AJ5/G5),"")</f>
        <v/>
      </c>
      <c r="BN5" s="123" t="str">
        <f>+IF(E5&gt;0,(AJ5/J5),"")</f>
        <v/>
      </c>
      <c r="BO5" s="151"/>
      <c r="BP5" s="124" t="str">
        <f>IF(AJ5&gt;0,(N5/AJ5),"")</f>
        <v/>
      </c>
      <c r="BQ5" s="125">
        <v>0</v>
      </c>
      <c r="BR5" s="125" t="str">
        <f>IF(AJ5&gt;0,(AK5/AJ5),"")</f>
        <v/>
      </c>
      <c r="BS5" s="125" t="str">
        <f>IF(AJ5&gt;0,(AK5/AJ5),"")</f>
        <v/>
      </c>
      <c r="BT5" s="126" t="str">
        <f>IF(J5&gt;0,AD5/J5,"")</f>
        <v/>
      </c>
      <c r="BU5" s="151"/>
      <c r="BV5" s="132" t="str">
        <f>IF(AN5&gt;0,(E5/AN5),"")</f>
        <v/>
      </c>
      <c r="BW5" s="127" t="str">
        <f>IF(AN5&gt;0,(G5/AN5),"")</f>
        <v/>
      </c>
      <c r="BX5" s="127" t="str">
        <f>IF(AN5&gt;0,(J5/AN5),"")</f>
        <v/>
      </c>
      <c r="BY5" s="127" t="str">
        <f>IF(AN5&gt;0,(K5/AN5),"")</f>
        <v/>
      </c>
      <c r="BZ5" s="127" t="str">
        <f>IF(AN5&gt;0,(AJ5/AN5),"")</f>
        <v/>
      </c>
      <c r="CA5" s="128" t="str">
        <f>IF(AN5&gt;0,(AK5/AN5),"")</f>
        <v/>
      </c>
      <c r="CB5" s="151"/>
      <c r="CC5" s="129" t="str">
        <f>IFERROR(((AN5-AO5)*3600)/J5,"-")</f>
        <v>-</v>
      </c>
      <c r="CD5" s="130" t="str">
        <f>IFERROR((AR5*3600)/J5,"-")</f>
        <v>-</v>
      </c>
      <c r="CE5" s="130" t="str">
        <f>IFERROR((AQ5*3600)/J5,"-")</f>
        <v>-</v>
      </c>
      <c r="CF5" s="130" t="str">
        <f>IFERROR((AO5*3600)/J5,"-")</f>
        <v>-</v>
      </c>
      <c r="CG5" s="131" t="str">
        <f>IFERROR((AP5*3600)/J5,"-")</f>
        <v>-</v>
      </c>
      <c r="CH5" s="151"/>
    </row>
    <row r="6" spans="1:86" s="115" customFormat="1" ht="12.4" customHeight="1" thickBot="1" x14ac:dyDescent="0.25">
      <c r="A6" s="96">
        <f t="shared" ref="A6:A34" si="23">A5+1</f>
        <v>46298</v>
      </c>
      <c r="B6" s="97" t="str">
        <f t="shared" si="0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99"/>
      <c r="AM6" s="99"/>
      <c r="AN6" s="99"/>
      <c r="AO6" s="99"/>
      <c r="AP6" s="99"/>
      <c r="AQ6" s="99"/>
      <c r="AR6" s="99"/>
      <c r="AS6" s="99"/>
      <c r="AT6" s="100"/>
      <c r="AU6" s="100"/>
      <c r="AV6" s="101"/>
      <c r="AW6" s="100"/>
      <c r="AX6" s="102" t="str">
        <f>IFERROR(AN6/AW6,"-")</f>
        <v>-</v>
      </c>
      <c r="AY6" s="151"/>
      <c r="AZ6" s="116" t="str">
        <f>IF(E6&gt;0,F6/E6,"")</f>
        <v/>
      </c>
      <c r="BA6" s="117" t="str">
        <f>+IF(E6&gt;0,G6/E6,"")</f>
        <v/>
      </c>
      <c r="BB6" s="116" t="str">
        <f>+IF(E6&gt;0,AJ6/E6,"")</f>
        <v/>
      </c>
      <c r="BC6" s="151"/>
      <c r="BD6" s="118" t="str">
        <f>+IF(G6&gt;0,I6/G6,"")</f>
        <v/>
      </c>
      <c r="BE6" s="119" t="str">
        <f>+IF(G6&gt;0,J6/G6,"")</f>
        <v/>
      </c>
      <c r="BF6" s="119" t="str">
        <f>+IF(I6&gt;0,L6/I6,"")</f>
        <v/>
      </c>
      <c r="BG6" s="119" t="str">
        <f>+IF(SUM(AO6:AR6)&gt;0,AO6/AN6,"")</f>
        <v/>
      </c>
      <c r="BH6" s="119" t="str">
        <f>+IF(G6&gt;0,K6/G6,"")</f>
        <v/>
      </c>
      <c r="BI6" s="120" t="str">
        <f>+IF(SUM(AO6:AR6)&gt;0,AQ6/AN6,"")</f>
        <v/>
      </c>
      <c r="BJ6" s="151"/>
      <c r="BK6" s="121" t="str">
        <f>+IF(E6&gt;0,(AJ6/E6),"")</f>
        <v/>
      </c>
      <c r="BL6" s="122" t="str">
        <f>+IF(E6&gt;0,(AJ6/F6),"")</f>
        <v/>
      </c>
      <c r="BM6" s="122" t="str">
        <f>+IF(E6&gt;0,(AJ6/G6),"")</f>
        <v/>
      </c>
      <c r="BN6" s="123" t="str">
        <f>+IF(E6&gt;0,(AJ6/J6),"")</f>
        <v/>
      </c>
      <c r="BO6" s="151"/>
      <c r="BP6" s="124" t="str">
        <f>IF(AJ6&gt;0,(N6/AJ6),"")</f>
        <v/>
      </c>
      <c r="BQ6" s="125">
        <v>0</v>
      </c>
      <c r="BR6" s="125" t="str">
        <f>IF(AJ6&gt;0,(AK6/AJ6),"")</f>
        <v/>
      </c>
      <c r="BS6" s="125" t="str">
        <f>IF(AJ6&gt;0,(AK6/AJ6),"")</f>
        <v/>
      </c>
      <c r="BT6" s="126" t="str">
        <f>IF(J6&gt;0,AD6/J6,"")</f>
        <v/>
      </c>
      <c r="BU6" s="151"/>
      <c r="BV6" s="132" t="str">
        <f>IF(AN6&gt;0,(E6/AN6),"")</f>
        <v/>
      </c>
      <c r="BW6" s="127" t="str">
        <f>IF(AN6&gt;0,(G6/AN6),"")</f>
        <v/>
      </c>
      <c r="BX6" s="127" t="str">
        <f>IF(AN6&gt;0,(J6/AN6),"")</f>
        <v/>
      </c>
      <c r="BY6" s="127" t="str">
        <f>IF(AN6&gt;0,(K6/AN6),"")</f>
        <v/>
      </c>
      <c r="BZ6" s="127" t="str">
        <f>IF(AN6&gt;0,(AJ6/AN6),"")</f>
        <v/>
      </c>
      <c r="CA6" s="128" t="str">
        <f>IF(AN6&gt;0,(AK6/AN6),"")</f>
        <v/>
      </c>
      <c r="CB6" s="151"/>
      <c r="CC6" s="129" t="str">
        <f>IFERROR(((AN6-AO6)*3600)/J6,"-")</f>
        <v>-</v>
      </c>
      <c r="CD6" s="130" t="str">
        <f>IFERROR((AR6*3600)/J6,"-")</f>
        <v>-</v>
      </c>
      <c r="CE6" s="130" t="str">
        <f>IFERROR((AQ6*3600)/J6,"-")</f>
        <v>-</v>
      </c>
      <c r="CF6" s="130" t="str">
        <f>IFERROR((AO6*3600)/J6,"-")</f>
        <v>-</v>
      </c>
      <c r="CG6" s="131" t="str">
        <f>IFERROR((AP6*3600)/J6,"-")</f>
        <v>-</v>
      </c>
      <c r="CH6" s="151"/>
    </row>
    <row r="7" spans="1:86" s="115" customFormat="1" ht="12.4" customHeight="1" thickBot="1" x14ac:dyDescent="0.25">
      <c r="A7" s="96">
        <f t="shared" si="23"/>
        <v>46299</v>
      </c>
      <c r="B7" s="97" t="str">
        <f t="shared" si="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99"/>
      <c r="AM7" s="99"/>
      <c r="AN7" s="99"/>
      <c r="AO7" s="99"/>
      <c r="AP7" s="99"/>
      <c r="AQ7" s="99"/>
      <c r="AR7" s="99"/>
      <c r="AS7" s="99"/>
      <c r="AT7" s="100"/>
      <c r="AU7" s="100"/>
      <c r="AV7" s="101"/>
      <c r="AW7" s="100"/>
      <c r="AX7" s="102" t="str">
        <f t="shared" ref="AX7:AX36" si="24">IFERROR(AN7/AW7,"-")</f>
        <v>-</v>
      </c>
      <c r="AY7" s="151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51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ref="BG7:BG36" si="25">+IF(SUM(AO7:AR7)&gt;0,AO7/AN7,"")</f>
        <v/>
      </c>
      <c r="BH7" s="119" t="str">
        <f t="shared" si="7"/>
        <v/>
      </c>
      <c r="BI7" s="120" t="str">
        <f t="shared" ref="BI7:BI36" si="26">+IF(SUM(AO7:AR7)&gt;0,AQ7/AN7,"")</f>
        <v/>
      </c>
      <c r="BJ7" s="151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51"/>
      <c r="BP7" s="124" t="str">
        <f t="shared" si="12"/>
        <v/>
      </c>
      <c r="BQ7" s="125">
        <v>0</v>
      </c>
      <c r="BR7" s="125" t="str">
        <f t="shared" ref="BR7:BR36" si="27">IF(AJ7&gt;0,(AK7/AJ7),"")</f>
        <v/>
      </c>
      <c r="BS7" s="125" t="str">
        <f t="shared" ref="BS7:BS36" si="28">IF(AJ7&gt;0,(AK7/AJ7),"")</f>
        <v/>
      </c>
      <c r="BT7" s="126" t="str">
        <f t="shared" si="13"/>
        <v/>
      </c>
      <c r="BU7" s="151"/>
      <c r="BV7" s="132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ref="BZ7:BZ36" si="29">IF(AN7&gt;0,(AJ7/AN7),"")</f>
        <v/>
      </c>
      <c r="CA7" s="128" t="str">
        <f t="shared" ref="CA7:CA36" si="30">IF(AN7&gt;0,(AK7/AN7),"")</f>
        <v/>
      </c>
      <c r="CB7" s="151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51"/>
    </row>
    <row r="8" spans="1:86" s="115" customFormat="1" ht="12.4" customHeight="1" thickBot="1" x14ac:dyDescent="0.25">
      <c r="A8" s="96">
        <f t="shared" si="23"/>
        <v>46300</v>
      </c>
      <c r="B8" s="97" t="str">
        <f t="shared" si="0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99"/>
      <c r="AM8" s="99"/>
      <c r="AN8" s="99"/>
      <c r="AO8" s="99"/>
      <c r="AP8" s="99"/>
      <c r="AQ8" s="99"/>
      <c r="AR8" s="99"/>
      <c r="AS8" s="99"/>
      <c r="AT8" s="100"/>
      <c r="AU8" s="100"/>
      <c r="AV8" s="101"/>
      <c r="AW8" s="100"/>
      <c r="AX8" s="102" t="str">
        <f t="shared" si="24"/>
        <v>-</v>
      </c>
      <c r="AY8" s="151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51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25"/>
        <v/>
      </c>
      <c r="BH8" s="119" t="str">
        <f t="shared" si="7"/>
        <v/>
      </c>
      <c r="BI8" s="120" t="str">
        <f t="shared" si="26"/>
        <v/>
      </c>
      <c r="BJ8" s="151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51"/>
      <c r="BP8" s="124" t="str">
        <f t="shared" si="12"/>
        <v/>
      </c>
      <c r="BQ8" s="125">
        <v>0</v>
      </c>
      <c r="BR8" s="125" t="str">
        <f t="shared" si="27"/>
        <v/>
      </c>
      <c r="BS8" s="125" t="str">
        <f t="shared" si="28"/>
        <v/>
      </c>
      <c r="BT8" s="126" t="str">
        <f t="shared" si="13"/>
        <v/>
      </c>
      <c r="BU8" s="151"/>
      <c r="BV8" s="132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 t="shared" si="29"/>
        <v/>
      </c>
      <c r="CA8" s="128" t="str">
        <f t="shared" si="30"/>
        <v/>
      </c>
      <c r="CB8" s="151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51"/>
    </row>
    <row r="9" spans="1:86" s="115" customFormat="1" ht="12.4" customHeight="1" thickBot="1" x14ac:dyDescent="0.25">
      <c r="A9" s="96">
        <f t="shared" si="23"/>
        <v>46301</v>
      </c>
      <c r="B9" s="97" t="str">
        <f t="shared" si="0"/>
        <v>Tue</v>
      </c>
      <c r="C9" s="98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99"/>
      <c r="AM9" s="99"/>
      <c r="AN9" s="99"/>
      <c r="AO9" s="99"/>
      <c r="AP9" s="99"/>
      <c r="AQ9" s="99"/>
      <c r="AR9" s="99"/>
      <c r="AS9" s="99"/>
      <c r="AT9" s="100"/>
      <c r="AU9" s="100"/>
      <c r="AV9" s="101"/>
      <c r="AW9" s="100"/>
      <c r="AX9" s="102" t="str">
        <f t="shared" si="24"/>
        <v>-</v>
      </c>
      <c r="AY9" s="151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51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25"/>
        <v/>
      </c>
      <c r="BH9" s="119" t="str">
        <f t="shared" si="7"/>
        <v/>
      </c>
      <c r="BI9" s="120" t="str">
        <f t="shared" si="26"/>
        <v/>
      </c>
      <c r="BJ9" s="151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51"/>
      <c r="BP9" s="124" t="str">
        <f t="shared" si="12"/>
        <v/>
      </c>
      <c r="BQ9" s="125">
        <v>0</v>
      </c>
      <c r="BR9" s="125" t="str">
        <f t="shared" si="27"/>
        <v/>
      </c>
      <c r="BS9" s="125" t="str">
        <f t="shared" si="28"/>
        <v/>
      </c>
      <c r="BT9" s="126" t="str">
        <f t="shared" si="13"/>
        <v/>
      </c>
      <c r="BU9" s="151"/>
      <c r="BV9" s="132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 t="shared" si="29"/>
        <v/>
      </c>
      <c r="CA9" s="128" t="str">
        <f t="shared" si="30"/>
        <v/>
      </c>
      <c r="CB9" s="151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51"/>
    </row>
    <row r="10" spans="1:86" s="115" customFormat="1" ht="12.4" customHeight="1" thickBot="1" x14ac:dyDescent="0.25">
      <c r="A10" s="96">
        <f t="shared" si="23"/>
        <v>46302</v>
      </c>
      <c r="B10" s="97" t="str">
        <f>+TEXT(A10,"DDD")</f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99"/>
      <c r="AM10" s="99"/>
      <c r="AN10" s="99"/>
      <c r="AO10" s="99"/>
      <c r="AP10" s="99"/>
      <c r="AQ10" s="99"/>
      <c r="AR10" s="99"/>
      <c r="AS10" s="99"/>
      <c r="AT10" s="100"/>
      <c r="AU10" s="100"/>
      <c r="AV10" s="101"/>
      <c r="AW10" s="100"/>
      <c r="AX10" s="102" t="str">
        <f t="shared" si="24"/>
        <v>-</v>
      </c>
      <c r="AY10" s="151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51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5"/>
        <v/>
      </c>
      <c r="BH10" s="119" t="str">
        <f t="shared" si="7"/>
        <v/>
      </c>
      <c r="BI10" s="120" t="str">
        <f t="shared" si="26"/>
        <v/>
      </c>
      <c r="BJ10" s="151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51"/>
      <c r="BP10" s="124" t="str">
        <f t="shared" si="12"/>
        <v/>
      </c>
      <c r="BQ10" s="125">
        <v>0</v>
      </c>
      <c r="BR10" s="125" t="str">
        <f t="shared" si="27"/>
        <v/>
      </c>
      <c r="BS10" s="125" t="str">
        <f t="shared" si="28"/>
        <v/>
      </c>
      <c r="BT10" s="126" t="str">
        <f t="shared" si="13"/>
        <v/>
      </c>
      <c r="BU10" s="151"/>
      <c r="BV10" s="132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9"/>
        <v/>
      </c>
      <c r="CA10" s="128" t="str">
        <f t="shared" si="30"/>
        <v/>
      </c>
      <c r="CB10" s="151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51"/>
    </row>
    <row r="11" spans="1:86" s="115" customFormat="1" ht="12.4" customHeight="1" thickBot="1" x14ac:dyDescent="0.25">
      <c r="A11" s="96">
        <f t="shared" si="23"/>
        <v>46303</v>
      </c>
      <c r="B11" s="97" t="str">
        <f>+TEXT(A11,"DDD")</f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99"/>
      <c r="AM11" s="99"/>
      <c r="AN11" s="99"/>
      <c r="AO11" s="99"/>
      <c r="AP11" s="99"/>
      <c r="AQ11" s="99"/>
      <c r="AR11" s="99"/>
      <c r="AS11" s="99"/>
      <c r="AT11" s="100"/>
      <c r="AU11" s="100"/>
      <c r="AV11" s="101"/>
      <c r="AW11" s="100"/>
      <c r="AX11" s="102" t="str">
        <f t="shared" si="24"/>
        <v>-</v>
      </c>
      <c r="AY11" s="151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51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5"/>
        <v/>
      </c>
      <c r="BH11" s="119" t="str">
        <f t="shared" si="7"/>
        <v/>
      </c>
      <c r="BI11" s="120" t="str">
        <f t="shared" si="26"/>
        <v/>
      </c>
      <c r="BJ11" s="151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51"/>
      <c r="BP11" s="124" t="str">
        <f t="shared" si="12"/>
        <v/>
      </c>
      <c r="BQ11" s="125">
        <v>0</v>
      </c>
      <c r="BR11" s="125" t="str">
        <f t="shared" si="27"/>
        <v/>
      </c>
      <c r="BS11" s="125" t="str">
        <f t="shared" si="28"/>
        <v/>
      </c>
      <c r="BT11" s="126" t="str">
        <f t="shared" si="13"/>
        <v/>
      </c>
      <c r="BU11" s="151"/>
      <c r="BV11" s="132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9"/>
        <v/>
      </c>
      <c r="CA11" s="128" t="str">
        <f t="shared" si="30"/>
        <v/>
      </c>
      <c r="CB11" s="151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51"/>
    </row>
    <row r="12" spans="1:86" s="115" customFormat="1" ht="12.4" customHeight="1" thickBot="1" x14ac:dyDescent="0.25">
      <c r="A12" s="96">
        <f t="shared" si="23"/>
        <v>46304</v>
      </c>
      <c r="B12" s="97" t="str">
        <f>+TEXT(A12,"DDD")</f>
        <v>Fri</v>
      </c>
      <c r="C12" s="60"/>
      <c r="D12" s="98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99"/>
      <c r="AM12" s="99"/>
      <c r="AN12" s="99"/>
      <c r="AO12" s="99"/>
      <c r="AP12" s="99"/>
      <c r="AQ12" s="99"/>
      <c r="AR12" s="99"/>
      <c r="AS12" s="99"/>
      <c r="AT12" s="100"/>
      <c r="AU12" s="100"/>
      <c r="AV12" s="101"/>
      <c r="AW12" s="100"/>
      <c r="AX12" s="102" t="str">
        <f t="shared" si="24"/>
        <v>-</v>
      </c>
      <c r="AY12" s="151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51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5"/>
        <v/>
      </c>
      <c r="BH12" s="119" t="str">
        <f t="shared" si="7"/>
        <v/>
      </c>
      <c r="BI12" s="120" t="str">
        <f t="shared" si="26"/>
        <v/>
      </c>
      <c r="BJ12" s="151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51"/>
      <c r="BP12" s="124" t="str">
        <f t="shared" si="12"/>
        <v/>
      </c>
      <c r="BQ12" s="125">
        <v>0</v>
      </c>
      <c r="BR12" s="125" t="str">
        <f t="shared" si="27"/>
        <v/>
      </c>
      <c r="BS12" s="125" t="str">
        <f t="shared" si="28"/>
        <v/>
      </c>
      <c r="BT12" s="126" t="str">
        <f t="shared" si="13"/>
        <v/>
      </c>
      <c r="BU12" s="151"/>
      <c r="BV12" s="132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9"/>
        <v/>
      </c>
      <c r="CA12" s="128" t="str">
        <f t="shared" si="30"/>
        <v/>
      </c>
      <c r="CB12" s="151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51"/>
    </row>
    <row r="13" spans="1:86" s="115" customFormat="1" ht="12.4" customHeight="1" thickBot="1" x14ac:dyDescent="0.25">
      <c r="A13" s="96">
        <f t="shared" si="23"/>
        <v>46305</v>
      </c>
      <c r="B13" s="97" t="str">
        <f>+TEXT(A13,"DDD")</f>
        <v>Sat</v>
      </c>
      <c r="C13" s="98"/>
      <c r="D13" s="98"/>
      <c r="E13" s="103"/>
      <c r="F13" s="98"/>
      <c r="G13" s="98"/>
      <c r="H13" s="104"/>
      <c r="I13" s="104"/>
      <c r="J13" s="105"/>
      <c r="K13" s="106"/>
      <c r="L13" s="98"/>
      <c r="M13" s="98"/>
      <c r="N13" s="98"/>
      <c r="O13" s="98"/>
      <c r="P13" s="103"/>
      <c r="Q13" s="98"/>
      <c r="R13" s="98"/>
      <c r="S13" s="98"/>
      <c r="T13" s="98"/>
      <c r="U13" s="98"/>
      <c r="V13" s="103"/>
      <c r="W13" s="103"/>
      <c r="X13" s="98"/>
      <c r="Y13" s="98"/>
      <c r="Z13" s="98"/>
      <c r="AA13" s="98"/>
      <c r="AB13" s="98"/>
      <c r="AC13" s="98"/>
      <c r="AD13" s="98"/>
      <c r="AE13" s="98"/>
      <c r="AF13" s="103"/>
      <c r="AG13" s="103"/>
      <c r="AH13" s="98"/>
      <c r="AI13" s="107"/>
      <c r="AJ13" s="108"/>
      <c r="AK13" s="107"/>
      <c r="AL13" s="99"/>
      <c r="AM13" s="99"/>
      <c r="AN13" s="99"/>
      <c r="AO13" s="99"/>
      <c r="AP13" s="99"/>
      <c r="AQ13" s="99"/>
      <c r="AR13" s="99"/>
      <c r="AS13" s="99"/>
      <c r="AT13" s="100"/>
      <c r="AU13" s="100"/>
      <c r="AV13" s="101"/>
      <c r="AW13" s="100"/>
      <c r="AX13" s="102" t="str">
        <f t="shared" si="24"/>
        <v>-</v>
      </c>
      <c r="AY13" s="151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51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5"/>
        <v/>
      </c>
      <c r="BH13" s="119" t="str">
        <f t="shared" si="7"/>
        <v/>
      </c>
      <c r="BI13" s="120" t="str">
        <f t="shared" si="26"/>
        <v/>
      </c>
      <c r="BJ13" s="151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51"/>
      <c r="BP13" s="124" t="str">
        <f t="shared" si="12"/>
        <v/>
      </c>
      <c r="BQ13" s="125">
        <v>0</v>
      </c>
      <c r="BR13" s="125" t="str">
        <f t="shared" si="27"/>
        <v/>
      </c>
      <c r="BS13" s="125" t="str">
        <f t="shared" si="28"/>
        <v/>
      </c>
      <c r="BT13" s="126" t="str">
        <f t="shared" si="13"/>
        <v/>
      </c>
      <c r="BU13" s="151"/>
      <c r="BV13" s="132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9"/>
        <v/>
      </c>
      <c r="CA13" s="128" t="str">
        <f t="shared" si="30"/>
        <v/>
      </c>
      <c r="CB13" s="151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51"/>
    </row>
    <row r="14" spans="1:86" s="115" customFormat="1" ht="12.4" customHeight="1" thickBot="1" x14ac:dyDescent="0.25">
      <c r="A14" s="96">
        <f t="shared" si="23"/>
        <v>46306</v>
      </c>
      <c r="B14" s="97" t="str">
        <f t="shared" si="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60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99"/>
      <c r="AM14" s="99"/>
      <c r="AN14" s="99"/>
      <c r="AO14" s="99"/>
      <c r="AP14" s="99"/>
      <c r="AQ14" s="99"/>
      <c r="AR14" s="99"/>
      <c r="AS14" s="99"/>
      <c r="AT14" s="100"/>
      <c r="AU14" s="100"/>
      <c r="AV14" s="101"/>
      <c r="AW14" s="100"/>
      <c r="AX14" s="102" t="str">
        <f t="shared" si="24"/>
        <v>-</v>
      </c>
      <c r="AY14" s="151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51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5"/>
        <v/>
      </c>
      <c r="BH14" s="119" t="str">
        <f t="shared" si="7"/>
        <v/>
      </c>
      <c r="BI14" s="120" t="str">
        <f t="shared" si="26"/>
        <v/>
      </c>
      <c r="BJ14" s="151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51"/>
      <c r="BP14" s="124" t="str">
        <f t="shared" si="12"/>
        <v/>
      </c>
      <c r="BQ14" s="125">
        <v>0</v>
      </c>
      <c r="BR14" s="125" t="str">
        <f t="shared" si="27"/>
        <v/>
      </c>
      <c r="BS14" s="125" t="str">
        <f t="shared" si="28"/>
        <v/>
      </c>
      <c r="BT14" s="126" t="str">
        <f t="shared" si="13"/>
        <v/>
      </c>
      <c r="BU14" s="151"/>
      <c r="BV14" s="132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9"/>
        <v/>
      </c>
      <c r="CA14" s="128" t="str">
        <f t="shared" si="30"/>
        <v/>
      </c>
      <c r="CB14" s="151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51"/>
    </row>
    <row r="15" spans="1:86" s="115" customFormat="1" ht="12.4" customHeight="1" thickBot="1" x14ac:dyDescent="0.25">
      <c r="A15" s="96">
        <f t="shared" si="23"/>
        <v>46307</v>
      </c>
      <c r="B15" s="97" t="str">
        <f t="shared" si="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60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99"/>
      <c r="AM15" s="99"/>
      <c r="AN15" s="99"/>
      <c r="AO15" s="99"/>
      <c r="AP15" s="99"/>
      <c r="AQ15" s="99"/>
      <c r="AR15" s="99"/>
      <c r="AS15" s="99"/>
      <c r="AT15" s="100"/>
      <c r="AU15" s="100"/>
      <c r="AV15" s="101"/>
      <c r="AW15" s="100"/>
      <c r="AX15" s="102" t="str">
        <f t="shared" si="24"/>
        <v>-</v>
      </c>
      <c r="AY15" s="151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51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25"/>
        <v/>
      </c>
      <c r="BH15" s="119" t="str">
        <f t="shared" si="7"/>
        <v/>
      </c>
      <c r="BI15" s="120" t="str">
        <f t="shared" si="26"/>
        <v/>
      </c>
      <c r="BJ15" s="151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51"/>
      <c r="BP15" s="124" t="str">
        <f t="shared" si="12"/>
        <v/>
      </c>
      <c r="BQ15" s="125">
        <v>0</v>
      </c>
      <c r="BR15" s="125" t="str">
        <f t="shared" si="27"/>
        <v/>
      </c>
      <c r="BS15" s="125" t="str">
        <f t="shared" si="28"/>
        <v/>
      </c>
      <c r="BT15" s="126" t="str">
        <f t="shared" si="13"/>
        <v/>
      </c>
      <c r="BU15" s="151"/>
      <c r="BV15" s="132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 t="shared" si="29"/>
        <v/>
      </c>
      <c r="CA15" s="128" t="str">
        <f t="shared" si="30"/>
        <v/>
      </c>
      <c r="CB15" s="151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51"/>
    </row>
    <row r="16" spans="1:86" s="115" customFormat="1" ht="12.4" customHeight="1" thickBot="1" x14ac:dyDescent="0.25">
      <c r="A16" s="96">
        <f t="shared" si="23"/>
        <v>46308</v>
      </c>
      <c r="B16" s="97" t="str">
        <f t="shared" si="0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99"/>
      <c r="AM16" s="99"/>
      <c r="AN16" s="99"/>
      <c r="AO16" s="99"/>
      <c r="AP16" s="99"/>
      <c r="AQ16" s="99"/>
      <c r="AR16" s="99"/>
      <c r="AS16" s="99"/>
      <c r="AT16" s="100"/>
      <c r="AU16" s="100"/>
      <c r="AV16" s="101"/>
      <c r="AW16" s="100"/>
      <c r="AX16" s="102" t="str">
        <f t="shared" si="24"/>
        <v>-</v>
      </c>
      <c r="AY16" s="151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51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25"/>
        <v/>
      </c>
      <c r="BH16" s="119" t="str">
        <f t="shared" si="7"/>
        <v/>
      </c>
      <c r="BI16" s="120" t="str">
        <f t="shared" si="26"/>
        <v/>
      </c>
      <c r="BJ16" s="151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51"/>
      <c r="BP16" s="124" t="str">
        <f t="shared" si="12"/>
        <v/>
      </c>
      <c r="BQ16" s="125">
        <v>0</v>
      </c>
      <c r="BR16" s="125" t="str">
        <f t="shared" si="27"/>
        <v/>
      </c>
      <c r="BS16" s="125" t="str">
        <f t="shared" si="28"/>
        <v/>
      </c>
      <c r="BT16" s="126" t="str">
        <f t="shared" si="13"/>
        <v/>
      </c>
      <c r="BU16" s="151"/>
      <c r="BV16" s="132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 t="shared" si="29"/>
        <v/>
      </c>
      <c r="CA16" s="128" t="str">
        <f t="shared" si="30"/>
        <v/>
      </c>
      <c r="CB16" s="151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51"/>
    </row>
    <row r="17" spans="1:86" s="115" customFormat="1" ht="12.4" customHeight="1" thickBot="1" x14ac:dyDescent="0.25">
      <c r="A17" s="96">
        <f t="shared" si="23"/>
        <v>46309</v>
      </c>
      <c r="B17" s="97" t="str">
        <f t="shared" si="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99"/>
      <c r="AM17" s="99"/>
      <c r="AN17" s="99"/>
      <c r="AO17" s="99"/>
      <c r="AP17" s="99"/>
      <c r="AQ17" s="99"/>
      <c r="AR17" s="99"/>
      <c r="AS17" s="99"/>
      <c r="AT17" s="100"/>
      <c r="AU17" s="100"/>
      <c r="AV17" s="101"/>
      <c r="AW17" s="100"/>
      <c r="AX17" s="102" t="str">
        <f t="shared" si="24"/>
        <v>-</v>
      </c>
      <c r="AY17" s="151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51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5"/>
        <v/>
      </c>
      <c r="BH17" s="119" t="str">
        <f t="shared" si="7"/>
        <v/>
      </c>
      <c r="BI17" s="120" t="str">
        <f t="shared" si="26"/>
        <v/>
      </c>
      <c r="BJ17" s="151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51"/>
      <c r="BP17" s="124" t="str">
        <f t="shared" si="12"/>
        <v/>
      </c>
      <c r="BQ17" s="125">
        <v>0</v>
      </c>
      <c r="BR17" s="125" t="str">
        <f t="shared" si="27"/>
        <v/>
      </c>
      <c r="BS17" s="125" t="str">
        <f t="shared" si="28"/>
        <v/>
      </c>
      <c r="BT17" s="126" t="str">
        <f t="shared" si="13"/>
        <v/>
      </c>
      <c r="BU17" s="151"/>
      <c r="BV17" s="132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9"/>
        <v/>
      </c>
      <c r="CA17" s="128" t="str">
        <f t="shared" si="30"/>
        <v/>
      </c>
      <c r="CB17" s="151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51"/>
    </row>
    <row r="18" spans="1:86" s="115" customFormat="1" ht="12.4" customHeight="1" thickBot="1" x14ac:dyDescent="0.25">
      <c r="A18" s="96">
        <f t="shared" si="23"/>
        <v>46310</v>
      </c>
      <c r="B18" s="97" t="str">
        <f t="shared" si="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99"/>
      <c r="AM18" s="99"/>
      <c r="AN18" s="99"/>
      <c r="AO18" s="99"/>
      <c r="AP18" s="99"/>
      <c r="AQ18" s="99"/>
      <c r="AR18" s="99"/>
      <c r="AS18" s="99"/>
      <c r="AT18" s="100"/>
      <c r="AU18" s="100"/>
      <c r="AV18" s="101"/>
      <c r="AW18" s="100"/>
      <c r="AX18" s="102" t="str">
        <f t="shared" si="24"/>
        <v>-</v>
      </c>
      <c r="AY18" s="151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51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5"/>
        <v/>
      </c>
      <c r="BH18" s="119" t="str">
        <f t="shared" si="7"/>
        <v/>
      </c>
      <c r="BI18" s="120" t="str">
        <f t="shared" si="26"/>
        <v/>
      </c>
      <c r="BJ18" s="151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51"/>
      <c r="BP18" s="124" t="str">
        <f t="shared" si="12"/>
        <v/>
      </c>
      <c r="BQ18" s="125">
        <v>0</v>
      </c>
      <c r="BR18" s="125" t="str">
        <f t="shared" si="27"/>
        <v/>
      </c>
      <c r="BS18" s="125" t="str">
        <f t="shared" si="28"/>
        <v/>
      </c>
      <c r="BT18" s="126" t="str">
        <f t="shared" si="13"/>
        <v/>
      </c>
      <c r="BU18" s="151"/>
      <c r="BV18" s="132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9"/>
        <v/>
      </c>
      <c r="CA18" s="128" t="str">
        <f t="shared" si="30"/>
        <v/>
      </c>
      <c r="CB18" s="151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51"/>
    </row>
    <row r="19" spans="1:86" s="115" customFormat="1" ht="12.4" customHeight="1" thickBot="1" x14ac:dyDescent="0.25">
      <c r="A19" s="96">
        <f t="shared" si="23"/>
        <v>46311</v>
      </c>
      <c r="B19" s="97" t="str">
        <f t="shared" si="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99"/>
      <c r="AM19" s="99"/>
      <c r="AN19" s="99"/>
      <c r="AO19" s="99"/>
      <c r="AP19" s="99"/>
      <c r="AQ19" s="99"/>
      <c r="AR19" s="99"/>
      <c r="AS19" s="99"/>
      <c r="AT19" s="100"/>
      <c r="AU19" s="100"/>
      <c r="AV19" s="101"/>
      <c r="AW19" s="100"/>
      <c r="AX19" s="102" t="str">
        <f t="shared" si="24"/>
        <v>-</v>
      </c>
      <c r="AY19" s="151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51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5"/>
        <v/>
      </c>
      <c r="BH19" s="119" t="str">
        <f t="shared" si="7"/>
        <v/>
      </c>
      <c r="BI19" s="120" t="str">
        <f t="shared" si="26"/>
        <v/>
      </c>
      <c r="BJ19" s="151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51"/>
      <c r="BP19" s="124" t="str">
        <f t="shared" si="12"/>
        <v/>
      </c>
      <c r="BQ19" s="125">
        <v>0</v>
      </c>
      <c r="BR19" s="125" t="str">
        <f t="shared" si="27"/>
        <v/>
      </c>
      <c r="BS19" s="125" t="str">
        <f t="shared" si="28"/>
        <v/>
      </c>
      <c r="BT19" s="126" t="str">
        <f t="shared" si="13"/>
        <v/>
      </c>
      <c r="BU19" s="151"/>
      <c r="BV19" s="132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9"/>
        <v/>
      </c>
      <c r="CA19" s="128" t="str">
        <f t="shared" si="30"/>
        <v/>
      </c>
      <c r="CB19" s="151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51"/>
    </row>
    <row r="20" spans="1:86" s="115" customFormat="1" ht="12.4" customHeight="1" thickBot="1" x14ac:dyDescent="0.25">
      <c r="A20" s="96">
        <f t="shared" si="23"/>
        <v>46312</v>
      </c>
      <c r="B20" s="97" t="str">
        <f t="shared" si="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99"/>
      <c r="AM20" s="99"/>
      <c r="AN20" s="99"/>
      <c r="AO20" s="99"/>
      <c r="AP20" s="99"/>
      <c r="AQ20" s="99"/>
      <c r="AR20" s="99"/>
      <c r="AS20" s="99"/>
      <c r="AT20" s="100"/>
      <c r="AU20" s="100"/>
      <c r="AV20" s="101"/>
      <c r="AW20" s="100"/>
      <c r="AX20" s="102" t="str">
        <f t="shared" si="24"/>
        <v>-</v>
      </c>
      <c r="AY20" s="151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51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5"/>
        <v/>
      </c>
      <c r="BH20" s="119" t="str">
        <f t="shared" si="7"/>
        <v/>
      </c>
      <c r="BI20" s="120" t="str">
        <f t="shared" si="26"/>
        <v/>
      </c>
      <c r="BJ20" s="151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51"/>
      <c r="BP20" s="124" t="str">
        <f t="shared" si="12"/>
        <v/>
      </c>
      <c r="BQ20" s="125">
        <v>0</v>
      </c>
      <c r="BR20" s="125" t="str">
        <f t="shared" si="27"/>
        <v/>
      </c>
      <c r="BS20" s="125" t="str">
        <f t="shared" si="28"/>
        <v/>
      </c>
      <c r="BT20" s="126" t="str">
        <f t="shared" si="13"/>
        <v/>
      </c>
      <c r="BU20" s="151"/>
      <c r="BV20" s="132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9"/>
        <v/>
      </c>
      <c r="CA20" s="128" t="str">
        <f t="shared" si="30"/>
        <v/>
      </c>
      <c r="CB20" s="151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51"/>
    </row>
    <row r="21" spans="1:86" s="115" customFormat="1" ht="12.4" customHeight="1" thickBot="1" x14ac:dyDescent="0.25">
      <c r="A21" s="96">
        <f t="shared" si="23"/>
        <v>46313</v>
      </c>
      <c r="B21" s="97" t="str">
        <f t="shared" si="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99"/>
      <c r="AM21" s="99"/>
      <c r="AN21" s="99"/>
      <c r="AO21" s="99"/>
      <c r="AP21" s="99"/>
      <c r="AQ21" s="99"/>
      <c r="AR21" s="99"/>
      <c r="AS21" s="99"/>
      <c r="AT21" s="100"/>
      <c r="AU21" s="100"/>
      <c r="AV21" s="101"/>
      <c r="AW21" s="100"/>
      <c r="AX21" s="102" t="str">
        <f t="shared" si="24"/>
        <v>-</v>
      </c>
      <c r="AY21" s="151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51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5"/>
        <v/>
      </c>
      <c r="BH21" s="119" t="str">
        <f t="shared" si="7"/>
        <v/>
      </c>
      <c r="BI21" s="120" t="str">
        <f t="shared" si="26"/>
        <v/>
      </c>
      <c r="BJ21" s="151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51"/>
      <c r="BP21" s="124" t="str">
        <f t="shared" si="12"/>
        <v/>
      </c>
      <c r="BQ21" s="125">
        <v>0</v>
      </c>
      <c r="BR21" s="125" t="str">
        <f t="shared" si="27"/>
        <v/>
      </c>
      <c r="BS21" s="125" t="str">
        <f t="shared" si="28"/>
        <v/>
      </c>
      <c r="BT21" s="126" t="str">
        <f t="shared" si="13"/>
        <v/>
      </c>
      <c r="BU21" s="151"/>
      <c r="BV21" s="132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9"/>
        <v/>
      </c>
      <c r="CA21" s="128" t="str">
        <f t="shared" si="30"/>
        <v/>
      </c>
      <c r="CB21" s="151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51"/>
    </row>
    <row r="22" spans="1:86" s="115" customFormat="1" ht="12.4" customHeight="1" thickBot="1" x14ac:dyDescent="0.25">
      <c r="A22" s="96">
        <f t="shared" si="23"/>
        <v>46314</v>
      </c>
      <c r="B22" s="97" t="str">
        <f t="shared" si="0"/>
        <v>Mon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1"/>
      <c r="AM22" s="61"/>
      <c r="AN22" s="61"/>
      <c r="AO22" s="61"/>
      <c r="AP22" s="61"/>
      <c r="AQ22" s="61"/>
      <c r="AR22" s="61"/>
      <c r="AS22" s="61"/>
      <c r="AT22" s="60"/>
      <c r="AU22" s="60"/>
      <c r="AV22" s="60"/>
      <c r="AW22" s="60"/>
      <c r="AX22" s="102" t="str">
        <f t="shared" si="24"/>
        <v>-</v>
      </c>
      <c r="AY22" s="151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51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5"/>
        <v/>
      </c>
      <c r="BH22" s="119" t="str">
        <f t="shared" si="7"/>
        <v/>
      </c>
      <c r="BI22" s="120" t="str">
        <f t="shared" si="26"/>
        <v/>
      </c>
      <c r="BJ22" s="151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51"/>
      <c r="BP22" s="124" t="str">
        <f t="shared" si="12"/>
        <v/>
      </c>
      <c r="BQ22" s="125">
        <v>0</v>
      </c>
      <c r="BR22" s="125" t="str">
        <f t="shared" si="27"/>
        <v/>
      </c>
      <c r="BS22" s="125" t="str">
        <f t="shared" si="28"/>
        <v/>
      </c>
      <c r="BT22" s="126" t="str">
        <f t="shared" si="13"/>
        <v/>
      </c>
      <c r="BU22" s="151"/>
      <c r="BV22" s="132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9"/>
        <v/>
      </c>
      <c r="CA22" s="128" t="str">
        <f t="shared" si="30"/>
        <v/>
      </c>
      <c r="CB22" s="151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51"/>
    </row>
    <row r="23" spans="1:86" s="115" customFormat="1" ht="12.4" customHeight="1" thickBot="1" x14ac:dyDescent="0.25">
      <c r="A23" s="96">
        <f t="shared" si="23"/>
        <v>46315</v>
      </c>
      <c r="B23" s="97" t="str">
        <f t="shared" si="0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99"/>
      <c r="AM23" s="99"/>
      <c r="AN23" s="99"/>
      <c r="AO23" s="99"/>
      <c r="AP23" s="99"/>
      <c r="AQ23" s="99"/>
      <c r="AR23" s="99"/>
      <c r="AS23" s="99"/>
      <c r="AT23" s="100"/>
      <c r="AU23" s="100"/>
      <c r="AV23" s="101"/>
      <c r="AW23" s="100"/>
      <c r="AX23" s="102" t="str">
        <f t="shared" si="24"/>
        <v>-</v>
      </c>
      <c r="AY23" s="151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51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25"/>
        <v/>
      </c>
      <c r="BH23" s="119" t="str">
        <f t="shared" si="7"/>
        <v/>
      </c>
      <c r="BI23" s="120" t="str">
        <f t="shared" si="26"/>
        <v/>
      </c>
      <c r="BJ23" s="151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51"/>
      <c r="BP23" s="124" t="str">
        <f t="shared" si="12"/>
        <v/>
      </c>
      <c r="BQ23" s="125">
        <v>0</v>
      </c>
      <c r="BR23" s="125" t="str">
        <f t="shared" si="27"/>
        <v/>
      </c>
      <c r="BS23" s="125" t="str">
        <f t="shared" si="28"/>
        <v/>
      </c>
      <c r="BT23" s="126" t="str">
        <f t="shared" si="13"/>
        <v/>
      </c>
      <c r="BU23" s="151"/>
      <c r="BV23" s="132" t="str">
        <f t="shared" si="14"/>
        <v/>
      </c>
      <c r="BW23" s="127" t="str">
        <f t="shared" si="15"/>
        <v/>
      </c>
      <c r="BX23" s="127" t="str">
        <f t="shared" si="16"/>
        <v/>
      </c>
      <c r="BY23" s="127" t="str">
        <f t="shared" si="17"/>
        <v/>
      </c>
      <c r="BZ23" s="127" t="str">
        <f t="shared" si="29"/>
        <v/>
      </c>
      <c r="CA23" s="128" t="str">
        <f t="shared" si="30"/>
        <v/>
      </c>
      <c r="CB23" s="151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51"/>
    </row>
    <row r="24" spans="1:86" s="115" customFormat="1" ht="12.4" customHeight="1" thickBot="1" x14ac:dyDescent="0.25">
      <c r="A24" s="96">
        <f t="shared" si="23"/>
        <v>46316</v>
      </c>
      <c r="B24" s="97" t="str">
        <f t="shared" si="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99"/>
      <c r="AM24" s="99"/>
      <c r="AN24" s="99"/>
      <c r="AO24" s="99"/>
      <c r="AP24" s="99"/>
      <c r="AQ24" s="99"/>
      <c r="AR24" s="99"/>
      <c r="AS24" s="99"/>
      <c r="AT24" s="100"/>
      <c r="AU24" s="100"/>
      <c r="AV24" s="101"/>
      <c r="AW24" s="100"/>
      <c r="AX24" s="102" t="str">
        <f t="shared" si="24"/>
        <v>-</v>
      </c>
      <c r="AY24" s="151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51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25"/>
        <v/>
      </c>
      <c r="BH24" s="119" t="str">
        <f t="shared" si="7"/>
        <v/>
      </c>
      <c r="BI24" s="120" t="str">
        <f t="shared" si="26"/>
        <v/>
      </c>
      <c r="BJ24" s="151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51"/>
      <c r="BP24" s="124" t="str">
        <f t="shared" si="12"/>
        <v/>
      </c>
      <c r="BQ24" s="125">
        <v>0</v>
      </c>
      <c r="BR24" s="125" t="str">
        <f t="shared" si="27"/>
        <v/>
      </c>
      <c r="BS24" s="125" t="str">
        <f t="shared" si="28"/>
        <v/>
      </c>
      <c r="BT24" s="126" t="str">
        <f t="shared" si="13"/>
        <v/>
      </c>
      <c r="BU24" s="151"/>
      <c r="BV24" s="132" t="str">
        <f t="shared" si="14"/>
        <v/>
      </c>
      <c r="BW24" s="127" t="str">
        <f t="shared" si="15"/>
        <v/>
      </c>
      <c r="BX24" s="127" t="str">
        <f t="shared" si="16"/>
        <v/>
      </c>
      <c r="BY24" s="127" t="str">
        <f t="shared" si="17"/>
        <v/>
      </c>
      <c r="BZ24" s="127" t="str">
        <f t="shared" si="29"/>
        <v/>
      </c>
      <c r="CA24" s="128" t="str">
        <f t="shared" si="30"/>
        <v/>
      </c>
      <c r="CB24" s="151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51"/>
    </row>
    <row r="25" spans="1:86" s="115" customFormat="1" ht="12.4" customHeight="1" thickBot="1" x14ac:dyDescent="0.25">
      <c r="A25" s="96">
        <f t="shared" si="23"/>
        <v>46317</v>
      </c>
      <c r="B25" s="97" t="str">
        <f t="shared" si="0"/>
        <v>Thu</v>
      </c>
      <c r="C25" s="60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99"/>
      <c r="AM25" s="99"/>
      <c r="AN25" s="99"/>
      <c r="AO25" s="99"/>
      <c r="AP25" s="99"/>
      <c r="AQ25" s="99"/>
      <c r="AR25" s="99"/>
      <c r="AS25" s="99"/>
      <c r="AT25" s="100"/>
      <c r="AU25" s="100"/>
      <c r="AV25" s="101"/>
      <c r="AW25" s="100"/>
      <c r="AX25" s="102" t="str">
        <f t="shared" si="24"/>
        <v>-</v>
      </c>
      <c r="AY25" s="151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51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5"/>
        <v/>
      </c>
      <c r="BH25" s="119" t="str">
        <f t="shared" si="7"/>
        <v/>
      </c>
      <c r="BI25" s="120" t="str">
        <f t="shared" si="26"/>
        <v/>
      </c>
      <c r="BJ25" s="151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51"/>
      <c r="BP25" s="124" t="str">
        <f t="shared" si="12"/>
        <v/>
      </c>
      <c r="BQ25" s="125">
        <v>0</v>
      </c>
      <c r="BR25" s="125" t="str">
        <f t="shared" si="27"/>
        <v/>
      </c>
      <c r="BS25" s="125" t="str">
        <f t="shared" si="28"/>
        <v/>
      </c>
      <c r="BT25" s="126" t="str">
        <f t="shared" si="13"/>
        <v/>
      </c>
      <c r="BU25" s="151"/>
      <c r="BV25" s="132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9"/>
        <v/>
      </c>
      <c r="CA25" s="128" t="str">
        <f t="shared" si="30"/>
        <v/>
      </c>
      <c r="CB25" s="151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51"/>
    </row>
    <row r="26" spans="1:86" s="115" customFormat="1" ht="12.4" customHeight="1" thickBot="1" x14ac:dyDescent="0.25">
      <c r="A26" s="96">
        <f t="shared" si="23"/>
        <v>46318</v>
      </c>
      <c r="B26" s="97" t="str">
        <f>+TEXT(A26,"DDD")</f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99"/>
      <c r="AM26" s="99"/>
      <c r="AN26" s="99"/>
      <c r="AO26" s="99"/>
      <c r="AP26" s="99"/>
      <c r="AQ26" s="99"/>
      <c r="AR26" s="99"/>
      <c r="AS26" s="99"/>
      <c r="AT26" s="100"/>
      <c r="AU26" s="100"/>
      <c r="AV26" s="101"/>
      <c r="AW26" s="100"/>
      <c r="AX26" s="102" t="str">
        <f t="shared" si="24"/>
        <v>-</v>
      </c>
      <c r="AY26" s="151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51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5"/>
        <v/>
      </c>
      <c r="BH26" s="119" t="str">
        <f t="shared" si="7"/>
        <v/>
      </c>
      <c r="BI26" s="120" t="str">
        <f t="shared" si="26"/>
        <v/>
      </c>
      <c r="BJ26" s="151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51"/>
      <c r="BP26" s="124" t="str">
        <f t="shared" si="12"/>
        <v/>
      </c>
      <c r="BQ26" s="125">
        <v>0</v>
      </c>
      <c r="BR26" s="125" t="str">
        <f t="shared" si="27"/>
        <v/>
      </c>
      <c r="BS26" s="125" t="str">
        <f t="shared" si="28"/>
        <v/>
      </c>
      <c r="BT26" s="126" t="str">
        <f t="shared" si="13"/>
        <v/>
      </c>
      <c r="BU26" s="151"/>
      <c r="BV26" s="132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9"/>
        <v/>
      </c>
      <c r="CA26" s="128" t="str">
        <f t="shared" si="30"/>
        <v/>
      </c>
      <c r="CB26" s="151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51"/>
    </row>
    <row r="27" spans="1:86" s="115" customFormat="1" ht="12.4" customHeight="1" thickBot="1" x14ac:dyDescent="0.25">
      <c r="A27" s="96">
        <f t="shared" si="23"/>
        <v>46319</v>
      </c>
      <c r="B27" s="97" t="str">
        <f t="shared" si="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99"/>
      <c r="AM27" s="99"/>
      <c r="AN27" s="99"/>
      <c r="AO27" s="99"/>
      <c r="AP27" s="99"/>
      <c r="AQ27" s="99"/>
      <c r="AR27" s="99"/>
      <c r="AS27" s="99"/>
      <c r="AT27" s="100"/>
      <c r="AU27" s="100"/>
      <c r="AV27" s="101"/>
      <c r="AW27" s="100"/>
      <c r="AX27" s="102" t="str">
        <f t="shared" si="24"/>
        <v>-</v>
      </c>
      <c r="AY27" s="151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51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5"/>
        <v/>
      </c>
      <c r="BH27" s="119" t="str">
        <f t="shared" si="7"/>
        <v/>
      </c>
      <c r="BI27" s="120" t="str">
        <f t="shared" si="26"/>
        <v/>
      </c>
      <c r="BJ27" s="151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51"/>
      <c r="BP27" s="124" t="str">
        <f t="shared" si="12"/>
        <v/>
      </c>
      <c r="BQ27" s="125">
        <v>0</v>
      </c>
      <c r="BR27" s="125" t="str">
        <f t="shared" si="27"/>
        <v/>
      </c>
      <c r="BS27" s="125" t="str">
        <f t="shared" si="28"/>
        <v/>
      </c>
      <c r="BT27" s="126" t="str">
        <f t="shared" si="13"/>
        <v/>
      </c>
      <c r="BU27" s="151"/>
      <c r="BV27" s="132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9"/>
        <v/>
      </c>
      <c r="CA27" s="128" t="str">
        <f t="shared" si="30"/>
        <v/>
      </c>
      <c r="CB27" s="151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51"/>
    </row>
    <row r="28" spans="1:86" s="115" customFormat="1" ht="12.4" customHeight="1" thickBot="1" x14ac:dyDescent="0.25">
      <c r="A28" s="96">
        <f t="shared" si="23"/>
        <v>46320</v>
      </c>
      <c r="B28" s="97" t="str">
        <f t="shared" si="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99"/>
      <c r="AM28" s="99"/>
      <c r="AN28" s="99"/>
      <c r="AO28" s="99"/>
      <c r="AP28" s="99"/>
      <c r="AQ28" s="99"/>
      <c r="AR28" s="99"/>
      <c r="AS28" s="99"/>
      <c r="AT28" s="100"/>
      <c r="AU28" s="100"/>
      <c r="AV28" s="101"/>
      <c r="AW28" s="100"/>
      <c r="AX28" s="102" t="str">
        <f t="shared" si="24"/>
        <v>-</v>
      </c>
      <c r="AY28" s="151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51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5"/>
        <v/>
      </c>
      <c r="BH28" s="119" t="str">
        <f t="shared" si="7"/>
        <v/>
      </c>
      <c r="BI28" s="120" t="str">
        <f t="shared" si="26"/>
        <v/>
      </c>
      <c r="BJ28" s="151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51"/>
      <c r="BP28" s="124" t="str">
        <f t="shared" si="12"/>
        <v/>
      </c>
      <c r="BQ28" s="125">
        <v>0</v>
      </c>
      <c r="BR28" s="125" t="str">
        <f t="shared" si="27"/>
        <v/>
      </c>
      <c r="BS28" s="125" t="str">
        <f t="shared" si="28"/>
        <v/>
      </c>
      <c r="BT28" s="126" t="str">
        <f t="shared" si="13"/>
        <v/>
      </c>
      <c r="BU28" s="151"/>
      <c r="BV28" s="132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9"/>
        <v/>
      </c>
      <c r="CA28" s="128" t="str">
        <f t="shared" si="30"/>
        <v/>
      </c>
      <c r="CB28" s="151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51"/>
    </row>
    <row r="29" spans="1:86" s="115" customFormat="1" ht="12.4" customHeight="1" thickBot="1" x14ac:dyDescent="0.25">
      <c r="A29" s="96">
        <f t="shared" si="23"/>
        <v>46321</v>
      </c>
      <c r="B29" s="97" t="str">
        <f t="shared" si="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99"/>
      <c r="AM29" s="99"/>
      <c r="AN29" s="99"/>
      <c r="AO29" s="99"/>
      <c r="AP29" s="99"/>
      <c r="AQ29" s="99"/>
      <c r="AR29" s="99"/>
      <c r="AS29" s="99"/>
      <c r="AT29" s="100"/>
      <c r="AU29" s="100"/>
      <c r="AV29" s="101"/>
      <c r="AW29" s="100"/>
      <c r="AX29" s="102" t="str">
        <f>IFERROR(AN29/AW29,"-")</f>
        <v>-</v>
      </c>
      <c r="AY29" s="151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51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5"/>
        <v/>
      </c>
      <c r="BH29" s="119" t="str">
        <f t="shared" si="7"/>
        <v/>
      </c>
      <c r="BI29" s="120" t="str">
        <f t="shared" si="26"/>
        <v/>
      </c>
      <c r="BJ29" s="151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51"/>
      <c r="BP29" s="124" t="str">
        <f t="shared" si="12"/>
        <v/>
      </c>
      <c r="BQ29" s="125">
        <v>0</v>
      </c>
      <c r="BR29" s="125" t="str">
        <f t="shared" si="27"/>
        <v/>
      </c>
      <c r="BS29" s="125" t="str">
        <f t="shared" si="28"/>
        <v/>
      </c>
      <c r="BT29" s="126" t="str">
        <f t="shared" si="13"/>
        <v/>
      </c>
      <c r="BU29" s="151"/>
      <c r="BV29" s="132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9"/>
        <v/>
      </c>
      <c r="CA29" s="128" t="str">
        <f t="shared" si="30"/>
        <v/>
      </c>
      <c r="CB29" s="151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51"/>
    </row>
    <row r="30" spans="1:86" s="115" customFormat="1" ht="12.4" customHeight="1" thickBot="1" x14ac:dyDescent="0.25">
      <c r="A30" s="96">
        <f t="shared" si="23"/>
        <v>46322</v>
      </c>
      <c r="B30" s="97" t="str">
        <f t="shared" si="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99"/>
      <c r="AM30" s="99"/>
      <c r="AN30" s="99"/>
      <c r="AO30" s="99"/>
      <c r="AP30" s="99"/>
      <c r="AQ30" s="99"/>
      <c r="AR30" s="99"/>
      <c r="AS30" s="99"/>
      <c r="AT30" s="100"/>
      <c r="AU30" s="100"/>
      <c r="AV30" s="101"/>
      <c r="AW30" s="100"/>
      <c r="AX30" s="102" t="str">
        <f>IFERROR(AN30/AW30,"-")</f>
        <v>-</v>
      </c>
      <c r="AY30" s="151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51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5"/>
        <v/>
      </c>
      <c r="BH30" s="119" t="str">
        <f t="shared" si="7"/>
        <v/>
      </c>
      <c r="BI30" s="120" t="str">
        <f t="shared" si="26"/>
        <v/>
      </c>
      <c r="BJ30" s="151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51"/>
      <c r="BP30" s="124" t="str">
        <f t="shared" si="12"/>
        <v/>
      </c>
      <c r="BQ30" s="125">
        <v>0</v>
      </c>
      <c r="BR30" s="125" t="str">
        <f t="shared" si="27"/>
        <v/>
      </c>
      <c r="BS30" s="125" t="str">
        <f t="shared" si="28"/>
        <v/>
      </c>
      <c r="BT30" s="126" t="str">
        <f t="shared" si="13"/>
        <v/>
      </c>
      <c r="BU30" s="151"/>
      <c r="BV30" s="132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9"/>
        <v/>
      </c>
      <c r="CA30" s="128" t="str">
        <f t="shared" si="30"/>
        <v/>
      </c>
      <c r="CB30" s="151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51"/>
    </row>
    <row r="31" spans="1:86" s="115" customFormat="1" ht="12.4" customHeight="1" thickBot="1" x14ac:dyDescent="0.25">
      <c r="A31" s="96">
        <f t="shared" si="23"/>
        <v>46323</v>
      </c>
      <c r="B31" s="97" t="str">
        <f>+TEXT(A31,"DDD")</f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99"/>
      <c r="AM31" s="99"/>
      <c r="AN31" s="99"/>
      <c r="AO31" s="99"/>
      <c r="AP31" s="99"/>
      <c r="AQ31" s="99"/>
      <c r="AR31" s="99"/>
      <c r="AS31" s="99"/>
      <c r="AT31" s="100"/>
      <c r="AU31" s="100"/>
      <c r="AV31" s="101"/>
      <c r="AW31" s="100"/>
      <c r="AX31" s="102" t="str">
        <f t="shared" si="24"/>
        <v>-</v>
      </c>
      <c r="AY31" s="151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51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5"/>
        <v/>
      </c>
      <c r="BH31" s="119" t="str">
        <f t="shared" si="7"/>
        <v/>
      </c>
      <c r="BI31" s="120" t="str">
        <f t="shared" si="26"/>
        <v/>
      </c>
      <c r="BJ31" s="151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51"/>
      <c r="BP31" s="124" t="str">
        <f t="shared" si="12"/>
        <v/>
      </c>
      <c r="BQ31" s="125">
        <v>0</v>
      </c>
      <c r="BR31" s="125" t="str">
        <f t="shared" si="27"/>
        <v/>
      </c>
      <c r="BS31" s="125" t="str">
        <f t="shared" si="28"/>
        <v/>
      </c>
      <c r="BT31" s="126" t="str">
        <f t="shared" si="13"/>
        <v/>
      </c>
      <c r="BU31" s="151"/>
      <c r="BV31" s="132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9"/>
        <v/>
      </c>
      <c r="CA31" s="128" t="str">
        <f t="shared" si="30"/>
        <v/>
      </c>
      <c r="CB31" s="151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51"/>
    </row>
    <row r="32" spans="1:86" s="115" customFormat="1" ht="12.4" customHeight="1" thickBot="1" x14ac:dyDescent="0.25">
      <c r="A32" s="96">
        <f t="shared" si="23"/>
        <v>46324</v>
      </c>
      <c r="B32" s="97" t="str">
        <f>+TEXT(A32,"DDD")</f>
        <v>Thu</v>
      </c>
      <c r="AX32" s="102" t="str">
        <f>IFERROR(AN33/AW33,"-")</f>
        <v>-</v>
      </c>
      <c r="AY32" s="151"/>
      <c r="AZ32" s="116" t="str">
        <f>IF(E33&gt;0,F33/E33,"")</f>
        <v/>
      </c>
      <c r="BA32" s="117" t="str">
        <f>+IF(E33&gt;0,G33/E33,"")</f>
        <v/>
      </c>
      <c r="BB32" s="116" t="str">
        <f>+IF(E33&gt;0,AJ33/E33,"")</f>
        <v/>
      </c>
      <c r="BC32" s="151"/>
      <c r="BD32" s="118" t="str">
        <f>+IF(G33&gt;0,I33/G33,"")</f>
        <v/>
      </c>
      <c r="BE32" s="119" t="str">
        <f>+IF(G33&gt;0,J33/G33,"")</f>
        <v/>
      </c>
      <c r="BF32" s="119" t="str">
        <f>+IF(I33&gt;0,L33/I33,"")</f>
        <v/>
      </c>
      <c r="BG32" s="119" t="str">
        <f>+IF(SUM(AO33:AR33)&gt;0,AO33/AN33,"")</f>
        <v/>
      </c>
      <c r="BH32" s="119" t="str">
        <f>+IF(G33&gt;0,K33/G33,"")</f>
        <v/>
      </c>
      <c r="BI32" s="120" t="str">
        <f>+IF(SUM(AO33:AR33)&gt;0,AQ33/AN33,"")</f>
        <v/>
      </c>
      <c r="BJ32" s="151"/>
      <c r="BK32" s="121" t="str">
        <f>+IF(E33&gt;0,(AJ33/E33),"")</f>
        <v/>
      </c>
      <c r="BL32" s="122" t="str">
        <f>+IF(E33&gt;0,(AJ33/F33),"")</f>
        <v/>
      </c>
      <c r="BM32" s="122" t="str">
        <f>+IF(E33&gt;0,(AJ33/G33),"")</f>
        <v/>
      </c>
      <c r="BN32" s="123" t="str">
        <f>+IF(E33&gt;0,(AJ33/J33),"")</f>
        <v/>
      </c>
      <c r="BO32" s="151"/>
      <c r="BP32" s="124" t="str">
        <f>IF(AJ33&gt;0,(N33/AJ33),"")</f>
        <v/>
      </c>
      <c r="BQ32" s="125">
        <v>0</v>
      </c>
      <c r="BR32" s="125" t="str">
        <f>IF(AJ33&gt;0,(AK33/AJ33),"")</f>
        <v/>
      </c>
      <c r="BS32" s="125" t="str">
        <f>IF(AJ33&gt;0,(AK33/AJ33),"")</f>
        <v/>
      </c>
      <c r="BT32" s="126" t="str">
        <f>IF(J33&gt;0,AD33/J33,"")</f>
        <v/>
      </c>
      <c r="BU32" s="151"/>
      <c r="BV32" s="132" t="str">
        <f>IF(AN33&gt;0,(E33/AN33),"")</f>
        <v/>
      </c>
      <c r="BW32" s="127" t="str">
        <f>IF(AN33&gt;0,(G33/AN33),"")</f>
        <v/>
      </c>
      <c r="BX32" s="127" t="str">
        <f>IF(AN33&gt;0,(J33/AN33),"")</f>
        <v/>
      </c>
      <c r="BY32" s="127" t="str">
        <f>IF(AN33&gt;0,(K33/AN33),"")</f>
        <v/>
      </c>
      <c r="BZ32" s="127" t="str">
        <f>IF(AN33&gt;0,(AJ33/AN33),"")</f>
        <v/>
      </c>
      <c r="CA32" s="128" t="str">
        <f>IF(AN33&gt;0,(AK33/AN33),"")</f>
        <v/>
      </c>
      <c r="CB32" s="151"/>
      <c r="CC32" s="129" t="str">
        <f>IFERROR(((AN33-AO33)*3600)/J33,"-")</f>
        <v>-</v>
      </c>
      <c r="CD32" s="130" t="str">
        <f>IFERROR((AR33*3600)/J33,"-")</f>
        <v>-</v>
      </c>
      <c r="CE32" s="130" t="str">
        <f>IFERROR((AQ33*3600)/J33,"-")</f>
        <v>-</v>
      </c>
      <c r="CF32" s="130" t="str">
        <f>IFERROR((AO33*3600)/J33,"-")</f>
        <v>-</v>
      </c>
      <c r="CG32" s="131" t="str">
        <f>IFERROR((AP33*3600)/J33,"-")</f>
        <v>-</v>
      </c>
      <c r="CH32" s="151"/>
    </row>
    <row r="33" spans="1:86" s="115" customFormat="1" ht="12.4" customHeight="1" thickBot="1" x14ac:dyDescent="0.25">
      <c r="A33" s="96">
        <f t="shared" si="23"/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99"/>
      <c r="AM33" s="99"/>
      <c r="AN33" s="99"/>
      <c r="AO33" s="99"/>
      <c r="AP33" s="99"/>
      <c r="AQ33" s="99"/>
      <c r="AR33" s="99"/>
      <c r="AS33" s="99"/>
      <c r="AT33" s="100"/>
      <c r="AU33" s="100"/>
      <c r="AV33" s="101"/>
      <c r="AW33" s="100"/>
      <c r="AX33" s="102" t="str">
        <f>IFERROR(#REF!/#REF!,"-")</f>
        <v>-</v>
      </c>
      <c r="AY33" s="151"/>
      <c r="AZ33" s="116" t="e">
        <f>IF(#REF!&gt;0,#REF!/#REF!,"")</f>
        <v>#REF!</v>
      </c>
      <c r="BA33" s="117" t="e">
        <f>+IF(#REF!&gt;0,#REF!/#REF!,"")</f>
        <v>#REF!</v>
      </c>
      <c r="BB33" s="116" t="e">
        <f>+IF(#REF!&gt;0,#REF!/#REF!,"")</f>
        <v>#REF!</v>
      </c>
      <c r="BC33" s="151"/>
      <c r="BD33" s="118" t="e">
        <f>+IF(#REF!&gt;0,#REF!/#REF!,"")</f>
        <v>#REF!</v>
      </c>
      <c r="BE33" s="119" t="e">
        <f>+IF(#REF!&gt;0,#REF!/#REF!,"")</f>
        <v>#REF!</v>
      </c>
      <c r="BF33" s="119" t="e">
        <f>+IF(#REF!&gt;0,#REF!/#REF!,"")</f>
        <v>#REF!</v>
      </c>
      <c r="BG33" s="119" t="e">
        <f>+IF(SUM(#REF!)&gt;0,#REF!/#REF!,"")</f>
        <v>#REF!</v>
      </c>
      <c r="BH33" s="119" t="e">
        <f>+IF(#REF!&gt;0,#REF!/#REF!,"")</f>
        <v>#REF!</v>
      </c>
      <c r="BI33" s="120" t="e">
        <f>+IF(SUM(#REF!)&gt;0,#REF!/#REF!,"")</f>
        <v>#REF!</v>
      </c>
      <c r="BJ33" s="151"/>
      <c r="BK33" s="121" t="e">
        <f>+IF(#REF!&gt;0,(#REF!/#REF!),"")</f>
        <v>#REF!</v>
      </c>
      <c r="BL33" s="122" t="e">
        <f>+IF(#REF!&gt;0,(#REF!/#REF!),"")</f>
        <v>#REF!</v>
      </c>
      <c r="BM33" s="122" t="e">
        <f>+IF(#REF!&gt;0,(#REF!/#REF!),"")</f>
        <v>#REF!</v>
      </c>
      <c r="BN33" s="123" t="e">
        <f>+IF(#REF!&gt;0,(#REF!/#REF!),"")</f>
        <v>#REF!</v>
      </c>
      <c r="BO33" s="151"/>
      <c r="BP33" s="124" t="e">
        <f>IF(#REF!&gt;0,(#REF!/#REF!),"")</f>
        <v>#REF!</v>
      </c>
      <c r="BQ33" s="125">
        <v>0</v>
      </c>
      <c r="BR33" s="125" t="e">
        <f>IF(#REF!&gt;0,(#REF!/#REF!),"")</f>
        <v>#REF!</v>
      </c>
      <c r="BS33" s="125" t="e">
        <f>IF(#REF!&gt;0,(#REF!/#REF!),"")</f>
        <v>#REF!</v>
      </c>
      <c r="BT33" s="126" t="e">
        <f>IF(#REF!&gt;0,#REF!/#REF!,"")</f>
        <v>#REF!</v>
      </c>
      <c r="BU33" s="151"/>
      <c r="BV33" s="132" t="e">
        <f>IF(#REF!&gt;0,(#REF!/#REF!),"")</f>
        <v>#REF!</v>
      </c>
      <c r="BW33" s="127" t="e">
        <f>IF(#REF!&gt;0,(#REF!/#REF!),"")</f>
        <v>#REF!</v>
      </c>
      <c r="BX33" s="127" t="e">
        <f>IF(#REF!&gt;0,(#REF!/#REF!),"")</f>
        <v>#REF!</v>
      </c>
      <c r="BY33" s="127" t="e">
        <f>IF(#REF!&gt;0,(#REF!/#REF!),"")</f>
        <v>#REF!</v>
      </c>
      <c r="BZ33" s="127" t="e">
        <f>IF(#REF!&gt;0,(#REF!/#REF!),"")</f>
        <v>#REF!</v>
      </c>
      <c r="CA33" s="128" t="e">
        <f>IF(#REF!&gt;0,(#REF!/#REF!),"")</f>
        <v>#REF!</v>
      </c>
      <c r="CB33" s="151"/>
      <c r="CC33" s="129" t="str">
        <f>IFERROR(((#REF!-#REF!)*3600)/#REF!,"-")</f>
        <v>-</v>
      </c>
      <c r="CD33" s="130" t="str">
        <f>IFERROR((#REF!*3600)/#REF!,"-")</f>
        <v>-</v>
      </c>
      <c r="CE33" s="130" t="str">
        <f>IFERROR((#REF!*3600)/#REF!,"-")</f>
        <v>-</v>
      </c>
      <c r="CF33" s="130" t="str">
        <f>IFERROR((#REF!*3600)/#REF!,"-")</f>
        <v>-</v>
      </c>
      <c r="CG33" s="131" t="str">
        <f>IFERROR((#REF!*3600)/#REF!,"-")</f>
        <v>-</v>
      </c>
      <c r="CH33" s="151"/>
    </row>
    <row r="34" spans="1:86" s="115" customFormat="1" ht="12.4" customHeight="1" thickBot="1" x14ac:dyDescent="0.25">
      <c r="A34" s="96">
        <f t="shared" si="23"/>
        <v>46326</v>
      </c>
      <c r="B34" s="97" t="str">
        <f>+TEXT(A34,"DDD")</f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99"/>
      <c r="AM34" s="99"/>
      <c r="AN34" s="99"/>
      <c r="AO34" s="99"/>
      <c r="AP34" s="99"/>
      <c r="AQ34" s="99"/>
      <c r="AR34" s="99"/>
      <c r="AS34" s="99"/>
      <c r="AT34" s="100"/>
      <c r="AU34" s="100"/>
      <c r="AV34" s="101"/>
      <c r="AW34" s="100"/>
      <c r="AX34" s="102" t="str">
        <f>IFERROR(AN34/AW34,"-")</f>
        <v>-</v>
      </c>
      <c r="AY34" s="151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51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 t="shared" si="25"/>
        <v/>
      </c>
      <c r="BH34" s="119" t="str">
        <f t="shared" si="7"/>
        <v/>
      </c>
      <c r="BI34" s="120" t="str">
        <f t="shared" si="26"/>
        <v/>
      </c>
      <c r="BJ34" s="151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51"/>
      <c r="BP34" s="124" t="str">
        <f t="shared" si="12"/>
        <v/>
      </c>
      <c r="BQ34" s="125">
        <v>0</v>
      </c>
      <c r="BR34" s="125" t="str">
        <f t="shared" si="27"/>
        <v/>
      </c>
      <c r="BS34" s="125" t="str">
        <f t="shared" si="28"/>
        <v/>
      </c>
      <c r="BT34" s="126" t="str">
        <f t="shared" si="13"/>
        <v/>
      </c>
      <c r="BU34" s="151"/>
      <c r="BV34" s="132" t="str">
        <f t="shared" si="14"/>
        <v/>
      </c>
      <c r="BW34" s="127" t="str">
        <f t="shared" si="15"/>
        <v/>
      </c>
      <c r="BX34" s="127" t="str">
        <f t="shared" si="16"/>
        <v/>
      </c>
      <c r="BY34" s="127" t="str">
        <f t="shared" si="17"/>
        <v/>
      </c>
      <c r="BZ34" s="127" t="str">
        <f t="shared" si="29"/>
        <v/>
      </c>
      <c r="CA34" s="128" t="str">
        <f t="shared" si="30"/>
        <v/>
      </c>
      <c r="CB34" s="151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51"/>
    </row>
    <row r="35" spans="1:86" s="115" customFormat="1" ht="13.15" customHeight="1" thickBot="1" x14ac:dyDescent="0.25">
      <c r="A35" s="235" t="s">
        <v>68</v>
      </c>
      <c r="B35" s="236"/>
      <c r="C35" s="109" t="e">
        <f>AVERAGE(C4:C34)</f>
        <v>#DIV/0!</v>
      </c>
      <c r="D35" s="109" t="e">
        <f t="shared" ref="D35:AW35" si="31">AVERAGE(D4:D34)</f>
        <v>#DIV/0!</v>
      </c>
      <c r="E35" s="109" t="e">
        <f t="shared" si="31"/>
        <v>#DIV/0!</v>
      </c>
      <c r="F35" s="109" t="e">
        <f t="shared" si="31"/>
        <v>#DIV/0!</v>
      </c>
      <c r="G35" s="109" t="e">
        <f t="shared" si="31"/>
        <v>#DIV/0!</v>
      </c>
      <c r="H35" s="109" t="e">
        <f t="shared" si="31"/>
        <v>#DIV/0!</v>
      </c>
      <c r="I35" s="109" t="e">
        <f t="shared" si="31"/>
        <v>#DIV/0!</v>
      </c>
      <c r="J35" s="109" t="e">
        <f t="shared" si="31"/>
        <v>#DIV/0!</v>
      </c>
      <c r="K35" s="109" t="e">
        <f t="shared" si="31"/>
        <v>#DIV/0!</v>
      </c>
      <c r="L35" s="109" t="e">
        <f t="shared" si="31"/>
        <v>#DIV/0!</v>
      </c>
      <c r="M35" s="109" t="e">
        <f t="shared" si="31"/>
        <v>#DIV/0!</v>
      </c>
      <c r="N35" s="109" t="e">
        <f t="shared" si="31"/>
        <v>#DIV/0!</v>
      </c>
      <c r="O35" s="109" t="e">
        <f t="shared" si="31"/>
        <v>#DIV/0!</v>
      </c>
      <c r="P35" s="109" t="e">
        <f t="shared" si="31"/>
        <v>#DIV/0!</v>
      </c>
      <c r="Q35" s="109" t="e">
        <f t="shared" si="31"/>
        <v>#DIV/0!</v>
      </c>
      <c r="R35" s="109" t="e">
        <f t="shared" si="31"/>
        <v>#DIV/0!</v>
      </c>
      <c r="S35" s="109" t="e">
        <f t="shared" si="31"/>
        <v>#DIV/0!</v>
      </c>
      <c r="T35" s="109" t="e">
        <f t="shared" si="31"/>
        <v>#DIV/0!</v>
      </c>
      <c r="U35" s="109" t="e">
        <f t="shared" si="31"/>
        <v>#DIV/0!</v>
      </c>
      <c r="V35" s="109" t="e">
        <f t="shared" si="31"/>
        <v>#DIV/0!</v>
      </c>
      <c r="W35" s="109" t="e">
        <f t="shared" si="31"/>
        <v>#DIV/0!</v>
      </c>
      <c r="X35" s="109" t="e">
        <f t="shared" si="31"/>
        <v>#DIV/0!</v>
      </c>
      <c r="Y35" s="109" t="e">
        <f t="shared" si="31"/>
        <v>#DIV/0!</v>
      </c>
      <c r="Z35" s="109" t="e">
        <f t="shared" si="31"/>
        <v>#DIV/0!</v>
      </c>
      <c r="AA35" s="109" t="e">
        <f t="shared" si="31"/>
        <v>#DIV/0!</v>
      </c>
      <c r="AB35" s="109" t="e">
        <f t="shared" si="31"/>
        <v>#DIV/0!</v>
      </c>
      <c r="AC35" s="109" t="e">
        <f t="shared" si="31"/>
        <v>#DIV/0!</v>
      </c>
      <c r="AD35" s="109" t="e">
        <f t="shared" si="31"/>
        <v>#DIV/0!</v>
      </c>
      <c r="AE35" s="109" t="e">
        <f t="shared" si="31"/>
        <v>#DIV/0!</v>
      </c>
      <c r="AF35" s="109" t="e">
        <f t="shared" si="31"/>
        <v>#DIV/0!</v>
      </c>
      <c r="AG35" s="109" t="e">
        <f t="shared" si="31"/>
        <v>#DIV/0!</v>
      </c>
      <c r="AH35" s="109" t="e">
        <f t="shared" si="31"/>
        <v>#DIV/0!</v>
      </c>
      <c r="AI35" s="109" t="e">
        <f t="shared" si="31"/>
        <v>#DIV/0!</v>
      </c>
      <c r="AJ35" s="109" t="e">
        <f t="shared" si="31"/>
        <v>#DIV/0!</v>
      </c>
      <c r="AK35" s="109" t="e">
        <f t="shared" si="31"/>
        <v>#DIV/0!</v>
      </c>
      <c r="AL35" s="109" t="e">
        <f t="shared" si="31"/>
        <v>#DIV/0!</v>
      </c>
      <c r="AM35" s="109" t="e">
        <f t="shared" si="31"/>
        <v>#DIV/0!</v>
      </c>
      <c r="AN35" s="109" t="e">
        <f t="shared" si="31"/>
        <v>#DIV/0!</v>
      </c>
      <c r="AO35" s="109" t="e">
        <f t="shared" si="31"/>
        <v>#DIV/0!</v>
      </c>
      <c r="AP35" s="109" t="e">
        <f t="shared" si="31"/>
        <v>#DIV/0!</v>
      </c>
      <c r="AQ35" s="109" t="e">
        <f t="shared" si="31"/>
        <v>#DIV/0!</v>
      </c>
      <c r="AR35" s="109" t="e">
        <f t="shared" si="31"/>
        <v>#DIV/0!</v>
      </c>
      <c r="AS35" s="109" t="e">
        <f t="shared" si="31"/>
        <v>#DIV/0!</v>
      </c>
      <c r="AT35" s="109" t="e">
        <f t="shared" si="31"/>
        <v>#DIV/0!</v>
      </c>
      <c r="AU35" s="109" t="e">
        <f t="shared" si="31"/>
        <v>#DIV/0!</v>
      </c>
      <c r="AV35" s="109" t="e">
        <f t="shared" si="31"/>
        <v>#DIV/0!</v>
      </c>
      <c r="AW35" s="109" t="e">
        <f t="shared" si="31"/>
        <v>#DIV/0!</v>
      </c>
      <c r="AX35" s="110" t="str">
        <f t="shared" si="24"/>
        <v>-</v>
      </c>
      <c r="AY35" s="151"/>
      <c r="AZ35" s="133" t="e">
        <f t="shared" si="1"/>
        <v>#DIV/0!</v>
      </c>
      <c r="BA35" s="134" t="e">
        <f t="shared" si="2"/>
        <v>#DIV/0!</v>
      </c>
      <c r="BB35" s="135" t="e">
        <f t="shared" si="3"/>
        <v>#DIV/0!</v>
      </c>
      <c r="BC35" s="151"/>
      <c r="BD35" s="133" t="e">
        <f t="shared" si="4"/>
        <v>#DIV/0!</v>
      </c>
      <c r="BE35" s="136" t="e">
        <f t="shared" si="5"/>
        <v>#DIV/0!</v>
      </c>
      <c r="BF35" s="136" t="e">
        <f t="shared" si="6"/>
        <v>#DIV/0!</v>
      </c>
      <c r="BG35" s="136" t="e">
        <f t="shared" si="25"/>
        <v>#DIV/0!</v>
      </c>
      <c r="BH35" s="136" t="e">
        <f t="shared" si="7"/>
        <v>#DIV/0!</v>
      </c>
      <c r="BI35" s="135" t="e">
        <f t="shared" si="26"/>
        <v>#DIV/0!</v>
      </c>
      <c r="BJ35" s="151"/>
      <c r="BK35" s="133" t="e">
        <f t="shared" si="8"/>
        <v>#DIV/0!</v>
      </c>
      <c r="BL35" s="136" t="e">
        <f t="shared" si="9"/>
        <v>#DIV/0!</v>
      </c>
      <c r="BM35" s="136" t="e">
        <f t="shared" si="10"/>
        <v>#DIV/0!</v>
      </c>
      <c r="BN35" s="135" t="e">
        <f t="shared" si="11"/>
        <v>#DIV/0!</v>
      </c>
      <c r="BO35" s="151"/>
      <c r="BP35" s="133" t="e">
        <f t="shared" si="12"/>
        <v>#DIV/0!</v>
      </c>
      <c r="BQ35" s="136">
        <v>0</v>
      </c>
      <c r="BR35" s="136" t="e">
        <f t="shared" si="27"/>
        <v>#DIV/0!</v>
      </c>
      <c r="BS35" s="136" t="e">
        <f t="shared" si="28"/>
        <v>#DIV/0!</v>
      </c>
      <c r="BT35" s="135" t="e">
        <f t="shared" si="13"/>
        <v>#DIV/0!</v>
      </c>
      <c r="BU35" s="151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9"/>
        <v>#DIV/0!</v>
      </c>
      <c r="CA35" s="139" t="e">
        <f t="shared" si="30"/>
        <v>#DIV/0!</v>
      </c>
      <c r="CB35" s="151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51"/>
    </row>
    <row r="36" spans="1:86" s="115" customFormat="1" ht="13.15" customHeight="1" thickBot="1" x14ac:dyDescent="0.25">
      <c r="A36" s="235" t="s">
        <v>69</v>
      </c>
      <c r="B36" s="236"/>
      <c r="C36" s="111">
        <f>SUM(C4:C34)</f>
        <v>0</v>
      </c>
      <c r="D36" s="111">
        <f t="shared" ref="D36:AW36" si="32">SUM(D4:D34)</f>
        <v>0</v>
      </c>
      <c r="E36" s="111">
        <f t="shared" si="32"/>
        <v>0</v>
      </c>
      <c r="F36" s="111">
        <f t="shared" si="32"/>
        <v>0</v>
      </c>
      <c r="G36" s="111">
        <f t="shared" si="32"/>
        <v>0</v>
      </c>
      <c r="H36" s="111">
        <f t="shared" si="32"/>
        <v>0</v>
      </c>
      <c r="I36" s="111">
        <f t="shared" si="32"/>
        <v>0</v>
      </c>
      <c r="J36" s="111">
        <f t="shared" si="32"/>
        <v>0</v>
      </c>
      <c r="K36" s="111">
        <f t="shared" si="32"/>
        <v>0</v>
      </c>
      <c r="L36" s="111">
        <f t="shared" si="32"/>
        <v>0</v>
      </c>
      <c r="M36" s="111">
        <f t="shared" si="32"/>
        <v>0</v>
      </c>
      <c r="N36" s="111">
        <f t="shared" si="32"/>
        <v>0</v>
      </c>
      <c r="O36" s="111">
        <f t="shared" si="32"/>
        <v>0</v>
      </c>
      <c r="P36" s="111">
        <f t="shared" si="32"/>
        <v>0</v>
      </c>
      <c r="Q36" s="111">
        <f t="shared" si="32"/>
        <v>0</v>
      </c>
      <c r="R36" s="111">
        <f t="shared" si="32"/>
        <v>0</v>
      </c>
      <c r="S36" s="111">
        <f t="shared" si="32"/>
        <v>0</v>
      </c>
      <c r="T36" s="111">
        <f t="shared" si="32"/>
        <v>0</v>
      </c>
      <c r="U36" s="111">
        <f t="shared" si="32"/>
        <v>0</v>
      </c>
      <c r="V36" s="111">
        <f t="shared" si="32"/>
        <v>0</v>
      </c>
      <c r="W36" s="111">
        <f t="shared" si="32"/>
        <v>0</v>
      </c>
      <c r="X36" s="111">
        <f t="shared" si="32"/>
        <v>0</v>
      </c>
      <c r="Y36" s="111">
        <f t="shared" si="32"/>
        <v>0</v>
      </c>
      <c r="Z36" s="111">
        <f t="shared" si="32"/>
        <v>0</v>
      </c>
      <c r="AA36" s="111">
        <f t="shared" si="32"/>
        <v>0</v>
      </c>
      <c r="AB36" s="111">
        <f t="shared" si="32"/>
        <v>0</v>
      </c>
      <c r="AC36" s="111">
        <f t="shared" si="32"/>
        <v>0</v>
      </c>
      <c r="AD36" s="111">
        <f t="shared" si="32"/>
        <v>0</v>
      </c>
      <c r="AE36" s="111">
        <f t="shared" si="32"/>
        <v>0</v>
      </c>
      <c r="AF36" s="111">
        <f t="shared" si="32"/>
        <v>0</v>
      </c>
      <c r="AG36" s="111">
        <f t="shared" si="32"/>
        <v>0</v>
      </c>
      <c r="AH36" s="111">
        <f t="shared" si="32"/>
        <v>0</v>
      </c>
      <c r="AI36" s="111">
        <f t="shared" si="32"/>
        <v>0</v>
      </c>
      <c r="AJ36" s="111">
        <f t="shared" si="32"/>
        <v>0</v>
      </c>
      <c r="AK36" s="111">
        <f t="shared" si="32"/>
        <v>0</v>
      </c>
      <c r="AL36" s="111">
        <f t="shared" si="32"/>
        <v>0</v>
      </c>
      <c r="AM36" s="111">
        <f t="shared" si="32"/>
        <v>0</v>
      </c>
      <c r="AN36" s="111">
        <f t="shared" si="32"/>
        <v>0</v>
      </c>
      <c r="AO36" s="111">
        <f t="shared" si="32"/>
        <v>0</v>
      </c>
      <c r="AP36" s="111">
        <f t="shared" si="32"/>
        <v>0</v>
      </c>
      <c r="AQ36" s="111">
        <f t="shared" si="32"/>
        <v>0</v>
      </c>
      <c r="AR36" s="111">
        <f t="shared" si="32"/>
        <v>0</v>
      </c>
      <c r="AS36" s="111">
        <f t="shared" si="32"/>
        <v>0</v>
      </c>
      <c r="AT36" s="111">
        <f t="shared" si="32"/>
        <v>0</v>
      </c>
      <c r="AU36" s="111">
        <f t="shared" si="32"/>
        <v>0</v>
      </c>
      <c r="AV36" s="111">
        <f t="shared" si="32"/>
        <v>0</v>
      </c>
      <c r="AW36" s="111">
        <f t="shared" si="32"/>
        <v>0</v>
      </c>
      <c r="AX36" s="112" t="str">
        <f t="shared" si="24"/>
        <v>-</v>
      </c>
      <c r="AY36" s="156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56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 t="shared" si="25"/>
        <v/>
      </c>
      <c r="BH36" s="144" t="str">
        <f t="shared" si="7"/>
        <v/>
      </c>
      <c r="BI36" s="143" t="str">
        <f t="shared" si="26"/>
        <v/>
      </c>
      <c r="BJ36" s="156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56"/>
      <c r="BP36" s="141" t="str">
        <f t="shared" si="12"/>
        <v/>
      </c>
      <c r="BQ36" s="144">
        <v>0</v>
      </c>
      <c r="BR36" s="144" t="str">
        <f t="shared" si="27"/>
        <v/>
      </c>
      <c r="BS36" s="144" t="str">
        <f t="shared" si="28"/>
        <v/>
      </c>
      <c r="BT36" s="143" t="str">
        <f t="shared" si="13"/>
        <v/>
      </c>
      <c r="BU36" s="156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9"/>
        <v/>
      </c>
      <c r="CA36" s="147" t="str">
        <f t="shared" si="30"/>
        <v/>
      </c>
      <c r="CB36" s="156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56"/>
    </row>
    <row r="37" spans="1:86" x14ac:dyDescent="0.2"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</sheetData>
  <mergeCells count="88"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workbookViewId="0">
      <selection activeCell="C4" sqref="C4:AW4"/>
    </sheetView>
  </sheetViews>
  <sheetFormatPr defaultColWidth="0" defaultRowHeight="11.25" x14ac:dyDescent="0.2"/>
  <cols>
    <col min="1" max="1" width="9.5703125" style="154" bestFit="1" customWidth="1"/>
    <col min="2" max="2" width="4.5703125" style="154" customWidth="1"/>
    <col min="3" max="3" width="15.5703125" style="154" bestFit="1" customWidth="1"/>
    <col min="4" max="4" width="18.85546875" style="154" bestFit="1" customWidth="1"/>
    <col min="5" max="5" width="20" style="154" bestFit="1" customWidth="1"/>
    <col min="6" max="6" width="16" style="154" bestFit="1" customWidth="1"/>
    <col min="7" max="7" width="8.5703125" style="154" bestFit="1" customWidth="1"/>
    <col min="8" max="8" width="18.5703125" style="154" bestFit="1" customWidth="1"/>
    <col min="9" max="9" width="9" style="154" bestFit="1" customWidth="1"/>
    <col min="10" max="10" width="9.42578125" style="154" customWidth="1"/>
    <col min="11" max="11" width="11" style="154" bestFit="1" customWidth="1"/>
    <col min="12" max="20" width="8.5703125" style="154" bestFit="1" customWidth="1"/>
    <col min="21" max="21" width="6" style="154" bestFit="1" customWidth="1"/>
    <col min="22" max="34" width="8.5703125" style="154" bestFit="1" customWidth="1"/>
    <col min="35" max="35" width="13.28515625" style="154" bestFit="1" customWidth="1"/>
    <col min="36" max="36" width="15.7109375" style="154" bestFit="1" customWidth="1"/>
    <col min="37" max="37" width="16.28515625" style="154" bestFit="1" customWidth="1"/>
    <col min="38" max="38" width="15.42578125" style="154" bestFit="1" customWidth="1"/>
    <col min="39" max="39" width="15.85546875" style="154" bestFit="1" customWidth="1"/>
    <col min="40" max="40" width="16.28515625" style="154" bestFit="1" customWidth="1"/>
    <col min="41" max="41" width="10" style="154" bestFit="1" customWidth="1"/>
    <col min="42" max="42" width="13.85546875" style="154" bestFit="1" customWidth="1"/>
    <col min="43" max="43" width="11.140625" style="154" bestFit="1" customWidth="1"/>
    <col min="44" max="44" width="10.28515625" style="154" bestFit="1" customWidth="1"/>
    <col min="45" max="45" width="12.5703125" style="158" bestFit="1" customWidth="1"/>
    <col min="46" max="46" width="8.7109375" style="154" bestFit="1" customWidth="1"/>
    <col min="47" max="47" width="10.7109375" style="154" customWidth="1"/>
    <col min="48" max="48" width="16.28515625" style="154" bestFit="1" customWidth="1"/>
    <col min="49" max="50" width="16.140625" style="154" bestFit="1" customWidth="1"/>
    <col min="51" max="51" width="2.28515625" style="154" customWidth="1"/>
    <col min="52" max="52" width="16.42578125" style="154" bestFit="1" customWidth="1"/>
    <col min="53" max="53" width="12" style="154" bestFit="1" customWidth="1"/>
    <col min="54" max="54" width="12.85546875" style="154" bestFit="1" customWidth="1"/>
    <col min="55" max="55" width="1.5703125" style="154" customWidth="1"/>
    <col min="56" max="56" width="12.7109375" style="154" bestFit="1" customWidth="1"/>
    <col min="57" max="57" width="13.42578125" style="154" bestFit="1" customWidth="1"/>
    <col min="58" max="58" width="20.42578125" style="154" bestFit="1" customWidth="1"/>
    <col min="59" max="59" width="9.5703125" style="154" bestFit="1" customWidth="1"/>
    <col min="60" max="60" width="14.85546875" style="154" bestFit="1" customWidth="1"/>
    <col min="61" max="61" width="10.7109375" style="154" bestFit="1" customWidth="1"/>
    <col min="62" max="62" width="1.85546875" style="154" customWidth="1"/>
    <col min="63" max="63" width="20.28515625" style="154" bestFit="1" customWidth="1"/>
    <col min="64" max="64" width="25.42578125" style="154" bestFit="1" customWidth="1"/>
    <col min="65" max="65" width="14.140625" style="154" bestFit="1" customWidth="1"/>
    <col min="66" max="66" width="18.140625" style="154" bestFit="1" customWidth="1"/>
    <col min="67" max="67" width="2.140625" style="154" customWidth="1"/>
    <col min="68" max="68" width="9.28515625" style="154" bestFit="1" customWidth="1"/>
    <col min="69" max="69" width="13" style="154" bestFit="1" customWidth="1"/>
    <col min="70" max="70" width="14.140625" style="154" bestFit="1" customWidth="1"/>
    <col min="71" max="71" width="13.85546875" style="154" bestFit="1" customWidth="1"/>
    <col min="72" max="72" width="8" style="154" bestFit="1" customWidth="1"/>
    <col min="73" max="73" width="2.140625" style="154" customWidth="1"/>
    <col min="74" max="74" width="18.5703125" style="154" bestFit="1" customWidth="1"/>
    <col min="75" max="75" width="14.5703125" style="154" bestFit="1" customWidth="1"/>
    <col min="76" max="76" width="18.5703125" style="154" bestFit="1" customWidth="1"/>
    <col min="77" max="77" width="19" style="154" bestFit="1" customWidth="1"/>
    <col min="78" max="78" width="18.140625" style="154" bestFit="1" customWidth="1"/>
    <col min="79" max="79" width="18.7109375" style="154" bestFit="1" customWidth="1"/>
    <col min="80" max="80" width="1.85546875" style="154" customWidth="1"/>
    <col min="81" max="81" width="7.7109375" style="154" bestFit="1" customWidth="1"/>
    <col min="82" max="82" width="5.7109375" style="154" bestFit="1" customWidth="1"/>
    <col min="83" max="83" width="6" style="154" bestFit="1" customWidth="1"/>
    <col min="84" max="84" width="5.7109375" style="154" bestFit="1" customWidth="1"/>
    <col min="85" max="85" width="8.5703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93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0" si="0">+TEXT(A4,"DDD")</f>
        <v>Thu</v>
      </c>
      <c r="C4" s="60"/>
      <c r="D4" s="98"/>
      <c r="E4" s="103"/>
      <c r="F4" s="98"/>
      <c r="G4" s="98"/>
      <c r="H4" s="104"/>
      <c r="I4" s="104"/>
      <c r="J4" s="105"/>
      <c r="K4" s="106"/>
      <c r="L4" s="98"/>
      <c r="M4" s="98"/>
      <c r="N4" s="98"/>
      <c r="O4" s="98"/>
      <c r="P4" s="103"/>
      <c r="Q4" s="98"/>
      <c r="R4" s="98"/>
      <c r="S4" s="98"/>
      <c r="T4" s="98"/>
      <c r="U4" s="98"/>
      <c r="V4" s="103"/>
      <c r="W4" s="103"/>
      <c r="X4" s="98"/>
      <c r="Y4" s="98"/>
      <c r="Z4" s="98"/>
      <c r="AA4" s="98"/>
      <c r="AB4" s="98"/>
      <c r="AC4" s="98"/>
      <c r="AD4" s="98"/>
      <c r="AE4" s="98"/>
      <c r="AF4" s="103"/>
      <c r="AG4" s="103"/>
      <c r="AH4" s="98"/>
      <c r="AI4" s="107"/>
      <c r="AJ4" s="108"/>
      <c r="AK4" s="107"/>
      <c r="AL4" s="99"/>
      <c r="AM4" s="99"/>
      <c r="AN4" s="99"/>
      <c r="AO4" s="99"/>
      <c r="AP4" s="99"/>
      <c r="AQ4" s="99"/>
      <c r="AR4" s="99"/>
      <c r="AS4" s="99"/>
      <c r="AT4" s="100"/>
      <c r="AU4" s="100"/>
      <c r="AV4" s="101"/>
      <c r="AW4" s="100"/>
      <c r="AX4" s="102" t="str">
        <f>IFERROR(AN4/AW4,"-")</f>
        <v>-</v>
      </c>
      <c r="AY4" s="151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51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51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51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51"/>
      <c r="BV4" s="127" t="str">
        <f t="shared" ref="BV4:BV36" si="14">IF(AN4&gt;0,(E4/AN4),"")</f>
        <v/>
      </c>
      <c r="BW4" s="127" t="str">
        <f t="shared" ref="BW4:BW36" si="15">IF(AN4&gt;0,(G4/AN4),"")</f>
        <v/>
      </c>
      <c r="BX4" s="127" t="str">
        <f t="shared" ref="BX4:BX36" si="16">IF(AN4&gt;0,(J4/AN4),"")</f>
        <v/>
      </c>
      <c r="BY4" s="127" t="str">
        <f t="shared" ref="BY4:BY36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51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51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99"/>
      <c r="AM5" s="99"/>
      <c r="AN5" s="99"/>
      <c r="AO5" s="99"/>
      <c r="AP5" s="99"/>
      <c r="AQ5" s="99"/>
      <c r="AR5" s="99"/>
      <c r="AS5" s="99"/>
      <c r="AT5" s="100"/>
      <c r="AU5" s="100"/>
      <c r="AV5" s="101"/>
      <c r="AW5" s="100"/>
      <c r="AX5" s="102" t="str">
        <f t="shared" ref="AX5:AX36" si="23">IFERROR(AN5/AW5,"-")</f>
        <v>-</v>
      </c>
      <c r="AY5" s="151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51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ref="BG5:BG36" si="24">+IF(SUM(AO5:AR5)&gt;0,AO5/AN5,"")</f>
        <v/>
      </c>
      <c r="BH5" s="119" t="str">
        <f t="shared" si="7"/>
        <v/>
      </c>
      <c r="BI5" s="120" t="str">
        <f t="shared" ref="BI5:BI36" si="25">+IF(SUM(AO5:AR5)&gt;0,AQ5/AN5,"")</f>
        <v/>
      </c>
      <c r="BJ5" s="151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51"/>
      <c r="BP5" s="124" t="str">
        <f t="shared" si="12"/>
        <v/>
      </c>
      <c r="BQ5" s="125">
        <v>0</v>
      </c>
      <c r="BR5" s="125" t="str">
        <f t="shared" ref="BR5:BR36" si="26">IF(AJ5&gt;0,(AK5/AJ5),"")</f>
        <v/>
      </c>
      <c r="BS5" s="125" t="str">
        <f t="shared" ref="BS5:BS36" si="27">IF(AJ5&gt;0,(AK5/AJ5),"")</f>
        <v/>
      </c>
      <c r="BT5" s="126" t="str">
        <f t="shared" si="13"/>
        <v/>
      </c>
      <c r="BU5" s="151"/>
      <c r="BV5" s="132" t="str">
        <f t="shared" si="14"/>
        <v/>
      </c>
      <c r="BW5" s="127" t="str">
        <f t="shared" si="15"/>
        <v/>
      </c>
      <c r="BX5" s="127" t="str">
        <f t="shared" si="16"/>
        <v/>
      </c>
      <c r="BY5" s="127" t="str">
        <f t="shared" si="17"/>
        <v/>
      </c>
      <c r="BZ5" s="127" t="str">
        <f t="shared" ref="BZ5:BZ36" si="28">IF(AN5&gt;0,(AJ5/AN5),"")</f>
        <v/>
      </c>
      <c r="CA5" s="128" t="str">
        <f t="shared" ref="CA5:CA36" si="29">IF(AN5&gt;0,(AK5/AN5),"")</f>
        <v/>
      </c>
      <c r="CB5" s="151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51"/>
    </row>
    <row r="6" spans="1:86" s="115" customFormat="1" ht="12.4" customHeight="1" thickBot="1" x14ac:dyDescent="0.25">
      <c r="A6" s="96">
        <f t="shared" ref="A6:A34" si="30">A5+1</f>
        <v>46298</v>
      </c>
      <c r="B6" s="97" t="str">
        <f t="shared" si="0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99"/>
      <c r="AM6" s="99"/>
      <c r="AN6" s="99"/>
      <c r="AO6" s="99"/>
      <c r="AP6" s="99"/>
      <c r="AQ6" s="99"/>
      <c r="AR6" s="99"/>
      <c r="AS6" s="99"/>
      <c r="AT6" s="100"/>
      <c r="AU6" s="100"/>
      <c r="AV6" s="101"/>
      <c r="AW6" s="100"/>
      <c r="AX6" s="102" t="str">
        <f t="shared" si="23"/>
        <v>-</v>
      </c>
      <c r="AY6" s="151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51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24"/>
        <v/>
      </c>
      <c r="BH6" s="119" t="str">
        <f t="shared" si="7"/>
        <v/>
      </c>
      <c r="BI6" s="120" t="str">
        <f t="shared" si="25"/>
        <v/>
      </c>
      <c r="BJ6" s="151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51"/>
      <c r="BP6" s="124" t="str">
        <f t="shared" si="12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3"/>
        <v/>
      </c>
      <c r="BU6" s="151"/>
      <c r="BV6" s="132" t="str">
        <f t="shared" si="14"/>
        <v/>
      </c>
      <c r="BW6" s="127" t="str">
        <f t="shared" si="15"/>
        <v/>
      </c>
      <c r="BX6" s="127" t="str">
        <f t="shared" si="16"/>
        <v/>
      </c>
      <c r="BY6" s="127" t="str">
        <f t="shared" si="17"/>
        <v/>
      </c>
      <c r="BZ6" s="127" t="str">
        <f t="shared" si="28"/>
        <v/>
      </c>
      <c r="CA6" s="128" t="str">
        <f t="shared" si="29"/>
        <v/>
      </c>
      <c r="CB6" s="151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51"/>
    </row>
    <row r="7" spans="1:86" s="115" customFormat="1" ht="12.4" customHeight="1" thickBot="1" x14ac:dyDescent="0.25">
      <c r="A7" s="96">
        <f t="shared" si="30"/>
        <v>46299</v>
      </c>
      <c r="B7" s="97" t="str">
        <f t="shared" si="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99"/>
      <c r="AM7" s="99"/>
      <c r="AN7" s="99"/>
      <c r="AO7" s="99"/>
      <c r="AP7" s="99"/>
      <c r="AQ7" s="99"/>
      <c r="AR7" s="99"/>
      <c r="AS7" s="99"/>
      <c r="AT7" s="100"/>
      <c r="AU7" s="100"/>
      <c r="AV7" s="101"/>
      <c r="AW7" s="100"/>
      <c r="AX7" s="102" t="str">
        <f t="shared" si="23"/>
        <v>-</v>
      </c>
      <c r="AY7" s="151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51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24"/>
        <v/>
      </c>
      <c r="BH7" s="119" t="str">
        <f t="shared" si="7"/>
        <v/>
      </c>
      <c r="BI7" s="120" t="str">
        <f t="shared" si="25"/>
        <v/>
      </c>
      <c r="BJ7" s="151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51"/>
      <c r="BP7" s="124" t="str">
        <f t="shared" si="12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3"/>
        <v/>
      </c>
      <c r="BU7" s="151"/>
      <c r="BV7" s="132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si="28"/>
        <v/>
      </c>
      <c r="CA7" s="128" t="str">
        <f t="shared" si="29"/>
        <v/>
      </c>
      <c r="CB7" s="151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51"/>
    </row>
    <row r="8" spans="1:86" s="115" customFormat="1" ht="12.4" customHeight="1" thickBot="1" x14ac:dyDescent="0.25">
      <c r="A8" s="96">
        <f t="shared" si="30"/>
        <v>46300</v>
      </c>
      <c r="B8" s="97" t="str">
        <f t="shared" si="0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99"/>
      <c r="AM8" s="99"/>
      <c r="AN8" s="99"/>
      <c r="AO8" s="99"/>
      <c r="AP8" s="99"/>
      <c r="AQ8" s="99"/>
      <c r="AR8" s="99"/>
      <c r="AS8" s="99"/>
      <c r="AT8" s="100"/>
      <c r="AU8" s="100"/>
      <c r="AV8" s="101"/>
      <c r="AW8" s="100"/>
      <c r="AX8" s="102" t="str">
        <f t="shared" si="23"/>
        <v>-</v>
      </c>
      <c r="AY8" s="151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51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24"/>
        <v/>
      </c>
      <c r="BH8" s="119" t="str">
        <f t="shared" si="7"/>
        <v/>
      </c>
      <c r="BI8" s="120" t="str">
        <f t="shared" si="25"/>
        <v/>
      </c>
      <c r="BJ8" s="151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51"/>
      <c r="BP8" s="124" t="str">
        <f t="shared" si="12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3"/>
        <v/>
      </c>
      <c r="BU8" s="151"/>
      <c r="BV8" s="132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 t="shared" si="28"/>
        <v/>
      </c>
      <c r="CA8" s="128" t="str">
        <f t="shared" si="29"/>
        <v/>
      </c>
      <c r="CB8" s="151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51"/>
    </row>
    <row r="9" spans="1:86" s="115" customFormat="1" ht="12.4" customHeight="1" thickBot="1" x14ac:dyDescent="0.25">
      <c r="A9" s="96">
        <f t="shared" si="30"/>
        <v>46301</v>
      </c>
      <c r="B9" s="97" t="str">
        <f t="shared" si="0"/>
        <v>Tue</v>
      </c>
      <c r="C9" s="98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99"/>
      <c r="AM9" s="99"/>
      <c r="AN9" s="99"/>
      <c r="AO9" s="99"/>
      <c r="AP9" s="99"/>
      <c r="AQ9" s="99"/>
      <c r="AR9" s="99"/>
      <c r="AS9" s="99"/>
      <c r="AT9" s="100"/>
      <c r="AU9" s="100"/>
      <c r="AV9" s="101"/>
      <c r="AW9" s="100"/>
      <c r="AX9" s="102" t="str">
        <f t="shared" si="23"/>
        <v>-</v>
      </c>
      <c r="AY9" s="151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51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24"/>
        <v/>
      </c>
      <c r="BH9" s="119" t="str">
        <f t="shared" si="7"/>
        <v/>
      </c>
      <c r="BI9" s="120" t="str">
        <f t="shared" si="25"/>
        <v/>
      </c>
      <c r="BJ9" s="151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51"/>
      <c r="BP9" s="124" t="str">
        <f t="shared" si="12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3"/>
        <v/>
      </c>
      <c r="BU9" s="151"/>
      <c r="BV9" s="132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 t="shared" si="28"/>
        <v/>
      </c>
      <c r="CA9" s="128" t="str">
        <f t="shared" si="29"/>
        <v/>
      </c>
      <c r="CB9" s="151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51"/>
    </row>
    <row r="10" spans="1:86" s="115" customFormat="1" ht="12.4" customHeight="1" thickBot="1" x14ac:dyDescent="0.25">
      <c r="A10" s="96">
        <f t="shared" si="30"/>
        <v>46302</v>
      </c>
      <c r="B10" s="97" t="str">
        <f>+TEXT(A10,"DDD")</f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99"/>
      <c r="AM10" s="99"/>
      <c r="AN10" s="99"/>
      <c r="AO10" s="99"/>
      <c r="AP10" s="99"/>
      <c r="AQ10" s="99"/>
      <c r="AR10" s="99"/>
      <c r="AS10" s="99"/>
      <c r="AT10" s="100"/>
      <c r="AU10" s="100"/>
      <c r="AV10" s="101"/>
      <c r="AW10" s="100"/>
      <c r="AX10" s="102" t="str">
        <f t="shared" si="23"/>
        <v>-</v>
      </c>
      <c r="AY10" s="151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51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4"/>
        <v/>
      </c>
      <c r="BH10" s="119" t="str">
        <f t="shared" si="7"/>
        <v/>
      </c>
      <c r="BI10" s="120" t="str">
        <f t="shared" si="25"/>
        <v/>
      </c>
      <c r="BJ10" s="151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51"/>
      <c r="BP10" s="124" t="str">
        <f t="shared" si="12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3"/>
        <v/>
      </c>
      <c r="BU10" s="151"/>
      <c r="BV10" s="132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8"/>
        <v/>
      </c>
      <c r="CA10" s="128" t="str">
        <f t="shared" si="29"/>
        <v/>
      </c>
      <c r="CB10" s="151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51"/>
    </row>
    <row r="11" spans="1:86" s="115" customFormat="1" ht="12.4" customHeight="1" thickBot="1" x14ac:dyDescent="0.25">
      <c r="A11" s="96">
        <f t="shared" si="30"/>
        <v>46303</v>
      </c>
      <c r="B11" s="97" t="str">
        <f>+TEXT(A11,"DDD")</f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99"/>
      <c r="AM11" s="99"/>
      <c r="AN11" s="99"/>
      <c r="AO11" s="99"/>
      <c r="AP11" s="99"/>
      <c r="AQ11" s="99"/>
      <c r="AR11" s="99"/>
      <c r="AS11" s="99"/>
      <c r="AT11" s="100"/>
      <c r="AU11" s="100"/>
      <c r="AV11" s="101"/>
      <c r="AW11" s="100"/>
      <c r="AX11" s="102" t="str">
        <f t="shared" si="23"/>
        <v>-</v>
      </c>
      <c r="AY11" s="151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51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4"/>
        <v/>
      </c>
      <c r="BH11" s="119" t="str">
        <f t="shared" si="7"/>
        <v/>
      </c>
      <c r="BI11" s="120" t="str">
        <f t="shared" si="25"/>
        <v/>
      </c>
      <c r="BJ11" s="151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51"/>
      <c r="BP11" s="124" t="str">
        <f t="shared" si="12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3"/>
        <v/>
      </c>
      <c r="BU11" s="151"/>
      <c r="BV11" s="132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8"/>
        <v/>
      </c>
      <c r="CA11" s="128" t="str">
        <f t="shared" si="29"/>
        <v/>
      </c>
      <c r="CB11" s="151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51"/>
    </row>
    <row r="12" spans="1:86" s="115" customFormat="1" ht="12.4" customHeight="1" thickBot="1" x14ac:dyDescent="0.25">
      <c r="A12" s="96">
        <f t="shared" si="30"/>
        <v>46304</v>
      </c>
      <c r="B12" s="97" t="str">
        <f>+TEXT(A12,"DDD")</f>
        <v>Fri</v>
      </c>
      <c r="C12" s="60"/>
      <c r="D12" s="60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99"/>
      <c r="AM12" s="61"/>
      <c r="AN12" s="61"/>
      <c r="AO12" s="61"/>
      <c r="AP12" s="61"/>
      <c r="AQ12" s="61"/>
      <c r="AR12" s="61"/>
      <c r="AS12" s="61"/>
      <c r="AT12" s="60"/>
      <c r="AU12" s="60"/>
      <c r="AV12" s="60"/>
      <c r="AW12" s="60"/>
      <c r="AX12" s="102" t="str">
        <f t="shared" si="23"/>
        <v>-</v>
      </c>
      <c r="AY12" s="151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51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4"/>
        <v/>
      </c>
      <c r="BH12" s="119" t="str">
        <f t="shared" si="7"/>
        <v/>
      </c>
      <c r="BI12" s="120" t="str">
        <f t="shared" si="25"/>
        <v/>
      </c>
      <c r="BJ12" s="151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51"/>
      <c r="BP12" s="124" t="str">
        <f t="shared" si="12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3"/>
        <v/>
      </c>
      <c r="BU12" s="151"/>
      <c r="BV12" s="132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8"/>
        <v/>
      </c>
      <c r="CA12" s="128" t="str">
        <f t="shared" si="29"/>
        <v/>
      </c>
      <c r="CB12" s="151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51"/>
    </row>
    <row r="13" spans="1:86" s="115" customFormat="1" ht="12.4" customHeight="1" thickBot="1" x14ac:dyDescent="0.25">
      <c r="A13" s="96">
        <f t="shared" si="30"/>
        <v>46305</v>
      </c>
      <c r="B13" s="97" t="str">
        <f>+TEXT(A13,"DDD")</f>
        <v>Sat</v>
      </c>
      <c r="C13" s="103"/>
      <c r="D13" s="98"/>
      <c r="E13" s="103"/>
      <c r="F13" s="98"/>
      <c r="G13" s="98"/>
      <c r="H13" s="104"/>
      <c r="I13" s="104"/>
      <c r="J13" s="105"/>
      <c r="K13" s="106"/>
      <c r="L13" s="98"/>
      <c r="M13" s="98"/>
      <c r="N13" s="98"/>
      <c r="O13" s="98"/>
      <c r="P13" s="103"/>
      <c r="Q13" s="98"/>
      <c r="R13" s="98"/>
      <c r="S13" s="98"/>
      <c r="T13" s="98"/>
      <c r="U13" s="98"/>
      <c r="V13" s="103"/>
      <c r="W13" s="103"/>
      <c r="X13" s="98"/>
      <c r="Y13" s="98"/>
      <c r="Z13" s="98"/>
      <c r="AA13" s="98"/>
      <c r="AB13" s="98"/>
      <c r="AC13" s="98"/>
      <c r="AD13" s="98"/>
      <c r="AE13" s="98"/>
      <c r="AF13" s="103"/>
      <c r="AG13" s="103"/>
      <c r="AH13" s="98"/>
      <c r="AI13" s="107"/>
      <c r="AJ13" s="108"/>
      <c r="AK13" s="107"/>
      <c r="AL13" s="99"/>
      <c r="AM13" s="99"/>
      <c r="AN13" s="99"/>
      <c r="AO13" s="99"/>
      <c r="AP13" s="99"/>
      <c r="AQ13" s="99"/>
      <c r="AR13" s="99"/>
      <c r="AS13" s="99"/>
      <c r="AT13" s="100"/>
      <c r="AU13" s="100"/>
      <c r="AV13" s="101"/>
      <c r="AW13" s="100"/>
      <c r="AX13" s="102" t="str">
        <f t="shared" si="23"/>
        <v>-</v>
      </c>
      <c r="AY13" s="151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51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4"/>
        <v/>
      </c>
      <c r="BH13" s="119" t="str">
        <f t="shared" si="7"/>
        <v/>
      </c>
      <c r="BI13" s="120" t="str">
        <f t="shared" si="25"/>
        <v/>
      </c>
      <c r="BJ13" s="151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51"/>
      <c r="BP13" s="124" t="str">
        <f t="shared" si="12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3"/>
        <v/>
      </c>
      <c r="BU13" s="151"/>
      <c r="BV13" s="132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8"/>
        <v/>
      </c>
      <c r="CA13" s="128" t="str">
        <f t="shared" si="29"/>
        <v/>
      </c>
      <c r="CB13" s="151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51"/>
    </row>
    <row r="14" spans="1:86" s="115" customFormat="1" ht="12.4" customHeight="1" thickBot="1" x14ac:dyDescent="0.25">
      <c r="A14" s="96">
        <f t="shared" si="30"/>
        <v>46306</v>
      </c>
      <c r="B14" s="97" t="str">
        <f t="shared" si="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60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99"/>
      <c r="AM14" s="99"/>
      <c r="AN14" s="99"/>
      <c r="AO14" s="99"/>
      <c r="AP14" s="99"/>
      <c r="AQ14" s="99"/>
      <c r="AR14" s="99"/>
      <c r="AS14" s="99"/>
      <c r="AT14" s="100"/>
      <c r="AU14" s="100"/>
      <c r="AV14" s="101"/>
      <c r="AW14" s="100"/>
      <c r="AX14" s="102" t="str">
        <f t="shared" si="23"/>
        <v>-</v>
      </c>
      <c r="AY14" s="151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51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4"/>
        <v/>
      </c>
      <c r="BH14" s="119" t="str">
        <f t="shared" si="7"/>
        <v/>
      </c>
      <c r="BI14" s="120" t="str">
        <f t="shared" si="25"/>
        <v/>
      </c>
      <c r="BJ14" s="151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51"/>
      <c r="BP14" s="124" t="str">
        <f t="shared" si="12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3"/>
        <v/>
      </c>
      <c r="BU14" s="151"/>
      <c r="BV14" s="132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8"/>
        <v/>
      </c>
      <c r="CA14" s="128" t="str">
        <f t="shared" si="29"/>
        <v/>
      </c>
      <c r="CB14" s="151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51"/>
    </row>
    <row r="15" spans="1:86" s="115" customFormat="1" ht="12.4" customHeight="1" thickBot="1" x14ac:dyDescent="0.25">
      <c r="A15" s="96">
        <f t="shared" si="30"/>
        <v>46307</v>
      </c>
      <c r="B15" s="97" t="str">
        <f t="shared" si="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60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99"/>
      <c r="AM15" s="99"/>
      <c r="AN15" s="99"/>
      <c r="AO15" s="99"/>
      <c r="AP15" s="99"/>
      <c r="AQ15" s="99"/>
      <c r="AR15" s="99"/>
      <c r="AS15" s="99"/>
      <c r="AT15" s="100"/>
      <c r="AU15" s="100"/>
      <c r="AV15" s="101"/>
      <c r="AW15" s="100"/>
      <c r="AX15" s="102" t="str">
        <f t="shared" si="23"/>
        <v>-</v>
      </c>
      <c r="AY15" s="151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51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24"/>
        <v/>
      </c>
      <c r="BH15" s="119" t="str">
        <f t="shared" si="7"/>
        <v/>
      </c>
      <c r="BI15" s="120" t="str">
        <f t="shared" si="25"/>
        <v/>
      </c>
      <c r="BJ15" s="151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51"/>
      <c r="BP15" s="124" t="str">
        <f t="shared" si="12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3"/>
        <v/>
      </c>
      <c r="BU15" s="151"/>
      <c r="BV15" s="132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 t="shared" si="28"/>
        <v/>
      </c>
      <c r="CA15" s="128" t="str">
        <f t="shared" si="29"/>
        <v/>
      </c>
      <c r="CB15" s="151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51"/>
    </row>
    <row r="16" spans="1:86" s="115" customFormat="1" ht="12.4" customHeight="1" thickBot="1" x14ac:dyDescent="0.25">
      <c r="A16" s="96">
        <f t="shared" si="30"/>
        <v>46308</v>
      </c>
      <c r="B16" s="97" t="str">
        <f t="shared" si="0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99"/>
      <c r="AM16" s="99"/>
      <c r="AN16" s="99"/>
      <c r="AO16" s="99"/>
      <c r="AP16" s="99"/>
      <c r="AQ16" s="99"/>
      <c r="AR16" s="99"/>
      <c r="AS16" s="99"/>
      <c r="AT16" s="100"/>
      <c r="AU16" s="100"/>
      <c r="AV16" s="101"/>
      <c r="AW16" s="100"/>
      <c r="AX16" s="102" t="str">
        <f t="shared" si="23"/>
        <v>-</v>
      </c>
      <c r="AY16" s="151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51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24"/>
        <v/>
      </c>
      <c r="BH16" s="119" t="str">
        <f t="shared" si="7"/>
        <v/>
      </c>
      <c r="BI16" s="120" t="str">
        <f t="shared" si="25"/>
        <v/>
      </c>
      <c r="BJ16" s="151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51"/>
      <c r="BP16" s="124" t="str">
        <f t="shared" si="12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3"/>
        <v/>
      </c>
      <c r="BU16" s="151"/>
      <c r="BV16" s="132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 t="shared" si="28"/>
        <v/>
      </c>
      <c r="CA16" s="128" t="str">
        <f t="shared" si="29"/>
        <v/>
      </c>
      <c r="CB16" s="151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51"/>
    </row>
    <row r="17" spans="1:86" s="115" customFormat="1" ht="12.4" customHeight="1" thickBot="1" x14ac:dyDescent="0.25">
      <c r="A17" s="96">
        <f t="shared" si="30"/>
        <v>46309</v>
      </c>
      <c r="B17" s="97" t="str">
        <f t="shared" si="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99"/>
      <c r="AM17" s="99"/>
      <c r="AN17" s="99"/>
      <c r="AO17" s="99"/>
      <c r="AP17" s="99"/>
      <c r="AQ17" s="99"/>
      <c r="AR17" s="99"/>
      <c r="AS17" s="99"/>
      <c r="AT17" s="100"/>
      <c r="AU17" s="100"/>
      <c r="AV17" s="101"/>
      <c r="AW17" s="100"/>
      <c r="AX17" s="102" t="str">
        <f t="shared" si="23"/>
        <v>-</v>
      </c>
      <c r="AY17" s="151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51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4"/>
        <v/>
      </c>
      <c r="BH17" s="119" t="str">
        <f t="shared" si="7"/>
        <v/>
      </c>
      <c r="BI17" s="120" t="str">
        <f t="shared" si="25"/>
        <v/>
      </c>
      <c r="BJ17" s="151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51"/>
      <c r="BP17" s="124" t="str">
        <f t="shared" si="12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3"/>
        <v/>
      </c>
      <c r="BU17" s="151"/>
      <c r="BV17" s="132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8"/>
        <v/>
      </c>
      <c r="CA17" s="128" t="str">
        <f t="shared" si="29"/>
        <v/>
      </c>
      <c r="CB17" s="151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51"/>
    </row>
    <row r="18" spans="1:86" s="115" customFormat="1" ht="12.4" customHeight="1" thickBot="1" x14ac:dyDescent="0.25">
      <c r="A18" s="96">
        <f t="shared" si="30"/>
        <v>46310</v>
      </c>
      <c r="B18" s="97" t="str">
        <f t="shared" si="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99"/>
      <c r="AM18" s="99"/>
      <c r="AN18" s="99"/>
      <c r="AO18" s="99"/>
      <c r="AP18" s="99"/>
      <c r="AQ18" s="99"/>
      <c r="AR18" s="99"/>
      <c r="AS18" s="99"/>
      <c r="AT18" s="100"/>
      <c r="AU18" s="100"/>
      <c r="AV18" s="101"/>
      <c r="AW18" s="100"/>
      <c r="AX18" s="102" t="str">
        <f t="shared" si="23"/>
        <v>-</v>
      </c>
      <c r="AY18" s="151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51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4"/>
        <v/>
      </c>
      <c r="BH18" s="119" t="str">
        <f t="shared" si="7"/>
        <v/>
      </c>
      <c r="BI18" s="120" t="str">
        <f t="shared" si="25"/>
        <v/>
      </c>
      <c r="BJ18" s="151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51"/>
      <c r="BP18" s="124" t="str">
        <f t="shared" si="12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3"/>
        <v/>
      </c>
      <c r="BU18" s="151"/>
      <c r="BV18" s="132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8"/>
        <v/>
      </c>
      <c r="CA18" s="128" t="str">
        <f t="shared" si="29"/>
        <v/>
      </c>
      <c r="CB18" s="151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51"/>
    </row>
    <row r="19" spans="1:86" s="115" customFormat="1" ht="12.4" customHeight="1" thickBot="1" x14ac:dyDescent="0.25">
      <c r="A19" s="96">
        <f t="shared" si="30"/>
        <v>46311</v>
      </c>
      <c r="B19" s="97" t="str">
        <f t="shared" si="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99"/>
      <c r="AM19" s="99"/>
      <c r="AN19" s="99"/>
      <c r="AO19" s="99"/>
      <c r="AP19" s="99"/>
      <c r="AQ19" s="99"/>
      <c r="AR19" s="99"/>
      <c r="AS19" s="99"/>
      <c r="AT19" s="100"/>
      <c r="AU19" s="100"/>
      <c r="AV19" s="101"/>
      <c r="AW19" s="100"/>
      <c r="AX19" s="102" t="str">
        <f t="shared" si="23"/>
        <v>-</v>
      </c>
      <c r="AY19" s="151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51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4"/>
        <v/>
      </c>
      <c r="BH19" s="119" t="str">
        <f t="shared" si="7"/>
        <v/>
      </c>
      <c r="BI19" s="120" t="str">
        <f t="shared" si="25"/>
        <v/>
      </c>
      <c r="BJ19" s="151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51"/>
      <c r="BP19" s="124" t="str">
        <f t="shared" si="12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3"/>
        <v/>
      </c>
      <c r="BU19" s="151"/>
      <c r="BV19" s="132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8"/>
        <v/>
      </c>
      <c r="CA19" s="128" t="str">
        <f t="shared" si="29"/>
        <v/>
      </c>
      <c r="CB19" s="151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51"/>
    </row>
    <row r="20" spans="1:86" s="115" customFormat="1" ht="12.4" customHeight="1" thickBot="1" x14ac:dyDescent="0.25">
      <c r="A20" s="96">
        <f t="shared" si="30"/>
        <v>46312</v>
      </c>
      <c r="B20" s="97" t="str">
        <f t="shared" si="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99"/>
      <c r="AM20" s="99"/>
      <c r="AN20" s="99"/>
      <c r="AO20" s="99"/>
      <c r="AP20" s="99"/>
      <c r="AQ20" s="99"/>
      <c r="AR20" s="99"/>
      <c r="AS20" s="99"/>
      <c r="AT20" s="100"/>
      <c r="AU20" s="100"/>
      <c r="AV20" s="101"/>
      <c r="AW20" s="100"/>
      <c r="AX20" s="102" t="str">
        <f t="shared" si="23"/>
        <v>-</v>
      </c>
      <c r="AY20" s="151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51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4"/>
        <v/>
      </c>
      <c r="BH20" s="119" t="str">
        <f t="shared" si="7"/>
        <v/>
      </c>
      <c r="BI20" s="120" t="str">
        <f t="shared" si="25"/>
        <v/>
      </c>
      <c r="BJ20" s="151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51"/>
      <c r="BP20" s="124" t="str">
        <f t="shared" si="12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3"/>
        <v/>
      </c>
      <c r="BU20" s="151"/>
      <c r="BV20" s="132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8"/>
        <v/>
      </c>
      <c r="CA20" s="128" t="str">
        <f t="shared" si="29"/>
        <v/>
      </c>
      <c r="CB20" s="151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51"/>
    </row>
    <row r="21" spans="1:86" s="115" customFormat="1" ht="12.4" customHeight="1" thickBot="1" x14ac:dyDescent="0.25">
      <c r="A21" s="96">
        <f t="shared" si="30"/>
        <v>46313</v>
      </c>
      <c r="B21" s="97" t="str">
        <f t="shared" si="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99"/>
      <c r="AM21" s="99"/>
      <c r="AN21" s="99"/>
      <c r="AO21" s="99"/>
      <c r="AP21" s="99"/>
      <c r="AQ21" s="99"/>
      <c r="AR21" s="99"/>
      <c r="AS21" s="99"/>
      <c r="AT21" s="100"/>
      <c r="AU21" s="100"/>
      <c r="AV21" s="101"/>
      <c r="AW21" s="100"/>
      <c r="AX21" s="102" t="str">
        <f t="shared" si="23"/>
        <v>-</v>
      </c>
      <c r="AY21" s="151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51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4"/>
        <v/>
      </c>
      <c r="BH21" s="119" t="str">
        <f t="shared" si="7"/>
        <v/>
      </c>
      <c r="BI21" s="120" t="str">
        <f t="shared" si="25"/>
        <v/>
      </c>
      <c r="BJ21" s="151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51"/>
      <c r="BP21" s="124" t="str">
        <f t="shared" si="12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3"/>
        <v/>
      </c>
      <c r="BU21" s="151"/>
      <c r="BV21" s="132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8"/>
        <v/>
      </c>
      <c r="CA21" s="128" t="str">
        <f t="shared" si="29"/>
        <v/>
      </c>
      <c r="CB21" s="151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51"/>
    </row>
    <row r="22" spans="1:86" s="115" customFormat="1" ht="12.4" customHeight="1" thickBot="1" x14ac:dyDescent="0.25">
      <c r="A22" s="96">
        <f t="shared" si="30"/>
        <v>46314</v>
      </c>
      <c r="B22" s="97" t="str">
        <f t="shared" si="0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99"/>
      <c r="AM22" s="99"/>
      <c r="AN22" s="99"/>
      <c r="AO22" s="99"/>
      <c r="AP22" s="99"/>
      <c r="AQ22" s="99"/>
      <c r="AR22" s="99"/>
      <c r="AS22" s="99"/>
      <c r="AT22" s="100"/>
      <c r="AU22" s="100"/>
      <c r="AV22" s="101"/>
      <c r="AW22" s="100"/>
      <c r="AX22" s="102" t="str">
        <f t="shared" si="23"/>
        <v>-</v>
      </c>
      <c r="AY22" s="151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51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4"/>
        <v/>
      </c>
      <c r="BH22" s="119" t="str">
        <f t="shared" si="7"/>
        <v/>
      </c>
      <c r="BI22" s="120" t="str">
        <f t="shared" si="25"/>
        <v/>
      </c>
      <c r="BJ22" s="151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51"/>
      <c r="BP22" s="124" t="str">
        <f t="shared" si="12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3"/>
        <v/>
      </c>
      <c r="BU22" s="151"/>
      <c r="BV22" s="132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8"/>
        <v/>
      </c>
      <c r="CA22" s="128" t="str">
        <f t="shared" si="29"/>
        <v/>
      </c>
      <c r="CB22" s="151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51"/>
    </row>
    <row r="23" spans="1:86" s="115" customFormat="1" ht="12.4" customHeight="1" thickBot="1" x14ac:dyDescent="0.25">
      <c r="A23" s="96">
        <f t="shared" si="30"/>
        <v>46315</v>
      </c>
      <c r="B23" s="97" t="str">
        <f t="shared" si="0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99"/>
      <c r="AM23" s="99"/>
      <c r="AN23" s="99"/>
      <c r="AO23" s="99"/>
      <c r="AP23" s="99"/>
      <c r="AQ23" s="99"/>
      <c r="AR23" s="99"/>
      <c r="AS23" s="99"/>
      <c r="AT23" s="100"/>
      <c r="AU23" s="100"/>
      <c r="AV23" s="101"/>
      <c r="AW23" s="100"/>
      <c r="AX23" s="102" t="str">
        <f>IFERROR(AN23/AW23,"-")</f>
        <v>-</v>
      </c>
      <c r="AY23" s="151"/>
      <c r="AZ23" s="116" t="str">
        <f>IF(E23&gt;0,F23/E23,"")</f>
        <v/>
      </c>
      <c r="BA23" s="117" t="str">
        <f>+IF(E23&gt;0,G23/E23,"")</f>
        <v/>
      </c>
      <c r="BB23" s="116" t="str">
        <f>+IF(E23&gt;0,AJ23/E23,"")</f>
        <v/>
      </c>
      <c r="BC23" s="151"/>
      <c r="BD23" s="118" t="str">
        <f>+IF(G23&gt;0,I23/G23,"")</f>
        <v/>
      </c>
      <c r="BE23" s="119" t="str">
        <f>+IF(G23&gt;0,J23/G23,"")</f>
        <v/>
      </c>
      <c r="BF23" s="119" t="str">
        <f>+IF(I23&gt;0,L23/I23,"")</f>
        <v/>
      </c>
      <c r="BG23" s="119" t="str">
        <f>+IF(SUM(AO23:AR23)&gt;0,AO23/AN23,"")</f>
        <v/>
      </c>
      <c r="BH23" s="119" t="str">
        <f>+IF(G23&gt;0,K23/G23,"")</f>
        <v/>
      </c>
      <c r="BI23" s="120" t="str">
        <f>+IF(SUM(AO23:AR23)&gt;0,AQ23/AN23,"")</f>
        <v/>
      </c>
      <c r="BJ23" s="151"/>
      <c r="BK23" s="121" t="str">
        <f>+IF(E23&gt;0,(AJ23/E23),"")</f>
        <v/>
      </c>
      <c r="BL23" s="122" t="str">
        <f>+IF(E23&gt;0,(AJ23/F23),"")</f>
        <v/>
      </c>
      <c r="BM23" s="122" t="str">
        <f>+IF(E23&gt;0,(AJ23/G23),"")</f>
        <v/>
      </c>
      <c r="BN23" s="123" t="str">
        <f>+IF(E23&gt;0,(AJ23/J23),"")</f>
        <v/>
      </c>
      <c r="BO23" s="151"/>
      <c r="BP23" s="124" t="str">
        <f>IF(AJ23&gt;0,(N23/AJ23),"")</f>
        <v/>
      </c>
      <c r="BQ23" s="125">
        <v>0</v>
      </c>
      <c r="BR23" s="125" t="str">
        <f>IF(AJ23&gt;0,(AK23/AJ23),"")</f>
        <v/>
      </c>
      <c r="BS23" s="125" t="str">
        <f>IF(AJ23&gt;0,(AK23/AJ23),"")</f>
        <v/>
      </c>
      <c r="BT23" s="126" t="str">
        <f>IF(J23&gt;0,AD23/J23,"")</f>
        <v/>
      </c>
      <c r="BU23" s="151"/>
      <c r="BV23" s="132" t="str">
        <f>IF(AN23&gt;0,(E23/AN23),"")</f>
        <v/>
      </c>
      <c r="BW23" s="127" t="str">
        <f>IF(AN23&gt;0,(G23/AN23),"")</f>
        <v/>
      </c>
      <c r="BX23" s="127" t="str">
        <f>IF(AN23&gt;0,(J23/AN23),"")</f>
        <v/>
      </c>
      <c r="BY23" s="127" t="str">
        <f>IF(AN23&gt;0,(K23/AN23),"")</f>
        <v/>
      </c>
      <c r="BZ23" s="127" t="str">
        <f>IF(AN23&gt;0,(AJ23/AN23),"")</f>
        <v/>
      </c>
      <c r="CA23" s="128" t="str">
        <f>IF(AN23&gt;0,(AK23/AN23),"")</f>
        <v/>
      </c>
      <c r="CB23" s="151"/>
      <c r="CC23" s="129" t="str">
        <f>IFERROR(((AN23-AO23)*3600)/J23,"-")</f>
        <v>-</v>
      </c>
      <c r="CD23" s="130" t="str">
        <f>IFERROR((AR23*3600)/J23,"-")</f>
        <v>-</v>
      </c>
      <c r="CE23" s="130" t="str">
        <f>IFERROR((AQ23*3600)/J23,"-")</f>
        <v>-</v>
      </c>
      <c r="CF23" s="130" t="str">
        <f>IFERROR((AO23*3600)/J23,"-")</f>
        <v>-</v>
      </c>
      <c r="CG23" s="131" t="str">
        <f>IFERROR((AP23*3600)/J23,"-")</f>
        <v>-</v>
      </c>
      <c r="CH23" s="151"/>
    </row>
    <row r="24" spans="1:86" s="115" customFormat="1" ht="12.4" customHeight="1" thickBot="1" x14ac:dyDescent="0.25">
      <c r="A24" s="96">
        <f t="shared" si="30"/>
        <v>46316</v>
      </c>
      <c r="B24" s="97" t="str">
        <f t="shared" si="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99"/>
      <c r="AM24" s="99"/>
      <c r="AN24" s="99"/>
      <c r="AO24" s="99"/>
      <c r="AP24" s="99"/>
      <c r="AQ24" s="99"/>
      <c r="AR24" s="99"/>
      <c r="AS24" s="99"/>
      <c r="AT24" s="100"/>
      <c r="AU24" s="100"/>
      <c r="AV24" s="101"/>
      <c r="AW24" s="100"/>
      <c r="AX24" s="102" t="str">
        <f>IFERROR(AN24/AW24,"-")</f>
        <v>-</v>
      </c>
      <c r="AY24" s="151"/>
      <c r="AZ24" s="116" t="str">
        <f>IF(E24&gt;0,F24/E24,"")</f>
        <v/>
      </c>
      <c r="BA24" s="117" t="str">
        <f>+IF(E24&gt;0,G24/E24,"")</f>
        <v/>
      </c>
      <c r="BB24" s="116" t="str">
        <f>+IF(E24&gt;0,AJ24/E24,"")</f>
        <v/>
      </c>
      <c r="BC24" s="151"/>
      <c r="BD24" s="118" t="str">
        <f>+IF(G24&gt;0,I24/G24,"")</f>
        <v/>
      </c>
      <c r="BE24" s="119" t="str">
        <f>+IF(G24&gt;0,J24/G24,"")</f>
        <v/>
      </c>
      <c r="BF24" s="119" t="str">
        <f>+IF(I24&gt;0,L24/I24,"")</f>
        <v/>
      </c>
      <c r="BG24" s="119" t="str">
        <f>+IF(SUM(AO24:AR24)&gt;0,AO24/AN24,"")</f>
        <v/>
      </c>
      <c r="BH24" s="119" t="str">
        <f>+IF(G24&gt;0,K24/G24,"")</f>
        <v/>
      </c>
      <c r="BI24" s="120" t="str">
        <f>+IF(SUM(AO24:AR24)&gt;0,AQ24/AN24,"")</f>
        <v/>
      </c>
      <c r="BJ24" s="151"/>
      <c r="BK24" s="121" t="str">
        <f>+IF(E24&gt;0,(AJ24/E24),"")</f>
        <v/>
      </c>
      <c r="BL24" s="122" t="str">
        <f>+IF(E24&gt;0,(AJ24/F24),"")</f>
        <v/>
      </c>
      <c r="BM24" s="122" t="str">
        <f>+IF(E24&gt;0,(AJ24/G24),"")</f>
        <v/>
      </c>
      <c r="BN24" s="123" t="str">
        <f>+IF(E24&gt;0,(AJ24/J24),"")</f>
        <v/>
      </c>
      <c r="BO24" s="151"/>
      <c r="BP24" s="124" t="str">
        <f>IF(AJ24&gt;0,(N24/AJ24),"")</f>
        <v/>
      </c>
      <c r="BQ24" s="125">
        <v>0</v>
      </c>
      <c r="BR24" s="125" t="str">
        <f>IF(AJ24&gt;0,(AK24/AJ24),"")</f>
        <v/>
      </c>
      <c r="BS24" s="125" t="str">
        <f>IF(AJ24&gt;0,(AK24/AJ24),"")</f>
        <v/>
      </c>
      <c r="BT24" s="126" t="str">
        <f>IF(J24&gt;0,AD24/J24,"")</f>
        <v/>
      </c>
      <c r="BU24" s="151"/>
      <c r="BV24" s="132" t="str">
        <f>IF(AN24&gt;0,(E24/AN24),"")</f>
        <v/>
      </c>
      <c r="BW24" s="127" t="str">
        <f>IF(AN24&gt;0,(G24/AN24),"")</f>
        <v/>
      </c>
      <c r="BX24" s="127" t="str">
        <f>IF(AN24&gt;0,(J24/AN24),"")</f>
        <v/>
      </c>
      <c r="BY24" s="127" t="str">
        <f>IF(AN24&gt;0,(K24/AN24),"")</f>
        <v/>
      </c>
      <c r="BZ24" s="127" t="str">
        <f>IF(AN24&gt;0,(AJ24/AN24),"")</f>
        <v/>
      </c>
      <c r="CA24" s="128" t="str">
        <f>IF(AN24&gt;0,(AK24/AN24),"")</f>
        <v/>
      </c>
      <c r="CB24" s="151"/>
      <c r="CC24" s="129" t="str">
        <f>IFERROR(((AN24-AO24)*3600)/J24,"-")</f>
        <v>-</v>
      </c>
      <c r="CD24" s="130" t="str">
        <f>IFERROR((AR24*3600)/J24,"-")</f>
        <v>-</v>
      </c>
      <c r="CE24" s="130" t="str">
        <f>IFERROR((AQ24*3600)/J24,"-")</f>
        <v>-</v>
      </c>
      <c r="CF24" s="130" t="str">
        <f>IFERROR((AO24*3600)/J24,"-")</f>
        <v>-</v>
      </c>
      <c r="CG24" s="131" t="str">
        <f>IFERROR((AP24*3600)/J24,"-")</f>
        <v>-</v>
      </c>
      <c r="CH24" s="151"/>
    </row>
    <row r="25" spans="1:86" s="115" customFormat="1" ht="12.4" customHeight="1" thickBot="1" x14ac:dyDescent="0.25">
      <c r="A25" s="96">
        <f t="shared" si="30"/>
        <v>46317</v>
      </c>
      <c r="B25" s="97" t="str">
        <f t="shared" si="0"/>
        <v>Thu</v>
      </c>
      <c r="C25" s="98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99"/>
      <c r="AM25" s="99"/>
      <c r="AN25" s="99"/>
      <c r="AO25" s="99"/>
      <c r="AP25" s="99"/>
      <c r="AQ25" s="99"/>
      <c r="AR25" s="99"/>
      <c r="AS25" s="99"/>
      <c r="AT25" s="100"/>
      <c r="AU25" s="100"/>
      <c r="AV25" s="101"/>
      <c r="AW25" s="100"/>
      <c r="AX25" s="102" t="str">
        <f t="shared" si="23"/>
        <v>-</v>
      </c>
      <c r="AY25" s="151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51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4"/>
        <v/>
      </c>
      <c r="BH25" s="119" t="str">
        <f t="shared" si="7"/>
        <v/>
      </c>
      <c r="BI25" s="120" t="str">
        <f t="shared" si="25"/>
        <v/>
      </c>
      <c r="BJ25" s="151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51"/>
      <c r="BP25" s="124" t="str">
        <f t="shared" si="12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3"/>
        <v/>
      </c>
      <c r="BU25" s="151"/>
      <c r="BV25" s="132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8"/>
        <v/>
      </c>
      <c r="CA25" s="128" t="str">
        <f t="shared" si="29"/>
        <v/>
      </c>
      <c r="CB25" s="151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51"/>
    </row>
    <row r="26" spans="1:86" s="115" customFormat="1" ht="12.4" customHeight="1" thickBot="1" x14ac:dyDescent="0.25">
      <c r="A26" s="96">
        <f t="shared" si="30"/>
        <v>46318</v>
      </c>
      <c r="B26" s="97" t="str">
        <f>+TEXT(A26,"DDD")</f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99"/>
      <c r="AM26" s="99"/>
      <c r="AN26" s="99"/>
      <c r="AO26" s="99"/>
      <c r="AP26" s="99"/>
      <c r="AQ26" s="99"/>
      <c r="AR26" s="99"/>
      <c r="AS26" s="99"/>
      <c r="AT26" s="100"/>
      <c r="AU26" s="100"/>
      <c r="AV26" s="101"/>
      <c r="AW26" s="100"/>
      <c r="AX26" s="102" t="str">
        <f t="shared" si="23"/>
        <v>-</v>
      </c>
      <c r="AY26" s="151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51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4"/>
        <v/>
      </c>
      <c r="BH26" s="119" t="str">
        <f t="shared" si="7"/>
        <v/>
      </c>
      <c r="BI26" s="120" t="str">
        <f t="shared" si="25"/>
        <v/>
      </c>
      <c r="BJ26" s="151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51"/>
      <c r="BP26" s="124" t="str">
        <f t="shared" si="12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3"/>
        <v/>
      </c>
      <c r="BU26" s="151"/>
      <c r="BV26" s="132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8"/>
        <v/>
      </c>
      <c r="CA26" s="128" t="str">
        <f t="shared" si="29"/>
        <v/>
      </c>
      <c r="CB26" s="151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51"/>
    </row>
    <row r="27" spans="1:86" s="115" customFormat="1" ht="12.4" customHeight="1" thickBot="1" x14ac:dyDescent="0.25">
      <c r="A27" s="96">
        <f t="shared" si="30"/>
        <v>46319</v>
      </c>
      <c r="B27" s="97" t="str">
        <f t="shared" si="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99"/>
      <c r="AM27" s="99"/>
      <c r="AN27" s="99"/>
      <c r="AO27" s="99"/>
      <c r="AP27" s="99"/>
      <c r="AQ27" s="99"/>
      <c r="AR27" s="99"/>
      <c r="AS27" s="99"/>
      <c r="AT27" s="100"/>
      <c r="AU27" s="100"/>
      <c r="AV27" s="101"/>
      <c r="AW27" s="100"/>
      <c r="AX27" s="102" t="str">
        <f t="shared" si="23"/>
        <v>-</v>
      </c>
      <c r="AY27" s="151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51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4"/>
        <v/>
      </c>
      <c r="BH27" s="119" t="str">
        <f t="shared" si="7"/>
        <v/>
      </c>
      <c r="BI27" s="120" t="str">
        <f t="shared" si="25"/>
        <v/>
      </c>
      <c r="BJ27" s="151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51"/>
      <c r="BP27" s="124" t="str">
        <f t="shared" si="12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3"/>
        <v/>
      </c>
      <c r="BU27" s="151"/>
      <c r="BV27" s="132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8"/>
        <v/>
      </c>
      <c r="CA27" s="128" t="str">
        <f t="shared" si="29"/>
        <v/>
      </c>
      <c r="CB27" s="151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51"/>
    </row>
    <row r="28" spans="1:86" s="115" customFormat="1" ht="12.4" customHeight="1" thickBot="1" x14ac:dyDescent="0.25">
      <c r="A28" s="96">
        <f t="shared" si="30"/>
        <v>46320</v>
      </c>
      <c r="B28" s="97" t="str">
        <f t="shared" si="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99"/>
      <c r="AM28" s="99"/>
      <c r="AN28" s="99"/>
      <c r="AO28" s="99"/>
      <c r="AP28" s="99"/>
      <c r="AQ28" s="99"/>
      <c r="AR28" s="99"/>
      <c r="AS28" s="99"/>
      <c r="AT28" s="100"/>
      <c r="AU28" s="100"/>
      <c r="AV28" s="101"/>
      <c r="AW28" s="100"/>
      <c r="AX28" s="102" t="str">
        <f t="shared" si="23"/>
        <v>-</v>
      </c>
      <c r="AY28" s="151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51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4"/>
        <v/>
      </c>
      <c r="BH28" s="119" t="str">
        <f t="shared" si="7"/>
        <v/>
      </c>
      <c r="BI28" s="120" t="str">
        <f t="shared" si="25"/>
        <v/>
      </c>
      <c r="BJ28" s="151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51"/>
      <c r="BP28" s="124" t="str">
        <f t="shared" si="12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3"/>
        <v/>
      </c>
      <c r="BU28" s="151"/>
      <c r="BV28" s="132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8"/>
        <v/>
      </c>
      <c r="CA28" s="128" t="str">
        <f t="shared" si="29"/>
        <v/>
      </c>
      <c r="CB28" s="151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51"/>
    </row>
    <row r="29" spans="1:86" s="115" customFormat="1" ht="12.4" customHeight="1" thickBot="1" x14ac:dyDescent="0.25">
      <c r="A29" s="96">
        <f t="shared" si="30"/>
        <v>46321</v>
      </c>
      <c r="B29" s="97" t="str">
        <f t="shared" si="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99"/>
      <c r="AM29" s="99"/>
      <c r="AN29" s="99"/>
      <c r="AO29" s="99"/>
      <c r="AP29" s="99"/>
      <c r="AQ29" s="99"/>
      <c r="AR29" s="99"/>
      <c r="AS29" s="99"/>
      <c r="AT29" s="100"/>
      <c r="AU29" s="100"/>
      <c r="AV29" s="101"/>
      <c r="AW29" s="100"/>
      <c r="AX29" s="102" t="str">
        <f>IFERROR(AN29/AW29,"-")</f>
        <v>-</v>
      </c>
      <c r="AY29" s="151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51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4"/>
        <v/>
      </c>
      <c r="BH29" s="119" t="str">
        <f t="shared" si="7"/>
        <v/>
      </c>
      <c r="BI29" s="120" t="str">
        <f t="shared" si="25"/>
        <v/>
      </c>
      <c r="BJ29" s="151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51"/>
      <c r="BP29" s="124" t="str">
        <f t="shared" si="12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3"/>
        <v/>
      </c>
      <c r="BU29" s="151"/>
      <c r="BV29" s="132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8"/>
        <v/>
      </c>
      <c r="CA29" s="128" t="str">
        <f t="shared" si="29"/>
        <v/>
      </c>
      <c r="CB29" s="151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51"/>
    </row>
    <row r="30" spans="1:86" s="115" customFormat="1" ht="12.4" customHeight="1" thickBot="1" x14ac:dyDescent="0.25">
      <c r="A30" s="96">
        <f t="shared" si="30"/>
        <v>46322</v>
      </c>
      <c r="B30" s="97" t="str">
        <f t="shared" si="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99"/>
      <c r="AM30" s="99"/>
      <c r="AN30" s="99"/>
      <c r="AO30" s="99"/>
      <c r="AP30" s="99"/>
      <c r="AQ30" s="99"/>
      <c r="AR30" s="99"/>
      <c r="AS30" s="99"/>
      <c r="AT30" s="100"/>
      <c r="AU30" s="100"/>
      <c r="AV30" s="101"/>
      <c r="AW30" s="100"/>
      <c r="AX30" s="102" t="str">
        <f>IFERROR(AN30/AW30,"-")</f>
        <v>-</v>
      </c>
      <c r="AY30" s="151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51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4"/>
        <v/>
      </c>
      <c r="BH30" s="119" t="str">
        <f t="shared" si="7"/>
        <v/>
      </c>
      <c r="BI30" s="120" t="str">
        <f t="shared" si="25"/>
        <v/>
      </c>
      <c r="BJ30" s="151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51"/>
      <c r="BP30" s="124" t="str">
        <f t="shared" si="12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3"/>
        <v/>
      </c>
      <c r="BU30" s="151"/>
      <c r="BV30" s="132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8"/>
        <v/>
      </c>
      <c r="CA30" s="128" t="str">
        <f t="shared" si="29"/>
        <v/>
      </c>
      <c r="CB30" s="151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51"/>
    </row>
    <row r="31" spans="1:86" s="115" customFormat="1" ht="12.4" customHeight="1" thickBot="1" x14ac:dyDescent="0.25">
      <c r="A31" s="96">
        <f t="shared" si="30"/>
        <v>46323</v>
      </c>
      <c r="B31" s="97" t="str">
        <f>+TEXT(A31,"DDD")</f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99"/>
      <c r="AM31" s="99"/>
      <c r="AN31" s="99"/>
      <c r="AO31" s="99"/>
      <c r="AP31" s="99"/>
      <c r="AQ31" s="99"/>
      <c r="AR31" s="99"/>
      <c r="AS31" s="99"/>
      <c r="AT31" s="100"/>
      <c r="AU31" s="100"/>
      <c r="AV31" s="101"/>
      <c r="AW31" s="100"/>
      <c r="AX31" s="102" t="str">
        <f t="shared" si="23"/>
        <v>-</v>
      </c>
      <c r="AY31" s="151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51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4"/>
        <v/>
      </c>
      <c r="BH31" s="119" t="str">
        <f t="shared" si="7"/>
        <v/>
      </c>
      <c r="BI31" s="120" t="str">
        <f t="shared" si="25"/>
        <v/>
      </c>
      <c r="BJ31" s="151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51"/>
      <c r="BP31" s="124" t="str">
        <f t="shared" si="12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3"/>
        <v/>
      </c>
      <c r="BU31" s="151"/>
      <c r="BV31" s="132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8"/>
        <v/>
      </c>
      <c r="CA31" s="128" t="str">
        <f t="shared" si="29"/>
        <v/>
      </c>
      <c r="CB31" s="151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51"/>
    </row>
    <row r="32" spans="1:86" s="115" customFormat="1" ht="12.4" customHeight="1" thickBot="1" x14ac:dyDescent="0.25">
      <c r="A32" s="96">
        <f t="shared" si="30"/>
        <v>46324</v>
      </c>
      <c r="B32" s="97" t="str">
        <f>+TEXT(A32,"DDD")</f>
        <v>Thu</v>
      </c>
      <c r="AX32" s="102" t="str">
        <f>IFERROR(AN33/AW33,"-")</f>
        <v>-</v>
      </c>
      <c r="AY32" s="151"/>
      <c r="AZ32" s="116" t="str">
        <f>IF(E33&gt;0,F33/E33,"")</f>
        <v/>
      </c>
      <c r="BA32" s="117" t="str">
        <f>+IF(E33&gt;0,G33/E33,"")</f>
        <v/>
      </c>
      <c r="BB32" s="116" t="str">
        <f>+IF(E33&gt;0,AJ33/E33,"")</f>
        <v/>
      </c>
      <c r="BC32" s="151"/>
      <c r="BD32" s="118" t="str">
        <f>+IF(G33&gt;0,I33/G33,"")</f>
        <v/>
      </c>
      <c r="BE32" s="119" t="str">
        <f>+IF(G33&gt;0,J33/G33,"")</f>
        <v/>
      </c>
      <c r="BF32" s="119" t="str">
        <f>+IF(I33&gt;0,L33/I33,"")</f>
        <v/>
      </c>
      <c r="BG32" s="119" t="str">
        <f>+IF(SUM(AO33:AR33)&gt;0,AO33/AN33,"")</f>
        <v/>
      </c>
      <c r="BH32" s="119" t="str">
        <f>+IF(G33&gt;0,K33/G33,"")</f>
        <v/>
      </c>
      <c r="BI32" s="120" t="str">
        <f>+IF(SUM(AO33:AR33)&gt;0,AQ33/AN33,"")</f>
        <v/>
      </c>
      <c r="BJ32" s="151"/>
      <c r="BK32" s="121" t="str">
        <f>+IF(E33&gt;0,(AJ33/E33),"")</f>
        <v/>
      </c>
      <c r="BL32" s="122" t="str">
        <f>+IF(E33&gt;0,(AJ33/F33),"")</f>
        <v/>
      </c>
      <c r="BM32" s="122" t="str">
        <f>+IF(E33&gt;0,(AJ33/G33),"")</f>
        <v/>
      </c>
      <c r="BN32" s="123" t="str">
        <f>+IF(E33&gt;0,(AJ33/J33),"")</f>
        <v/>
      </c>
      <c r="BO32" s="151"/>
      <c r="BP32" s="124" t="str">
        <f>IF(AJ33&gt;0,(N33/AJ33),"")</f>
        <v/>
      </c>
      <c r="BQ32" s="125">
        <v>0</v>
      </c>
      <c r="BR32" s="125" t="str">
        <f>IF(AJ33&gt;0,(AK33/AJ33),"")</f>
        <v/>
      </c>
      <c r="BS32" s="125" t="str">
        <f>IF(AJ33&gt;0,(AK33/AJ33),"")</f>
        <v/>
      </c>
      <c r="BT32" s="126" t="str">
        <f>IF(J33&gt;0,AD33/J33,"")</f>
        <v/>
      </c>
      <c r="BU32" s="151"/>
      <c r="BV32" s="132" t="str">
        <f>IF(AN33&gt;0,(E33/AN33),"")</f>
        <v/>
      </c>
      <c r="BW32" s="127" t="str">
        <f>IF(AN33&gt;0,(G33/AN33),"")</f>
        <v/>
      </c>
      <c r="BX32" s="127" t="str">
        <f>IF(AN33&gt;0,(J33/AN33),"")</f>
        <v/>
      </c>
      <c r="BY32" s="127" t="str">
        <f>IF(AN33&gt;0,(K33/AN33),"")</f>
        <v/>
      </c>
      <c r="BZ32" s="127" t="str">
        <f>IF(AN33&gt;0,(AJ33/AN33),"")</f>
        <v/>
      </c>
      <c r="CA32" s="128" t="str">
        <f>IF(AN33&gt;0,(AK33/AN33),"")</f>
        <v/>
      </c>
      <c r="CB32" s="151"/>
      <c r="CC32" s="129" t="str">
        <f>IFERROR(((AN33-AO33)*3600)/J33,"-")</f>
        <v>-</v>
      </c>
      <c r="CD32" s="130" t="str">
        <f>IFERROR((AR33*3600)/J33,"-")</f>
        <v>-</v>
      </c>
      <c r="CE32" s="130" t="str">
        <f>IFERROR((AQ33*3600)/J33,"-")</f>
        <v>-</v>
      </c>
      <c r="CF32" s="130" t="str">
        <f>IFERROR((AO33*3600)/J33,"-")</f>
        <v>-</v>
      </c>
      <c r="CG32" s="131" t="str">
        <f>IFERROR((AP33*3600)/J33,"-")</f>
        <v>-</v>
      </c>
      <c r="CH32" s="151"/>
    </row>
    <row r="33" spans="1:86" s="115" customFormat="1" ht="12.4" customHeight="1" thickBot="1" x14ac:dyDescent="0.25">
      <c r="A33" s="96">
        <f t="shared" si="30"/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99"/>
      <c r="AM33" s="99"/>
      <c r="AN33" s="99"/>
      <c r="AO33" s="99"/>
      <c r="AP33" s="99"/>
      <c r="AQ33" s="99"/>
      <c r="AR33" s="99"/>
      <c r="AS33" s="99"/>
      <c r="AT33" s="100"/>
      <c r="AU33" s="100"/>
      <c r="AV33" s="101"/>
      <c r="AW33" s="100"/>
      <c r="AX33" s="102" t="str">
        <f>IFERROR(#REF!/#REF!,"-")</f>
        <v>-</v>
      </c>
      <c r="AY33" s="151"/>
      <c r="AZ33" s="116" t="e">
        <f>IF(#REF!&gt;0,#REF!/#REF!,"")</f>
        <v>#REF!</v>
      </c>
      <c r="BA33" s="117" t="e">
        <f>+IF(#REF!&gt;0,#REF!/#REF!,"")</f>
        <v>#REF!</v>
      </c>
      <c r="BB33" s="116" t="e">
        <f>+IF(#REF!&gt;0,#REF!/#REF!,"")</f>
        <v>#REF!</v>
      </c>
      <c r="BC33" s="151"/>
      <c r="BD33" s="118" t="e">
        <f>+IF(#REF!&gt;0,#REF!/#REF!,"")</f>
        <v>#REF!</v>
      </c>
      <c r="BE33" s="119" t="e">
        <f>+IF(#REF!&gt;0,#REF!/#REF!,"")</f>
        <v>#REF!</v>
      </c>
      <c r="BF33" s="119" t="e">
        <f>+IF(#REF!&gt;0,#REF!/#REF!,"")</f>
        <v>#REF!</v>
      </c>
      <c r="BG33" s="119" t="e">
        <f>+IF(SUM(#REF!)&gt;0,#REF!/#REF!,"")</f>
        <v>#REF!</v>
      </c>
      <c r="BH33" s="119" t="e">
        <f>+IF(#REF!&gt;0,#REF!/#REF!,"")</f>
        <v>#REF!</v>
      </c>
      <c r="BI33" s="120" t="e">
        <f>+IF(SUM(#REF!)&gt;0,#REF!/#REF!,"")</f>
        <v>#REF!</v>
      </c>
      <c r="BJ33" s="151"/>
      <c r="BK33" s="121" t="e">
        <f>+IF(#REF!&gt;0,(#REF!/#REF!),"")</f>
        <v>#REF!</v>
      </c>
      <c r="BL33" s="122" t="e">
        <f>+IF(#REF!&gt;0,(#REF!/#REF!),"")</f>
        <v>#REF!</v>
      </c>
      <c r="BM33" s="122" t="e">
        <f>+IF(#REF!&gt;0,(#REF!/#REF!),"")</f>
        <v>#REF!</v>
      </c>
      <c r="BN33" s="123" t="e">
        <f>+IF(#REF!&gt;0,(#REF!/#REF!),"")</f>
        <v>#REF!</v>
      </c>
      <c r="BO33" s="151"/>
      <c r="BP33" s="124" t="e">
        <f>IF(#REF!&gt;0,(#REF!/#REF!),"")</f>
        <v>#REF!</v>
      </c>
      <c r="BQ33" s="125">
        <v>0</v>
      </c>
      <c r="BR33" s="125" t="e">
        <f>IF(#REF!&gt;0,(#REF!/#REF!),"")</f>
        <v>#REF!</v>
      </c>
      <c r="BS33" s="125" t="e">
        <f>IF(#REF!&gt;0,(#REF!/#REF!),"")</f>
        <v>#REF!</v>
      </c>
      <c r="BT33" s="126" t="e">
        <f>IF(#REF!&gt;0,#REF!/#REF!,"")</f>
        <v>#REF!</v>
      </c>
      <c r="BU33" s="151"/>
      <c r="BV33" s="132" t="e">
        <f>IF(#REF!&gt;0,(#REF!/#REF!),"")</f>
        <v>#REF!</v>
      </c>
      <c r="BW33" s="127" t="e">
        <f>IF(#REF!&gt;0,(#REF!/#REF!),"")</f>
        <v>#REF!</v>
      </c>
      <c r="BX33" s="127" t="e">
        <f>IF(#REF!&gt;0,(#REF!/#REF!),"")</f>
        <v>#REF!</v>
      </c>
      <c r="BY33" s="127" t="e">
        <f>IF(#REF!&gt;0,(#REF!/#REF!),"")</f>
        <v>#REF!</v>
      </c>
      <c r="BZ33" s="127" t="e">
        <f>IF(#REF!&gt;0,(#REF!/#REF!),"")</f>
        <v>#REF!</v>
      </c>
      <c r="CA33" s="128" t="e">
        <f>IF(#REF!&gt;0,(#REF!/#REF!),"")</f>
        <v>#REF!</v>
      </c>
      <c r="CB33" s="151"/>
      <c r="CC33" s="129" t="str">
        <f>IFERROR(((#REF!-#REF!)*3600)/#REF!,"-")</f>
        <v>-</v>
      </c>
      <c r="CD33" s="130" t="str">
        <f>IFERROR((#REF!*3600)/#REF!,"-")</f>
        <v>-</v>
      </c>
      <c r="CE33" s="130" t="str">
        <f>IFERROR((#REF!*3600)/#REF!,"-")</f>
        <v>-</v>
      </c>
      <c r="CF33" s="130" t="str">
        <f>IFERROR((#REF!*3600)/#REF!,"-")</f>
        <v>-</v>
      </c>
      <c r="CG33" s="131" t="str">
        <f>IFERROR((#REF!*3600)/#REF!,"-")</f>
        <v>-</v>
      </c>
      <c r="CH33" s="151"/>
    </row>
    <row r="34" spans="1:86" s="115" customFormat="1" ht="12.4" customHeight="1" thickBot="1" x14ac:dyDescent="0.25">
      <c r="A34" s="96">
        <f t="shared" si="30"/>
        <v>46326</v>
      </c>
      <c r="B34" s="97" t="str">
        <f>+TEXT(A34,"DDD")</f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99"/>
      <c r="AM34" s="99"/>
      <c r="AN34" s="99"/>
      <c r="AO34" s="99"/>
      <c r="AP34" s="99"/>
      <c r="AQ34" s="99"/>
      <c r="AR34" s="99"/>
      <c r="AS34" s="99"/>
      <c r="AT34" s="100"/>
      <c r="AU34" s="100"/>
      <c r="AV34" s="101"/>
      <c r="AW34" s="100"/>
      <c r="AX34" s="102" t="str">
        <f>IFERROR(AN34/AW34,"-")</f>
        <v>-</v>
      </c>
      <c r="AY34" s="151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51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 t="shared" si="24"/>
        <v/>
      </c>
      <c r="BH34" s="119" t="str">
        <f t="shared" si="7"/>
        <v/>
      </c>
      <c r="BI34" s="120" t="str">
        <f t="shared" si="25"/>
        <v/>
      </c>
      <c r="BJ34" s="151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51"/>
      <c r="BP34" s="124" t="str">
        <f t="shared" si="12"/>
        <v/>
      </c>
      <c r="BQ34" s="125">
        <v>0</v>
      </c>
      <c r="BR34" s="125" t="str">
        <f t="shared" si="26"/>
        <v/>
      </c>
      <c r="BS34" s="125" t="str">
        <f t="shared" si="27"/>
        <v/>
      </c>
      <c r="BT34" s="126" t="str">
        <f t="shared" si="13"/>
        <v/>
      </c>
      <c r="BU34" s="151"/>
      <c r="BV34" s="132" t="str">
        <f t="shared" si="14"/>
        <v/>
      </c>
      <c r="BW34" s="127" t="str">
        <f t="shared" si="15"/>
        <v/>
      </c>
      <c r="BX34" s="127" t="str">
        <f t="shared" si="16"/>
        <v/>
      </c>
      <c r="BY34" s="127" t="str">
        <f t="shared" si="17"/>
        <v/>
      </c>
      <c r="BZ34" s="127" t="str">
        <f t="shared" si="28"/>
        <v/>
      </c>
      <c r="CA34" s="128" t="str">
        <f t="shared" si="29"/>
        <v/>
      </c>
      <c r="CB34" s="151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51"/>
    </row>
    <row r="35" spans="1:86" s="115" customFormat="1" ht="13.15" customHeight="1" thickBot="1" x14ac:dyDescent="0.25">
      <c r="A35" s="235" t="s">
        <v>68</v>
      </c>
      <c r="B35" s="236"/>
      <c r="C35" s="109" t="e">
        <f>AVERAGE(C4:C34)</f>
        <v>#DIV/0!</v>
      </c>
      <c r="D35" s="109" t="e">
        <f t="shared" ref="D35:AW35" si="31">AVERAGE(D4:D34)</f>
        <v>#DIV/0!</v>
      </c>
      <c r="E35" s="109" t="e">
        <f t="shared" si="31"/>
        <v>#DIV/0!</v>
      </c>
      <c r="F35" s="109" t="e">
        <f t="shared" si="31"/>
        <v>#DIV/0!</v>
      </c>
      <c r="G35" s="109" t="e">
        <f t="shared" si="31"/>
        <v>#DIV/0!</v>
      </c>
      <c r="H35" s="109" t="e">
        <f t="shared" si="31"/>
        <v>#DIV/0!</v>
      </c>
      <c r="I35" s="109" t="e">
        <f t="shared" si="31"/>
        <v>#DIV/0!</v>
      </c>
      <c r="J35" s="109" t="e">
        <f t="shared" si="31"/>
        <v>#DIV/0!</v>
      </c>
      <c r="K35" s="109" t="e">
        <f t="shared" si="31"/>
        <v>#DIV/0!</v>
      </c>
      <c r="L35" s="109" t="e">
        <f t="shared" si="31"/>
        <v>#DIV/0!</v>
      </c>
      <c r="M35" s="109" t="e">
        <f t="shared" si="31"/>
        <v>#DIV/0!</v>
      </c>
      <c r="N35" s="109" t="e">
        <f t="shared" si="31"/>
        <v>#DIV/0!</v>
      </c>
      <c r="O35" s="109" t="e">
        <f t="shared" si="31"/>
        <v>#DIV/0!</v>
      </c>
      <c r="P35" s="109" t="e">
        <f t="shared" si="31"/>
        <v>#DIV/0!</v>
      </c>
      <c r="Q35" s="109" t="e">
        <f t="shared" si="31"/>
        <v>#DIV/0!</v>
      </c>
      <c r="R35" s="109" t="e">
        <f t="shared" si="31"/>
        <v>#DIV/0!</v>
      </c>
      <c r="S35" s="109" t="e">
        <f t="shared" si="31"/>
        <v>#DIV/0!</v>
      </c>
      <c r="T35" s="109" t="e">
        <f t="shared" si="31"/>
        <v>#DIV/0!</v>
      </c>
      <c r="U35" s="109" t="e">
        <f t="shared" si="31"/>
        <v>#DIV/0!</v>
      </c>
      <c r="V35" s="109" t="e">
        <f t="shared" si="31"/>
        <v>#DIV/0!</v>
      </c>
      <c r="W35" s="109" t="e">
        <f t="shared" si="31"/>
        <v>#DIV/0!</v>
      </c>
      <c r="X35" s="109" t="e">
        <f t="shared" si="31"/>
        <v>#DIV/0!</v>
      </c>
      <c r="Y35" s="109" t="e">
        <f t="shared" si="31"/>
        <v>#DIV/0!</v>
      </c>
      <c r="Z35" s="109" t="e">
        <f t="shared" si="31"/>
        <v>#DIV/0!</v>
      </c>
      <c r="AA35" s="109" t="e">
        <f t="shared" si="31"/>
        <v>#DIV/0!</v>
      </c>
      <c r="AB35" s="109" t="e">
        <f t="shared" si="31"/>
        <v>#DIV/0!</v>
      </c>
      <c r="AC35" s="109" t="e">
        <f t="shared" si="31"/>
        <v>#DIV/0!</v>
      </c>
      <c r="AD35" s="109" t="e">
        <f t="shared" si="31"/>
        <v>#DIV/0!</v>
      </c>
      <c r="AE35" s="109" t="e">
        <f t="shared" si="31"/>
        <v>#DIV/0!</v>
      </c>
      <c r="AF35" s="109" t="e">
        <f t="shared" si="31"/>
        <v>#DIV/0!</v>
      </c>
      <c r="AG35" s="109" t="e">
        <f t="shared" si="31"/>
        <v>#DIV/0!</v>
      </c>
      <c r="AH35" s="109" t="e">
        <f t="shared" si="31"/>
        <v>#DIV/0!</v>
      </c>
      <c r="AI35" s="109" t="e">
        <f t="shared" si="31"/>
        <v>#DIV/0!</v>
      </c>
      <c r="AJ35" s="109" t="e">
        <f t="shared" si="31"/>
        <v>#DIV/0!</v>
      </c>
      <c r="AK35" s="109" t="e">
        <f t="shared" si="31"/>
        <v>#DIV/0!</v>
      </c>
      <c r="AL35" s="109" t="e">
        <f t="shared" si="31"/>
        <v>#DIV/0!</v>
      </c>
      <c r="AM35" s="109" t="e">
        <f t="shared" si="31"/>
        <v>#DIV/0!</v>
      </c>
      <c r="AN35" s="109" t="e">
        <f t="shared" si="31"/>
        <v>#DIV/0!</v>
      </c>
      <c r="AO35" s="109" t="e">
        <f t="shared" si="31"/>
        <v>#DIV/0!</v>
      </c>
      <c r="AP35" s="109" t="e">
        <f t="shared" si="31"/>
        <v>#DIV/0!</v>
      </c>
      <c r="AQ35" s="109" t="e">
        <f t="shared" si="31"/>
        <v>#DIV/0!</v>
      </c>
      <c r="AR35" s="109" t="e">
        <f t="shared" si="31"/>
        <v>#DIV/0!</v>
      </c>
      <c r="AS35" s="109" t="e">
        <f t="shared" si="31"/>
        <v>#DIV/0!</v>
      </c>
      <c r="AT35" s="109" t="e">
        <f t="shared" si="31"/>
        <v>#DIV/0!</v>
      </c>
      <c r="AU35" s="109" t="e">
        <f t="shared" si="31"/>
        <v>#DIV/0!</v>
      </c>
      <c r="AV35" s="109" t="e">
        <f t="shared" si="31"/>
        <v>#DIV/0!</v>
      </c>
      <c r="AW35" s="109" t="e">
        <f t="shared" si="31"/>
        <v>#DIV/0!</v>
      </c>
      <c r="AX35" s="110" t="str">
        <f t="shared" si="23"/>
        <v>-</v>
      </c>
      <c r="AY35" s="151"/>
      <c r="AZ35" s="133" t="e">
        <f t="shared" si="1"/>
        <v>#DIV/0!</v>
      </c>
      <c r="BA35" s="134" t="e">
        <f t="shared" si="2"/>
        <v>#DIV/0!</v>
      </c>
      <c r="BB35" s="135" t="e">
        <f t="shared" si="3"/>
        <v>#DIV/0!</v>
      </c>
      <c r="BC35" s="151"/>
      <c r="BD35" s="133" t="e">
        <f t="shared" si="4"/>
        <v>#DIV/0!</v>
      </c>
      <c r="BE35" s="136" t="e">
        <f t="shared" si="5"/>
        <v>#DIV/0!</v>
      </c>
      <c r="BF35" s="136" t="e">
        <f t="shared" si="6"/>
        <v>#DIV/0!</v>
      </c>
      <c r="BG35" s="136" t="e">
        <f t="shared" si="24"/>
        <v>#DIV/0!</v>
      </c>
      <c r="BH35" s="136" t="e">
        <f t="shared" si="7"/>
        <v>#DIV/0!</v>
      </c>
      <c r="BI35" s="135" t="e">
        <f t="shared" si="25"/>
        <v>#DIV/0!</v>
      </c>
      <c r="BJ35" s="151"/>
      <c r="BK35" s="133" t="e">
        <f t="shared" si="8"/>
        <v>#DIV/0!</v>
      </c>
      <c r="BL35" s="136" t="e">
        <f t="shared" si="9"/>
        <v>#DIV/0!</v>
      </c>
      <c r="BM35" s="136" t="e">
        <f t="shared" si="10"/>
        <v>#DIV/0!</v>
      </c>
      <c r="BN35" s="135" t="e">
        <f t="shared" si="11"/>
        <v>#DIV/0!</v>
      </c>
      <c r="BO35" s="151"/>
      <c r="BP35" s="133" t="e">
        <f t="shared" si="12"/>
        <v>#DIV/0!</v>
      </c>
      <c r="BQ35" s="136">
        <v>0</v>
      </c>
      <c r="BR35" s="136" t="e">
        <f t="shared" si="26"/>
        <v>#DIV/0!</v>
      </c>
      <c r="BS35" s="136" t="e">
        <f t="shared" si="27"/>
        <v>#DIV/0!</v>
      </c>
      <c r="BT35" s="135" t="e">
        <f t="shared" si="13"/>
        <v>#DIV/0!</v>
      </c>
      <c r="BU35" s="151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8"/>
        <v>#DIV/0!</v>
      </c>
      <c r="CA35" s="139" t="e">
        <f t="shared" si="29"/>
        <v>#DIV/0!</v>
      </c>
      <c r="CB35" s="151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51"/>
    </row>
    <row r="36" spans="1:86" s="115" customFormat="1" ht="13.15" customHeight="1" thickBot="1" x14ac:dyDescent="0.25">
      <c r="A36" s="235" t="s">
        <v>69</v>
      </c>
      <c r="B36" s="236"/>
      <c r="C36" s="111">
        <f>SUM(C4:C34)</f>
        <v>0</v>
      </c>
      <c r="D36" s="111">
        <f t="shared" ref="D36:AW36" si="32">SUM(D4:D34)</f>
        <v>0</v>
      </c>
      <c r="E36" s="111">
        <f t="shared" si="32"/>
        <v>0</v>
      </c>
      <c r="F36" s="111">
        <f t="shared" si="32"/>
        <v>0</v>
      </c>
      <c r="G36" s="111">
        <f t="shared" si="32"/>
        <v>0</v>
      </c>
      <c r="H36" s="111">
        <f t="shared" si="32"/>
        <v>0</v>
      </c>
      <c r="I36" s="111">
        <f t="shared" si="32"/>
        <v>0</v>
      </c>
      <c r="J36" s="111">
        <f t="shared" si="32"/>
        <v>0</v>
      </c>
      <c r="K36" s="111">
        <f t="shared" si="32"/>
        <v>0</v>
      </c>
      <c r="L36" s="111">
        <f t="shared" si="32"/>
        <v>0</v>
      </c>
      <c r="M36" s="111">
        <f t="shared" si="32"/>
        <v>0</v>
      </c>
      <c r="N36" s="111">
        <f t="shared" si="32"/>
        <v>0</v>
      </c>
      <c r="O36" s="111">
        <f t="shared" si="32"/>
        <v>0</v>
      </c>
      <c r="P36" s="111">
        <f t="shared" si="32"/>
        <v>0</v>
      </c>
      <c r="Q36" s="111">
        <f t="shared" si="32"/>
        <v>0</v>
      </c>
      <c r="R36" s="111">
        <f t="shared" si="32"/>
        <v>0</v>
      </c>
      <c r="S36" s="111">
        <f t="shared" si="32"/>
        <v>0</v>
      </c>
      <c r="T36" s="111">
        <f t="shared" si="32"/>
        <v>0</v>
      </c>
      <c r="U36" s="111">
        <f t="shared" si="32"/>
        <v>0</v>
      </c>
      <c r="V36" s="111">
        <f t="shared" si="32"/>
        <v>0</v>
      </c>
      <c r="W36" s="111">
        <f t="shared" si="32"/>
        <v>0</v>
      </c>
      <c r="X36" s="111">
        <f t="shared" si="32"/>
        <v>0</v>
      </c>
      <c r="Y36" s="111">
        <f t="shared" si="32"/>
        <v>0</v>
      </c>
      <c r="Z36" s="111">
        <f t="shared" si="32"/>
        <v>0</v>
      </c>
      <c r="AA36" s="111">
        <f t="shared" si="32"/>
        <v>0</v>
      </c>
      <c r="AB36" s="111">
        <f t="shared" si="32"/>
        <v>0</v>
      </c>
      <c r="AC36" s="111">
        <f t="shared" si="32"/>
        <v>0</v>
      </c>
      <c r="AD36" s="111">
        <f t="shared" si="32"/>
        <v>0</v>
      </c>
      <c r="AE36" s="111">
        <f t="shared" si="32"/>
        <v>0</v>
      </c>
      <c r="AF36" s="111">
        <f t="shared" si="32"/>
        <v>0</v>
      </c>
      <c r="AG36" s="111">
        <f t="shared" si="32"/>
        <v>0</v>
      </c>
      <c r="AH36" s="111">
        <f t="shared" si="32"/>
        <v>0</v>
      </c>
      <c r="AI36" s="111">
        <f t="shared" si="32"/>
        <v>0</v>
      </c>
      <c r="AJ36" s="111">
        <f t="shared" si="32"/>
        <v>0</v>
      </c>
      <c r="AK36" s="111">
        <f t="shared" si="32"/>
        <v>0</v>
      </c>
      <c r="AL36" s="111">
        <f t="shared" si="32"/>
        <v>0</v>
      </c>
      <c r="AM36" s="111">
        <f t="shared" si="32"/>
        <v>0</v>
      </c>
      <c r="AN36" s="111">
        <f t="shared" si="32"/>
        <v>0</v>
      </c>
      <c r="AO36" s="111">
        <f t="shared" si="32"/>
        <v>0</v>
      </c>
      <c r="AP36" s="111">
        <f t="shared" si="32"/>
        <v>0</v>
      </c>
      <c r="AQ36" s="111">
        <f t="shared" si="32"/>
        <v>0</v>
      </c>
      <c r="AR36" s="111">
        <f t="shared" si="32"/>
        <v>0</v>
      </c>
      <c r="AS36" s="111">
        <f t="shared" si="32"/>
        <v>0</v>
      </c>
      <c r="AT36" s="111">
        <f t="shared" si="32"/>
        <v>0</v>
      </c>
      <c r="AU36" s="111">
        <f t="shared" si="32"/>
        <v>0</v>
      </c>
      <c r="AV36" s="111">
        <f t="shared" si="32"/>
        <v>0</v>
      </c>
      <c r="AW36" s="111">
        <f t="shared" si="32"/>
        <v>0</v>
      </c>
      <c r="AX36" s="112" t="str">
        <f t="shared" si="23"/>
        <v>-</v>
      </c>
      <c r="AY36" s="156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56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 t="shared" si="24"/>
        <v/>
      </c>
      <c r="BH36" s="144" t="str">
        <f t="shared" si="7"/>
        <v/>
      </c>
      <c r="BI36" s="143" t="str">
        <f t="shared" si="25"/>
        <v/>
      </c>
      <c r="BJ36" s="156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56"/>
      <c r="BP36" s="141" t="str">
        <f t="shared" si="12"/>
        <v/>
      </c>
      <c r="BQ36" s="144">
        <v>0</v>
      </c>
      <c r="BR36" s="144" t="str">
        <f t="shared" si="26"/>
        <v/>
      </c>
      <c r="BS36" s="144" t="str">
        <f t="shared" si="27"/>
        <v/>
      </c>
      <c r="BT36" s="143" t="str">
        <f t="shared" si="13"/>
        <v/>
      </c>
      <c r="BU36" s="156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8"/>
        <v/>
      </c>
      <c r="CA36" s="147" t="str">
        <f t="shared" si="29"/>
        <v/>
      </c>
      <c r="CB36" s="156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56"/>
    </row>
    <row r="37" spans="1:86" x14ac:dyDescent="0.2"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</sheetData>
  <mergeCells count="88"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workbookViewId="0">
      <selection activeCell="C4" sqref="C4:AW4"/>
    </sheetView>
  </sheetViews>
  <sheetFormatPr defaultColWidth="0" defaultRowHeight="11.25" x14ac:dyDescent="0.2"/>
  <cols>
    <col min="1" max="1" width="9.5703125" style="154" bestFit="1" customWidth="1"/>
    <col min="2" max="2" width="4.5703125" style="154" customWidth="1"/>
    <col min="3" max="3" width="15.5703125" style="154" bestFit="1" customWidth="1"/>
    <col min="4" max="4" width="18.85546875" style="154" bestFit="1" customWidth="1"/>
    <col min="5" max="5" width="20" style="154" bestFit="1" customWidth="1"/>
    <col min="6" max="6" width="16" style="154" bestFit="1" customWidth="1"/>
    <col min="7" max="7" width="8.5703125" style="154" bestFit="1" customWidth="1"/>
    <col min="8" max="8" width="18.5703125" style="154" bestFit="1" customWidth="1"/>
    <col min="9" max="9" width="9" style="154" bestFit="1" customWidth="1"/>
    <col min="10" max="10" width="9.42578125" style="154" customWidth="1"/>
    <col min="11" max="11" width="11" style="154" bestFit="1" customWidth="1"/>
    <col min="12" max="20" width="8.5703125" style="154" bestFit="1" customWidth="1"/>
    <col min="21" max="21" width="6" style="154" bestFit="1" customWidth="1"/>
    <col min="22" max="34" width="8.5703125" style="154" bestFit="1" customWidth="1"/>
    <col min="35" max="35" width="13.28515625" style="154" bestFit="1" customWidth="1"/>
    <col min="36" max="36" width="15.7109375" style="154" bestFit="1" customWidth="1"/>
    <col min="37" max="37" width="16.28515625" style="154" bestFit="1" customWidth="1"/>
    <col min="38" max="38" width="15.42578125" style="154" bestFit="1" customWidth="1"/>
    <col min="39" max="39" width="15.85546875" style="154" bestFit="1" customWidth="1"/>
    <col min="40" max="40" width="16.28515625" style="154" bestFit="1" customWidth="1"/>
    <col min="41" max="41" width="10" style="154" bestFit="1" customWidth="1"/>
    <col min="42" max="42" width="13.85546875" style="154" bestFit="1" customWidth="1"/>
    <col min="43" max="43" width="11.140625" style="154" bestFit="1" customWidth="1"/>
    <col min="44" max="44" width="10.28515625" style="154" bestFit="1" customWidth="1"/>
    <col min="45" max="45" width="12.5703125" style="158" bestFit="1" customWidth="1"/>
    <col min="46" max="46" width="10" style="154" bestFit="1" customWidth="1"/>
    <col min="47" max="47" width="10.7109375" style="154" customWidth="1"/>
    <col min="48" max="48" width="16.28515625" style="154" bestFit="1" customWidth="1"/>
    <col min="49" max="50" width="16.140625" style="154" bestFit="1" customWidth="1"/>
    <col min="51" max="51" width="2.28515625" style="154" customWidth="1"/>
    <col min="52" max="52" width="16.42578125" style="154" bestFit="1" customWidth="1"/>
    <col min="53" max="53" width="12" style="154" bestFit="1" customWidth="1"/>
    <col min="54" max="54" width="12.85546875" style="154" bestFit="1" customWidth="1"/>
    <col min="55" max="55" width="1.5703125" style="154" customWidth="1"/>
    <col min="56" max="56" width="12.7109375" style="154" bestFit="1" customWidth="1"/>
    <col min="57" max="57" width="13.42578125" style="154" bestFit="1" customWidth="1"/>
    <col min="58" max="58" width="20.42578125" style="154" bestFit="1" customWidth="1"/>
    <col min="59" max="59" width="9.5703125" style="154" bestFit="1" customWidth="1"/>
    <col min="60" max="60" width="14.85546875" style="154" bestFit="1" customWidth="1"/>
    <col min="61" max="61" width="10.7109375" style="154" bestFit="1" customWidth="1"/>
    <col min="62" max="62" width="1.85546875" style="154" customWidth="1"/>
    <col min="63" max="63" width="20.28515625" style="154" bestFit="1" customWidth="1"/>
    <col min="64" max="64" width="25.42578125" style="154" bestFit="1" customWidth="1"/>
    <col min="65" max="65" width="14.140625" style="154" bestFit="1" customWidth="1"/>
    <col min="66" max="66" width="18.140625" style="154" bestFit="1" customWidth="1"/>
    <col min="67" max="67" width="2.140625" style="154" customWidth="1"/>
    <col min="68" max="68" width="9.28515625" style="154" bestFit="1" customWidth="1"/>
    <col min="69" max="69" width="13" style="154" bestFit="1" customWidth="1"/>
    <col min="70" max="70" width="14.140625" style="154" bestFit="1" customWidth="1"/>
    <col min="71" max="71" width="13.85546875" style="154" bestFit="1" customWidth="1"/>
    <col min="72" max="72" width="8" style="154" bestFit="1" customWidth="1"/>
    <col min="73" max="73" width="2.140625" style="154" customWidth="1"/>
    <col min="74" max="74" width="18.5703125" style="154" bestFit="1" customWidth="1"/>
    <col min="75" max="75" width="14.5703125" style="154" bestFit="1" customWidth="1"/>
    <col min="76" max="76" width="18.5703125" style="154" bestFit="1" customWidth="1"/>
    <col min="77" max="77" width="19" style="154" bestFit="1" customWidth="1"/>
    <col min="78" max="78" width="18.140625" style="154" bestFit="1" customWidth="1"/>
    <col min="79" max="79" width="18.7109375" style="154" bestFit="1" customWidth="1"/>
    <col min="80" max="80" width="1.85546875" style="154" customWidth="1"/>
    <col min="81" max="81" width="7.7109375" style="154" bestFit="1" customWidth="1"/>
    <col min="82" max="82" width="5.7109375" style="154" bestFit="1" customWidth="1"/>
    <col min="83" max="83" width="6" style="154" bestFit="1" customWidth="1"/>
    <col min="84" max="84" width="5.7109375" style="154" bestFit="1" customWidth="1"/>
    <col min="85" max="85" width="8.5703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93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0" si="0">+TEXT(A4,"DDD")</f>
        <v>Thu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98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99"/>
      <c r="AM4" s="99"/>
      <c r="AN4" s="99"/>
      <c r="AO4" s="99"/>
      <c r="AP4" s="99"/>
      <c r="AQ4" s="99"/>
      <c r="AR4" s="99"/>
      <c r="AS4" s="99"/>
      <c r="AT4" s="100"/>
      <c r="AU4" s="100"/>
      <c r="AV4" s="101"/>
      <c r="AW4" s="60"/>
      <c r="AX4" s="102" t="str">
        <f>IFERROR(AN4/AW4,"-")</f>
        <v>-</v>
      </c>
      <c r="AY4" s="151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51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51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51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51"/>
      <c r="BV4" s="127" t="str">
        <f t="shared" ref="BV4:BV36" si="14">IF(AN4&gt;0,(E4/AN4),"")</f>
        <v/>
      </c>
      <c r="BW4" s="127" t="str">
        <f t="shared" ref="BW4:BW36" si="15">IF(AN4&gt;0,(G4/AN4),"")</f>
        <v/>
      </c>
      <c r="BX4" s="127" t="str">
        <f t="shared" ref="BX4:BX36" si="16">IF(AN4&gt;0,(J4/AN4),"")</f>
        <v/>
      </c>
      <c r="BY4" s="127" t="str">
        <f t="shared" ref="BY4:BY36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51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51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103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99"/>
      <c r="AM5" s="99"/>
      <c r="AN5" s="99"/>
      <c r="AO5" s="99"/>
      <c r="AP5" s="99"/>
      <c r="AQ5" s="99"/>
      <c r="AR5" s="99"/>
      <c r="AS5" s="99"/>
      <c r="AT5" s="100"/>
      <c r="AU5" s="100"/>
      <c r="AV5" s="101"/>
      <c r="AW5" s="100"/>
      <c r="AX5" s="102" t="str">
        <f t="shared" ref="AX5:AX36" si="23">IFERROR(AN5/AW5,"-")</f>
        <v>-</v>
      </c>
      <c r="AY5" s="151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51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ref="BG5:BG36" si="24">+IF(SUM(AO5:AR5)&gt;0,AO5/AN5,"")</f>
        <v/>
      </c>
      <c r="BH5" s="119" t="str">
        <f t="shared" si="7"/>
        <v/>
      </c>
      <c r="BI5" s="120" t="str">
        <f t="shared" ref="BI5:BI36" si="25">+IF(SUM(AO5:AR5)&gt;0,AQ5/AN5,"")</f>
        <v/>
      </c>
      <c r="BJ5" s="151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51"/>
      <c r="BP5" s="124" t="str">
        <f t="shared" si="12"/>
        <v/>
      </c>
      <c r="BQ5" s="125">
        <v>0</v>
      </c>
      <c r="BR5" s="125" t="str">
        <f t="shared" ref="BR5:BR36" si="26">IF(AJ5&gt;0,(AK5/AJ5),"")</f>
        <v/>
      </c>
      <c r="BS5" s="125" t="str">
        <f t="shared" ref="BS5:BS36" si="27">IF(AJ5&gt;0,(AK5/AJ5),"")</f>
        <v/>
      </c>
      <c r="BT5" s="126" t="str">
        <f t="shared" si="13"/>
        <v/>
      </c>
      <c r="BU5" s="151"/>
      <c r="BV5" s="132" t="str">
        <f t="shared" si="14"/>
        <v/>
      </c>
      <c r="BW5" s="127" t="str">
        <f t="shared" si="15"/>
        <v/>
      </c>
      <c r="BX5" s="127" t="str">
        <f t="shared" si="16"/>
        <v/>
      </c>
      <c r="BY5" s="127" t="str">
        <f t="shared" si="17"/>
        <v/>
      </c>
      <c r="BZ5" s="127" t="str">
        <f t="shared" ref="BZ5:BZ36" si="28">IF(AN5&gt;0,(AJ5/AN5),"")</f>
        <v/>
      </c>
      <c r="CA5" s="128" t="str">
        <f t="shared" ref="CA5:CA36" si="29">IF(AN5&gt;0,(AK5/AN5),"")</f>
        <v/>
      </c>
      <c r="CB5" s="151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51"/>
    </row>
    <row r="6" spans="1:86" s="115" customFormat="1" ht="12.4" customHeight="1" thickBot="1" x14ac:dyDescent="0.25">
      <c r="A6" s="96">
        <f t="shared" ref="A6:A34" si="30">A5+1</f>
        <v>46298</v>
      </c>
      <c r="B6" s="97" t="str">
        <f t="shared" si="0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99"/>
      <c r="AM6" s="99"/>
      <c r="AN6" s="99"/>
      <c r="AO6" s="99"/>
      <c r="AP6" s="99"/>
      <c r="AQ6" s="99"/>
      <c r="AR6" s="99"/>
      <c r="AS6" s="99"/>
      <c r="AT6" s="100"/>
      <c r="AU6" s="100"/>
      <c r="AV6" s="101"/>
      <c r="AW6" s="100"/>
      <c r="AX6" s="102" t="str">
        <f t="shared" si="23"/>
        <v>-</v>
      </c>
      <c r="AY6" s="151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51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24"/>
        <v/>
      </c>
      <c r="BH6" s="119" t="str">
        <f t="shared" si="7"/>
        <v/>
      </c>
      <c r="BI6" s="120" t="str">
        <f t="shared" si="25"/>
        <v/>
      </c>
      <c r="BJ6" s="151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51"/>
      <c r="BP6" s="124" t="str">
        <f t="shared" si="12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3"/>
        <v/>
      </c>
      <c r="BU6" s="151"/>
      <c r="BV6" s="132" t="str">
        <f t="shared" si="14"/>
        <v/>
      </c>
      <c r="BW6" s="127" t="str">
        <f t="shared" si="15"/>
        <v/>
      </c>
      <c r="BX6" s="127" t="str">
        <f t="shared" si="16"/>
        <v/>
      </c>
      <c r="BY6" s="127" t="str">
        <f t="shared" si="17"/>
        <v/>
      </c>
      <c r="BZ6" s="127" t="str">
        <f t="shared" si="28"/>
        <v/>
      </c>
      <c r="CA6" s="128" t="str">
        <f t="shared" si="29"/>
        <v/>
      </c>
      <c r="CB6" s="151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51"/>
    </row>
    <row r="7" spans="1:86" s="115" customFormat="1" ht="12.4" customHeight="1" thickBot="1" x14ac:dyDescent="0.25">
      <c r="A7" s="96">
        <f t="shared" si="30"/>
        <v>46299</v>
      </c>
      <c r="B7" s="97" t="str">
        <f t="shared" si="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99"/>
      <c r="AM7" s="99"/>
      <c r="AN7" s="99"/>
      <c r="AO7" s="99"/>
      <c r="AP7" s="99"/>
      <c r="AQ7" s="99"/>
      <c r="AR7" s="99"/>
      <c r="AS7" s="99"/>
      <c r="AT7" s="100"/>
      <c r="AU7" s="100"/>
      <c r="AV7" s="101"/>
      <c r="AW7" s="100"/>
      <c r="AX7" s="102" t="str">
        <f t="shared" si="23"/>
        <v>-</v>
      </c>
      <c r="AY7" s="151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51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24"/>
        <v/>
      </c>
      <c r="BH7" s="119" t="str">
        <f t="shared" si="7"/>
        <v/>
      </c>
      <c r="BI7" s="120" t="str">
        <f t="shared" si="25"/>
        <v/>
      </c>
      <c r="BJ7" s="151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51"/>
      <c r="BP7" s="124" t="str">
        <f t="shared" si="12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3"/>
        <v/>
      </c>
      <c r="BU7" s="151"/>
      <c r="BV7" s="132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si="28"/>
        <v/>
      </c>
      <c r="CA7" s="128" t="str">
        <f t="shared" si="29"/>
        <v/>
      </c>
      <c r="CB7" s="151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51"/>
    </row>
    <row r="8" spans="1:86" s="115" customFormat="1" ht="12.4" customHeight="1" thickBot="1" x14ac:dyDescent="0.25">
      <c r="A8" s="96">
        <f t="shared" si="30"/>
        <v>46300</v>
      </c>
      <c r="B8" s="97" t="str">
        <f t="shared" si="0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99"/>
      <c r="AM8" s="99"/>
      <c r="AN8" s="99"/>
      <c r="AO8" s="99"/>
      <c r="AP8" s="99"/>
      <c r="AQ8" s="99"/>
      <c r="AR8" s="99"/>
      <c r="AS8" s="99"/>
      <c r="AT8" s="100"/>
      <c r="AU8" s="100"/>
      <c r="AV8" s="101"/>
      <c r="AW8" s="100"/>
      <c r="AX8" s="102" t="str">
        <f t="shared" si="23"/>
        <v>-</v>
      </c>
      <c r="AY8" s="151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51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24"/>
        <v/>
      </c>
      <c r="BH8" s="119" t="str">
        <f t="shared" si="7"/>
        <v/>
      </c>
      <c r="BI8" s="120" t="str">
        <f t="shared" si="25"/>
        <v/>
      </c>
      <c r="BJ8" s="151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51"/>
      <c r="BP8" s="124" t="str">
        <f t="shared" si="12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3"/>
        <v/>
      </c>
      <c r="BU8" s="151"/>
      <c r="BV8" s="132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 t="shared" si="28"/>
        <v/>
      </c>
      <c r="CA8" s="128" t="str">
        <f t="shared" si="29"/>
        <v/>
      </c>
      <c r="CB8" s="151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51"/>
    </row>
    <row r="9" spans="1:86" s="115" customFormat="1" ht="12.4" customHeight="1" thickBot="1" x14ac:dyDescent="0.25">
      <c r="A9" s="96">
        <f t="shared" si="30"/>
        <v>46301</v>
      </c>
      <c r="B9" s="97" t="str">
        <f t="shared" si="0"/>
        <v>Tue</v>
      </c>
      <c r="C9" s="103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99"/>
      <c r="AM9" s="99"/>
      <c r="AN9" s="99"/>
      <c r="AO9" s="99"/>
      <c r="AP9" s="99"/>
      <c r="AQ9" s="99"/>
      <c r="AR9" s="99"/>
      <c r="AS9" s="99"/>
      <c r="AT9" s="100"/>
      <c r="AU9" s="100"/>
      <c r="AV9" s="101"/>
      <c r="AW9" s="100"/>
      <c r="AX9" s="102" t="str">
        <f t="shared" si="23"/>
        <v>-</v>
      </c>
      <c r="AY9" s="151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51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24"/>
        <v/>
      </c>
      <c r="BH9" s="119" t="str">
        <f t="shared" si="7"/>
        <v/>
      </c>
      <c r="BI9" s="120" t="str">
        <f t="shared" si="25"/>
        <v/>
      </c>
      <c r="BJ9" s="151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51"/>
      <c r="BP9" s="124" t="str">
        <f t="shared" si="12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3"/>
        <v/>
      </c>
      <c r="BU9" s="151"/>
      <c r="BV9" s="132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 t="shared" si="28"/>
        <v/>
      </c>
      <c r="CA9" s="128" t="str">
        <f t="shared" si="29"/>
        <v/>
      </c>
      <c r="CB9" s="151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51"/>
    </row>
    <row r="10" spans="1:86" s="115" customFormat="1" ht="12.4" customHeight="1" thickBot="1" x14ac:dyDescent="0.25">
      <c r="A10" s="96">
        <f t="shared" si="30"/>
        <v>46302</v>
      </c>
      <c r="B10" s="97" t="str">
        <f>+TEXT(A10,"DDD")</f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99"/>
      <c r="AM10" s="99"/>
      <c r="AN10" s="99"/>
      <c r="AO10" s="99"/>
      <c r="AP10" s="99"/>
      <c r="AQ10" s="99"/>
      <c r="AR10" s="99"/>
      <c r="AS10" s="99"/>
      <c r="AT10" s="100"/>
      <c r="AU10" s="100"/>
      <c r="AV10" s="101"/>
      <c r="AW10" s="100"/>
      <c r="AX10" s="102" t="str">
        <f t="shared" si="23"/>
        <v>-</v>
      </c>
      <c r="AY10" s="151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51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4"/>
        <v/>
      </c>
      <c r="BH10" s="119" t="str">
        <f t="shared" si="7"/>
        <v/>
      </c>
      <c r="BI10" s="120" t="str">
        <f t="shared" si="25"/>
        <v/>
      </c>
      <c r="BJ10" s="151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51"/>
      <c r="BP10" s="124" t="str">
        <f t="shared" si="12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3"/>
        <v/>
      </c>
      <c r="BU10" s="151"/>
      <c r="BV10" s="132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8"/>
        <v/>
      </c>
      <c r="CA10" s="128" t="str">
        <f t="shared" si="29"/>
        <v/>
      </c>
      <c r="CB10" s="151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51"/>
    </row>
    <row r="11" spans="1:86" s="115" customFormat="1" ht="12.4" customHeight="1" thickBot="1" x14ac:dyDescent="0.25">
      <c r="A11" s="96">
        <f t="shared" si="30"/>
        <v>46303</v>
      </c>
      <c r="B11" s="97" t="str">
        <f>+TEXT(A11,"DDD")</f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99"/>
      <c r="AM11" s="99"/>
      <c r="AN11" s="99"/>
      <c r="AO11" s="99"/>
      <c r="AP11" s="99"/>
      <c r="AQ11" s="99"/>
      <c r="AR11" s="99"/>
      <c r="AS11" s="99"/>
      <c r="AT11" s="100"/>
      <c r="AU11" s="100"/>
      <c r="AV11" s="101"/>
      <c r="AW11" s="100"/>
      <c r="AX11" s="102" t="str">
        <f t="shared" si="23"/>
        <v>-</v>
      </c>
      <c r="AY11" s="151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51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4"/>
        <v/>
      </c>
      <c r="BH11" s="119" t="str">
        <f t="shared" si="7"/>
        <v/>
      </c>
      <c r="BI11" s="120" t="str">
        <f t="shared" si="25"/>
        <v/>
      </c>
      <c r="BJ11" s="151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51"/>
      <c r="BP11" s="124" t="str">
        <f t="shared" si="12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3"/>
        <v/>
      </c>
      <c r="BU11" s="151"/>
      <c r="BV11" s="132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8"/>
        <v/>
      </c>
      <c r="CA11" s="128" t="str">
        <f t="shared" si="29"/>
        <v/>
      </c>
      <c r="CB11" s="151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51"/>
    </row>
    <row r="12" spans="1:86" s="115" customFormat="1" ht="12.4" customHeight="1" thickBot="1" x14ac:dyDescent="0.25">
      <c r="A12" s="96">
        <f t="shared" si="30"/>
        <v>46304</v>
      </c>
      <c r="B12" s="97" t="str">
        <f>+TEXT(A12,"DDD")</f>
        <v>Fri</v>
      </c>
      <c r="C12" s="60"/>
      <c r="D12" s="98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99"/>
      <c r="AM12" s="99"/>
      <c r="AN12" s="99"/>
      <c r="AO12" s="99"/>
      <c r="AP12" s="99"/>
      <c r="AQ12" s="99"/>
      <c r="AR12" s="99"/>
      <c r="AS12" s="99"/>
      <c r="AT12" s="100"/>
      <c r="AU12" s="100"/>
      <c r="AV12" s="101"/>
      <c r="AW12" s="100"/>
      <c r="AX12" s="102" t="str">
        <f t="shared" si="23"/>
        <v>-</v>
      </c>
      <c r="AY12" s="151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51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4"/>
        <v/>
      </c>
      <c r="BH12" s="119" t="str">
        <f t="shared" si="7"/>
        <v/>
      </c>
      <c r="BI12" s="120" t="str">
        <f t="shared" si="25"/>
        <v/>
      </c>
      <c r="BJ12" s="151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51"/>
      <c r="BP12" s="124" t="str">
        <f t="shared" si="12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3"/>
        <v/>
      </c>
      <c r="BU12" s="151"/>
      <c r="BV12" s="132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8"/>
        <v/>
      </c>
      <c r="CA12" s="128" t="str">
        <f t="shared" si="29"/>
        <v/>
      </c>
      <c r="CB12" s="151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51"/>
    </row>
    <row r="13" spans="1:86" s="115" customFormat="1" ht="12.4" customHeight="1" thickBot="1" x14ac:dyDescent="0.25">
      <c r="A13" s="96">
        <f t="shared" si="30"/>
        <v>46305</v>
      </c>
      <c r="B13" s="97" t="str">
        <f>+TEXT(A13,"DDD")</f>
        <v>Sat</v>
      </c>
      <c r="C13" s="98"/>
      <c r="D13" s="98"/>
      <c r="E13" s="103"/>
      <c r="F13" s="98"/>
      <c r="G13" s="98"/>
      <c r="H13" s="104"/>
      <c r="I13" s="104"/>
      <c r="J13" s="105"/>
      <c r="K13" s="106"/>
      <c r="L13" s="98"/>
      <c r="M13" s="98"/>
      <c r="N13" s="98"/>
      <c r="O13" s="98"/>
      <c r="P13" s="103"/>
      <c r="Q13" s="98"/>
      <c r="R13" s="98"/>
      <c r="S13" s="98"/>
      <c r="T13" s="98"/>
      <c r="U13" s="98"/>
      <c r="V13" s="103"/>
      <c r="W13" s="103"/>
      <c r="X13" s="98"/>
      <c r="Y13" s="98"/>
      <c r="Z13" s="98"/>
      <c r="AA13" s="98"/>
      <c r="AB13" s="98"/>
      <c r="AC13" s="98"/>
      <c r="AD13" s="98"/>
      <c r="AE13" s="98"/>
      <c r="AF13" s="103"/>
      <c r="AG13" s="103"/>
      <c r="AH13" s="98"/>
      <c r="AI13" s="107"/>
      <c r="AJ13" s="108"/>
      <c r="AK13" s="107"/>
      <c r="AL13" s="99"/>
      <c r="AM13" s="99"/>
      <c r="AN13" s="99"/>
      <c r="AO13" s="99"/>
      <c r="AP13" s="99"/>
      <c r="AQ13" s="99"/>
      <c r="AR13" s="99"/>
      <c r="AS13" s="99"/>
      <c r="AT13" s="100"/>
      <c r="AU13" s="100"/>
      <c r="AV13" s="101"/>
      <c r="AW13" s="100"/>
      <c r="AX13" s="102" t="str">
        <f t="shared" si="23"/>
        <v>-</v>
      </c>
      <c r="AY13" s="151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51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4"/>
        <v/>
      </c>
      <c r="BH13" s="119" t="str">
        <f t="shared" si="7"/>
        <v/>
      </c>
      <c r="BI13" s="120" t="str">
        <f t="shared" si="25"/>
        <v/>
      </c>
      <c r="BJ13" s="151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51"/>
      <c r="BP13" s="124" t="str">
        <f t="shared" si="12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3"/>
        <v/>
      </c>
      <c r="BU13" s="151"/>
      <c r="BV13" s="132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8"/>
        <v/>
      </c>
      <c r="CA13" s="128" t="str">
        <f t="shared" si="29"/>
        <v/>
      </c>
      <c r="CB13" s="151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51"/>
    </row>
    <row r="14" spans="1:86" s="115" customFormat="1" ht="12.4" customHeight="1" thickBot="1" x14ac:dyDescent="0.25">
      <c r="A14" s="96">
        <f t="shared" si="30"/>
        <v>46306</v>
      </c>
      <c r="B14" s="97" t="str">
        <f t="shared" si="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98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99"/>
      <c r="AM14" s="99"/>
      <c r="AN14" s="99"/>
      <c r="AO14" s="99"/>
      <c r="AP14" s="99"/>
      <c r="AQ14" s="99"/>
      <c r="AR14" s="99"/>
      <c r="AS14" s="99"/>
      <c r="AT14" s="100"/>
      <c r="AU14" s="100"/>
      <c r="AV14" s="101"/>
      <c r="AW14" s="100"/>
      <c r="AX14" s="102" t="str">
        <f t="shared" si="23"/>
        <v>-</v>
      </c>
      <c r="AY14" s="151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51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4"/>
        <v/>
      </c>
      <c r="BH14" s="119" t="str">
        <f t="shared" si="7"/>
        <v/>
      </c>
      <c r="BI14" s="120" t="str">
        <f t="shared" si="25"/>
        <v/>
      </c>
      <c r="BJ14" s="151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51"/>
      <c r="BP14" s="124" t="str">
        <f t="shared" si="12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3"/>
        <v/>
      </c>
      <c r="BU14" s="151"/>
      <c r="BV14" s="132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8"/>
        <v/>
      </c>
      <c r="CA14" s="128" t="str">
        <f t="shared" si="29"/>
        <v/>
      </c>
      <c r="CB14" s="151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51"/>
    </row>
    <row r="15" spans="1:86" s="115" customFormat="1" ht="12.4" customHeight="1" thickBot="1" x14ac:dyDescent="0.25">
      <c r="A15" s="96">
        <f t="shared" si="30"/>
        <v>46307</v>
      </c>
      <c r="B15" s="97" t="str">
        <f t="shared" si="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60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99"/>
      <c r="AM15" s="99"/>
      <c r="AN15" s="99"/>
      <c r="AO15" s="99"/>
      <c r="AP15" s="99"/>
      <c r="AQ15" s="99"/>
      <c r="AR15" s="99"/>
      <c r="AS15" s="99"/>
      <c r="AT15" s="100"/>
      <c r="AU15" s="100"/>
      <c r="AV15" s="101"/>
      <c r="AW15" s="100"/>
      <c r="AX15" s="102" t="str">
        <f t="shared" si="23"/>
        <v>-</v>
      </c>
      <c r="AY15" s="151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51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24"/>
        <v/>
      </c>
      <c r="BH15" s="119" t="str">
        <f t="shared" si="7"/>
        <v/>
      </c>
      <c r="BI15" s="120" t="str">
        <f t="shared" si="25"/>
        <v/>
      </c>
      <c r="BJ15" s="151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51"/>
      <c r="BP15" s="124" t="str">
        <f t="shared" si="12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3"/>
        <v/>
      </c>
      <c r="BU15" s="151"/>
      <c r="BV15" s="132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 t="shared" si="28"/>
        <v/>
      </c>
      <c r="CA15" s="128" t="str">
        <f t="shared" si="29"/>
        <v/>
      </c>
      <c r="CB15" s="151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51"/>
    </row>
    <row r="16" spans="1:86" s="115" customFormat="1" ht="12.4" customHeight="1" thickBot="1" x14ac:dyDescent="0.25">
      <c r="A16" s="96">
        <f t="shared" si="30"/>
        <v>46308</v>
      </c>
      <c r="B16" s="97" t="str">
        <f t="shared" si="0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99"/>
      <c r="AM16" s="99"/>
      <c r="AN16" s="99"/>
      <c r="AO16" s="99"/>
      <c r="AP16" s="99"/>
      <c r="AQ16" s="99"/>
      <c r="AR16" s="99"/>
      <c r="AS16" s="99"/>
      <c r="AT16" s="100"/>
      <c r="AU16" s="100"/>
      <c r="AV16" s="101"/>
      <c r="AW16" s="100"/>
      <c r="AX16" s="102" t="str">
        <f t="shared" si="23"/>
        <v>-</v>
      </c>
      <c r="AY16" s="151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51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24"/>
        <v/>
      </c>
      <c r="BH16" s="119" t="str">
        <f t="shared" si="7"/>
        <v/>
      </c>
      <c r="BI16" s="120" t="str">
        <f t="shared" si="25"/>
        <v/>
      </c>
      <c r="BJ16" s="151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51"/>
      <c r="BP16" s="124" t="str">
        <f t="shared" si="12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3"/>
        <v/>
      </c>
      <c r="BU16" s="151"/>
      <c r="BV16" s="132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 t="shared" si="28"/>
        <v/>
      </c>
      <c r="CA16" s="128" t="str">
        <f t="shared" si="29"/>
        <v/>
      </c>
      <c r="CB16" s="151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51"/>
    </row>
    <row r="17" spans="1:86" s="115" customFormat="1" ht="12.4" customHeight="1" thickBot="1" x14ac:dyDescent="0.25">
      <c r="A17" s="96">
        <f t="shared" si="30"/>
        <v>46309</v>
      </c>
      <c r="B17" s="97" t="str">
        <f t="shared" si="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99"/>
      <c r="AM17" s="99"/>
      <c r="AN17" s="99"/>
      <c r="AO17" s="99"/>
      <c r="AP17" s="99"/>
      <c r="AQ17" s="99"/>
      <c r="AR17" s="99"/>
      <c r="AS17" s="99"/>
      <c r="AT17" s="100"/>
      <c r="AU17" s="100"/>
      <c r="AV17" s="101"/>
      <c r="AW17" s="100"/>
      <c r="AX17" s="102" t="str">
        <f t="shared" si="23"/>
        <v>-</v>
      </c>
      <c r="AY17" s="151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51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4"/>
        <v/>
      </c>
      <c r="BH17" s="119" t="str">
        <f t="shared" si="7"/>
        <v/>
      </c>
      <c r="BI17" s="120" t="str">
        <f t="shared" si="25"/>
        <v/>
      </c>
      <c r="BJ17" s="151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51"/>
      <c r="BP17" s="124" t="str">
        <f t="shared" si="12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3"/>
        <v/>
      </c>
      <c r="BU17" s="151"/>
      <c r="BV17" s="132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8"/>
        <v/>
      </c>
      <c r="CA17" s="128" t="str">
        <f t="shared" si="29"/>
        <v/>
      </c>
      <c r="CB17" s="151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51"/>
    </row>
    <row r="18" spans="1:86" s="115" customFormat="1" ht="12.4" customHeight="1" thickBot="1" x14ac:dyDescent="0.25">
      <c r="A18" s="96">
        <f t="shared" si="30"/>
        <v>46310</v>
      </c>
      <c r="B18" s="97" t="str">
        <f t="shared" si="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99"/>
      <c r="AM18" s="99"/>
      <c r="AN18" s="99"/>
      <c r="AO18" s="99"/>
      <c r="AP18" s="99"/>
      <c r="AQ18" s="99"/>
      <c r="AR18" s="99"/>
      <c r="AS18" s="99"/>
      <c r="AT18" s="100"/>
      <c r="AU18" s="100"/>
      <c r="AV18" s="101"/>
      <c r="AW18" s="100"/>
      <c r="AX18" s="102" t="str">
        <f t="shared" si="23"/>
        <v>-</v>
      </c>
      <c r="AY18" s="151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51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4"/>
        <v/>
      </c>
      <c r="BH18" s="119" t="str">
        <f t="shared" si="7"/>
        <v/>
      </c>
      <c r="BI18" s="120" t="str">
        <f t="shared" si="25"/>
        <v/>
      </c>
      <c r="BJ18" s="151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51"/>
      <c r="BP18" s="124" t="str">
        <f t="shared" si="12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3"/>
        <v/>
      </c>
      <c r="BU18" s="151"/>
      <c r="BV18" s="132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8"/>
        <v/>
      </c>
      <c r="CA18" s="128" t="str">
        <f t="shared" si="29"/>
        <v/>
      </c>
      <c r="CB18" s="151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51"/>
    </row>
    <row r="19" spans="1:86" s="115" customFormat="1" ht="12.4" customHeight="1" thickBot="1" x14ac:dyDescent="0.25">
      <c r="A19" s="96">
        <f t="shared" si="30"/>
        <v>46311</v>
      </c>
      <c r="B19" s="97" t="str">
        <f t="shared" si="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99"/>
      <c r="AM19" s="99"/>
      <c r="AN19" s="99"/>
      <c r="AO19" s="99"/>
      <c r="AP19" s="99"/>
      <c r="AQ19" s="99"/>
      <c r="AR19" s="99"/>
      <c r="AS19" s="99"/>
      <c r="AT19" s="100"/>
      <c r="AU19" s="100"/>
      <c r="AV19" s="101"/>
      <c r="AW19" s="100"/>
      <c r="AX19" s="102" t="str">
        <f t="shared" si="23"/>
        <v>-</v>
      </c>
      <c r="AY19" s="151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51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4"/>
        <v/>
      </c>
      <c r="BH19" s="119" t="str">
        <f t="shared" si="7"/>
        <v/>
      </c>
      <c r="BI19" s="120" t="str">
        <f t="shared" si="25"/>
        <v/>
      </c>
      <c r="BJ19" s="151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51"/>
      <c r="BP19" s="124" t="str">
        <f t="shared" si="12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3"/>
        <v/>
      </c>
      <c r="BU19" s="151"/>
      <c r="BV19" s="132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8"/>
        <v/>
      </c>
      <c r="CA19" s="128" t="str">
        <f t="shared" si="29"/>
        <v/>
      </c>
      <c r="CB19" s="151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51"/>
    </row>
    <row r="20" spans="1:86" s="115" customFormat="1" ht="12.4" customHeight="1" thickBot="1" x14ac:dyDescent="0.25">
      <c r="A20" s="96">
        <f t="shared" si="30"/>
        <v>46312</v>
      </c>
      <c r="B20" s="97" t="str">
        <f t="shared" si="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99"/>
      <c r="AM20" s="99"/>
      <c r="AN20" s="99"/>
      <c r="AO20" s="99"/>
      <c r="AP20" s="99"/>
      <c r="AQ20" s="99"/>
      <c r="AR20" s="99"/>
      <c r="AS20" s="99"/>
      <c r="AT20" s="100"/>
      <c r="AU20" s="100"/>
      <c r="AV20" s="101"/>
      <c r="AW20" s="100"/>
      <c r="AX20" s="102" t="str">
        <f t="shared" si="23"/>
        <v>-</v>
      </c>
      <c r="AY20" s="151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51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4"/>
        <v/>
      </c>
      <c r="BH20" s="119" t="str">
        <f t="shared" si="7"/>
        <v/>
      </c>
      <c r="BI20" s="120" t="str">
        <f t="shared" si="25"/>
        <v/>
      </c>
      <c r="BJ20" s="151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51"/>
      <c r="BP20" s="124" t="str">
        <f t="shared" si="12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3"/>
        <v/>
      </c>
      <c r="BU20" s="151"/>
      <c r="BV20" s="132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8"/>
        <v/>
      </c>
      <c r="CA20" s="128" t="str">
        <f t="shared" si="29"/>
        <v/>
      </c>
      <c r="CB20" s="151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51"/>
    </row>
    <row r="21" spans="1:86" s="115" customFormat="1" ht="12.4" customHeight="1" thickBot="1" x14ac:dyDescent="0.25">
      <c r="A21" s="96">
        <f t="shared" si="30"/>
        <v>46313</v>
      </c>
      <c r="B21" s="97" t="str">
        <f t="shared" si="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99"/>
      <c r="AM21" s="99"/>
      <c r="AN21" s="99"/>
      <c r="AO21" s="99"/>
      <c r="AP21" s="99"/>
      <c r="AQ21" s="99"/>
      <c r="AR21" s="99"/>
      <c r="AS21" s="99"/>
      <c r="AT21" s="100"/>
      <c r="AU21" s="100"/>
      <c r="AV21" s="101"/>
      <c r="AW21" s="100"/>
      <c r="AX21" s="102" t="str">
        <f t="shared" si="23"/>
        <v>-</v>
      </c>
      <c r="AY21" s="151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51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4"/>
        <v/>
      </c>
      <c r="BH21" s="119" t="str">
        <f t="shared" si="7"/>
        <v/>
      </c>
      <c r="BI21" s="120" t="str">
        <f t="shared" si="25"/>
        <v/>
      </c>
      <c r="BJ21" s="151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51"/>
      <c r="BP21" s="124" t="str">
        <f t="shared" si="12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3"/>
        <v/>
      </c>
      <c r="BU21" s="151"/>
      <c r="BV21" s="132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8"/>
        <v/>
      </c>
      <c r="CA21" s="128" t="str">
        <f t="shared" si="29"/>
        <v/>
      </c>
      <c r="CB21" s="151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51"/>
    </row>
    <row r="22" spans="1:86" s="115" customFormat="1" ht="12.4" customHeight="1" thickBot="1" x14ac:dyDescent="0.25">
      <c r="A22" s="96">
        <f t="shared" si="30"/>
        <v>46314</v>
      </c>
      <c r="B22" s="97" t="str">
        <f t="shared" si="0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99"/>
      <c r="AM22" s="99"/>
      <c r="AN22" s="99"/>
      <c r="AO22" s="99"/>
      <c r="AP22" s="99"/>
      <c r="AQ22" s="99"/>
      <c r="AR22" s="99"/>
      <c r="AS22" s="99"/>
      <c r="AT22" s="100"/>
      <c r="AU22" s="100"/>
      <c r="AV22" s="101"/>
      <c r="AW22" s="100"/>
      <c r="AX22" s="102" t="str">
        <f t="shared" si="23"/>
        <v>-</v>
      </c>
      <c r="AY22" s="151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51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4"/>
        <v/>
      </c>
      <c r="BH22" s="119" t="str">
        <f t="shared" si="7"/>
        <v/>
      </c>
      <c r="BI22" s="120" t="str">
        <f t="shared" si="25"/>
        <v/>
      </c>
      <c r="BJ22" s="151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51"/>
      <c r="BP22" s="124" t="str">
        <f t="shared" si="12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3"/>
        <v/>
      </c>
      <c r="BU22" s="151"/>
      <c r="BV22" s="132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8"/>
        <v/>
      </c>
      <c r="CA22" s="128" t="str">
        <f t="shared" si="29"/>
        <v/>
      </c>
      <c r="CB22" s="151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51"/>
    </row>
    <row r="23" spans="1:86" s="115" customFormat="1" ht="12.4" customHeight="1" thickBot="1" x14ac:dyDescent="0.25">
      <c r="A23" s="96">
        <f t="shared" si="30"/>
        <v>46315</v>
      </c>
      <c r="B23" s="97" t="str">
        <f t="shared" si="0"/>
        <v>Tue</v>
      </c>
      <c r="C23" s="103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99"/>
      <c r="AM23" s="99"/>
      <c r="AN23" s="99"/>
      <c r="AO23" s="99"/>
      <c r="AP23" s="99"/>
      <c r="AQ23" s="99"/>
      <c r="AR23" s="99"/>
      <c r="AS23" s="99"/>
      <c r="AT23" s="100"/>
      <c r="AU23" s="100"/>
      <c r="AV23" s="101"/>
      <c r="AW23" s="100"/>
      <c r="AX23" s="102" t="str">
        <f t="shared" si="23"/>
        <v>-</v>
      </c>
      <c r="AY23" s="151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51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24"/>
        <v/>
      </c>
      <c r="BH23" s="119" t="str">
        <f t="shared" si="7"/>
        <v/>
      </c>
      <c r="BI23" s="120" t="str">
        <f t="shared" si="25"/>
        <v/>
      </c>
      <c r="BJ23" s="151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51"/>
      <c r="BP23" s="124" t="str">
        <f t="shared" si="12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3"/>
        <v/>
      </c>
      <c r="BU23" s="151"/>
      <c r="BV23" s="132" t="str">
        <f t="shared" si="14"/>
        <v/>
      </c>
      <c r="BW23" s="127" t="str">
        <f t="shared" si="15"/>
        <v/>
      </c>
      <c r="BX23" s="127" t="str">
        <f t="shared" si="16"/>
        <v/>
      </c>
      <c r="BY23" s="127" t="str">
        <f t="shared" si="17"/>
        <v/>
      </c>
      <c r="BZ23" s="127" t="str">
        <f t="shared" si="28"/>
        <v/>
      </c>
      <c r="CA23" s="128" t="str">
        <f t="shared" si="29"/>
        <v/>
      </c>
      <c r="CB23" s="151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51"/>
    </row>
    <row r="24" spans="1:86" s="115" customFormat="1" ht="12.4" customHeight="1" thickBot="1" x14ac:dyDescent="0.25">
      <c r="A24" s="96">
        <f t="shared" si="30"/>
        <v>46316</v>
      </c>
      <c r="B24" s="97" t="str">
        <f t="shared" si="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99"/>
      <c r="AM24" s="99"/>
      <c r="AN24" s="99"/>
      <c r="AO24" s="99"/>
      <c r="AP24" s="99"/>
      <c r="AQ24" s="99"/>
      <c r="AR24" s="99"/>
      <c r="AS24" s="99"/>
      <c r="AT24" s="100"/>
      <c r="AU24" s="100"/>
      <c r="AV24" s="101"/>
      <c r="AW24" s="100"/>
      <c r="AX24" s="102" t="str">
        <f t="shared" si="23"/>
        <v>-</v>
      </c>
      <c r="AY24" s="151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51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24"/>
        <v/>
      </c>
      <c r="BH24" s="119" t="str">
        <f t="shared" si="7"/>
        <v/>
      </c>
      <c r="BI24" s="120" t="str">
        <f t="shared" si="25"/>
        <v/>
      </c>
      <c r="BJ24" s="151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51"/>
      <c r="BP24" s="124" t="str">
        <f t="shared" si="12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3"/>
        <v/>
      </c>
      <c r="BU24" s="151"/>
      <c r="BV24" s="132" t="str">
        <f t="shared" si="14"/>
        <v/>
      </c>
      <c r="BW24" s="127" t="str">
        <f t="shared" si="15"/>
        <v/>
      </c>
      <c r="BX24" s="127" t="str">
        <f t="shared" si="16"/>
        <v/>
      </c>
      <c r="BY24" s="127" t="str">
        <f t="shared" si="17"/>
        <v/>
      </c>
      <c r="BZ24" s="127" t="str">
        <f t="shared" si="28"/>
        <v/>
      </c>
      <c r="CA24" s="128" t="str">
        <f t="shared" si="29"/>
        <v/>
      </c>
      <c r="CB24" s="151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51"/>
    </row>
    <row r="25" spans="1:86" s="115" customFormat="1" ht="12.4" customHeight="1" thickBot="1" x14ac:dyDescent="0.25">
      <c r="A25" s="96">
        <f t="shared" si="30"/>
        <v>46317</v>
      </c>
      <c r="B25" s="97" t="str">
        <f t="shared" si="0"/>
        <v>Thu</v>
      </c>
      <c r="C25" s="98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99"/>
      <c r="AM25" s="99"/>
      <c r="AN25" s="99"/>
      <c r="AO25" s="99"/>
      <c r="AP25" s="99"/>
      <c r="AQ25" s="99"/>
      <c r="AR25" s="99"/>
      <c r="AS25" s="99"/>
      <c r="AT25" s="100"/>
      <c r="AU25" s="100"/>
      <c r="AV25" s="101"/>
      <c r="AW25" s="100"/>
      <c r="AX25" s="102" t="str">
        <f t="shared" si="23"/>
        <v>-</v>
      </c>
      <c r="AY25" s="151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51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4"/>
        <v/>
      </c>
      <c r="BH25" s="119" t="str">
        <f t="shared" si="7"/>
        <v/>
      </c>
      <c r="BI25" s="120" t="str">
        <f t="shared" si="25"/>
        <v/>
      </c>
      <c r="BJ25" s="151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51"/>
      <c r="BP25" s="124" t="str">
        <f t="shared" si="12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3"/>
        <v/>
      </c>
      <c r="BU25" s="151"/>
      <c r="BV25" s="132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8"/>
        <v/>
      </c>
      <c r="CA25" s="128" t="str">
        <f t="shared" si="29"/>
        <v/>
      </c>
      <c r="CB25" s="151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51"/>
    </row>
    <row r="26" spans="1:86" s="115" customFormat="1" ht="12.4" customHeight="1" thickBot="1" x14ac:dyDescent="0.25">
      <c r="A26" s="96">
        <f t="shared" si="30"/>
        <v>46318</v>
      </c>
      <c r="B26" s="97" t="str">
        <f>+TEXT(A26,"DDD")</f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99"/>
      <c r="AM26" s="99"/>
      <c r="AN26" s="99"/>
      <c r="AO26" s="99"/>
      <c r="AP26" s="99"/>
      <c r="AQ26" s="99"/>
      <c r="AR26" s="99"/>
      <c r="AS26" s="99"/>
      <c r="AT26" s="100"/>
      <c r="AU26" s="100"/>
      <c r="AV26" s="101"/>
      <c r="AW26" s="100"/>
      <c r="AX26" s="102" t="str">
        <f t="shared" si="23"/>
        <v>-</v>
      </c>
      <c r="AY26" s="151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51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4"/>
        <v/>
      </c>
      <c r="BH26" s="119" t="str">
        <f t="shared" si="7"/>
        <v/>
      </c>
      <c r="BI26" s="120" t="str">
        <f t="shared" si="25"/>
        <v/>
      </c>
      <c r="BJ26" s="151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51"/>
      <c r="BP26" s="124" t="str">
        <f t="shared" si="12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3"/>
        <v/>
      </c>
      <c r="BU26" s="151"/>
      <c r="BV26" s="132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8"/>
        <v/>
      </c>
      <c r="CA26" s="128" t="str">
        <f t="shared" si="29"/>
        <v/>
      </c>
      <c r="CB26" s="151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51"/>
    </row>
    <row r="27" spans="1:86" s="115" customFormat="1" ht="12.4" customHeight="1" thickBot="1" x14ac:dyDescent="0.25">
      <c r="A27" s="96">
        <f t="shared" si="30"/>
        <v>46319</v>
      </c>
      <c r="B27" s="97" t="str">
        <f t="shared" si="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99"/>
      <c r="AM27" s="99"/>
      <c r="AN27" s="99"/>
      <c r="AO27" s="99"/>
      <c r="AP27" s="99"/>
      <c r="AQ27" s="99"/>
      <c r="AR27" s="99"/>
      <c r="AS27" s="99"/>
      <c r="AT27" s="100"/>
      <c r="AU27" s="100"/>
      <c r="AV27" s="101"/>
      <c r="AW27" s="100"/>
      <c r="AX27" s="102" t="str">
        <f t="shared" si="23"/>
        <v>-</v>
      </c>
      <c r="AY27" s="151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51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4"/>
        <v/>
      </c>
      <c r="BH27" s="119" t="str">
        <f t="shared" si="7"/>
        <v/>
      </c>
      <c r="BI27" s="120" t="str">
        <f t="shared" si="25"/>
        <v/>
      </c>
      <c r="BJ27" s="151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51"/>
      <c r="BP27" s="124" t="str">
        <f t="shared" si="12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3"/>
        <v/>
      </c>
      <c r="BU27" s="151"/>
      <c r="BV27" s="132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8"/>
        <v/>
      </c>
      <c r="CA27" s="128" t="str">
        <f t="shared" si="29"/>
        <v/>
      </c>
      <c r="CB27" s="151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51"/>
    </row>
    <row r="28" spans="1:86" s="115" customFormat="1" ht="12.4" customHeight="1" thickBot="1" x14ac:dyDescent="0.25">
      <c r="A28" s="96">
        <f t="shared" si="30"/>
        <v>46320</v>
      </c>
      <c r="B28" s="97" t="str">
        <f t="shared" si="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99"/>
      <c r="AM28" s="99"/>
      <c r="AN28" s="99"/>
      <c r="AO28" s="99"/>
      <c r="AP28" s="99"/>
      <c r="AQ28" s="99"/>
      <c r="AR28" s="99"/>
      <c r="AS28" s="99"/>
      <c r="AT28" s="100"/>
      <c r="AU28" s="100"/>
      <c r="AV28" s="101"/>
      <c r="AW28" s="100"/>
      <c r="AX28" s="102" t="str">
        <f t="shared" si="23"/>
        <v>-</v>
      </c>
      <c r="AY28" s="151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51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4"/>
        <v/>
      </c>
      <c r="BH28" s="119" t="str">
        <f t="shared" si="7"/>
        <v/>
      </c>
      <c r="BI28" s="120" t="str">
        <f t="shared" si="25"/>
        <v/>
      </c>
      <c r="BJ28" s="151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51"/>
      <c r="BP28" s="124" t="str">
        <f t="shared" si="12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3"/>
        <v/>
      </c>
      <c r="BU28" s="151"/>
      <c r="BV28" s="132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8"/>
        <v/>
      </c>
      <c r="CA28" s="128" t="str">
        <f t="shared" si="29"/>
        <v/>
      </c>
      <c r="CB28" s="151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51"/>
    </row>
    <row r="29" spans="1:86" s="115" customFormat="1" ht="12.4" customHeight="1" thickBot="1" x14ac:dyDescent="0.25">
      <c r="A29" s="96">
        <f t="shared" si="30"/>
        <v>46321</v>
      </c>
      <c r="B29" s="97" t="str">
        <f t="shared" si="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99"/>
      <c r="AM29" s="99"/>
      <c r="AN29" s="99"/>
      <c r="AO29" s="99"/>
      <c r="AP29" s="99"/>
      <c r="AQ29" s="99"/>
      <c r="AR29" s="99"/>
      <c r="AS29" s="99"/>
      <c r="AT29" s="100"/>
      <c r="AU29" s="100"/>
      <c r="AV29" s="101"/>
      <c r="AW29" s="100"/>
      <c r="AX29" s="102" t="str">
        <f>IFERROR(AN29/AW29,"-")</f>
        <v>-</v>
      </c>
      <c r="AY29" s="151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51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4"/>
        <v/>
      </c>
      <c r="BH29" s="119" t="str">
        <f t="shared" si="7"/>
        <v/>
      </c>
      <c r="BI29" s="120" t="str">
        <f t="shared" si="25"/>
        <v/>
      </c>
      <c r="BJ29" s="151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51"/>
      <c r="BP29" s="124" t="str">
        <f t="shared" si="12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3"/>
        <v/>
      </c>
      <c r="BU29" s="151"/>
      <c r="BV29" s="132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8"/>
        <v/>
      </c>
      <c r="CA29" s="128" t="str">
        <f t="shared" si="29"/>
        <v/>
      </c>
      <c r="CB29" s="151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51"/>
    </row>
    <row r="30" spans="1:86" s="115" customFormat="1" ht="12.4" customHeight="1" thickBot="1" x14ac:dyDescent="0.25">
      <c r="A30" s="96">
        <f t="shared" si="30"/>
        <v>46322</v>
      </c>
      <c r="B30" s="97" t="str">
        <f t="shared" si="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99"/>
      <c r="AM30" s="99"/>
      <c r="AN30" s="99"/>
      <c r="AO30" s="99"/>
      <c r="AP30" s="99"/>
      <c r="AQ30" s="99"/>
      <c r="AR30" s="99"/>
      <c r="AS30" s="99"/>
      <c r="AT30" s="100"/>
      <c r="AU30" s="100"/>
      <c r="AV30" s="101"/>
      <c r="AW30" s="100"/>
      <c r="AX30" s="102" t="str">
        <f>IFERROR(AN30/AW30,"-")</f>
        <v>-</v>
      </c>
      <c r="AY30" s="151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51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4"/>
        <v/>
      </c>
      <c r="BH30" s="119" t="str">
        <f t="shared" si="7"/>
        <v/>
      </c>
      <c r="BI30" s="120" t="str">
        <f t="shared" si="25"/>
        <v/>
      </c>
      <c r="BJ30" s="151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51"/>
      <c r="BP30" s="124" t="str">
        <f t="shared" si="12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3"/>
        <v/>
      </c>
      <c r="BU30" s="151"/>
      <c r="BV30" s="132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8"/>
        <v/>
      </c>
      <c r="CA30" s="128" t="str">
        <f t="shared" si="29"/>
        <v/>
      </c>
      <c r="CB30" s="151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51"/>
    </row>
    <row r="31" spans="1:86" s="115" customFormat="1" ht="12.4" customHeight="1" thickBot="1" x14ac:dyDescent="0.25">
      <c r="A31" s="96">
        <f t="shared" si="30"/>
        <v>46323</v>
      </c>
      <c r="B31" s="97" t="str">
        <f>+TEXT(A31,"DDD")</f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99"/>
      <c r="AM31" s="99"/>
      <c r="AN31" s="99"/>
      <c r="AO31" s="99"/>
      <c r="AP31" s="99"/>
      <c r="AQ31" s="99"/>
      <c r="AR31" s="99"/>
      <c r="AS31" s="99"/>
      <c r="AT31" s="100"/>
      <c r="AU31" s="100"/>
      <c r="AV31" s="101"/>
      <c r="AW31" s="100"/>
      <c r="AX31" s="102" t="str">
        <f t="shared" si="23"/>
        <v>-</v>
      </c>
      <c r="AY31" s="151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51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4"/>
        <v/>
      </c>
      <c r="BH31" s="119" t="str">
        <f t="shared" si="7"/>
        <v/>
      </c>
      <c r="BI31" s="120" t="str">
        <f t="shared" si="25"/>
        <v/>
      </c>
      <c r="BJ31" s="151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51"/>
      <c r="BP31" s="124" t="str">
        <f t="shared" si="12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3"/>
        <v/>
      </c>
      <c r="BU31" s="151"/>
      <c r="BV31" s="132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8"/>
        <v/>
      </c>
      <c r="CA31" s="128" t="str">
        <f t="shared" si="29"/>
        <v/>
      </c>
      <c r="CB31" s="151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51"/>
    </row>
    <row r="32" spans="1:86" s="115" customFormat="1" ht="12.4" customHeight="1" thickBot="1" x14ac:dyDescent="0.25">
      <c r="A32" s="96">
        <f t="shared" si="30"/>
        <v>46324</v>
      </c>
      <c r="B32" s="97" t="str">
        <f>+TEXT(A32,"DDD")</f>
        <v>Thu</v>
      </c>
      <c r="AX32" s="102" t="str">
        <f>IFERROR(AN33/AW33,"-")</f>
        <v>-</v>
      </c>
      <c r="AY32" s="151"/>
      <c r="AZ32" s="116" t="str">
        <f>IF(E33&gt;0,F33/E33,"")</f>
        <v/>
      </c>
      <c r="BA32" s="117" t="str">
        <f>+IF(E33&gt;0,G33/E33,"")</f>
        <v/>
      </c>
      <c r="BB32" s="116" t="str">
        <f>+IF(E33&gt;0,AJ33/E33,"")</f>
        <v/>
      </c>
      <c r="BC32" s="151"/>
      <c r="BD32" s="118" t="str">
        <f>+IF(G33&gt;0,I33/G33,"")</f>
        <v/>
      </c>
      <c r="BE32" s="119" t="str">
        <f>+IF(G33&gt;0,J33/G33,"")</f>
        <v/>
      </c>
      <c r="BF32" s="119" t="str">
        <f>+IF(I33&gt;0,L33/I33,"")</f>
        <v/>
      </c>
      <c r="BG32" s="119" t="str">
        <f>+IF(SUM(AO33:AR33)&gt;0,AO33/AN33,"")</f>
        <v/>
      </c>
      <c r="BH32" s="119" t="str">
        <f>+IF(G33&gt;0,K33/G33,"")</f>
        <v/>
      </c>
      <c r="BI32" s="120" t="str">
        <f>+IF(SUM(AO33:AR33)&gt;0,AQ33/AN33,"")</f>
        <v/>
      </c>
      <c r="BJ32" s="151"/>
      <c r="BK32" s="121" t="str">
        <f>+IF(E33&gt;0,(AJ33/E33),"")</f>
        <v/>
      </c>
      <c r="BL32" s="122" t="str">
        <f>+IF(E33&gt;0,(AJ33/F33),"")</f>
        <v/>
      </c>
      <c r="BM32" s="122" t="str">
        <f>+IF(E33&gt;0,(AJ33/G33),"")</f>
        <v/>
      </c>
      <c r="BN32" s="123" t="str">
        <f>+IF(E33&gt;0,(AJ33/J33),"")</f>
        <v/>
      </c>
      <c r="BO32" s="151"/>
      <c r="BP32" s="124" t="str">
        <f>IF(AJ33&gt;0,(N33/AJ33),"")</f>
        <v/>
      </c>
      <c r="BQ32" s="125">
        <v>0</v>
      </c>
      <c r="BR32" s="125" t="str">
        <f>IF(AJ33&gt;0,(AK33/AJ33),"")</f>
        <v/>
      </c>
      <c r="BS32" s="125" t="str">
        <f>IF(AJ33&gt;0,(AK33/AJ33),"")</f>
        <v/>
      </c>
      <c r="BT32" s="126" t="str">
        <f>IF(J33&gt;0,AD33/J33,"")</f>
        <v/>
      </c>
      <c r="BU32" s="151"/>
      <c r="BV32" s="132" t="str">
        <f>IF(AN33&gt;0,(E33/AN33),"")</f>
        <v/>
      </c>
      <c r="BW32" s="127" t="str">
        <f>IF(AN33&gt;0,(G33/AN33),"")</f>
        <v/>
      </c>
      <c r="BX32" s="127" t="str">
        <f>IF(AN33&gt;0,(J33/AN33),"")</f>
        <v/>
      </c>
      <c r="BY32" s="127" t="str">
        <f>IF(AN33&gt;0,(K33/AN33),"")</f>
        <v/>
      </c>
      <c r="BZ32" s="127" t="str">
        <f>IF(AN33&gt;0,(AJ33/AN33),"")</f>
        <v/>
      </c>
      <c r="CA32" s="128" t="str">
        <f>IF(AN33&gt;0,(AK33/AN33),"")</f>
        <v/>
      </c>
      <c r="CB32" s="151"/>
      <c r="CC32" s="129" t="str">
        <f>IFERROR(((AN33-AO33)*3600)/J33,"-")</f>
        <v>-</v>
      </c>
      <c r="CD32" s="130" t="str">
        <f>IFERROR((AR33*3600)/J33,"-")</f>
        <v>-</v>
      </c>
      <c r="CE32" s="130" t="str">
        <f>IFERROR((AQ33*3600)/J33,"-")</f>
        <v>-</v>
      </c>
      <c r="CF32" s="130" t="str">
        <f>IFERROR((AO33*3600)/J33,"-")</f>
        <v>-</v>
      </c>
      <c r="CG32" s="131" t="str">
        <f>IFERROR((AP33*3600)/J33,"-")</f>
        <v>-</v>
      </c>
      <c r="CH32" s="151"/>
    </row>
    <row r="33" spans="1:86" s="115" customFormat="1" ht="12.4" customHeight="1" thickBot="1" x14ac:dyDescent="0.25">
      <c r="A33" s="96">
        <f t="shared" si="30"/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99"/>
      <c r="AM33" s="99"/>
      <c r="AN33" s="99"/>
      <c r="AO33" s="99"/>
      <c r="AP33" s="99"/>
      <c r="AQ33" s="99"/>
      <c r="AR33" s="99"/>
      <c r="AS33" s="99"/>
      <c r="AT33" s="100"/>
      <c r="AU33" s="100"/>
      <c r="AV33" s="101"/>
      <c r="AW33" s="100"/>
      <c r="AX33" s="102" t="str">
        <f>IFERROR(#REF!/#REF!,"-")</f>
        <v>-</v>
      </c>
      <c r="AY33" s="151"/>
      <c r="AZ33" s="116" t="e">
        <f>IF(#REF!&gt;0,#REF!/#REF!,"")</f>
        <v>#REF!</v>
      </c>
      <c r="BA33" s="117" t="e">
        <f>+IF(#REF!&gt;0,#REF!/#REF!,"")</f>
        <v>#REF!</v>
      </c>
      <c r="BB33" s="116" t="e">
        <f>+IF(#REF!&gt;0,#REF!/#REF!,"")</f>
        <v>#REF!</v>
      </c>
      <c r="BC33" s="151"/>
      <c r="BD33" s="118" t="e">
        <f>+IF(#REF!&gt;0,#REF!/#REF!,"")</f>
        <v>#REF!</v>
      </c>
      <c r="BE33" s="119" t="e">
        <f>+IF(#REF!&gt;0,#REF!/#REF!,"")</f>
        <v>#REF!</v>
      </c>
      <c r="BF33" s="119" t="e">
        <f>+IF(#REF!&gt;0,#REF!/#REF!,"")</f>
        <v>#REF!</v>
      </c>
      <c r="BG33" s="119" t="e">
        <f>+IF(SUM(#REF!)&gt;0,#REF!/#REF!,"")</f>
        <v>#REF!</v>
      </c>
      <c r="BH33" s="119" t="e">
        <f>+IF(#REF!&gt;0,#REF!/#REF!,"")</f>
        <v>#REF!</v>
      </c>
      <c r="BI33" s="120" t="e">
        <f>+IF(SUM(#REF!)&gt;0,#REF!/#REF!,"")</f>
        <v>#REF!</v>
      </c>
      <c r="BJ33" s="151"/>
      <c r="BK33" s="121" t="e">
        <f>+IF(#REF!&gt;0,(#REF!/#REF!),"")</f>
        <v>#REF!</v>
      </c>
      <c r="BL33" s="122" t="e">
        <f>+IF(#REF!&gt;0,(#REF!/#REF!),"")</f>
        <v>#REF!</v>
      </c>
      <c r="BM33" s="122" t="e">
        <f>+IF(#REF!&gt;0,(#REF!/#REF!),"")</f>
        <v>#REF!</v>
      </c>
      <c r="BN33" s="123" t="e">
        <f>+IF(#REF!&gt;0,(#REF!/#REF!),"")</f>
        <v>#REF!</v>
      </c>
      <c r="BO33" s="151"/>
      <c r="BP33" s="124" t="e">
        <f>IF(#REF!&gt;0,(#REF!/#REF!),"")</f>
        <v>#REF!</v>
      </c>
      <c r="BQ33" s="125">
        <v>0</v>
      </c>
      <c r="BR33" s="125" t="e">
        <f>IF(#REF!&gt;0,(#REF!/#REF!),"")</f>
        <v>#REF!</v>
      </c>
      <c r="BS33" s="125" t="e">
        <f>IF(#REF!&gt;0,(#REF!/#REF!),"")</f>
        <v>#REF!</v>
      </c>
      <c r="BT33" s="126" t="e">
        <f>IF(#REF!&gt;0,#REF!/#REF!,"")</f>
        <v>#REF!</v>
      </c>
      <c r="BU33" s="151"/>
      <c r="BV33" s="132" t="e">
        <f>IF(#REF!&gt;0,(#REF!/#REF!),"")</f>
        <v>#REF!</v>
      </c>
      <c r="BW33" s="127" t="e">
        <f>IF(#REF!&gt;0,(#REF!/#REF!),"")</f>
        <v>#REF!</v>
      </c>
      <c r="BX33" s="127" t="e">
        <f>IF(#REF!&gt;0,(#REF!/#REF!),"")</f>
        <v>#REF!</v>
      </c>
      <c r="BY33" s="127" t="e">
        <f>IF(#REF!&gt;0,(#REF!/#REF!),"")</f>
        <v>#REF!</v>
      </c>
      <c r="BZ33" s="127" t="e">
        <f>IF(#REF!&gt;0,(#REF!/#REF!),"")</f>
        <v>#REF!</v>
      </c>
      <c r="CA33" s="128" t="e">
        <f>IF(#REF!&gt;0,(#REF!/#REF!),"")</f>
        <v>#REF!</v>
      </c>
      <c r="CB33" s="151"/>
      <c r="CC33" s="129" t="str">
        <f>IFERROR(((#REF!-#REF!)*3600)/#REF!,"-")</f>
        <v>-</v>
      </c>
      <c r="CD33" s="130" t="str">
        <f>IFERROR((#REF!*3600)/#REF!,"-")</f>
        <v>-</v>
      </c>
      <c r="CE33" s="130" t="str">
        <f>IFERROR((#REF!*3600)/#REF!,"-")</f>
        <v>-</v>
      </c>
      <c r="CF33" s="130" t="str">
        <f>IFERROR((#REF!*3600)/#REF!,"-")</f>
        <v>-</v>
      </c>
      <c r="CG33" s="131" t="str">
        <f>IFERROR((#REF!*3600)/#REF!,"-")</f>
        <v>-</v>
      </c>
      <c r="CH33" s="151"/>
    </row>
    <row r="34" spans="1:86" s="115" customFormat="1" ht="12.4" customHeight="1" thickBot="1" x14ac:dyDescent="0.25">
      <c r="A34" s="96">
        <f t="shared" si="30"/>
        <v>46326</v>
      </c>
      <c r="B34" s="97" t="str">
        <f>+TEXT(A34,"DDD")</f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99"/>
      <c r="AM34" s="99"/>
      <c r="AN34" s="99"/>
      <c r="AO34" s="99"/>
      <c r="AP34" s="99"/>
      <c r="AQ34" s="99"/>
      <c r="AR34" s="99"/>
      <c r="AS34" s="99"/>
      <c r="AT34" s="100"/>
      <c r="AU34" s="100"/>
      <c r="AV34" s="101"/>
      <c r="AW34" s="100"/>
      <c r="AX34" s="102" t="str">
        <f>IFERROR(AN34/AW34,"-")</f>
        <v>-</v>
      </c>
      <c r="AY34" s="151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51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 t="shared" si="24"/>
        <v/>
      </c>
      <c r="BH34" s="119" t="str">
        <f t="shared" si="7"/>
        <v/>
      </c>
      <c r="BI34" s="120" t="str">
        <f t="shared" si="25"/>
        <v/>
      </c>
      <c r="BJ34" s="151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51"/>
      <c r="BP34" s="124" t="str">
        <f t="shared" si="12"/>
        <v/>
      </c>
      <c r="BQ34" s="125">
        <v>0</v>
      </c>
      <c r="BR34" s="125" t="str">
        <f t="shared" si="26"/>
        <v/>
      </c>
      <c r="BS34" s="125" t="str">
        <f t="shared" si="27"/>
        <v/>
      </c>
      <c r="BT34" s="126" t="str">
        <f t="shared" si="13"/>
        <v/>
      </c>
      <c r="BU34" s="151"/>
      <c r="BV34" s="132" t="str">
        <f t="shared" si="14"/>
        <v/>
      </c>
      <c r="BW34" s="127" t="str">
        <f t="shared" si="15"/>
        <v/>
      </c>
      <c r="BX34" s="127" t="str">
        <f t="shared" si="16"/>
        <v/>
      </c>
      <c r="BY34" s="127" t="str">
        <f t="shared" si="17"/>
        <v/>
      </c>
      <c r="BZ34" s="127" t="str">
        <f t="shared" si="28"/>
        <v/>
      </c>
      <c r="CA34" s="128" t="str">
        <f t="shared" si="29"/>
        <v/>
      </c>
      <c r="CB34" s="151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51"/>
    </row>
    <row r="35" spans="1:86" s="115" customFormat="1" ht="13.15" customHeight="1" thickBot="1" x14ac:dyDescent="0.25">
      <c r="A35" s="235" t="s">
        <v>68</v>
      </c>
      <c r="B35" s="236"/>
      <c r="C35" s="109" t="e">
        <f>AVERAGE(C4:C34)</f>
        <v>#DIV/0!</v>
      </c>
      <c r="D35" s="109" t="e">
        <f t="shared" ref="D35:AW35" si="31">AVERAGE(D4:D34)</f>
        <v>#DIV/0!</v>
      </c>
      <c r="E35" s="109" t="e">
        <f t="shared" si="31"/>
        <v>#DIV/0!</v>
      </c>
      <c r="F35" s="109" t="e">
        <f t="shared" si="31"/>
        <v>#DIV/0!</v>
      </c>
      <c r="G35" s="109" t="e">
        <f t="shared" si="31"/>
        <v>#DIV/0!</v>
      </c>
      <c r="H35" s="109" t="e">
        <f t="shared" si="31"/>
        <v>#DIV/0!</v>
      </c>
      <c r="I35" s="109" t="e">
        <f t="shared" si="31"/>
        <v>#DIV/0!</v>
      </c>
      <c r="J35" s="109" t="e">
        <f t="shared" si="31"/>
        <v>#DIV/0!</v>
      </c>
      <c r="K35" s="109" t="e">
        <f t="shared" si="31"/>
        <v>#DIV/0!</v>
      </c>
      <c r="L35" s="109" t="e">
        <f t="shared" si="31"/>
        <v>#DIV/0!</v>
      </c>
      <c r="M35" s="109" t="e">
        <f t="shared" si="31"/>
        <v>#DIV/0!</v>
      </c>
      <c r="N35" s="109" t="e">
        <f t="shared" si="31"/>
        <v>#DIV/0!</v>
      </c>
      <c r="O35" s="109" t="e">
        <f t="shared" si="31"/>
        <v>#DIV/0!</v>
      </c>
      <c r="P35" s="109" t="e">
        <f t="shared" si="31"/>
        <v>#DIV/0!</v>
      </c>
      <c r="Q35" s="109" t="e">
        <f t="shared" si="31"/>
        <v>#DIV/0!</v>
      </c>
      <c r="R35" s="109" t="e">
        <f t="shared" si="31"/>
        <v>#DIV/0!</v>
      </c>
      <c r="S35" s="109" t="e">
        <f t="shared" si="31"/>
        <v>#DIV/0!</v>
      </c>
      <c r="T35" s="109" t="e">
        <f t="shared" si="31"/>
        <v>#DIV/0!</v>
      </c>
      <c r="U35" s="109" t="e">
        <f t="shared" si="31"/>
        <v>#DIV/0!</v>
      </c>
      <c r="V35" s="109" t="e">
        <f t="shared" si="31"/>
        <v>#DIV/0!</v>
      </c>
      <c r="W35" s="109" t="e">
        <f t="shared" si="31"/>
        <v>#DIV/0!</v>
      </c>
      <c r="X35" s="109" t="e">
        <f t="shared" si="31"/>
        <v>#DIV/0!</v>
      </c>
      <c r="Y35" s="109" t="e">
        <f t="shared" si="31"/>
        <v>#DIV/0!</v>
      </c>
      <c r="Z35" s="109" t="e">
        <f t="shared" si="31"/>
        <v>#DIV/0!</v>
      </c>
      <c r="AA35" s="109" t="e">
        <f t="shared" si="31"/>
        <v>#DIV/0!</v>
      </c>
      <c r="AB35" s="109" t="e">
        <f t="shared" si="31"/>
        <v>#DIV/0!</v>
      </c>
      <c r="AC35" s="109" t="e">
        <f t="shared" si="31"/>
        <v>#DIV/0!</v>
      </c>
      <c r="AD35" s="109" t="e">
        <f t="shared" si="31"/>
        <v>#DIV/0!</v>
      </c>
      <c r="AE35" s="109" t="e">
        <f t="shared" si="31"/>
        <v>#DIV/0!</v>
      </c>
      <c r="AF35" s="109" t="e">
        <f t="shared" si="31"/>
        <v>#DIV/0!</v>
      </c>
      <c r="AG35" s="109" t="e">
        <f t="shared" si="31"/>
        <v>#DIV/0!</v>
      </c>
      <c r="AH35" s="109" t="e">
        <f t="shared" si="31"/>
        <v>#DIV/0!</v>
      </c>
      <c r="AI35" s="109" t="e">
        <f t="shared" si="31"/>
        <v>#DIV/0!</v>
      </c>
      <c r="AJ35" s="109" t="e">
        <f t="shared" si="31"/>
        <v>#DIV/0!</v>
      </c>
      <c r="AK35" s="109" t="e">
        <f t="shared" si="31"/>
        <v>#DIV/0!</v>
      </c>
      <c r="AL35" s="109" t="e">
        <f t="shared" si="31"/>
        <v>#DIV/0!</v>
      </c>
      <c r="AM35" s="109" t="e">
        <f t="shared" si="31"/>
        <v>#DIV/0!</v>
      </c>
      <c r="AN35" s="109" t="e">
        <f t="shared" si="31"/>
        <v>#DIV/0!</v>
      </c>
      <c r="AO35" s="109" t="e">
        <f t="shared" si="31"/>
        <v>#DIV/0!</v>
      </c>
      <c r="AP35" s="109" t="e">
        <f t="shared" si="31"/>
        <v>#DIV/0!</v>
      </c>
      <c r="AQ35" s="109" t="e">
        <f t="shared" si="31"/>
        <v>#DIV/0!</v>
      </c>
      <c r="AR35" s="109" t="e">
        <f t="shared" si="31"/>
        <v>#DIV/0!</v>
      </c>
      <c r="AS35" s="109" t="e">
        <f t="shared" si="31"/>
        <v>#DIV/0!</v>
      </c>
      <c r="AT35" s="109" t="e">
        <f t="shared" si="31"/>
        <v>#DIV/0!</v>
      </c>
      <c r="AU35" s="109" t="e">
        <f t="shared" si="31"/>
        <v>#DIV/0!</v>
      </c>
      <c r="AV35" s="109" t="e">
        <f t="shared" si="31"/>
        <v>#DIV/0!</v>
      </c>
      <c r="AW35" s="109" t="e">
        <f t="shared" si="31"/>
        <v>#DIV/0!</v>
      </c>
      <c r="AX35" s="110" t="str">
        <f t="shared" si="23"/>
        <v>-</v>
      </c>
      <c r="AY35" s="151"/>
      <c r="AZ35" s="133" t="e">
        <f t="shared" si="1"/>
        <v>#DIV/0!</v>
      </c>
      <c r="BA35" s="134" t="e">
        <f t="shared" si="2"/>
        <v>#DIV/0!</v>
      </c>
      <c r="BB35" s="135" t="e">
        <f t="shared" si="3"/>
        <v>#DIV/0!</v>
      </c>
      <c r="BC35" s="151"/>
      <c r="BD35" s="133" t="e">
        <f t="shared" si="4"/>
        <v>#DIV/0!</v>
      </c>
      <c r="BE35" s="136" t="e">
        <f t="shared" si="5"/>
        <v>#DIV/0!</v>
      </c>
      <c r="BF35" s="136" t="e">
        <f t="shared" si="6"/>
        <v>#DIV/0!</v>
      </c>
      <c r="BG35" s="136" t="e">
        <f t="shared" si="24"/>
        <v>#DIV/0!</v>
      </c>
      <c r="BH35" s="136" t="e">
        <f t="shared" si="7"/>
        <v>#DIV/0!</v>
      </c>
      <c r="BI35" s="135" t="e">
        <f t="shared" si="25"/>
        <v>#DIV/0!</v>
      </c>
      <c r="BJ35" s="151"/>
      <c r="BK35" s="133" t="e">
        <f t="shared" si="8"/>
        <v>#DIV/0!</v>
      </c>
      <c r="BL35" s="136" t="e">
        <f t="shared" si="9"/>
        <v>#DIV/0!</v>
      </c>
      <c r="BM35" s="136" t="e">
        <f t="shared" si="10"/>
        <v>#DIV/0!</v>
      </c>
      <c r="BN35" s="135" t="e">
        <f t="shared" si="11"/>
        <v>#DIV/0!</v>
      </c>
      <c r="BO35" s="151"/>
      <c r="BP35" s="133" t="e">
        <f t="shared" si="12"/>
        <v>#DIV/0!</v>
      </c>
      <c r="BQ35" s="136">
        <v>0</v>
      </c>
      <c r="BR35" s="136" t="e">
        <f t="shared" si="26"/>
        <v>#DIV/0!</v>
      </c>
      <c r="BS35" s="136" t="e">
        <f t="shared" si="27"/>
        <v>#DIV/0!</v>
      </c>
      <c r="BT35" s="135" t="e">
        <f t="shared" si="13"/>
        <v>#DIV/0!</v>
      </c>
      <c r="BU35" s="151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8"/>
        <v>#DIV/0!</v>
      </c>
      <c r="CA35" s="139" t="e">
        <f t="shared" si="29"/>
        <v>#DIV/0!</v>
      </c>
      <c r="CB35" s="151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51"/>
    </row>
    <row r="36" spans="1:86" s="115" customFormat="1" ht="13.15" customHeight="1" thickBot="1" x14ac:dyDescent="0.25">
      <c r="A36" s="235" t="s">
        <v>69</v>
      </c>
      <c r="B36" s="236"/>
      <c r="C36" s="111">
        <f>SUM(C4:C34)</f>
        <v>0</v>
      </c>
      <c r="D36" s="111">
        <f t="shared" ref="D36:AW36" si="32">SUM(D4:D34)</f>
        <v>0</v>
      </c>
      <c r="E36" s="111">
        <f t="shared" si="32"/>
        <v>0</v>
      </c>
      <c r="F36" s="111">
        <f t="shared" si="32"/>
        <v>0</v>
      </c>
      <c r="G36" s="111">
        <f t="shared" si="32"/>
        <v>0</v>
      </c>
      <c r="H36" s="111">
        <f t="shared" si="32"/>
        <v>0</v>
      </c>
      <c r="I36" s="111">
        <f t="shared" si="32"/>
        <v>0</v>
      </c>
      <c r="J36" s="111">
        <f t="shared" si="32"/>
        <v>0</v>
      </c>
      <c r="K36" s="111">
        <f t="shared" si="32"/>
        <v>0</v>
      </c>
      <c r="L36" s="111">
        <f t="shared" si="32"/>
        <v>0</v>
      </c>
      <c r="M36" s="111">
        <f t="shared" si="32"/>
        <v>0</v>
      </c>
      <c r="N36" s="111">
        <f t="shared" si="32"/>
        <v>0</v>
      </c>
      <c r="O36" s="111">
        <f t="shared" si="32"/>
        <v>0</v>
      </c>
      <c r="P36" s="111">
        <f t="shared" si="32"/>
        <v>0</v>
      </c>
      <c r="Q36" s="111">
        <f t="shared" si="32"/>
        <v>0</v>
      </c>
      <c r="R36" s="111">
        <f t="shared" si="32"/>
        <v>0</v>
      </c>
      <c r="S36" s="111">
        <f t="shared" si="32"/>
        <v>0</v>
      </c>
      <c r="T36" s="111">
        <f t="shared" si="32"/>
        <v>0</v>
      </c>
      <c r="U36" s="111">
        <f t="shared" si="32"/>
        <v>0</v>
      </c>
      <c r="V36" s="111">
        <f t="shared" si="32"/>
        <v>0</v>
      </c>
      <c r="W36" s="111">
        <f t="shared" si="32"/>
        <v>0</v>
      </c>
      <c r="X36" s="111">
        <f t="shared" si="32"/>
        <v>0</v>
      </c>
      <c r="Y36" s="111">
        <f t="shared" si="32"/>
        <v>0</v>
      </c>
      <c r="Z36" s="111">
        <f t="shared" si="32"/>
        <v>0</v>
      </c>
      <c r="AA36" s="111">
        <f t="shared" si="32"/>
        <v>0</v>
      </c>
      <c r="AB36" s="111">
        <f t="shared" si="32"/>
        <v>0</v>
      </c>
      <c r="AC36" s="111">
        <f t="shared" si="32"/>
        <v>0</v>
      </c>
      <c r="AD36" s="111">
        <f t="shared" si="32"/>
        <v>0</v>
      </c>
      <c r="AE36" s="111">
        <f t="shared" si="32"/>
        <v>0</v>
      </c>
      <c r="AF36" s="111">
        <f t="shared" si="32"/>
        <v>0</v>
      </c>
      <c r="AG36" s="111">
        <f t="shared" si="32"/>
        <v>0</v>
      </c>
      <c r="AH36" s="111">
        <f t="shared" si="32"/>
        <v>0</v>
      </c>
      <c r="AI36" s="111">
        <f t="shared" si="32"/>
        <v>0</v>
      </c>
      <c r="AJ36" s="111">
        <f t="shared" si="32"/>
        <v>0</v>
      </c>
      <c r="AK36" s="111">
        <f t="shared" si="32"/>
        <v>0</v>
      </c>
      <c r="AL36" s="111">
        <f t="shared" si="32"/>
        <v>0</v>
      </c>
      <c r="AM36" s="111">
        <f t="shared" si="32"/>
        <v>0</v>
      </c>
      <c r="AN36" s="111">
        <f t="shared" si="32"/>
        <v>0</v>
      </c>
      <c r="AO36" s="111">
        <f t="shared" si="32"/>
        <v>0</v>
      </c>
      <c r="AP36" s="111">
        <f t="shared" si="32"/>
        <v>0</v>
      </c>
      <c r="AQ36" s="111">
        <f t="shared" si="32"/>
        <v>0</v>
      </c>
      <c r="AR36" s="111">
        <f t="shared" si="32"/>
        <v>0</v>
      </c>
      <c r="AS36" s="111">
        <f t="shared" si="32"/>
        <v>0</v>
      </c>
      <c r="AT36" s="111">
        <f t="shared" si="32"/>
        <v>0</v>
      </c>
      <c r="AU36" s="111">
        <f t="shared" si="32"/>
        <v>0</v>
      </c>
      <c r="AV36" s="111">
        <f t="shared" si="32"/>
        <v>0</v>
      </c>
      <c r="AW36" s="111">
        <f t="shared" si="32"/>
        <v>0</v>
      </c>
      <c r="AX36" s="112" t="str">
        <f t="shared" si="23"/>
        <v>-</v>
      </c>
      <c r="AY36" s="156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56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 t="shared" si="24"/>
        <v/>
      </c>
      <c r="BH36" s="144" t="str">
        <f t="shared" si="7"/>
        <v/>
      </c>
      <c r="BI36" s="143" t="str">
        <f t="shared" si="25"/>
        <v/>
      </c>
      <c r="BJ36" s="156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56"/>
      <c r="BP36" s="141" t="str">
        <f t="shared" si="12"/>
        <v/>
      </c>
      <c r="BQ36" s="144">
        <v>0</v>
      </c>
      <c r="BR36" s="144" t="str">
        <f t="shared" si="26"/>
        <v/>
      </c>
      <c r="BS36" s="144" t="str">
        <f t="shared" si="27"/>
        <v/>
      </c>
      <c r="BT36" s="143" t="str">
        <f t="shared" si="13"/>
        <v/>
      </c>
      <c r="BU36" s="156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8"/>
        <v/>
      </c>
      <c r="CA36" s="147" t="str">
        <f t="shared" si="29"/>
        <v/>
      </c>
      <c r="CB36" s="156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56"/>
    </row>
    <row r="37" spans="1:86" x14ac:dyDescent="0.2"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</sheetData>
  <mergeCells count="88"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workbookViewId="0">
      <selection activeCell="C4" sqref="C4:AW4"/>
    </sheetView>
  </sheetViews>
  <sheetFormatPr defaultColWidth="0" defaultRowHeight="11.25" x14ac:dyDescent="0.2"/>
  <cols>
    <col min="1" max="1" width="9.5703125" style="36" bestFit="1" customWidth="1"/>
    <col min="2" max="2" width="4.5703125" style="36" customWidth="1"/>
    <col min="3" max="3" width="15.5703125" style="36" bestFit="1" customWidth="1"/>
    <col min="4" max="4" width="18.85546875" style="36" bestFit="1" customWidth="1"/>
    <col min="5" max="5" width="20" style="36" bestFit="1" customWidth="1"/>
    <col min="6" max="6" width="16" style="36" bestFit="1" customWidth="1"/>
    <col min="7" max="7" width="8.5703125" style="36" bestFit="1" customWidth="1"/>
    <col min="8" max="8" width="18.5703125" style="36" bestFit="1" customWidth="1"/>
    <col min="9" max="9" width="9" style="36" bestFit="1" customWidth="1"/>
    <col min="10" max="10" width="9.42578125" style="36" customWidth="1"/>
    <col min="11" max="11" width="11" style="36" bestFit="1" customWidth="1"/>
    <col min="12" max="20" width="8.5703125" style="36" bestFit="1" customWidth="1"/>
    <col min="21" max="21" width="6" style="36" bestFit="1" customWidth="1"/>
    <col min="22" max="34" width="8.5703125" style="36" bestFit="1" customWidth="1"/>
    <col min="35" max="35" width="13.28515625" style="36" bestFit="1" customWidth="1"/>
    <col min="36" max="36" width="15.7109375" style="36" bestFit="1" customWidth="1"/>
    <col min="37" max="37" width="16.28515625" style="36" bestFit="1" customWidth="1"/>
    <col min="38" max="38" width="15.42578125" style="36" bestFit="1" customWidth="1"/>
    <col min="39" max="39" width="15.85546875" style="36" bestFit="1" customWidth="1"/>
    <col min="40" max="40" width="16.28515625" style="36" bestFit="1" customWidth="1"/>
    <col min="41" max="41" width="10" style="36" bestFit="1" customWidth="1"/>
    <col min="42" max="42" width="13.85546875" style="36" bestFit="1" customWidth="1"/>
    <col min="43" max="43" width="11.140625" style="36" bestFit="1" customWidth="1"/>
    <col min="44" max="44" width="10.28515625" style="36" bestFit="1" customWidth="1"/>
    <col min="45" max="45" width="12.5703125" style="38" bestFit="1" customWidth="1"/>
    <col min="46" max="46" width="10" style="36" bestFit="1" customWidth="1"/>
    <col min="47" max="47" width="10.7109375" style="36" customWidth="1"/>
    <col min="48" max="48" width="16.28515625" style="36" bestFit="1" customWidth="1"/>
    <col min="49" max="50" width="16.140625" style="36" bestFit="1" customWidth="1"/>
    <col min="51" max="51" width="2.28515625" style="36" customWidth="1"/>
    <col min="52" max="52" width="16.28515625" style="36" bestFit="1" customWidth="1"/>
    <col min="53" max="53" width="11.85546875" style="36" bestFit="1" customWidth="1"/>
    <col min="54" max="54" width="12.7109375" style="36" bestFit="1" customWidth="1"/>
    <col min="55" max="55" width="1.5703125" style="36" customWidth="1"/>
    <col min="56" max="56" width="12.5703125" style="36" bestFit="1" customWidth="1"/>
    <col min="57" max="57" width="13.28515625" style="36" bestFit="1" customWidth="1"/>
    <col min="58" max="58" width="20.28515625" style="36" bestFit="1" customWidth="1"/>
    <col min="59" max="59" width="9.42578125" style="36" bestFit="1" customWidth="1"/>
    <col min="60" max="60" width="14.7109375" style="36" bestFit="1" customWidth="1"/>
    <col min="61" max="61" width="10.5703125" style="36" bestFit="1" customWidth="1"/>
    <col min="62" max="62" width="1.85546875" style="36" customWidth="1"/>
    <col min="63" max="63" width="20.140625" style="36" bestFit="1" customWidth="1"/>
    <col min="64" max="64" width="25.28515625" style="36" bestFit="1" customWidth="1"/>
    <col min="65" max="65" width="14" style="36" bestFit="1" customWidth="1"/>
    <col min="66" max="66" width="18" style="36" bestFit="1" customWidth="1"/>
    <col min="67" max="67" width="2.140625" style="36" customWidth="1"/>
    <col min="68" max="68" width="9.140625" style="36" bestFit="1" customWidth="1"/>
    <col min="69" max="69" width="12.85546875" style="36" bestFit="1" customWidth="1"/>
    <col min="70" max="70" width="14" style="36" bestFit="1" customWidth="1"/>
    <col min="71" max="71" width="13.7109375" style="36" bestFit="1" customWidth="1"/>
    <col min="72" max="72" width="7.85546875" style="36" bestFit="1" customWidth="1"/>
    <col min="73" max="73" width="2.140625" style="36" customWidth="1"/>
    <col min="74" max="74" width="18.42578125" style="36" bestFit="1" customWidth="1"/>
    <col min="75" max="75" width="14.42578125" style="36" bestFit="1" customWidth="1"/>
    <col min="76" max="76" width="18.42578125" style="36" bestFit="1" customWidth="1"/>
    <col min="77" max="77" width="18.85546875" style="36" bestFit="1" customWidth="1"/>
    <col min="78" max="78" width="18" style="36" bestFit="1" customWidth="1"/>
    <col min="79" max="79" width="18.5703125" style="36" bestFit="1" customWidth="1"/>
    <col min="80" max="80" width="1.85546875" style="36" customWidth="1"/>
    <col min="81" max="81" width="7.5703125" style="36" bestFit="1" customWidth="1"/>
    <col min="82" max="82" width="5" style="36" bestFit="1" customWidth="1"/>
    <col min="83" max="83" width="5.85546875" style="36" bestFit="1" customWidth="1"/>
    <col min="84" max="84" width="4.7109375" style="36" bestFit="1" customWidth="1"/>
    <col min="85" max="85" width="8.42578125" style="36" bestFit="1" customWidth="1"/>
    <col min="86" max="103" width="0" style="36" hidden="1" customWidth="1"/>
    <col min="104" max="16384" width="10.7109375" style="36" hidden="1"/>
  </cols>
  <sheetData>
    <row r="1" spans="1:86" s="27" customFormat="1" ht="13.15" customHeight="1" thickBot="1" x14ac:dyDescent="0.25">
      <c r="A1" s="197" t="s">
        <v>0</v>
      </c>
      <c r="B1" s="198"/>
      <c r="C1" s="93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39"/>
      <c r="AZ1" s="271" t="s">
        <v>1</v>
      </c>
      <c r="BA1" s="272"/>
      <c r="BB1" s="273"/>
      <c r="BC1" s="39"/>
      <c r="BD1" s="256" t="s">
        <v>2</v>
      </c>
      <c r="BE1" s="257"/>
      <c r="BF1" s="257"/>
      <c r="BG1" s="257"/>
      <c r="BH1" s="257"/>
      <c r="BI1" s="258"/>
      <c r="BJ1" s="39"/>
      <c r="BK1" s="256" t="s">
        <v>3</v>
      </c>
      <c r="BL1" s="257"/>
      <c r="BM1" s="257"/>
      <c r="BN1" s="258"/>
      <c r="BO1" s="39"/>
      <c r="BP1" s="256" t="s">
        <v>4</v>
      </c>
      <c r="BQ1" s="257"/>
      <c r="BR1" s="257"/>
      <c r="BS1" s="257"/>
      <c r="BT1" s="258"/>
      <c r="BU1" s="39"/>
      <c r="BV1" s="256" t="s">
        <v>5</v>
      </c>
      <c r="BW1" s="257"/>
      <c r="BX1" s="257"/>
      <c r="BY1" s="257"/>
      <c r="BZ1" s="257"/>
      <c r="CA1" s="258"/>
      <c r="CB1" s="39"/>
      <c r="CC1" s="256" t="s">
        <v>6</v>
      </c>
      <c r="CD1" s="257"/>
      <c r="CE1" s="257"/>
      <c r="CF1" s="257"/>
      <c r="CG1" s="258"/>
      <c r="CH1" s="39"/>
    </row>
    <row r="2" spans="1:86" s="27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39"/>
      <c r="AZ2" s="284" t="s">
        <v>40</v>
      </c>
      <c r="BA2" s="311" t="s">
        <v>41</v>
      </c>
      <c r="BB2" s="313" t="s">
        <v>42</v>
      </c>
      <c r="BC2" s="39"/>
      <c r="BD2" s="292" t="s">
        <v>43</v>
      </c>
      <c r="BE2" s="294" t="s">
        <v>44</v>
      </c>
      <c r="BF2" s="294" t="s">
        <v>45</v>
      </c>
      <c r="BG2" s="294" t="s">
        <v>46</v>
      </c>
      <c r="BH2" s="294" t="s">
        <v>47</v>
      </c>
      <c r="BI2" s="298" t="s">
        <v>48</v>
      </c>
      <c r="BJ2" s="39"/>
      <c r="BK2" s="302" t="s">
        <v>49</v>
      </c>
      <c r="BL2" s="303" t="s">
        <v>50</v>
      </c>
      <c r="BM2" s="303" t="s">
        <v>51</v>
      </c>
      <c r="BN2" s="310" t="s">
        <v>52</v>
      </c>
      <c r="BO2" s="39"/>
      <c r="BP2" s="292" t="s">
        <v>53</v>
      </c>
      <c r="BQ2" s="294" t="s">
        <v>54</v>
      </c>
      <c r="BR2" s="296" t="s">
        <v>67</v>
      </c>
      <c r="BS2" s="294" t="s">
        <v>55</v>
      </c>
      <c r="BT2" s="298" t="s">
        <v>86</v>
      </c>
      <c r="BU2" s="39"/>
      <c r="BV2" s="300" t="s">
        <v>56</v>
      </c>
      <c r="BW2" s="290" t="s">
        <v>57</v>
      </c>
      <c r="BX2" s="290" t="s">
        <v>58</v>
      </c>
      <c r="BY2" s="259" t="s">
        <v>59</v>
      </c>
      <c r="BZ2" s="290" t="s">
        <v>60</v>
      </c>
      <c r="CA2" s="306" t="s">
        <v>61</v>
      </c>
      <c r="CB2" s="39"/>
      <c r="CC2" s="308" t="s">
        <v>62</v>
      </c>
      <c r="CD2" s="296" t="s">
        <v>63</v>
      </c>
      <c r="CE2" s="296" t="s">
        <v>64</v>
      </c>
      <c r="CF2" s="296" t="s">
        <v>65</v>
      </c>
      <c r="CG2" s="304" t="s">
        <v>66</v>
      </c>
      <c r="CH2" s="39"/>
    </row>
    <row r="3" spans="1:86" s="27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39"/>
      <c r="AZ3" s="285"/>
      <c r="BA3" s="312"/>
      <c r="BB3" s="314"/>
      <c r="BC3" s="39"/>
      <c r="BD3" s="293"/>
      <c r="BE3" s="295"/>
      <c r="BF3" s="295"/>
      <c r="BG3" s="295"/>
      <c r="BH3" s="295"/>
      <c r="BI3" s="299"/>
      <c r="BJ3" s="39"/>
      <c r="BK3" s="293"/>
      <c r="BL3" s="295"/>
      <c r="BM3" s="295"/>
      <c r="BN3" s="299"/>
      <c r="BO3" s="39"/>
      <c r="BP3" s="293"/>
      <c r="BQ3" s="295"/>
      <c r="BR3" s="297"/>
      <c r="BS3" s="295"/>
      <c r="BT3" s="299"/>
      <c r="BU3" s="39"/>
      <c r="BV3" s="301"/>
      <c r="BW3" s="291"/>
      <c r="BX3" s="291"/>
      <c r="BY3" s="260"/>
      <c r="BZ3" s="291"/>
      <c r="CA3" s="307"/>
      <c r="CB3" s="39"/>
      <c r="CC3" s="309"/>
      <c r="CD3" s="297"/>
      <c r="CE3" s="297"/>
      <c r="CF3" s="297"/>
      <c r="CG3" s="305"/>
      <c r="CH3" s="39"/>
    </row>
    <row r="4" spans="1:86" s="27" customFormat="1" ht="12.4" customHeight="1" thickBot="1" x14ac:dyDescent="0.25">
      <c r="A4" s="96">
        <f>EL_DEL_CD2_JO_!A4</f>
        <v>46296</v>
      </c>
      <c r="B4" s="97" t="str">
        <f t="shared" ref="B4:B30" si="0">+TEXT(A4,"DDD")</f>
        <v>Thu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98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99"/>
      <c r="AM4" s="99"/>
      <c r="AN4" s="99"/>
      <c r="AO4" s="99"/>
      <c r="AP4" s="99"/>
      <c r="AQ4" s="99"/>
      <c r="AR4" s="99"/>
      <c r="AS4" s="99"/>
      <c r="AT4" s="100"/>
      <c r="AU4" s="100"/>
      <c r="AV4" s="101"/>
      <c r="AW4" s="60"/>
      <c r="AX4" s="102" t="str">
        <f>IFERROR(AN4/AW4,"-")</f>
        <v>-</v>
      </c>
      <c r="AY4" s="39"/>
      <c r="AZ4" s="1" t="str">
        <f t="shared" ref="AZ4:AZ36" si="1">IF(E4&gt;0,F4/E4,"")</f>
        <v/>
      </c>
      <c r="BA4" s="11" t="str">
        <f t="shared" ref="BA4:BA36" si="2">+IF(E4&gt;0,G4/E4,"")</f>
        <v/>
      </c>
      <c r="BB4" s="1" t="str">
        <f t="shared" ref="BB4:BB36" si="3">+IF(E4&gt;0,AJ4/E4,"")</f>
        <v/>
      </c>
      <c r="BC4" s="39"/>
      <c r="BD4" s="53" t="str">
        <f t="shared" ref="BD4:BD36" si="4">+IF(G4&gt;0,I4/G4,"")</f>
        <v/>
      </c>
      <c r="BE4" s="12" t="str">
        <f t="shared" ref="BE4:BE36" si="5">+IF(G4&gt;0,J4/G4,"")</f>
        <v/>
      </c>
      <c r="BF4" s="12" t="str">
        <f t="shared" ref="BF4:BF36" si="6">+IF(I4&gt;0,L4/I4,"")</f>
        <v/>
      </c>
      <c r="BG4" s="12" t="str">
        <f>+IF(SUM(AO4:AR4)&gt;0,AO4/AN4,"")</f>
        <v/>
      </c>
      <c r="BH4" s="12" t="str">
        <f t="shared" ref="BH4:BH36" si="7">+IF(G4&gt;0,K4/G4,"")</f>
        <v/>
      </c>
      <c r="BI4" s="54" t="str">
        <f>+IF(SUM(AO4:AR4)&gt;0,AQ4/AN4,"")</f>
        <v/>
      </c>
      <c r="BJ4" s="39"/>
      <c r="BK4" s="55" t="str">
        <f t="shared" ref="BK4:BK36" si="8">+IF(E4&gt;0,(AJ4/E4),"")</f>
        <v/>
      </c>
      <c r="BL4" s="13" t="str">
        <f t="shared" ref="BL4:BL36" si="9">+IF(E4&gt;0,(AJ4/F4),"")</f>
        <v/>
      </c>
      <c r="BM4" s="13" t="str">
        <f t="shared" ref="BM4:BM36" si="10">+IF(E4&gt;0,(AJ4/G4),"")</f>
        <v/>
      </c>
      <c r="BN4" s="56" t="str">
        <f t="shared" ref="BN4:BN36" si="11">+IF(E4&gt;0,(AJ4/J4),"")</f>
        <v/>
      </c>
      <c r="BO4" s="39"/>
      <c r="BP4" s="14" t="str">
        <f t="shared" ref="BP4:BP36" si="12">IF(AJ4&gt;0,(N4/AJ4),"")</f>
        <v/>
      </c>
      <c r="BQ4" s="15">
        <v>0</v>
      </c>
      <c r="BR4" s="15" t="str">
        <f>IF(AJ4&gt;0,(AK4/AJ4),"")</f>
        <v/>
      </c>
      <c r="BS4" s="15" t="str">
        <f>IF(AJ4&gt;0,(AK4/AJ4),"")</f>
        <v/>
      </c>
      <c r="BT4" s="16" t="str">
        <f t="shared" ref="BT4:BT36" si="13">IF(J4&gt;0,AD4/J4,"")</f>
        <v/>
      </c>
      <c r="BU4" s="39"/>
      <c r="BV4" s="28" t="str">
        <f t="shared" ref="BV4:BV36" si="14">IF(AN4&gt;0,(E4/AN4),"")</f>
        <v/>
      </c>
      <c r="BW4" s="28" t="str">
        <f t="shared" ref="BW4:BW36" si="15">IF(AN4&gt;0,(G4/AN4),"")</f>
        <v/>
      </c>
      <c r="BX4" s="28" t="str">
        <f t="shared" ref="BX4:BX36" si="16">IF(AN4&gt;0,(J4/AN4),"")</f>
        <v/>
      </c>
      <c r="BY4" s="28" t="str">
        <f t="shared" ref="BY4:BY36" si="17">IF(AN4&gt;0,(K4/AN4),"")</f>
        <v/>
      </c>
      <c r="BZ4" s="28" t="str">
        <f>IF(AN4&gt;0,(AJ4/AN4),"")</f>
        <v/>
      </c>
      <c r="CA4" s="52" t="str">
        <f>IF(AN4&gt;0,(AK4/AN4),"")</f>
        <v/>
      </c>
      <c r="CB4" s="39"/>
      <c r="CC4" s="49" t="str">
        <f t="shared" ref="CC4:CC36" si="18">IFERROR(((AN4-AO4)*3600)/J4,"-")</f>
        <v>-</v>
      </c>
      <c r="CD4" s="29" t="str">
        <f t="shared" ref="CD4:CD36" si="19">IFERROR((AR4*3600)/J4,"-")</f>
        <v>-</v>
      </c>
      <c r="CE4" s="29" t="str">
        <f t="shared" ref="CE4:CE36" si="20">IFERROR((AQ4*3600)/J4,"-")</f>
        <v>-</v>
      </c>
      <c r="CF4" s="29" t="str">
        <f t="shared" ref="CF4:CF36" si="21">IFERROR((AO4*3600)/J4,"-")</f>
        <v>-</v>
      </c>
      <c r="CG4" s="50" t="str">
        <f t="shared" ref="CG4:CG36" si="22">IFERROR((AP4*3600)/J4,"-")</f>
        <v>-</v>
      </c>
      <c r="CH4" s="39"/>
    </row>
    <row r="5" spans="1:86" s="27" customFormat="1" ht="12.4" customHeight="1" thickBot="1" x14ac:dyDescent="0.25">
      <c r="A5" s="96">
        <f>A4+1</f>
        <v>46297</v>
      </c>
      <c r="B5" s="97" t="str">
        <f t="shared" si="0"/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99"/>
      <c r="AM5" s="99"/>
      <c r="AN5" s="99"/>
      <c r="AO5" s="99"/>
      <c r="AP5" s="99"/>
      <c r="AQ5" s="99"/>
      <c r="AR5" s="99"/>
      <c r="AS5" s="99"/>
      <c r="AT5" s="100"/>
      <c r="AU5" s="100"/>
      <c r="AV5" s="101"/>
      <c r="AW5" s="100"/>
      <c r="AX5" s="102" t="str">
        <f t="shared" ref="AX5:AX36" si="23">IFERROR(AN5/AW5,"-")</f>
        <v>-</v>
      </c>
      <c r="AY5" s="39"/>
      <c r="AZ5" s="1" t="str">
        <f t="shared" si="1"/>
        <v/>
      </c>
      <c r="BA5" s="11" t="str">
        <f t="shared" si="2"/>
        <v/>
      </c>
      <c r="BB5" s="1" t="str">
        <f t="shared" si="3"/>
        <v/>
      </c>
      <c r="BC5" s="39"/>
      <c r="BD5" s="53" t="str">
        <f t="shared" si="4"/>
        <v/>
      </c>
      <c r="BE5" s="12" t="str">
        <f t="shared" si="5"/>
        <v/>
      </c>
      <c r="BF5" s="12" t="str">
        <f t="shared" si="6"/>
        <v/>
      </c>
      <c r="BG5" s="12" t="str">
        <f t="shared" ref="BG5:BG36" si="24">+IF(SUM(AO5:AR5)&gt;0,AO5/AN5,"")</f>
        <v/>
      </c>
      <c r="BH5" s="12" t="str">
        <f t="shared" si="7"/>
        <v/>
      </c>
      <c r="BI5" s="54" t="str">
        <f t="shared" ref="BI5:BI36" si="25">+IF(SUM(AO5:AR5)&gt;0,AQ5/AN5,"")</f>
        <v/>
      </c>
      <c r="BJ5" s="39"/>
      <c r="BK5" s="55" t="str">
        <f t="shared" si="8"/>
        <v/>
      </c>
      <c r="BL5" s="13" t="str">
        <f t="shared" si="9"/>
        <v/>
      </c>
      <c r="BM5" s="13" t="str">
        <f t="shared" si="10"/>
        <v/>
      </c>
      <c r="BN5" s="56" t="str">
        <f t="shared" si="11"/>
        <v/>
      </c>
      <c r="BO5" s="39"/>
      <c r="BP5" s="14" t="str">
        <f t="shared" si="12"/>
        <v/>
      </c>
      <c r="BQ5" s="15">
        <v>0</v>
      </c>
      <c r="BR5" s="15" t="str">
        <f t="shared" ref="BR5:BR36" si="26">IF(AJ5&gt;0,(AK5/AJ5),"")</f>
        <v/>
      </c>
      <c r="BS5" s="15" t="str">
        <f t="shared" ref="BS5:BS36" si="27">IF(AJ5&gt;0,(AK5/AJ5),"")</f>
        <v/>
      </c>
      <c r="BT5" s="16" t="str">
        <f t="shared" si="13"/>
        <v/>
      </c>
      <c r="BU5" s="39"/>
      <c r="BV5" s="51" t="str">
        <f t="shared" si="14"/>
        <v/>
      </c>
      <c r="BW5" s="28" t="str">
        <f t="shared" si="15"/>
        <v/>
      </c>
      <c r="BX5" s="28" t="str">
        <f t="shared" si="16"/>
        <v/>
      </c>
      <c r="BY5" s="28" t="str">
        <f t="shared" si="17"/>
        <v/>
      </c>
      <c r="BZ5" s="28" t="str">
        <f t="shared" ref="BZ5:BZ36" si="28">IF(AN5&gt;0,(AJ5/AN5),"")</f>
        <v/>
      </c>
      <c r="CA5" s="52" t="str">
        <f t="shared" ref="CA5:CA36" si="29">IF(AN5&gt;0,(AK5/AN5),"")</f>
        <v/>
      </c>
      <c r="CB5" s="39"/>
      <c r="CC5" s="49" t="str">
        <f t="shared" si="18"/>
        <v>-</v>
      </c>
      <c r="CD5" s="29" t="str">
        <f t="shared" si="19"/>
        <v>-</v>
      </c>
      <c r="CE5" s="29" t="str">
        <f t="shared" si="20"/>
        <v>-</v>
      </c>
      <c r="CF5" s="29" t="str">
        <f t="shared" si="21"/>
        <v>-</v>
      </c>
      <c r="CG5" s="50" t="str">
        <f t="shared" si="22"/>
        <v>-</v>
      </c>
      <c r="CH5" s="39"/>
    </row>
    <row r="6" spans="1:86" s="27" customFormat="1" ht="12.4" customHeight="1" thickBot="1" x14ac:dyDescent="0.25">
      <c r="A6" s="96">
        <f t="shared" ref="A6:A34" si="30">A5+1</f>
        <v>46298</v>
      </c>
      <c r="B6" s="97" t="str">
        <f t="shared" si="0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99"/>
      <c r="AM6" s="99"/>
      <c r="AN6" s="99"/>
      <c r="AO6" s="99"/>
      <c r="AP6" s="99"/>
      <c r="AQ6" s="99"/>
      <c r="AR6" s="99"/>
      <c r="AS6" s="99"/>
      <c r="AT6" s="100"/>
      <c r="AU6" s="100"/>
      <c r="AV6" s="101"/>
      <c r="AW6" s="100"/>
      <c r="AX6" s="102" t="str">
        <f t="shared" si="23"/>
        <v>-</v>
      </c>
      <c r="AY6" s="39"/>
      <c r="AZ6" s="1" t="str">
        <f t="shared" si="1"/>
        <v/>
      </c>
      <c r="BA6" s="11" t="str">
        <f t="shared" si="2"/>
        <v/>
      </c>
      <c r="BB6" s="1" t="str">
        <f t="shared" si="3"/>
        <v/>
      </c>
      <c r="BC6" s="39"/>
      <c r="BD6" s="53" t="str">
        <f t="shared" si="4"/>
        <v/>
      </c>
      <c r="BE6" s="12" t="str">
        <f t="shared" si="5"/>
        <v/>
      </c>
      <c r="BF6" s="12" t="str">
        <f t="shared" si="6"/>
        <v/>
      </c>
      <c r="BG6" s="12" t="str">
        <f t="shared" si="24"/>
        <v/>
      </c>
      <c r="BH6" s="12" t="str">
        <f t="shared" si="7"/>
        <v/>
      </c>
      <c r="BI6" s="54" t="str">
        <f t="shared" si="25"/>
        <v/>
      </c>
      <c r="BJ6" s="39"/>
      <c r="BK6" s="55" t="str">
        <f t="shared" si="8"/>
        <v/>
      </c>
      <c r="BL6" s="13" t="str">
        <f t="shared" si="9"/>
        <v/>
      </c>
      <c r="BM6" s="13" t="str">
        <f t="shared" si="10"/>
        <v/>
      </c>
      <c r="BN6" s="56" t="str">
        <f t="shared" si="11"/>
        <v/>
      </c>
      <c r="BO6" s="39"/>
      <c r="BP6" s="14" t="str">
        <f t="shared" si="12"/>
        <v/>
      </c>
      <c r="BQ6" s="15">
        <v>0</v>
      </c>
      <c r="BR6" s="15" t="str">
        <f t="shared" si="26"/>
        <v/>
      </c>
      <c r="BS6" s="15" t="str">
        <f t="shared" si="27"/>
        <v/>
      </c>
      <c r="BT6" s="16" t="str">
        <f t="shared" si="13"/>
        <v/>
      </c>
      <c r="BU6" s="39"/>
      <c r="BV6" s="51" t="str">
        <f t="shared" si="14"/>
        <v/>
      </c>
      <c r="BW6" s="28" t="str">
        <f t="shared" si="15"/>
        <v/>
      </c>
      <c r="BX6" s="28" t="str">
        <f t="shared" si="16"/>
        <v/>
      </c>
      <c r="BY6" s="28" t="str">
        <f t="shared" si="17"/>
        <v/>
      </c>
      <c r="BZ6" s="28" t="str">
        <f t="shared" si="28"/>
        <v/>
      </c>
      <c r="CA6" s="52" t="str">
        <f t="shared" si="29"/>
        <v/>
      </c>
      <c r="CB6" s="39"/>
      <c r="CC6" s="49" t="str">
        <f t="shared" si="18"/>
        <v>-</v>
      </c>
      <c r="CD6" s="29" t="str">
        <f t="shared" si="19"/>
        <v>-</v>
      </c>
      <c r="CE6" s="29" t="str">
        <f t="shared" si="20"/>
        <v>-</v>
      </c>
      <c r="CF6" s="29" t="str">
        <f t="shared" si="21"/>
        <v>-</v>
      </c>
      <c r="CG6" s="50" t="str">
        <f t="shared" si="22"/>
        <v>-</v>
      </c>
      <c r="CH6" s="39"/>
    </row>
    <row r="7" spans="1:86" s="27" customFormat="1" ht="12.4" customHeight="1" thickBot="1" x14ac:dyDescent="0.25">
      <c r="A7" s="96">
        <f t="shared" si="30"/>
        <v>46299</v>
      </c>
      <c r="B7" s="97" t="str">
        <f t="shared" si="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99"/>
      <c r="AM7" s="99"/>
      <c r="AN7" s="99"/>
      <c r="AO7" s="99"/>
      <c r="AP7" s="99"/>
      <c r="AQ7" s="99"/>
      <c r="AR7" s="99"/>
      <c r="AS7" s="99"/>
      <c r="AT7" s="100"/>
      <c r="AU7" s="100"/>
      <c r="AV7" s="101"/>
      <c r="AW7" s="100"/>
      <c r="AX7" s="102" t="str">
        <f t="shared" si="23"/>
        <v>-</v>
      </c>
      <c r="AY7" s="39"/>
      <c r="AZ7" s="1" t="str">
        <f t="shared" si="1"/>
        <v/>
      </c>
      <c r="BA7" s="11" t="str">
        <f t="shared" si="2"/>
        <v/>
      </c>
      <c r="BB7" s="1" t="str">
        <f t="shared" si="3"/>
        <v/>
      </c>
      <c r="BC7" s="39"/>
      <c r="BD7" s="53" t="str">
        <f t="shared" si="4"/>
        <v/>
      </c>
      <c r="BE7" s="12" t="str">
        <f t="shared" si="5"/>
        <v/>
      </c>
      <c r="BF7" s="12" t="str">
        <f t="shared" si="6"/>
        <v/>
      </c>
      <c r="BG7" s="12" t="str">
        <f t="shared" si="24"/>
        <v/>
      </c>
      <c r="BH7" s="12" t="str">
        <f t="shared" si="7"/>
        <v/>
      </c>
      <c r="BI7" s="54" t="str">
        <f t="shared" si="25"/>
        <v/>
      </c>
      <c r="BJ7" s="39"/>
      <c r="BK7" s="55" t="str">
        <f t="shared" si="8"/>
        <v/>
      </c>
      <c r="BL7" s="13" t="str">
        <f t="shared" si="9"/>
        <v/>
      </c>
      <c r="BM7" s="13" t="str">
        <f t="shared" si="10"/>
        <v/>
      </c>
      <c r="BN7" s="56" t="str">
        <f t="shared" si="11"/>
        <v/>
      </c>
      <c r="BO7" s="39"/>
      <c r="BP7" s="14" t="str">
        <f t="shared" si="12"/>
        <v/>
      </c>
      <c r="BQ7" s="15">
        <v>0</v>
      </c>
      <c r="BR7" s="15" t="str">
        <f t="shared" si="26"/>
        <v/>
      </c>
      <c r="BS7" s="15" t="str">
        <f t="shared" si="27"/>
        <v/>
      </c>
      <c r="BT7" s="16" t="str">
        <f t="shared" si="13"/>
        <v/>
      </c>
      <c r="BU7" s="39"/>
      <c r="BV7" s="51" t="str">
        <f t="shared" si="14"/>
        <v/>
      </c>
      <c r="BW7" s="28" t="str">
        <f t="shared" si="15"/>
        <v/>
      </c>
      <c r="BX7" s="28" t="str">
        <f t="shared" si="16"/>
        <v/>
      </c>
      <c r="BY7" s="28" t="str">
        <f t="shared" si="17"/>
        <v/>
      </c>
      <c r="BZ7" s="28" t="str">
        <f t="shared" si="28"/>
        <v/>
      </c>
      <c r="CA7" s="52" t="str">
        <f t="shared" si="29"/>
        <v/>
      </c>
      <c r="CB7" s="39"/>
      <c r="CC7" s="49" t="str">
        <f t="shared" si="18"/>
        <v>-</v>
      </c>
      <c r="CD7" s="29" t="str">
        <f t="shared" si="19"/>
        <v>-</v>
      </c>
      <c r="CE7" s="29" t="str">
        <f t="shared" si="20"/>
        <v>-</v>
      </c>
      <c r="CF7" s="29" t="str">
        <f t="shared" si="21"/>
        <v>-</v>
      </c>
      <c r="CG7" s="50" t="str">
        <f t="shared" si="22"/>
        <v>-</v>
      </c>
      <c r="CH7" s="39"/>
    </row>
    <row r="8" spans="1:86" s="27" customFormat="1" ht="12.4" customHeight="1" thickBot="1" x14ac:dyDescent="0.25">
      <c r="A8" s="96">
        <f t="shared" si="30"/>
        <v>46300</v>
      </c>
      <c r="B8" s="97" t="str">
        <f t="shared" si="0"/>
        <v>Mon</v>
      </c>
      <c r="C8" s="103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99"/>
      <c r="AM8" s="99"/>
      <c r="AN8" s="99"/>
      <c r="AO8" s="99"/>
      <c r="AP8" s="99"/>
      <c r="AQ8" s="99"/>
      <c r="AR8" s="99"/>
      <c r="AS8" s="99"/>
      <c r="AT8" s="100"/>
      <c r="AU8" s="100"/>
      <c r="AV8" s="101"/>
      <c r="AW8" s="100"/>
      <c r="AX8" s="102" t="str">
        <f t="shared" si="23"/>
        <v>-</v>
      </c>
      <c r="AY8" s="39"/>
      <c r="AZ8" s="1" t="str">
        <f t="shared" si="1"/>
        <v/>
      </c>
      <c r="BA8" s="11" t="str">
        <f t="shared" si="2"/>
        <v/>
      </c>
      <c r="BB8" s="1" t="str">
        <f t="shared" si="3"/>
        <v/>
      </c>
      <c r="BC8" s="39"/>
      <c r="BD8" s="53" t="str">
        <f t="shared" si="4"/>
        <v/>
      </c>
      <c r="BE8" s="12" t="str">
        <f t="shared" si="5"/>
        <v/>
      </c>
      <c r="BF8" s="12" t="str">
        <f t="shared" si="6"/>
        <v/>
      </c>
      <c r="BG8" s="12" t="str">
        <f t="shared" si="24"/>
        <v/>
      </c>
      <c r="BH8" s="12" t="str">
        <f t="shared" si="7"/>
        <v/>
      </c>
      <c r="BI8" s="54" t="str">
        <f t="shared" si="25"/>
        <v/>
      </c>
      <c r="BJ8" s="39"/>
      <c r="BK8" s="55" t="str">
        <f t="shared" si="8"/>
        <v/>
      </c>
      <c r="BL8" s="13" t="str">
        <f t="shared" si="9"/>
        <v/>
      </c>
      <c r="BM8" s="13" t="str">
        <f t="shared" si="10"/>
        <v/>
      </c>
      <c r="BN8" s="56" t="str">
        <f t="shared" si="11"/>
        <v/>
      </c>
      <c r="BO8" s="39"/>
      <c r="BP8" s="14" t="str">
        <f t="shared" si="12"/>
        <v/>
      </c>
      <c r="BQ8" s="15">
        <v>0</v>
      </c>
      <c r="BR8" s="15" t="str">
        <f t="shared" si="26"/>
        <v/>
      </c>
      <c r="BS8" s="15" t="str">
        <f t="shared" si="27"/>
        <v/>
      </c>
      <c r="BT8" s="16" t="str">
        <f t="shared" si="13"/>
        <v/>
      </c>
      <c r="BU8" s="39"/>
      <c r="BV8" s="51" t="str">
        <f t="shared" si="14"/>
        <v/>
      </c>
      <c r="BW8" s="28" t="str">
        <f t="shared" si="15"/>
        <v/>
      </c>
      <c r="BX8" s="28" t="str">
        <f t="shared" si="16"/>
        <v/>
      </c>
      <c r="BY8" s="28" t="str">
        <f t="shared" si="17"/>
        <v/>
      </c>
      <c r="BZ8" s="28" t="str">
        <f t="shared" si="28"/>
        <v/>
      </c>
      <c r="CA8" s="52" t="str">
        <f t="shared" si="29"/>
        <v/>
      </c>
      <c r="CB8" s="39"/>
      <c r="CC8" s="49" t="str">
        <f t="shared" si="18"/>
        <v>-</v>
      </c>
      <c r="CD8" s="29" t="str">
        <f t="shared" si="19"/>
        <v>-</v>
      </c>
      <c r="CE8" s="29" t="str">
        <f t="shared" si="20"/>
        <v>-</v>
      </c>
      <c r="CF8" s="29" t="str">
        <f t="shared" si="21"/>
        <v>-</v>
      </c>
      <c r="CG8" s="50" t="str">
        <f t="shared" si="22"/>
        <v>-</v>
      </c>
      <c r="CH8" s="39"/>
    </row>
    <row r="9" spans="1:86" s="27" customFormat="1" ht="12.4" customHeight="1" thickBot="1" x14ac:dyDescent="0.25">
      <c r="A9" s="96">
        <f t="shared" si="30"/>
        <v>46301</v>
      </c>
      <c r="B9" s="97" t="str">
        <f t="shared" si="0"/>
        <v>Tue</v>
      </c>
      <c r="C9" s="103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99"/>
      <c r="AM9" s="99"/>
      <c r="AN9" s="99"/>
      <c r="AO9" s="99"/>
      <c r="AP9" s="99"/>
      <c r="AQ9" s="99"/>
      <c r="AR9" s="99"/>
      <c r="AS9" s="99"/>
      <c r="AT9" s="100"/>
      <c r="AU9" s="100"/>
      <c r="AV9" s="101"/>
      <c r="AW9" s="100"/>
      <c r="AX9" s="102" t="str">
        <f t="shared" si="23"/>
        <v>-</v>
      </c>
      <c r="AY9" s="39"/>
      <c r="AZ9" s="1" t="str">
        <f t="shared" si="1"/>
        <v/>
      </c>
      <c r="BA9" s="11" t="str">
        <f t="shared" si="2"/>
        <v/>
      </c>
      <c r="BB9" s="1" t="str">
        <f t="shared" si="3"/>
        <v/>
      </c>
      <c r="BC9" s="39"/>
      <c r="BD9" s="53" t="str">
        <f t="shared" si="4"/>
        <v/>
      </c>
      <c r="BE9" s="12" t="str">
        <f t="shared" si="5"/>
        <v/>
      </c>
      <c r="BF9" s="12" t="str">
        <f t="shared" si="6"/>
        <v/>
      </c>
      <c r="BG9" s="12" t="str">
        <f t="shared" si="24"/>
        <v/>
      </c>
      <c r="BH9" s="12" t="str">
        <f t="shared" si="7"/>
        <v/>
      </c>
      <c r="BI9" s="54" t="str">
        <f t="shared" si="25"/>
        <v/>
      </c>
      <c r="BJ9" s="39"/>
      <c r="BK9" s="55" t="str">
        <f t="shared" si="8"/>
        <v/>
      </c>
      <c r="BL9" s="13" t="str">
        <f t="shared" si="9"/>
        <v/>
      </c>
      <c r="BM9" s="13" t="str">
        <f t="shared" si="10"/>
        <v/>
      </c>
      <c r="BN9" s="56" t="str">
        <f t="shared" si="11"/>
        <v/>
      </c>
      <c r="BO9" s="39"/>
      <c r="BP9" s="14" t="str">
        <f t="shared" si="12"/>
        <v/>
      </c>
      <c r="BQ9" s="15">
        <v>0</v>
      </c>
      <c r="BR9" s="15" t="str">
        <f t="shared" si="26"/>
        <v/>
      </c>
      <c r="BS9" s="15" t="str">
        <f t="shared" si="27"/>
        <v/>
      </c>
      <c r="BT9" s="16" t="str">
        <f t="shared" si="13"/>
        <v/>
      </c>
      <c r="BU9" s="39"/>
      <c r="BV9" s="51" t="str">
        <f t="shared" si="14"/>
        <v/>
      </c>
      <c r="BW9" s="28" t="str">
        <f t="shared" si="15"/>
        <v/>
      </c>
      <c r="BX9" s="28" t="str">
        <f t="shared" si="16"/>
        <v/>
      </c>
      <c r="BY9" s="28" t="str">
        <f t="shared" si="17"/>
        <v/>
      </c>
      <c r="BZ9" s="28" t="str">
        <f t="shared" si="28"/>
        <v/>
      </c>
      <c r="CA9" s="52" t="str">
        <f t="shared" si="29"/>
        <v/>
      </c>
      <c r="CB9" s="39"/>
      <c r="CC9" s="49" t="str">
        <f t="shared" si="18"/>
        <v>-</v>
      </c>
      <c r="CD9" s="29" t="str">
        <f t="shared" si="19"/>
        <v>-</v>
      </c>
      <c r="CE9" s="29" t="str">
        <f t="shared" si="20"/>
        <v>-</v>
      </c>
      <c r="CF9" s="29" t="str">
        <f t="shared" si="21"/>
        <v>-</v>
      </c>
      <c r="CG9" s="50" t="str">
        <f t="shared" si="22"/>
        <v>-</v>
      </c>
      <c r="CH9" s="39"/>
    </row>
    <row r="10" spans="1:86" s="27" customFormat="1" ht="12.4" customHeight="1" thickBot="1" x14ac:dyDescent="0.25">
      <c r="A10" s="96">
        <f t="shared" si="30"/>
        <v>46302</v>
      </c>
      <c r="B10" s="97" t="str">
        <f>+TEXT(A10,"DDD")</f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99"/>
      <c r="AM10" s="99"/>
      <c r="AN10" s="99"/>
      <c r="AO10" s="99"/>
      <c r="AP10" s="99"/>
      <c r="AQ10" s="99"/>
      <c r="AR10" s="99"/>
      <c r="AS10" s="99"/>
      <c r="AT10" s="100"/>
      <c r="AU10" s="100"/>
      <c r="AV10" s="101"/>
      <c r="AW10" s="100"/>
      <c r="AX10" s="102" t="str">
        <f t="shared" si="23"/>
        <v>-</v>
      </c>
      <c r="AY10" s="39"/>
      <c r="AZ10" s="1" t="str">
        <f t="shared" si="1"/>
        <v/>
      </c>
      <c r="BA10" s="11" t="str">
        <f t="shared" si="2"/>
        <v/>
      </c>
      <c r="BB10" s="1" t="str">
        <f t="shared" si="3"/>
        <v/>
      </c>
      <c r="BC10" s="39"/>
      <c r="BD10" s="53" t="str">
        <f t="shared" si="4"/>
        <v/>
      </c>
      <c r="BE10" s="12" t="str">
        <f t="shared" si="5"/>
        <v/>
      </c>
      <c r="BF10" s="12" t="str">
        <f t="shared" si="6"/>
        <v/>
      </c>
      <c r="BG10" s="12" t="str">
        <f t="shared" si="24"/>
        <v/>
      </c>
      <c r="BH10" s="12" t="str">
        <f t="shared" si="7"/>
        <v/>
      </c>
      <c r="BI10" s="54" t="str">
        <f t="shared" si="25"/>
        <v/>
      </c>
      <c r="BJ10" s="39"/>
      <c r="BK10" s="55" t="str">
        <f t="shared" si="8"/>
        <v/>
      </c>
      <c r="BL10" s="13" t="str">
        <f t="shared" si="9"/>
        <v/>
      </c>
      <c r="BM10" s="13" t="str">
        <f t="shared" si="10"/>
        <v/>
      </c>
      <c r="BN10" s="56" t="str">
        <f t="shared" si="11"/>
        <v/>
      </c>
      <c r="BO10" s="39"/>
      <c r="BP10" s="14" t="str">
        <f t="shared" si="12"/>
        <v/>
      </c>
      <c r="BQ10" s="15">
        <v>0</v>
      </c>
      <c r="BR10" s="15" t="str">
        <f t="shared" si="26"/>
        <v/>
      </c>
      <c r="BS10" s="15" t="str">
        <f t="shared" si="27"/>
        <v/>
      </c>
      <c r="BT10" s="16" t="str">
        <f t="shared" si="13"/>
        <v/>
      </c>
      <c r="BU10" s="39"/>
      <c r="BV10" s="51" t="str">
        <f t="shared" si="14"/>
        <v/>
      </c>
      <c r="BW10" s="28" t="str">
        <f t="shared" si="15"/>
        <v/>
      </c>
      <c r="BX10" s="28" t="str">
        <f t="shared" si="16"/>
        <v/>
      </c>
      <c r="BY10" s="28" t="str">
        <f t="shared" si="17"/>
        <v/>
      </c>
      <c r="BZ10" s="28" t="str">
        <f t="shared" si="28"/>
        <v/>
      </c>
      <c r="CA10" s="52" t="str">
        <f t="shared" si="29"/>
        <v/>
      </c>
      <c r="CB10" s="39"/>
      <c r="CC10" s="49" t="str">
        <f t="shared" si="18"/>
        <v>-</v>
      </c>
      <c r="CD10" s="29" t="str">
        <f t="shared" si="19"/>
        <v>-</v>
      </c>
      <c r="CE10" s="29" t="str">
        <f t="shared" si="20"/>
        <v>-</v>
      </c>
      <c r="CF10" s="29" t="str">
        <f t="shared" si="21"/>
        <v>-</v>
      </c>
      <c r="CG10" s="50" t="str">
        <f t="shared" si="22"/>
        <v>-</v>
      </c>
      <c r="CH10" s="39"/>
    </row>
    <row r="11" spans="1:86" s="27" customFormat="1" ht="12.4" customHeight="1" thickBot="1" x14ac:dyDescent="0.25">
      <c r="A11" s="96">
        <f t="shared" si="30"/>
        <v>46303</v>
      </c>
      <c r="B11" s="97" t="str">
        <f>+TEXT(A11,"DDD")</f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99"/>
      <c r="AM11" s="99"/>
      <c r="AN11" s="99"/>
      <c r="AO11" s="99"/>
      <c r="AP11" s="99"/>
      <c r="AQ11" s="99"/>
      <c r="AR11" s="99"/>
      <c r="AS11" s="99"/>
      <c r="AT11" s="100"/>
      <c r="AU11" s="100"/>
      <c r="AV11" s="101"/>
      <c r="AW11" s="100"/>
      <c r="AX11" s="102" t="str">
        <f t="shared" si="23"/>
        <v>-</v>
      </c>
      <c r="AY11" s="39"/>
      <c r="AZ11" s="1" t="str">
        <f t="shared" si="1"/>
        <v/>
      </c>
      <c r="BA11" s="11" t="str">
        <f t="shared" si="2"/>
        <v/>
      </c>
      <c r="BB11" s="1" t="str">
        <f t="shared" si="3"/>
        <v/>
      </c>
      <c r="BC11" s="39"/>
      <c r="BD11" s="53" t="str">
        <f t="shared" si="4"/>
        <v/>
      </c>
      <c r="BE11" s="12" t="str">
        <f t="shared" si="5"/>
        <v/>
      </c>
      <c r="BF11" s="12" t="str">
        <f t="shared" si="6"/>
        <v/>
      </c>
      <c r="BG11" s="12" t="str">
        <f t="shared" si="24"/>
        <v/>
      </c>
      <c r="BH11" s="12" t="str">
        <f t="shared" si="7"/>
        <v/>
      </c>
      <c r="BI11" s="54" t="str">
        <f t="shared" si="25"/>
        <v/>
      </c>
      <c r="BJ11" s="39"/>
      <c r="BK11" s="55" t="str">
        <f t="shared" si="8"/>
        <v/>
      </c>
      <c r="BL11" s="13" t="str">
        <f t="shared" si="9"/>
        <v/>
      </c>
      <c r="BM11" s="13" t="str">
        <f t="shared" si="10"/>
        <v/>
      </c>
      <c r="BN11" s="56" t="str">
        <f t="shared" si="11"/>
        <v/>
      </c>
      <c r="BO11" s="39"/>
      <c r="BP11" s="14" t="str">
        <f t="shared" si="12"/>
        <v/>
      </c>
      <c r="BQ11" s="15">
        <v>0</v>
      </c>
      <c r="BR11" s="15" t="str">
        <f t="shared" si="26"/>
        <v/>
      </c>
      <c r="BS11" s="15" t="str">
        <f t="shared" si="27"/>
        <v/>
      </c>
      <c r="BT11" s="16" t="str">
        <f t="shared" si="13"/>
        <v/>
      </c>
      <c r="BU11" s="39"/>
      <c r="BV11" s="51" t="str">
        <f t="shared" si="14"/>
        <v/>
      </c>
      <c r="BW11" s="28" t="str">
        <f t="shared" si="15"/>
        <v/>
      </c>
      <c r="BX11" s="28" t="str">
        <f t="shared" si="16"/>
        <v/>
      </c>
      <c r="BY11" s="28" t="str">
        <f t="shared" si="17"/>
        <v/>
      </c>
      <c r="BZ11" s="28" t="str">
        <f t="shared" si="28"/>
        <v/>
      </c>
      <c r="CA11" s="52" t="str">
        <f t="shared" si="29"/>
        <v/>
      </c>
      <c r="CB11" s="39"/>
      <c r="CC11" s="49" t="str">
        <f t="shared" si="18"/>
        <v>-</v>
      </c>
      <c r="CD11" s="29" t="str">
        <f t="shared" si="19"/>
        <v>-</v>
      </c>
      <c r="CE11" s="29" t="str">
        <f t="shared" si="20"/>
        <v>-</v>
      </c>
      <c r="CF11" s="29" t="str">
        <f t="shared" si="21"/>
        <v>-</v>
      </c>
      <c r="CG11" s="50" t="str">
        <f t="shared" si="22"/>
        <v>-</v>
      </c>
      <c r="CH11" s="39"/>
    </row>
    <row r="12" spans="1:86" s="27" customFormat="1" ht="12.4" customHeight="1" thickBot="1" x14ac:dyDescent="0.25">
      <c r="A12" s="96">
        <f t="shared" si="30"/>
        <v>46304</v>
      </c>
      <c r="B12" s="97" t="str">
        <f>+TEXT(A12,"DDD")</f>
        <v>Fri</v>
      </c>
      <c r="C12" s="98"/>
      <c r="D12" s="98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99"/>
      <c r="AM12" s="99"/>
      <c r="AN12" s="99"/>
      <c r="AO12" s="99"/>
      <c r="AP12" s="99"/>
      <c r="AQ12" s="99"/>
      <c r="AR12" s="99"/>
      <c r="AS12" s="99"/>
      <c r="AT12" s="100"/>
      <c r="AU12" s="100"/>
      <c r="AV12" s="101"/>
      <c r="AW12" s="100"/>
      <c r="AX12" s="102" t="str">
        <f t="shared" si="23"/>
        <v>-</v>
      </c>
      <c r="AY12" s="39"/>
      <c r="AZ12" s="1" t="str">
        <f t="shared" si="1"/>
        <v/>
      </c>
      <c r="BA12" s="11" t="str">
        <f t="shared" si="2"/>
        <v/>
      </c>
      <c r="BB12" s="1" t="str">
        <f t="shared" si="3"/>
        <v/>
      </c>
      <c r="BC12" s="39"/>
      <c r="BD12" s="53" t="str">
        <f t="shared" si="4"/>
        <v/>
      </c>
      <c r="BE12" s="12" t="str">
        <f t="shared" si="5"/>
        <v/>
      </c>
      <c r="BF12" s="12" t="str">
        <f t="shared" si="6"/>
        <v/>
      </c>
      <c r="BG12" s="12" t="str">
        <f t="shared" si="24"/>
        <v/>
      </c>
      <c r="BH12" s="12" t="str">
        <f t="shared" si="7"/>
        <v/>
      </c>
      <c r="BI12" s="54" t="str">
        <f t="shared" si="25"/>
        <v/>
      </c>
      <c r="BJ12" s="39"/>
      <c r="BK12" s="55" t="str">
        <f t="shared" si="8"/>
        <v/>
      </c>
      <c r="BL12" s="13" t="str">
        <f t="shared" si="9"/>
        <v/>
      </c>
      <c r="BM12" s="13" t="str">
        <f t="shared" si="10"/>
        <v/>
      </c>
      <c r="BN12" s="56" t="str">
        <f t="shared" si="11"/>
        <v/>
      </c>
      <c r="BO12" s="39"/>
      <c r="BP12" s="14" t="str">
        <f t="shared" si="12"/>
        <v/>
      </c>
      <c r="BQ12" s="15">
        <v>0</v>
      </c>
      <c r="BR12" s="15" t="str">
        <f t="shared" si="26"/>
        <v/>
      </c>
      <c r="BS12" s="15" t="str">
        <f t="shared" si="27"/>
        <v/>
      </c>
      <c r="BT12" s="16" t="str">
        <f t="shared" si="13"/>
        <v/>
      </c>
      <c r="BU12" s="39"/>
      <c r="BV12" s="51" t="str">
        <f t="shared" si="14"/>
        <v/>
      </c>
      <c r="BW12" s="28" t="str">
        <f t="shared" si="15"/>
        <v/>
      </c>
      <c r="BX12" s="28" t="str">
        <f t="shared" si="16"/>
        <v/>
      </c>
      <c r="BY12" s="28" t="str">
        <f t="shared" si="17"/>
        <v/>
      </c>
      <c r="BZ12" s="28" t="str">
        <f t="shared" si="28"/>
        <v/>
      </c>
      <c r="CA12" s="52" t="str">
        <f t="shared" si="29"/>
        <v/>
      </c>
      <c r="CB12" s="39"/>
      <c r="CC12" s="49" t="str">
        <f t="shared" si="18"/>
        <v>-</v>
      </c>
      <c r="CD12" s="29" t="str">
        <f t="shared" si="19"/>
        <v>-</v>
      </c>
      <c r="CE12" s="29" t="str">
        <f t="shared" si="20"/>
        <v>-</v>
      </c>
      <c r="CF12" s="29" t="str">
        <f t="shared" si="21"/>
        <v>-</v>
      </c>
      <c r="CG12" s="50" t="str">
        <f t="shared" si="22"/>
        <v>-</v>
      </c>
      <c r="CH12" s="39"/>
    </row>
    <row r="13" spans="1:86" s="27" customFormat="1" ht="12.4" customHeight="1" thickBot="1" x14ac:dyDescent="0.25">
      <c r="A13" s="96">
        <f t="shared" si="30"/>
        <v>46305</v>
      </c>
      <c r="B13" s="97" t="str">
        <f>+TEXT(A13,"DDD")</f>
        <v>Sat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1"/>
      <c r="AM13" s="61"/>
      <c r="AN13" s="61"/>
      <c r="AO13" s="61"/>
      <c r="AP13" s="61"/>
      <c r="AQ13" s="61"/>
      <c r="AR13" s="61"/>
      <c r="AS13" s="61"/>
      <c r="AT13" s="60"/>
      <c r="AU13" s="60"/>
      <c r="AV13" s="60"/>
      <c r="AW13" s="60"/>
      <c r="AX13" s="102" t="str">
        <f t="shared" si="23"/>
        <v>-</v>
      </c>
      <c r="AY13" s="39"/>
      <c r="AZ13" s="1" t="str">
        <f t="shared" si="1"/>
        <v/>
      </c>
      <c r="BA13" s="11" t="str">
        <f t="shared" si="2"/>
        <v/>
      </c>
      <c r="BB13" s="1" t="str">
        <f t="shared" si="3"/>
        <v/>
      </c>
      <c r="BC13" s="39"/>
      <c r="BD13" s="53" t="str">
        <f t="shared" si="4"/>
        <v/>
      </c>
      <c r="BE13" s="12" t="str">
        <f t="shared" si="5"/>
        <v/>
      </c>
      <c r="BF13" s="12" t="str">
        <f t="shared" si="6"/>
        <v/>
      </c>
      <c r="BG13" s="12" t="str">
        <f t="shared" si="24"/>
        <v/>
      </c>
      <c r="BH13" s="12" t="str">
        <f t="shared" si="7"/>
        <v/>
      </c>
      <c r="BI13" s="54" t="str">
        <f t="shared" si="25"/>
        <v/>
      </c>
      <c r="BJ13" s="39"/>
      <c r="BK13" s="55" t="str">
        <f t="shared" si="8"/>
        <v/>
      </c>
      <c r="BL13" s="13" t="str">
        <f t="shared" si="9"/>
        <v/>
      </c>
      <c r="BM13" s="13" t="str">
        <f t="shared" si="10"/>
        <v/>
      </c>
      <c r="BN13" s="56" t="str">
        <f t="shared" si="11"/>
        <v/>
      </c>
      <c r="BO13" s="39"/>
      <c r="BP13" s="14" t="str">
        <f t="shared" si="12"/>
        <v/>
      </c>
      <c r="BQ13" s="15">
        <v>0</v>
      </c>
      <c r="BR13" s="15" t="str">
        <f t="shared" si="26"/>
        <v/>
      </c>
      <c r="BS13" s="15" t="str">
        <f t="shared" si="27"/>
        <v/>
      </c>
      <c r="BT13" s="16" t="str">
        <f t="shared" si="13"/>
        <v/>
      </c>
      <c r="BU13" s="39"/>
      <c r="BV13" s="51" t="str">
        <f t="shared" si="14"/>
        <v/>
      </c>
      <c r="BW13" s="28" t="str">
        <f t="shared" si="15"/>
        <v/>
      </c>
      <c r="BX13" s="28" t="str">
        <f t="shared" si="16"/>
        <v/>
      </c>
      <c r="BY13" s="28" t="str">
        <f t="shared" si="17"/>
        <v/>
      </c>
      <c r="BZ13" s="28" t="str">
        <f t="shared" si="28"/>
        <v/>
      </c>
      <c r="CA13" s="52" t="str">
        <f t="shared" si="29"/>
        <v/>
      </c>
      <c r="CB13" s="39"/>
      <c r="CC13" s="49" t="str">
        <f t="shared" si="18"/>
        <v>-</v>
      </c>
      <c r="CD13" s="29" t="str">
        <f t="shared" si="19"/>
        <v>-</v>
      </c>
      <c r="CE13" s="29" t="str">
        <f t="shared" si="20"/>
        <v>-</v>
      </c>
      <c r="CF13" s="29" t="str">
        <f t="shared" si="21"/>
        <v>-</v>
      </c>
      <c r="CG13" s="50" t="str">
        <f t="shared" si="22"/>
        <v>-</v>
      </c>
      <c r="CH13" s="39"/>
    </row>
    <row r="14" spans="1:86" s="27" customFormat="1" ht="12.4" customHeight="1" thickBot="1" x14ac:dyDescent="0.25">
      <c r="A14" s="96">
        <f t="shared" si="30"/>
        <v>46306</v>
      </c>
      <c r="B14" s="97" t="str">
        <f t="shared" si="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60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99"/>
      <c r="AM14" s="99"/>
      <c r="AN14" s="99"/>
      <c r="AO14" s="99"/>
      <c r="AP14" s="99"/>
      <c r="AQ14" s="99"/>
      <c r="AR14" s="99"/>
      <c r="AS14" s="99"/>
      <c r="AT14" s="100"/>
      <c r="AU14" s="100"/>
      <c r="AV14" s="101"/>
      <c r="AW14" s="100"/>
      <c r="AX14" s="102" t="str">
        <f t="shared" si="23"/>
        <v>-</v>
      </c>
      <c r="AY14" s="39"/>
      <c r="AZ14" s="1" t="str">
        <f t="shared" si="1"/>
        <v/>
      </c>
      <c r="BA14" s="11" t="str">
        <f t="shared" si="2"/>
        <v/>
      </c>
      <c r="BB14" s="1" t="str">
        <f t="shared" si="3"/>
        <v/>
      </c>
      <c r="BC14" s="39"/>
      <c r="BD14" s="53" t="str">
        <f t="shared" si="4"/>
        <v/>
      </c>
      <c r="BE14" s="12" t="str">
        <f t="shared" si="5"/>
        <v/>
      </c>
      <c r="BF14" s="12" t="str">
        <f t="shared" si="6"/>
        <v/>
      </c>
      <c r="BG14" s="12" t="str">
        <f t="shared" si="24"/>
        <v/>
      </c>
      <c r="BH14" s="12" t="str">
        <f t="shared" si="7"/>
        <v/>
      </c>
      <c r="BI14" s="54" t="str">
        <f t="shared" si="25"/>
        <v/>
      </c>
      <c r="BJ14" s="39"/>
      <c r="BK14" s="55" t="str">
        <f t="shared" si="8"/>
        <v/>
      </c>
      <c r="BL14" s="13" t="str">
        <f t="shared" si="9"/>
        <v/>
      </c>
      <c r="BM14" s="13" t="str">
        <f t="shared" si="10"/>
        <v/>
      </c>
      <c r="BN14" s="56" t="str">
        <f t="shared" si="11"/>
        <v/>
      </c>
      <c r="BO14" s="39"/>
      <c r="BP14" s="14" t="str">
        <f t="shared" si="12"/>
        <v/>
      </c>
      <c r="BQ14" s="15">
        <v>0</v>
      </c>
      <c r="BR14" s="15" t="str">
        <f t="shared" si="26"/>
        <v/>
      </c>
      <c r="BS14" s="15" t="str">
        <f t="shared" si="27"/>
        <v/>
      </c>
      <c r="BT14" s="16" t="str">
        <f t="shared" si="13"/>
        <v/>
      </c>
      <c r="BU14" s="39"/>
      <c r="BV14" s="51" t="str">
        <f t="shared" si="14"/>
        <v/>
      </c>
      <c r="BW14" s="28" t="str">
        <f t="shared" si="15"/>
        <v/>
      </c>
      <c r="BX14" s="28" t="str">
        <f t="shared" si="16"/>
        <v/>
      </c>
      <c r="BY14" s="28" t="str">
        <f t="shared" si="17"/>
        <v/>
      </c>
      <c r="BZ14" s="28" t="str">
        <f t="shared" si="28"/>
        <v/>
      </c>
      <c r="CA14" s="52" t="str">
        <f t="shared" si="29"/>
        <v/>
      </c>
      <c r="CB14" s="39"/>
      <c r="CC14" s="49" t="str">
        <f t="shared" si="18"/>
        <v>-</v>
      </c>
      <c r="CD14" s="29" t="str">
        <f t="shared" si="19"/>
        <v>-</v>
      </c>
      <c r="CE14" s="29" t="str">
        <f t="shared" si="20"/>
        <v>-</v>
      </c>
      <c r="CF14" s="29" t="str">
        <f t="shared" si="21"/>
        <v>-</v>
      </c>
      <c r="CG14" s="50" t="str">
        <f t="shared" si="22"/>
        <v>-</v>
      </c>
      <c r="CH14" s="39"/>
    </row>
    <row r="15" spans="1:86" s="27" customFormat="1" ht="12.4" customHeight="1" thickBot="1" x14ac:dyDescent="0.25">
      <c r="A15" s="96">
        <f t="shared" si="30"/>
        <v>46307</v>
      </c>
      <c r="B15" s="97" t="str">
        <f t="shared" si="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60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99"/>
      <c r="AM15" s="99"/>
      <c r="AN15" s="99"/>
      <c r="AO15" s="99"/>
      <c r="AP15" s="99"/>
      <c r="AQ15" s="99"/>
      <c r="AR15" s="99"/>
      <c r="AS15" s="99"/>
      <c r="AT15" s="100"/>
      <c r="AU15" s="100"/>
      <c r="AV15" s="101"/>
      <c r="AW15" s="100"/>
      <c r="AX15" s="102" t="str">
        <f t="shared" si="23"/>
        <v>-</v>
      </c>
      <c r="AY15" s="39"/>
      <c r="AZ15" s="1" t="str">
        <f t="shared" si="1"/>
        <v/>
      </c>
      <c r="BA15" s="11" t="str">
        <f t="shared" si="2"/>
        <v/>
      </c>
      <c r="BB15" s="1" t="str">
        <f t="shared" si="3"/>
        <v/>
      </c>
      <c r="BC15" s="39"/>
      <c r="BD15" s="53" t="str">
        <f t="shared" si="4"/>
        <v/>
      </c>
      <c r="BE15" s="12" t="str">
        <f t="shared" si="5"/>
        <v/>
      </c>
      <c r="BF15" s="12" t="str">
        <f t="shared" si="6"/>
        <v/>
      </c>
      <c r="BG15" s="12" t="str">
        <f t="shared" si="24"/>
        <v/>
      </c>
      <c r="BH15" s="12" t="str">
        <f t="shared" si="7"/>
        <v/>
      </c>
      <c r="BI15" s="54" t="str">
        <f t="shared" si="25"/>
        <v/>
      </c>
      <c r="BJ15" s="39"/>
      <c r="BK15" s="55" t="str">
        <f t="shared" si="8"/>
        <v/>
      </c>
      <c r="BL15" s="13" t="str">
        <f t="shared" si="9"/>
        <v/>
      </c>
      <c r="BM15" s="13" t="str">
        <f t="shared" si="10"/>
        <v/>
      </c>
      <c r="BN15" s="56" t="str">
        <f t="shared" si="11"/>
        <v/>
      </c>
      <c r="BO15" s="39"/>
      <c r="BP15" s="14" t="str">
        <f t="shared" si="12"/>
        <v/>
      </c>
      <c r="BQ15" s="15">
        <v>0</v>
      </c>
      <c r="BR15" s="15" t="str">
        <f t="shared" si="26"/>
        <v/>
      </c>
      <c r="BS15" s="15" t="str">
        <f t="shared" si="27"/>
        <v/>
      </c>
      <c r="BT15" s="16" t="str">
        <f t="shared" si="13"/>
        <v/>
      </c>
      <c r="BU15" s="39"/>
      <c r="BV15" s="51" t="str">
        <f t="shared" si="14"/>
        <v/>
      </c>
      <c r="BW15" s="28" t="str">
        <f t="shared" si="15"/>
        <v/>
      </c>
      <c r="BX15" s="28" t="str">
        <f t="shared" si="16"/>
        <v/>
      </c>
      <c r="BY15" s="28" t="str">
        <f t="shared" si="17"/>
        <v/>
      </c>
      <c r="BZ15" s="28" t="str">
        <f t="shared" si="28"/>
        <v/>
      </c>
      <c r="CA15" s="52" t="str">
        <f t="shared" si="29"/>
        <v/>
      </c>
      <c r="CB15" s="39"/>
      <c r="CC15" s="49" t="str">
        <f t="shared" si="18"/>
        <v>-</v>
      </c>
      <c r="CD15" s="29" t="str">
        <f t="shared" si="19"/>
        <v>-</v>
      </c>
      <c r="CE15" s="29" t="str">
        <f t="shared" si="20"/>
        <v>-</v>
      </c>
      <c r="CF15" s="29" t="str">
        <f t="shared" si="21"/>
        <v>-</v>
      </c>
      <c r="CG15" s="50" t="str">
        <f t="shared" si="22"/>
        <v>-</v>
      </c>
      <c r="CH15" s="39"/>
    </row>
    <row r="16" spans="1:86" s="27" customFormat="1" ht="12.4" customHeight="1" thickBot="1" x14ac:dyDescent="0.25">
      <c r="A16" s="96">
        <f t="shared" si="30"/>
        <v>46308</v>
      </c>
      <c r="B16" s="97" t="str">
        <f t="shared" si="0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99"/>
      <c r="AM16" s="99"/>
      <c r="AN16" s="99"/>
      <c r="AO16" s="99"/>
      <c r="AP16" s="99"/>
      <c r="AQ16" s="99"/>
      <c r="AR16" s="99"/>
      <c r="AS16" s="99"/>
      <c r="AT16" s="100"/>
      <c r="AU16" s="100"/>
      <c r="AV16" s="101"/>
      <c r="AW16" s="100"/>
      <c r="AX16" s="102" t="str">
        <f t="shared" si="23"/>
        <v>-</v>
      </c>
      <c r="AY16" s="39"/>
      <c r="AZ16" s="1" t="str">
        <f t="shared" si="1"/>
        <v/>
      </c>
      <c r="BA16" s="11" t="str">
        <f t="shared" si="2"/>
        <v/>
      </c>
      <c r="BB16" s="1" t="str">
        <f t="shared" si="3"/>
        <v/>
      </c>
      <c r="BC16" s="39"/>
      <c r="BD16" s="53" t="str">
        <f t="shared" si="4"/>
        <v/>
      </c>
      <c r="BE16" s="12" t="str">
        <f t="shared" si="5"/>
        <v/>
      </c>
      <c r="BF16" s="12" t="str">
        <f t="shared" si="6"/>
        <v/>
      </c>
      <c r="BG16" s="12" t="str">
        <f t="shared" si="24"/>
        <v/>
      </c>
      <c r="BH16" s="12" t="str">
        <f t="shared" si="7"/>
        <v/>
      </c>
      <c r="BI16" s="54" t="str">
        <f t="shared" si="25"/>
        <v/>
      </c>
      <c r="BJ16" s="39"/>
      <c r="BK16" s="55" t="str">
        <f t="shared" si="8"/>
        <v/>
      </c>
      <c r="BL16" s="13" t="str">
        <f t="shared" si="9"/>
        <v/>
      </c>
      <c r="BM16" s="13" t="str">
        <f t="shared" si="10"/>
        <v/>
      </c>
      <c r="BN16" s="56" t="str">
        <f t="shared" si="11"/>
        <v/>
      </c>
      <c r="BO16" s="39"/>
      <c r="BP16" s="14" t="str">
        <f t="shared" si="12"/>
        <v/>
      </c>
      <c r="BQ16" s="15">
        <v>0</v>
      </c>
      <c r="BR16" s="15" t="str">
        <f t="shared" si="26"/>
        <v/>
      </c>
      <c r="BS16" s="15" t="str">
        <f t="shared" si="27"/>
        <v/>
      </c>
      <c r="BT16" s="16" t="str">
        <f t="shared" si="13"/>
        <v/>
      </c>
      <c r="BU16" s="39"/>
      <c r="BV16" s="51" t="str">
        <f t="shared" si="14"/>
        <v/>
      </c>
      <c r="BW16" s="28" t="str">
        <f t="shared" si="15"/>
        <v/>
      </c>
      <c r="BX16" s="28" t="str">
        <f t="shared" si="16"/>
        <v/>
      </c>
      <c r="BY16" s="28" t="str">
        <f t="shared" si="17"/>
        <v/>
      </c>
      <c r="BZ16" s="28" t="str">
        <f t="shared" si="28"/>
        <v/>
      </c>
      <c r="CA16" s="52" t="str">
        <f t="shared" si="29"/>
        <v/>
      </c>
      <c r="CB16" s="39"/>
      <c r="CC16" s="49" t="str">
        <f t="shared" si="18"/>
        <v>-</v>
      </c>
      <c r="CD16" s="29" t="str">
        <f t="shared" si="19"/>
        <v>-</v>
      </c>
      <c r="CE16" s="29" t="str">
        <f t="shared" si="20"/>
        <v>-</v>
      </c>
      <c r="CF16" s="29" t="str">
        <f t="shared" si="21"/>
        <v>-</v>
      </c>
      <c r="CG16" s="50" t="str">
        <f t="shared" si="22"/>
        <v>-</v>
      </c>
      <c r="CH16" s="39"/>
    </row>
    <row r="17" spans="1:86" s="27" customFormat="1" ht="12.4" customHeight="1" thickBot="1" x14ac:dyDescent="0.25">
      <c r="A17" s="96">
        <f t="shared" si="30"/>
        <v>46309</v>
      </c>
      <c r="B17" s="97" t="str">
        <f t="shared" si="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99"/>
      <c r="AM17" s="99"/>
      <c r="AN17" s="99"/>
      <c r="AO17" s="99"/>
      <c r="AP17" s="99"/>
      <c r="AQ17" s="99"/>
      <c r="AR17" s="99"/>
      <c r="AS17" s="99"/>
      <c r="AT17" s="100"/>
      <c r="AU17" s="100"/>
      <c r="AV17" s="101"/>
      <c r="AW17" s="100"/>
      <c r="AX17" s="102" t="str">
        <f t="shared" si="23"/>
        <v>-</v>
      </c>
      <c r="AY17" s="39"/>
      <c r="AZ17" s="1" t="str">
        <f t="shared" si="1"/>
        <v/>
      </c>
      <c r="BA17" s="11" t="str">
        <f t="shared" si="2"/>
        <v/>
      </c>
      <c r="BB17" s="1" t="str">
        <f t="shared" si="3"/>
        <v/>
      </c>
      <c r="BC17" s="39"/>
      <c r="BD17" s="53" t="str">
        <f t="shared" si="4"/>
        <v/>
      </c>
      <c r="BE17" s="12" t="str">
        <f t="shared" si="5"/>
        <v/>
      </c>
      <c r="BF17" s="12" t="str">
        <f t="shared" si="6"/>
        <v/>
      </c>
      <c r="BG17" s="12" t="str">
        <f t="shared" si="24"/>
        <v/>
      </c>
      <c r="BH17" s="12" t="str">
        <f t="shared" si="7"/>
        <v/>
      </c>
      <c r="BI17" s="54" t="str">
        <f t="shared" si="25"/>
        <v/>
      </c>
      <c r="BJ17" s="39"/>
      <c r="BK17" s="55" t="str">
        <f t="shared" si="8"/>
        <v/>
      </c>
      <c r="BL17" s="13" t="str">
        <f t="shared" si="9"/>
        <v/>
      </c>
      <c r="BM17" s="13" t="str">
        <f t="shared" si="10"/>
        <v/>
      </c>
      <c r="BN17" s="56" t="str">
        <f t="shared" si="11"/>
        <v/>
      </c>
      <c r="BO17" s="39"/>
      <c r="BP17" s="14" t="str">
        <f t="shared" si="12"/>
        <v/>
      </c>
      <c r="BQ17" s="15">
        <v>0</v>
      </c>
      <c r="BR17" s="15" t="str">
        <f t="shared" si="26"/>
        <v/>
      </c>
      <c r="BS17" s="15" t="str">
        <f t="shared" si="27"/>
        <v/>
      </c>
      <c r="BT17" s="16" t="str">
        <f t="shared" si="13"/>
        <v/>
      </c>
      <c r="BU17" s="39"/>
      <c r="BV17" s="51" t="str">
        <f t="shared" si="14"/>
        <v/>
      </c>
      <c r="BW17" s="28" t="str">
        <f t="shared" si="15"/>
        <v/>
      </c>
      <c r="BX17" s="28" t="str">
        <f t="shared" si="16"/>
        <v/>
      </c>
      <c r="BY17" s="28" t="str">
        <f t="shared" si="17"/>
        <v/>
      </c>
      <c r="BZ17" s="28" t="str">
        <f t="shared" si="28"/>
        <v/>
      </c>
      <c r="CA17" s="52" t="str">
        <f t="shared" si="29"/>
        <v/>
      </c>
      <c r="CB17" s="39"/>
      <c r="CC17" s="49" t="str">
        <f t="shared" si="18"/>
        <v>-</v>
      </c>
      <c r="CD17" s="29" t="str">
        <f t="shared" si="19"/>
        <v>-</v>
      </c>
      <c r="CE17" s="29" t="str">
        <f t="shared" si="20"/>
        <v>-</v>
      </c>
      <c r="CF17" s="29" t="str">
        <f t="shared" si="21"/>
        <v>-</v>
      </c>
      <c r="CG17" s="50" t="str">
        <f t="shared" si="22"/>
        <v>-</v>
      </c>
      <c r="CH17" s="39"/>
    </row>
    <row r="18" spans="1:86" s="27" customFormat="1" ht="12.4" customHeight="1" thickBot="1" x14ac:dyDescent="0.25">
      <c r="A18" s="96">
        <f t="shared" si="30"/>
        <v>46310</v>
      </c>
      <c r="B18" s="97" t="str">
        <f t="shared" si="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99"/>
      <c r="AM18" s="99"/>
      <c r="AN18" s="99"/>
      <c r="AO18" s="99"/>
      <c r="AP18" s="99"/>
      <c r="AQ18" s="99"/>
      <c r="AR18" s="99"/>
      <c r="AS18" s="99"/>
      <c r="AT18" s="100"/>
      <c r="AU18" s="100"/>
      <c r="AV18" s="101"/>
      <c r="AW18" s="100"/>
      <c r="AX18" s="102" t="str">
        <f t="shared" si="23"/>
        <v>-</v>
      </c>
      <c r="AY18" s="39"/>
      <c r="AZ18" s="1" t="str">
        <f t="shared" si="1"/>
        <v/>
      </c>
      <c r="BA18" s="11" t="str">
        <f t="shared" si="2"/>
        <v/>
      </c>
      <c r="BB18" s="1" t="str">
        <f t="shared" si="3"/>
        <v/>
      </c>
      <c r="BC18" s="39"/>
      <c r="BD18" s="53" t="str">
        <f t="shared" si="4"/>
        <v/>
      </c>
      <c r="BE18" s="12" t="str">
        <f t="shared" si="5"/>
        <v/>
      </c>
      <c r="BF18" s="12" t="str">
        <f t="shared" si="6"/>
        <v/>
      </c>
      <c r="BG18" s="12" t="str">
        <f t="shared" si="24"/>
        <v/>
      </c>
      <c r="BH18" s="12" t="str">
        <f t="shared" si="7"/>
        <v/>
      </c>
      <c r="BI18" s="54" t="str">
        <f t="shared" si="25"/>
        <v/>
      </c>
      <c r="BJ18" s="39"/>
      <c r="BK18" s="55" t="str">
        <f t="shared" si="8"/>
        <v/>
      </c>
      <c r="BL18" s="13" t="str">
        <f t="shared" si="9"/>
        <v/>
      </c>
      <c r="BM18" s="13" t="str">
        <f t="shared" si="10"/>
        <v/>
      </c>
      <c r="BN18" s="56" t="str">
        <f t="shared" si="11"/>
        <v/>
      </c>
      <c r="BO18" s="39"/>
      <c r="BP18" s="14" t="str">
        <f t="shared" si="12"/>
        <v/>
      </c>
      <c r="BQ18" s="15">
        <v>0</v>
      </c>
      <c r="BR18" s="15" t="str">
        <f t="shared" si="26"/>
        <v/>
      </c>
      <c r="BS18" s="15" t="str">
        <f t="shared" si="27"/>
        <v/>
      </c>
      <c r="BT18" s="16" t="str">
        <f t="shared" si="13"/>
        <v/>
      </c>
      <c r="BU18" s="39"/>
      <c r="BV18" s="51" t="str">
        <f t="shared" si="14"/>
        <v/>
      </c>
      <c r="BW18" s="28" t="str">
        <f t="shared" si="15"/>
        <v/>
      </c>
      <c r="BX18" s="28" t="str">
        <f t="shared" si="16"/>
        <v/>
      </c>
      <c r="BY18" s="28" t="str">
        <f t="shared" si="17"/>
        <v/>
      </c>
      <c r="BZ18" s="28" t="str">
        <f t="shared" si="28"/>
        <v/>
      </c>
      <c r="CA18" s="52" t="str">
        <f t="shared" si="29"/>
        <v/>
      </c>
      <c r="CB18" s="39"/>
      <c r="CC18" s="49" t="str">
        <f t="shared" si="18"/>
        <v>-</v>
      </c>
      <c r="CD18" s="29" t="str">
        <f t="shared" si="19"/>
        <v>-</v>
      </c>
      <c r="CE18" s="29" t="str">
        <f t="shared" si="20"/>
        <v>-</v>
      </c>
      <c r="CF18" s="29" t="str">
        <f t="shared" si="21"/>
        <v>-</v>
      </c>
      <c r="CG18" s="50" t="str">
        <f t="shared" si="22"/>
        <v>-</v>
      </c>
      <c r="CH18" s="39"/>
    </row>
    <row r="19" spans="1:86" s="27" customFormat="1" ht="12.4" customHeight="1" thickBot="1" x14ac:dyDescent="0.25">
      <c r="A19" s="96">
        <f t="shared" si="30"/>
        <v>46311</v>
      </c>
      <c r="B19" s="97" t="str">
        <f t="shared" si="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99"/>
      <c r="AM19" s="99"/>
      <c r="AN19" s="99"/>
      <c r="AO19" s="99"/>
      <c r="AP19" s="99"/>
      <c r="AQ19" s="99"/>
      <c r="AR19" s="99"/>
      <c r="AS19" s="99"/>
      <c r="AT19" s="100"/>
      <c r="AU19" s="100"/>
      <c r="AV19" s="101"/>
      <c r="AW19" s="100"/>
      <c r="AX19" s="102" t="str">
        <f t="shared" si="23"/>
        <v>-</v>
      </c>
      <c r="AY19" s="39"/>
      <c r="AZ19" s="1" t="str">
        <f t="shared" si="1"/>
        <v/>
      </c>
      <c r="BA19" s="11" t="str">
        <f t="shared" si="2"/>
        <v/>
      </c>
      <c r="BB19" s="1" t="str">
        <f t="shared" si="3"/>
        <v/>
      </c>
      <c r="BC19" s="39"/>
      <c r="BD19" s="53" t="str">
        <f t="shared" si="4"/>
        <v/>
      </c>
      <c r="BE19" s="12" t="str">
        <f t="shared" si="5"/>
        <v/>
      </c>
      <c r="BF19" s="12" t="str">
        <f t="shared" si="6"/>
        <v/>
      </c>
      <c r="BG19" s="12" t="str">
        <f t="shared" si="24"/>
        <v/>
      </c>
      <c r="BH19" s="12" t="str">
        <f t="shared" si="7"/>
        <v/>
      </c>
      <c r="BI19" s="54" t="str">
        <f t="shared" si="25"/>
        <v/>
      </c>
      <c r="BJ19" s="39"/>
      <c r="BK19" s="55" t="str">
        <f t="shared" si="8"/>
        <v/>
      </c>
      <c r="BL19" s="13" t="str">
        <f t="shared" si="9"/>
        <v/>
      </c>
      <c r="BM19" s="13" t="str">
        <f t="shared" si="10"/>
        <v/>
      </c>
      <c r="BN19" s="56" t="str">
        <f t="shared" si="11"/>
        <v/>
      </c>
      <c r="BO19" s="39"/>
      <c r="BP19" s="14" t="str">
        <f t="shared" si="12"/>
        <v/>
      </c>
      <c r="BQ19" s="15">
        <v>0</v>
      </c>
      <c r="BR19" s="15" t="str">
        <f t="shared" si="26"/>
        <v/>
      </c>
      <c r="BS19" s="15" t="str">
        <f t="shared" si="27"/>
        <v/>
      </c>
      <c r="BT19" s="16" t="str">
        <f t="shared" si="13"/>
        <v/>
      </c>
      <c r="BU19" s="39"/>
      <c r="BV19" s="51" t="str">
        <f t="shared" si="14"/>
        <v/>
      </c>
      <c r="BW19" s="28" t="str">
        <f t="shared" si="15"/>
        <v/>
      </c>
      <c r="BX19" s="28" t="str">
        <f t="shared" si="16"/>
        <v/>
      </c>
      <c r="BY19" s="28" t="str">
        <f t="shared" si="17"/>
        <v/>
      </c>
      <c r="BZ19" s="28" t="str">
        <f t="shared" si="28"/>
        <v/>
      </c>
      <c r="CA19" s="52" t="str">
        <f t="shared" si="29"/>
        <v/>
      </c>
      <c r="CB19" s="39"/>
      <c r="CC19" s="49" t="str">
        <f t="shared" si="18"/>
        <v>-</v>
      </c>
      <c r="CD19" s="29" t="str">
        <f t="shared" si="19"/>
        <v>-</v>
      </c>
      <c r="CE19" s="29" t="str">
        <f t="shared" si="20"/>
        <v>-</v>
      </c>
      <c r="CF19" s="29" t="str">
        <f t="shared" si="21"/>
        <v>-</v>
      </c>
      <c r="CG19" s="50" t="str">
        <f t="shared" si="22"/>
        <v>-</v>
      </c>
      <c r="CH19" s="39"/>
    </row>
    <row r="20" spans="1:86" s="27" customFormat="1" ht="12.4" customHeight="1" thickBot="1" x14ac:dyDescent="0.25">
      <c r="A20" s="96">
        <f t="shared" si="30"/>
        <v>46312</v>
      </c>
      <c r="B20" s="97" t="str">
        <f t="shared" si="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99"/>
      <c r="AM20" s="99"/>
      <c r="AN20" s="99"/>
      <c r="AO20" s="99"/>
      <c r="AP20" s="99"/>
      <c r="AQ20" s="99"/>
      <c r="AR20" s="99"/>
      <c r="AS20" s="99"/>
      <c r="AT20" s="100"/>
      <c r="AU20" s="100"/>
      <c r="AV20" s="101"/>
      <c r="AW20" s="100"/>
      <c r="AX20" s="102" t="str">
        <f t="shared" si="23"/>
        <v>-</v>
      </c>
      <c r="AY20" s="39"/>
      <c r="AZ20" s="1" t="str">
        <f t="shared" si="1"/>
        <v/>
      </c>
      <c r="BA20" s="11" t="str">
        <f t="shared" si="2"/>
        <v/>
      </c>
      <c r="BB20" s="1" t="str">
        <f t="shared" si="3"/>
        <v/>
      </c>
      <c r="BC20" s="39"/>
      <c r="BD20" s="53" t="str">
        <f t="shared" si="4"/>
        <v/>
      </c>
      <c r="BE20" s="12" t="str">
        <f t="shared" si="5"/>
        <v/>
      </c>
      <c r="BF20" s="12" t="str">
        <f t="shared" si="6"/>
        <v/>
      </c>
      <c r="BG20" s="12" t="str">
        <f t="shared" si="24"/>
        <v/>
      </c>
      <c r="BH20" s="12" t="str">
        <f t="shared" si="7"/>
        <v/>
      </c>
      <c r="BI20" s="54" t="str">
        <f t="shared" si="25"/>
        <v/>
      </c>
      <c r="BJ20" s="39"/>
      <c r="BK20" s="55" t="str">
        <f t="shared" si="8"/>
        <v/>
      </c>
      <c r="BL20" s="13" t="str">
        <f t="shared" si="9"/>
        <v/>
      </c>
      <c r="BM20" s="13" t="str">
        <f t="shared" si="10"/>
        <v/>
      </c>
      <c r="BN20" s="56" t="str">
        <f t="shared" si="11"/>
        <v/>
      </c>
      <c r="BO20" s="39"/>
      <c r="BP20" s="14" t="str">
        <f t="shared" si="12"/>
        <v/>
      </c>
      <c r="BQ20" s="15">
        <v>0</v>
      </c>
      <c r="BR20" s="15" t="str">
        <f t="shared" si="26"/>
        <v/>
      </c>
      <c r="BS20" s="15" t="str">
        <f t="shared" si="27"/>
        <v/>
      </c>
      <c r="BT20" s="16" t="str">
        <f t="shared" si="13"/>
        <v/>
      </c>
      <c r="BU20" s="39"/>
      <c r="BV20" s="51" t="str">
        <f t="shared" si="14"/>
        <v/>
      </c>
      <c r="BW20" s="28" t="str">
        <f t="shared" si="15"/>
        <v/>
      </c>
      <c r="BX20" s="28" t="str">
        <f t="shared" si="16"/>
        <v/>
      </c>
      <c r="BY20" s="28" t="str">
        <f t="shared" si="17"/>
        <v/>
      </c>
      <c r="BZ20" s="28" t="str">
        <f t="shared" si="28"/>
        <v/>
      </c>
      <c r="CA20" s="52" t="str">
        <f t="shared" si="29"/>
        <v/>
      </c>
      <c r="CB20" s="39"/>
      <c r="CC20" s="49" t="str">
        <f t="shared" si="18"/>
        <v>-</v>
      </c>
      <c r="CD20" s="29" t="str">
        <f t="shared" si="19"/>
        <v>-</v>
      </c>
      <c r="CE20" s="29" t="str">
        <f t="shared" si="20"/>
        <v>-</v>
      </c>
      <c r="CF20" s="29" t="str">
        <f t="shared" si="21"/>
        <v>-</v>
      </c>
      <c r="CG20" s="50" t="str">
        <f t="shared" si="22"/>
        <v>-</v>
      </c>
      <c r="CH20" s="39"/>
    </row>
    <row r="21" spans="1:86" s="27" customFormat="1" ht="12.4" customHeight="1" thickBot="1" x14ac:dyDescent="0.25">
      <c r="A21" s="96">
        <f t="shared" si="30"/>
        <v>46313</v>
      </c>
      <c r="B21" s="97" t="str">
        <f t="shared" si="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99"/>
      <c r="AM21" s="99"/>
      <c r="AN21" s="99"/>
      <c r="AO21" s="99"/>
      <c r="AP21" s="99"/>
      <c r="AQ21" s="99"/>
      <c r="AR21" s="99"/>
      <c r="AS21" s="99"/>
      <c r="AT21" s="100"/>
      <c r="AU21" s="100"/>
      <c r="AV21" s="101"/>
      <c r="AW21" s="100"/>
      <c r="AX21" s="102" t="str">
        <f t="shared" si="23"/>
        <v>-</v>
      </c>
      <c r="AY21" s="39"/>
      <c r="AZ21" s="1" t="str">
        <f t="shared" si="1"/>
        <v/>
      </c>
      <c r="BA21" s="11" t="str">
        <f t="shared" si="2"/>
        <v/>
      </c>
      <c r="BB21" s="1" t="str">
        <f t="shared" si="3"/>
        <v/>
      </c>
      <c r="BC21" s="39"/>
      <c r="BD21" s="53" t="str">
        <f t="shared" si="4"/>
        <v/>
      </c>
      <c r="BE21" s="12" t="str">
        <f t="shared" si="5"/>
        <v/>
      </c>
      <c r="BF21" s="12" t="str">
        <f t="shared" si="6"/>
        <v/>
      </c>
      <c r="BG21" s="12" t="str">
        <f t="shared" si="24"/>
        <v/>
      </c>
      <c r="BH21" s="12" t="str">
        <f t="shared" si="7"/>
        <v/>
      </c>
      <c r="BI21" s="54" t="str">
        <f t="shared" si="25"/>
        <v/>
      </c>
      <c r="BJ21" s="39"/>
      <c r="BK21" s="55" t="str">
        <f t="shared" si="8"/>
        <v/>
      </c>
      <c r="BL21" s="13" t="str">
        <f t="shared" si="9"/>
        <v/>
      </c>
      <c r="BM21" s="13" t="str">
        <f t="shared" si="10"/>
        <v/>
      </c>
      <c r="BN21" s="56" t="str">
        <f t="shared" si="11"/>
        <v/>
      </c>
      <c r="BO21" s="39"/>
      <c r="BP21" s="14" t="str">
        <f t="shared" si="12"/>
        <v/>
      </c>
      <c r="BQ21" s="15">
        <v>0</v>
      </c>
      <c r="BR21" s="15" t="str">
        <f t="shared" si="26"/>
        <v/>
      </c>
      <c r="BS21" s="15" t="str">
        <f t="shared" si="27"/>
        <v/>
      </c>
      <c r="BT21" s="16" t="str">
        <f t="shared" si="13"/>
        <v/>
      </c>
      <c r="BU21" s="39"/>
      <c r="BV21" s="51" t="str">
        <f t="shared" si="14"/>
        <v/>
      </c>
      <c r="BW21" s="28" t="str">
        <f t="shared" si="15"/>
        <v/>
      </c>
      <c r="BX21" s="28" t="str">
        <f t="shared" si="16"/>
        <v/>
      </c>
      <c r="BY21" s="28" t="str">
        <f t="shared" si="17"/>
        <v/>
      </c>
      <c r="BZ21" s="28" t="str">
        <f t="shared" si="28"/>
        <v/>
      </c>
      <c r="CA21" s="52" t="str">
        <f t="shared" si="29"/>
        <v/>
      </c>
      <c r="CB21" s="39"/>
      <c r="CC21" s="49" t="str">
        <f t="shared" si="18"/>
        <v>-</v>
      </c>
      <c r="CD21" s="29" t="str">
        <f t="shared" si="19"/>
        <v>-</v>
      </c>
      <c r="CE21" s="29" t="str">
        <f t="shared" si="20"/>
        <v>-</v>
      </c>
      <c r="CF21" s="29" t="str">
        <f t="shared" si="21"/>
        <v>-</v>
      </c>
      <c r="CG21" s="50" t="str">
        <f t="shared" si="22"/>
        <v>-</v>
      </c>
      <c r="CH21" s="39"/>
    </row>
    <row r="22" spans="1:86" s="27" customFormat="1" ht="12.4" customHeight="1" thickBot="1" x14ac:dyDescent="0.25">
      <c r="A22" s="96">
        <f t="shared" si="30"/>
        <v>46314</v>
      </c>
      <c r="B22" s="97" t="str">
        <f t="shared" si="0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99"/>
      <c r="AM22" s="99"/>
      <c r="AN22" s="99"/>
      <c r="AO22" s="99"/>
      <c r="AP22" s="99"/>
      <c r="AQ22" s="99"/>
      <c r="AR22" s="99"/>
      <c r="AS22" s="99"/>
      <c r="AT22" s="100"/>
      <c r="AU22" s="100"/>
      <c r="AV22" s="101"/>
      <c r="AW22" s="100"/>
      <c r="AX22" s="102" t="str">
        <f t="shared" si="23"/>
        <v>-</v>
      </c>
      <c r="AY22" s="39"/>
      <c r="AZ22" s="1" t="str">
        <f t="shared" si="1"/>
        <v/>
      </c>
      <c r="BA22" s="11" t="str">
        <f t="shared" si="2"/>
        <v/>
      </c>
      <c r="BB22" s="1" t="str">
        <f t="shared" si="3"/>
        <v/>
      </c>
      <c r="BC22" s="39"/>
      <c r="BD22" s="53" t="str">
        <f t="shared" si="4"/>
        <v/>
      </c>
      <c r="BE22" s="12" t="str">
        <f t="shared" si="5"/>
        <v/>
      </c>
      <c r="BF22" s="12" t="str">
        <f t="shared" si="6"/>
        <v/>
      </c>
      <c r="BG22" s="12" t="str">
        <f t="shared" si="24"/>
        <v/>
      </c>
      <c r="BH22" s="12" t="str">
        <f t="shared" si="7"/>
        <v/>
      </c>
      <c r="BI22" s="54" t="str">
        <f t="shared" si="25"/>
        <v/>
      </c>
      <c r="BJ22" s="39"/>
      <c r="BK22" s="55" t="str">
        <f t="shared" si="8"/>
        <v/>
      </c>
      <c r="BL22" s="13" t="str">
        <f t="shared" si="9"/>
        <v/>
      </c>
      <c r="BM22" s="13" t="str">
        <f t="shared" si="10"/>
        <v/>
      </c>
      <c r="BN22" s="56" t="str">
        <f t="shared" si="11"/>
        <v/>
      </c>
      <c r="BO22" s="39"/>
      <c r="BP22" s="14" t="str">
        <f t="shared" si="12"/>
        <v/>
      </c>
      <c r="BQ22" s="15">
        <v>0</v>
      </c>
      <c r="BR22" s="15" t="str">
        <f t="shared" si="26"/>
        <v/>
      </c>
      <c r="BS22" s="15" t="str">
        <f t="shared" si="27"/>
        <v/>
      </c>
      <c r="BT22" s="16" t="str">
        <f t="shared" si="13"/>
        <v/>
      </c>
      <c r="BU22" s="39"/>
      <c r="BV22" s="51" t="str">
        <f t="shared" si="14"/>
        <v/>
      </c>
      <c r="BW22" s="28" t="str">
        <f t="shared" si="15"/>
        <v/>
      </c>
      <c r="BX22" s="28" t="str">
        <f t="shared" si="16"/>
        <v/>
      </c>
      <c r="BY22" s="28" t="str">
        <f t="shared" si="17"/>
        <v/>
      </c>
      <c r="BZ22" s="28" t="str">
        <f t="shared" si="28"/>
        <v/>
      </c>
      <c r="CA22" s="52" t="str">
        <f t="shared" si="29"/>
        <v/>
      </c>
      <c r="CB22" s="39"/>
      <c r="CC22" s="49" t="str">
        <f t="shared" si="18"/>
        <v>-</v>
      </c>
      <c r="CD22" s="29" t="str">
        <f t="shared" si="19"/>
        <v>-</v>
      </c>
      <c r="CE22" s="29" t="str">
        <f t="shared" si="20"/>
        <v>-</v>
      </c>
      <c r="CF22" s="29" t="str">
        <f t="shared" si="21"/>
        <v>-</v>
      </c>
      <c r="CG22" s="50" t="str">
        <f t="shared" si="22"/>
        <v>-</v>
      </c>
      <c r="CH22" s="39"/>
    </row>
    <row r="23" spans="1:86" s="27" customFormat="1" ht="12.4" customHeight="1" thickBot="1" x14ac:dyDescent="0.25">
      <c r="A23" s="96">
        <f t="shared" si="30"/>
        <v>46315</v>
      </c>
      <c r="B23" s="97" t="str">
        <f t="shared" si="0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99"/>
      <c r="AM23" s="99"/>
      <c r="AN23" s="99"/>
      <c r="AO23" s="99"/>
      <c r="AP23" s="99"/>
      <c r="AQ23" s="99"/>
      <c r="AR23" s="99"/>
      <c r="AS23" s="99"/>
      <c r="AT23" s="100"/>
      <c r="AU23" s="100"/>
      <c r="AV23" s="101"/>
      <c r="AW23" s="100"/>
      <c r="AX23" s="102" t="str">
        <f t="shared" si="23"/>
        <v>-</v>
      </c>
      <c r="AY23" s="39"/>
      <c r="AZ23" s="1" t="str">
        <f t="shared" si="1"/>
        <v/>
      </c>
      <c r="BA23" s="11" t="str">
        <f t="shared" si="2"/>
        <v/>
      </c>
      <c r="BB23" s="1" t="str">
        <f t="shared" si="3"/>
        <v/>
      </c>
      <c r="BC23" s="39"/>
      <c r="BD23" s="53" t="str">
        <f t="shared" si="4"/>
        <v/>
      </c>
      <c r="BE23" s="12" t="str">
        <f t="shared" si="5"/>
        <v/>
      </c>
      <c r="BF23" s="12" t="str">
        <f t="shared" si="6"/>
        <v/>
      </c>
      <c r="BG23" s="12" t="str">
        <f t="shared" si="24"/>
        <v/>
      </c>
      <c r="BH23" s="12" t="str">
        <f t="shared" si="7"/>
        <v/>
      </c>
      <c r="BI23" s="54" t="str">
        <f t="shared" si="25"/>
        <v/>
      </c>
      <c r="BJ23" s="39"/>
      <c r="BK23" s="55" t="str">
        <f t="shared" si="8"/>
        <v/>
      </c>
      <c r="BL23" s="13" t="str">
        <f t="shared" si="9"/>
        <v/>
      </c>
      <c r="BM23" s="13" t="str">
        <f t="shared" si="10"/>
        <v/>
      </c>
      <c r="BN23" s="56" t="str">
        <f t="shared" si="11"/>
        <v/>
      </c>
      <c r="BO23" s="39"/>
      <c r="BP23" s="14" t="str">
        <f t="shared" si="12"/>
        <v/>
      </c>
      <c r="BQ23" s="15">
        <v>0</v>
      </c>
      <c r="BR23" s="15" t="str">
        <f t="shared" si="26"/>
        <v/>
      </c>
      <c r="BS23" s="15" t="str">
        <f t="shared" si="27"/>
        <v/>
      </c>
      <c r="BT23" s="16" t="str">
        <f t="shared" si="13"/>
        <v/>
      </c>
      <c r="BU23" s="39"/>
      <c r="BV23" s="51" t="str">
        <f t="shared" si="14"/>
        <v/>
      </c>
      <c r="BW23" s="28" t="str">
        <f t="shared" si="15"/>
        <v/>
      </c>
      <c r="BX23" s="28" t="str">
        <f t="shared" si="16"/>
        <v/>
      </c>
      <c r="BY23" s="28" t="str">
        <f t="shared" si="17"/>
        <v/>
      </c>
      <c r="BZ23" s="28" t="str">
        <f t="shared" si="28"/>
        <v/>
      </c>
      <c r="CA23" s="52" t="str">
        <f t="shared" si="29"/>
        <v/>
      </c>
      <c r="CB23" s="39"/>
      <c r="CC23" s="49" t="str">
        <f t="shared" si="18"/>
        <v>-</v>
      </c>
      <c r="CD23" s="29" t="str">
        <f t="shared" si="19"/>
        <v>-</v>
      </c>
      <c r="CE23" s="29" t="str">
        <f t="shared" si="20"/>
        <v>-</v>
      </c>
      <c r="CF23" s="29" t="str">
        <f t="shared" si="21"/>
        <v>-</v>
      </c>
      <c r="CG23" s="50" t="str">
        <f t="shared" si="22"/>
        <v>-</v>
      </c>
      <c r="CH23" s="39"/>
    </row>
    <row r="24" spans="1:86" s="27" customFormat="1" ht="12.4" customHeight="1" thickBot="1" x14ac:dyDescent="0.25">
      <c r="A24" s="96">
        <f t="shared" si="30"/>
        <v>46316</v>
      </c>
      <c r="B24" s="97" t="str">
        <f t="shared" si="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99"/>
      <c r="AM24" s="99"/>
      <c r="AN24" s="99"/>
      <c r="AO24" s="99"/>
      <c r="AP24" s="99"/>
      <c r="AQ24" s="99"/>
      <c r="AR24" s="99"/>
      <c r="AS24" s="99"/>
      <c r="AT24" s="100"/>
      <c r="AU24" s="100"/>
      <c r="AV24" s="101"/>
      <c r="AW24" s="100"/>
      <c r="AX24" s="102" t="str">
        <f t="shared" si="23"/>
        <v>-</v>
      </c>
      <c r="AY24" s="39"/>
      <c r="AZ24" s="1" t="str">
        <f t="shared" si="1"/>
        <v/>
      </c>
      <c r="BA24" s="11" t="str">
        <f t="shared" si="2"/>
        <v/>
      </c>
      <c r="BB24" s="1" t="str">
        <f t="shared" si="3"/>
        <v/>
      </c>
      <c r="BC24" s="39"/>
      <c r="BD24" s="53" t="str">
        <f t="shared" si="4"/>
        <v/>
      </c>
      <c r="BE24" s="12" t="str">
        <f t="shared" si="5"/>
        <v/>
      </c>
      <c r="BF24" s="12" t="str">
        <f t="shared" si="6"/>
        <v/>
      </c>
      <c r="BG24" s="12" t="str">
        <f t="shared" si="24"/>
        <v/>
      </c>
      <c r="BH24" s="12" t="str">
        <f t="shared" si="7"/>
        <v/>
      </c>
      <c r="BI24" s="54" t="str">
        <f t="shared" si="25"/>
        <v/>
      </c>
      <c r="BJ24" s="39"/>
      <c r="BK24" s="55" t="str">
        <f t="shared" si="8"/>
        <v/>
      </c>
      <c r="BL24" s="13" t="str">
        <f t="shared" si="9"/>
        <v/>
      </c>
      <c r="BM24" s="13" t="str">
        <f t="shared" si="10"/>
        <v/>
      </c>
      <c r="BN24" s="56" t="str">
        <f t="shared" si="11"/>
        <v/>
      </c>
      <c r="BO24" s="39"/>
      <c r="BP24" s="14" t="str">
        <f t="shared" si="12"/>
        <v/>
      </c>
      <c r="BQ24" s="15">
        <v>0</v>
      </c>
      <c r="BR24" s="15" t="str">
        <f t="shared" si="26"/>
        <v/>
      </c>
      <c r="BS24" s="15" t="str">
        <f t="shared" si="27"/>
        <v/>
      </c>
      <c r="BT24" s="16" t="str">
        <f t="shared" si="13"/>
        <v/>
      </c>
      <c r="BU24" s="39"/>
      <c r="BV24" s="51" t="str">
        <f t="shared" si="14"/>
        <v/>
      </c>
      <c r="BW24" s="28" t="str">
        <f t="shared" si="15"/>
        <v/>
      </c>
      <c r="BX24" s="28" t="str">
        <f t="shared" si="16"/>
        <v/>
      </c>
      <c r="BY24" s="28" t="str">
        <f t="shared" si="17"/>
        <v/>
      </c>
      <c r="BZ24" s="28" t="str">
        <f t="shared" si="28"/>
        <v/>
      </c>
      <c r="CA24" s="52" t="str">
        <f t="shared" si="29"/>
        <v/>
      </c>
      <c r="CB24" s="39"/>
      <c r="CC24" s="49" t="str">
        <f t="shared" si="18"/>
        <v>-</v>
      </c>
      <c r="CD24" s="29" t="str">
        <f t="shared" si="19"/>
        <v>-</v>
      </c>
      <c r="CE24" s="29" t="str">
        <f t="shared" si="20"/>
        <v>-</v>
      </c>
      <c r="CF24" s="29" t="str">
        <f t="shared" si="21"/>
        <v>-</v>
      </c>
      <c r="CG24" s="50" t="str">
        <f t="shared" si="22"/>
        <v>-</v>
      </c>
      <c r="CH24" s="39"/>
    </row>
    <row r="25" spans="1:86" s="27" customFormat="1" ht="12.4" customHeight="1" thickBot="1" x14ac:dyDescent="0.25">
      <c r="A25" s="96">
        <f t="shared" si="30"/>
        <v>46317</v>
      </c>
      <c r="B25" s="97" t="str">
        <f t="shared" si="0"/>
        <v>Thu</v>
      </c>
      <c r="C25" s="98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99"/>
      <c r="AM25" s="99"/>
      <c r="AN25" s="99"/>
      <c r="AO25" s="99"/>
      <c r="AP25" s="99"/>
      <c r="AQ25" s="99"/>
      <c r="AR25" s="99"/>
      <c r="AS25" s="99"/>
      <c r="AT25" s="100"/>
      <c r="AU25" s="100"/>
      <c r="AV25" s="101"/>
      <c r="AW25" s="100"/>
      <c r="AX25" s="102" t="str">
        <f t="shared" si="23"/>
        <v>-</v>
      </c>
      <c r="AY25" s="39"/>
      <c r="AZ25" s="1" t="str">
        <f t="shared" si="1"/>
        <v/>
      </c>
      <c r="BA25" s="11" t="str">
        <f t="shared" si="2"/>
        <v/>
      </c>
      <c r="BB25" s="1" t="str">
        <f t="shared" si="3"/>
        <v/>
      </c>
      <c r="BC25" s="39"/>
      <c r="BD25" s="53" t="str">
        <f t="shared" si="4"/>
        <v/>
      </c>
      <c r="BE25" s="12" t="str">
        <f t="shared" si="5"/>
        <v/>
      </c>
      <c r="BF25" s="12" t="str">
        <f t="shared" si="6"/>
        <v/>
      </c>
      <c r="BG25" s="12" t="str">
        <f t="shared" si="24"/>
        <v/>
      </c>
      <c r="BH25" s="12" t="str">
        <f t="shared" si="7"/>
        <v/>
      </c>
      <c r="BI25" s="54" t="str">
        <f t="shared" si="25"/>
        <v/>
      </c>
      <c r="BJ25" s="39"/>
      <c r="BK25" s="55" t="str">
        <f t="shared" si="8"/>
        <v/>
      </c>
      <c r="BL25" s="13" t="str">
        <f t="shared" si="9"/>
        <v/>
      </c>
      <c r="BM25" s="13" t="str">
        <f t="shared" si="10"/>
        <v/>
      </c>
      <c r="BN25" s="56" t="str">
        <f t="shared" si="11"/>
        <v/>
      </c>
      <c r="BO25" s="39"/>
      <c r="BP25" s="14" t="str">
        <f t="shared" si="12"/>
        <v/>
      </c>
      <c r="BQ25" s="15">
        <v>0</v>
      </c>
      <c r="BR25" s="15" t="str">
        <f t="shared" si="26"/>
        <v/>
      </c>
      <c r="BS25" s="15" t="str">
        <f t="shared" si="27"/>
        <v/>
      </c>
      <c r="BT25" s="16" t="str">
        <f t="shared" si="13"/>
        <v/>
      </c>
      <c r="BU25" s="39"/>
      <c r="BV25" s="51" t="str">
        <f t="shared" si="14"/>
        <v/>
      </c>
      <c r="BW25" s="28" t="str">
        <f t="shared" si="15"/>
        <v/>
      </c>
      <c r="BX25" s="28" t="str">
        <f t="shared" si="16"/>
        <v/>
      </c>
      <c r="BY25" s="28" t="str">
        <f t="shared" si="17"/>
        <v/>
      </c>
      <c r="BZ25" s="28" t="str">
        <f t="shared" si="28"/>
        <v/>
      </c>
      <c r="CA25" s="52" t="str">
        <f t="shared" si="29"/>
        <v/>
      </c>
      <c r="CB25" s="39"/>
      <c r="CC25" s="49" t="str">
        <f t="shared" si="18"/>
        <v>-</v>
      </c>
      <c r="CD25" s="29" t="str">
        <f t="shared" si="19"/>
        <v>-</v>
      </c>
      <c r="CE25" s="29" t="str">
        <f t="shared" si="20"/>
        <v>-</v>
      </c>
      <c r="CF25" s="29" t="str">
        <f t="shared" si="21"/>
        <v>-</v>
      </c>
      <c r="CG25" s="50" t="str">
        <f t="shared" si="22"/>
        <v>-</v>
      </c>
      <c r="CH25" s="39"/>
    </row>
    <row r="26" spans="1:86" s="27" customFormat="1" ht="12.4" customHeight="1" thickBot="1" x14ac:dyDescent="0.25">
      <c r="A26" s="96">
        <f t="shared" si="30"/>
        <v>46318</v>
      </c>
      <c r="B26" s="97" t="str">
        <f>+TEXT(A26,"DDD")</f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99"/>
      <c r="AM26" s="99"/>
      <c r="AN26" s="99"/>
      <c r="AO26" s="99"/>
      <c r="AP26" s="99"/>
      <c r="AQ26" s="99"/>
      <c r="AR26" s="99"/>
      <c r="AS26" s="99"/>
      <c r="AT26" s="100"/>
      <c r="AU26" s="100"/>
      <c r="AV26" s="101"/>
      <c r="AW26" s="100"/>
      <c r="AX26" s="102" t="str">
        <f t="shared" si="23"/>
        <v>-</v>
      </c>
      <c r="AY26" s="39"/>
      <c r="AZ26" s="1" t="str">
        <f t="shared" si="1"/>
        <v/>
      </c>
      <c r="BA26" s="11" t="str">
        <f t="shared" si="2"/>
        <v/>
      </c>
      <c r="BB26" s="1" t="str">
        <f t="shared" si="3"/>
        <v/>
      </c>
      <c r="BC26" s="39"/>
      <c r="BD26" s="53" t="str">
        <f t="shared" si="4"/>
        <v/>
      </c>
      <c r="BE26" s="12" t="str">
        <f t="shared" si="5"/>
        <v/>
      </c>
      <c r="BF26" s="12" t="str">
        <f t="shared" si="6"/>
        <v/>
      </c>
      <c r="BG26" s="12" t="str">
        <f t="shared" si="24"/>
        <v/>
      </c>
      <c r="BH26" s="12" t="str">
        <f t="shared" si="7"/>
        <v/>
      </c>
      <c r="BI26" s="54" t="str">
        <f t="shared" si="25"/>
        <v/>
      </c>
      <c r="BJ26" s="39"/>
      <c r="BK26" s="55" t="str">
        <f t="shared" si="8"/>
        <v/>
      </c>
      <c r="BL26" s="13" t="str">
        <f t="shared" si="9"/>
        <v/>
      </c>
      <c r="BM26" s="13" t="str">
        <f t="shared" si="10"/>
        <v/>
      </c>
      <c r="BN26" s="56" t="str">
        <f t="shared" si="11"/>
        <v/>
      </c>
      <c r="BO26" s="39"/>
      <c r="BP26" s="14" t="str">
        <f t="shared" si="12"/>
        <v/>
      </c>
      <c r="BQ26" s="15">
        <v>0</v>
      </c>
      <c r="BR26" s="15" t="str">
        <f t="shared" si="26"/>
        <v/>
      </c>
      <c r="BS26" s="15" t="str">
        <f t="shared" si="27"/>
        <v/>
      </c>
      <c r="BT26" s="16" t="str">
        <f t="shared" si="13"/>
        <v/>
      </c>
      <c r="BU26" s="39"/>
      <c r="BV26" s="51" t="str">
        <f t="shared" si="14"/>
        <v/>
      </c>
      <c r="BW26" s="28" t="str">
        <f t="shared" si="15"/>
        <v/>
      </c>
      <c r="BX26" s="28" t="str">
        <f t="shared" si="16"/>
        <v/>
      </c>
      <c r="BY26" s="28" t="str">
        <f t="shared" si="17"/>
        <v/>
      </c>
      <c r="BZ26" s="28" t="str">
        <f t="shared" si="28"/>
        <v/>
      </c>
      <c r="CA26" s="52" t="str">
        <f t="shared" si="29"/>
        <v/>
      </c>
      <c r="CB26" s="39"/>
      <c r="CC26" s="49" t="str">
        <f t="shared" si="18"/>
        <v>-</v>
      </c>
      <c r="CD26" s="29" t="str">
        <f t="shared" si="19"/>
        <v>-</v>
      </c>
      <c r="CE26" s="29" t="str">
        <f t="shared" si="20"/>
        <v>-</v>
      </c>
      <c r="CF26" s="29" t="str">
        <f t="shared" si="21"/>
        <v>-</v>
      </c>
      <c r="CG26" s="50" t="str">
        <f t="shared" si="22"/>
        <v>-</v>
      </c>
      <c r="CH26" s="39"/>
    </row>
    <row r="27" spans="1:86" s="27" customFormat="1" ht="12.4" customHeight="1" thickBot="1" x14ac:dyDescent="0.25">
      <c r="A27" s="96">
        <f t="shared" si="30"/>
        <v>46319</v>
      </c>
      <c r="B27" s="97" t="str">
        <f t="shared" si="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99"/>
      <c r="AM27" s="99"/>
      <c r="AN27" s="99"/>
      <c r="AO27" s="99"/>
      <c r="AP27" s="99"/>
      <c r="AQ27" s="99"/>
      <c r="AR27" s="99"/>
      <c r="AS27" s="99"/>
      <c r="AT27" s="100"/>
      <c r="AU27" s="100"/>
      <c r="AV27" s="101"/>
      <c r="AW27" s="100"/>
      <c r="AX27" s="102" t="str">
        <f t="shared" si="23"/>
        <v>-</v>
      </c>
      <c r="AY27" s="39"/>
      <c r="AZ27" s="1" t="str">
        <f t="shared" si="1"/>
        <v/>
      </c>
      <c r="BA27" s="11" t="str">
        <f t="shared" si="2"/>
        <v/>
      </c>
      <c r="BB27" s="1" t="str">
        <f t="shared" si="3"/>
        <v/>
      </c>
      <c r="BC27" s="39"/>
      <c r="BD27" s="53" t="str">
        <f t="shared" si="4"/>
        <v/>
      </c>
      <c r="BE27" s="12" t="str">
        <f t="shared" si="5"/>
        <v/>
      </c>
      <c r="BF27" s="12" t="str">
        <f t="shared" si="6"/>
        <v/>
      </c>
      <c r="BG27" s="12" t="str">
        <f t="shared" si="24"/>
        <v/>
      </c>
      <c r="BH27" s="12" t="str">
        <f t="shared" si="7"/>
        <v/>
      </c>
      <c r="BI27" s="54" t="str">
        <f t="shared" si="25"/>
        <v/>
      </c>
      <c r="BJ27" s="39"/>
      <c r="BK27" s="55" t="str">
        <f t="shared" si="8"/>
        <v/>
      </c>
      <c r="BL27" s="13" t="str">
        <f t="shared" si="9"/>
        <v/>
      </c>
      <c r="BM27" s="13" t="str">
        <f t="shared" si="10"/>
        <v/>
      </c>
      <c r="BN27" s="56" t="str">
        <f t="shared" si="11"/>
        <v/>
      </c>
      <c r="BO27" s="39"/>
      <c r="BP27" s="14" t="str">
        <f t="shared" si="12"/>
        <v/>
      </c>
      <c r="BQ27" s="15">
        <v>0</v>
      </c>
      <c r="BR27" s="15" t="str">
        <f t="shared" si="26"/>
        <v/>
      </c>
      <c r="BS27" s="15" t="str">
        <f t="shared" si="27"/>
        <v/>
      </c>
      <c r="BT27" s="16" t="str">
        <f t="shared" si="13"/>
        <v/>
      </c>
      <c r="BU27" s="39"/>
      <c r="BV27" s="51" t="str">
        <f t="shared" si="14"/>
        <v/>
      </c>
      <c r="BW27" s="28" t="str">
        <f t="shared" si="15"/>
        <v/>
      </c>
      <c r="BX27" s="28" t="str">
        <f t="shared" si="16"/>
        <v/>
      </c>
      <c r="BY27" s="28" t="str">
        <f t="shared" si="17"/>
        <v/>
      </c>
      <c r="BZ27" s="28" t="str">
        <f t="shared" si="28"/>
        <v/>
      </c>
      <c r="CA27" s="52" t="str">
        <f t="shared" si="29"/>
        <v/>
      </c>
      <c r="CB27" s="39"/>
      <c r="CC27" s="49" t="str">
        <f t="shared" si="18"/>
        <v>-</v>
      </c>
      <c r="CD27" s="29" t="str">
        <f t="shared" si="19"/>
        <v>-</v>
      </c>
      <c r="CE27" s="29" t="str">
        <f t="shared" si="20"/>
        <v>-</v>
      </c>
      <c r="CF27" s="29" t="str">
        <f t="shared" si="21"/>
        <v>-</v>
      </c>
      <c r="CG27" s="50" t="str">
        <f t="shared" si="22"/>
        <v>-</v>
      </c>
      <c r="CH27" s="39"/>
    </row>
    <row r="28" spans="1:86" s="27" customFormat="1" ht="12.4" customHeight="1" thickBot="1" x14ac:dyDescent="0.25">
      <c r="A28" s="96">
        <f t="shared" si="30"/>
        <v>46320</v>
      </c>
      <c r="B28" s="97" t="str">
        <f t="shared" si="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99"/>
      <c r="AM28" s="99"/>
      <c r="AN28" s="99"/>
      <c r="AO28" s="99"/>
      <c r="AP28" s="99"/>
      <c r="AQ28" s="99"/>
      <c r="AR28" s="99"/>
      <c r="AS28" s="99"/>
      <c r="AT28" s="100"/>
      <c r="AU28" s="100"/>
      <c r="AV28" s="101"/>
      <c r="AW28" s="100"/>
      <c r="AX28" s="102" t="str">
        <f t="shared" si="23"/>
        <v>-</v>
      </c>
      <c r="AY28" s="39"/>
      <c r="AZ28" s="1" t="str">
        <f t="shared" si="1"/>
        <v/>
      </c>
      <c r="BA28" s="11" t="str">
        <f t="shared" si="2"/>
        <v/>
      </c>
      <c r="BB28" s="1" t="str">
        <f t="shared" si="3"/>
        <v/>
      </c>
      <c r="BC28" s="39"/>
      <c r="BD28" s="53" t="str">
        <f t="shared" si="4"/>
        <v/>
      </c>
      <c r="BE28" s="12" t="str">
        <f t="shared" si="5"/>
        <v/>
      </c>
      <c r="BF28" s="12" t="str">
        <f t="shared" si="6"/>
        <v/>
      </c>
      <c r="BG28" s="12" t="str">
        <f t="shared" si="24"/>
        <v/>
      </c>
      <c r="BH28" s="12" t="str">
        <f t="shared" si="7"/>
        <v/>
      </c>
      <c r="BI28" s="54" t="str">
        <f t="shared" si="25"/>
        <v/>
      </c>
      <c r="BJ28" s="39"/>
      <c r="BK28" s="55" t="str">
        <f t="shared" si="8"/>
        <v/>
      </c>
      <c r="BL28" s="13" t="str">
        <f t="shared" si="9"/>
        <v/>
      </c>
      <c r="BM28" s="13" t="str">
        <f t="shared" si="10"/>
        <v/>
      </c>
      <c r="BN28" s="56" t="str">
        <f t="shared" si="11"/>
        <v/>
      </c>
      <c r="BO28" s="39"/>
      <c r="BP28" s="14" t="str">
        <f t="shared" si="12"/>
        <v/>
      </c>
      <c r="BQ28" s="15">
        <v>0</v>
      </c>
      <c r="BR28" s="15" t="str">
        <f t="shared" si="26"/>
        <v/>
      </c>
      <c r="BS28" s="15" t="str">
        <f t="shared" si="27"/>
        <v/>
      </c>
      <c r="BT28" s="16" t="str">
        <f t="shared" si="13"/>
        <v/>
      </c>
      <c r="BU28" s="39"/>
      <c r="BV28" s="51" t="str">
        <f t="shared" si="14"/>
        <v/>
      </c>
      <c r="BW28" s="28" t="str">
        <f t="shared" si="15"/>
        <v/>
      </c>
      <c r="BX28" s="28" t="str">
        <f t="shared" si="16"/>
        <v/>
      </c>
      <c r="BY28" s="28" t="str">
        <f t="shared" si="17"/>
        <v/>
      </c>
      <c r="BZ28" s="28" t="str">
        <f t="shared" si="28"/>
        <v/>
      </c>
      <c r="CA28" s="52" t="str">
        <f t="shared" si="29"/>
        <v/>
      </c>
      <c r="CB28" s="39"/>
      <c r="CC28" s="49" t="str">
        <f t="shared" si="18"/>
        <v>-</v>
      </c>
      <c r="CD28" s="29" t="str">
        <f t="shared" si="19"/>
        <v>-</v>
      </c>
      <c r="CE28" s="29" t="str">
        <f t="shared" si="20"/>
        <v>-</v>
      </c>
      <c r="CF28" s="29" t="str">
        <f t="shared" si="21"/>
        <v>-</v>
      </c>
      <c r="CG28" s="50" t="str">
        <f t="shared" si="22"/>
        <v>-</v>
      </c>
      <c r="CH28" s="39"/>
    </row>
    <row r="29" spans="1:86" s="27" customFormat="1" ht="12.4" customHeight="1" thickBot="1" x14ac:dyDescent="0.25">
      <c r="A29" s="96">
        <f t="shared" si="30"/>
        <v>46321</v>
      </c>
      <c r="B29" s="97" t="str">
        <f t="shared" si="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99"/>
      <c r="AM29" s="99"/>
      <c r="AN29" s="99"/>
      <c r="AO29" s="99"/>
      <c r="AP29" s="99"/>
      <c r="AQ29" s="99"/>
      <c r="AR29" s="99"/>
      <c r="AS29" s="99"/>
      <c r="AT29" s="100"/>
      <c r="AU29" s="100"/>
      <c r="AV29" s="101"/>
      <c r="AW29" s="100"/>
      <c r="AX29" s="102" t="str">
        <f>IFERROR(AN29/AW29,"-")</f>
        <v>-</v>
      </c>
      <c r="AY29" s="39"/>
      <c r="AZ29" s="1" t="str">
        <f t="shared" si="1"/>
        <v/>
      </c>
      <c r="BA29" s="11" t="str">
        <f t="shared" si="2"/>
        <v/>
      </c>
      <c r="BB29" s="1" t="str">
        <f t="shared" si="3"/>
        <v/>
      </c>
      <c r="BC29" s="39"/>
      <c r="BD29" s="53" t="str">
        <f t="shared" si="4"/>
        <v/>
      </c>
      <c r="BE29" s="12" t="str">
        <f t="shared" si="5"/>
        <v/>
      </c>
      <c r="BF29" s="12" t="str">
        <f t="shared" si="6"/>
        <v/>
      </c>
      <c r="BG29" s="12" t="str">
        <f t="shared" si="24"/>
        <v/>
      </c>
      <c r="BH29" s="12" t="str">
        <f t="shared" si="7"/>
        <v/>
      </c>
      <c r="BI29" s="54" t="str">
        <f t="shared" si="25"/>
        <v/>
      </c>
      <c r="BJ29" s="39"/>
      <c r="BK29" s="55" t="str">
        <f t="shared" si="8"/>
        <v/>
      </c>
      <c r="BL29" s="13" t="str">
        <f t="shared" si="9"/>
        <v/>
      </c>
      <c r="BM29" s="13" t="str">
        <f t="shared" si="10"/>
        <v/>
      </c>
      <c r="BN29" s="56" t="str">
        <f t="shared" si="11"/>
        <v/>
      </c>
      <c r="BO29" s="39"/>
      <c r="BP29" s="14" t="str">
        <f t="shared" si="12"/>
        <v/>
      </c>
      <c r="BQ29" s="15">
        <v>0</v>
      </c>
      <c r="BR29" s="15" t="str">
        <f t="shared" si="26"/>
        <v/>
      </c>
      <c r="BS29" s="15" t="str">
        <f t="shared" si="27"/>
        <v/>
      </c>
      <c r="BT29" s="16" t="str">
        <f t="shared" si="13"/>
        <v/>
      </c>
      <c r="BU29" s="39"/>
      <c r="BV29" s="51" t="str">
        <f t="shared" si="14"/>
        <v/>
      </c>
      <c r="BW29" s="28" t="str">
        <f t="shared" si="15"/>
        <v/>
      </c>
      <c r="BX29" s="28" t="str">
        <f t="shared" si="16"/>
        <v/>
      </c>
      <c r="BY29" s="28" t="str">
        <f t="shared" si="17"/>
        <v/>
      </c>
      <c r="BZ29" s="28" t="str">
        <f t="shared" si="28"/>
        <v/>
      </c>
      <c r="CA29" s="52" t="str">
        <f t="shared" si="29"/>
        <v/>
      </c>
      <c r="CB29" s="39"/>
      <c r="CC29" s="49" t="str">
        <f t="shared" si="18"/>
        <v>-</v>
      </c>
      <c r="CD29" s="29" t="str">
        <f t="shared" si="19"/>
        <v>-</v>
      </c>
      <c r="CE29" s="29" t="str">
        <f t="shared" si="20"/>
        <v>-</v>
      </c>
      <c r="CF29" s="29" t="str">
        <f t="shared" si="21"/>
        <v>-</v>
      </c>
      <c r="CG29" s="50" t="str">
        <f t="shared" si="22"/>
        <v>-</v>
      </c>
      <c r="CH29" s="39"/>
    </row>
    <row r="30" spans="1:86" s="27" customFormat="1" ht="12.4" customHeight="1" thickBot="1" x14ac:dyDescent="0.25">
      <c r="A30" s="96">
        <f t="shared" si="30"/>
        <v>46322</v>
      </c>
      <c r="B30" s="97" t="str">
        <f t="shared" si="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99"/>
      <c r="AM30" s="99"/>
      <c r="AN30" s="99"/>
      <c r="AO30" s="99"/>
      <c r="AP30" s="99"/>
      <c r="AQ30" s="99"/>
      <c r="AR30" s="99"/>
      <c r="AS30" s="99"/>
      <c r="AT30" s="100"/>
      <c r="AU30" s="100"/>
      <c r="AV30" s="101"/>
      <c r="AW30" s="100"/>
      <c r="AX30" s="102" t="str">
        <f>IFERROR(AN30/AW30,"-")</f>
        <v>-</v>
      </c>
      <c r="AY30" s="39"/>
      <c r="AZ30" s="1" t="str">
        <f t="shared" si="1"/>
        <v/>
      </c>
      <c r="BA30" s="11" t="str">
        <f t="shared" si="2"/>
        <v/>
      </c>
      <c r="BB30" s="1" t="str">
        <f t="shared" si="3"/>
        <v/>
      </c>
      <c r="BC30" s="39"/>
      <c r="BD30" s="53" t="str">
        <f t="shared" si="4"/>
        <v/>
      </c>
      <c r="BE30" s="12" t="str">
        <f t="shared" si="5"/>
        <v/>
      </c>
      <c r="BF30" s="12" t="str">
        <f t="shared" si="6"/>
        <v/>
      </c>
      <c r="BG30" s="12" t="str">
        <f t="shared" si="24"/>
        <v/>
      </c>
      <c r="BH30" s="12" t="str">
        <f t="shared" si="7"/>
        <v/>
      </c>
      <c r="BI30" s="54" t="str">
        <f t="shared" si="25"/>
        <v/>
      </c>
      <c r="BJ30" s="39"/>
      <c r="BK30" s="55" t="str">
        <f t="shared" si="8"/>
        <v/>
      </c>
      <c r="BL30" s="13" t="str">
        <f t="shared" si="9"/>
        <v/>
      </c>
      <c r="BM30" s="13" t="str">
        <f t="shared" si="10"/>
        <v/>
      </c>
      <c r="BN30" s="56" t="str">
        <f t="shared" si="11"/>
        <v/>
      </c>
      <c r="BO30" s="39"/>
      <c r="BP30" s="14" t="str">
        <f t="shared" si="12"/>
        <v/>
      </c>
      <c r="BQ30" s="15">
        <v>0</v>
      </c>
      <c r="BR30" s="15" t="str">
        <f t="shared" si="26"/>
        <v/>
      </c>
      <c r="BS30" s="15" t="str">
        <f t="shared" si="27"/>
        <v/>
      </c>
      <c r="BT30" s="16" t="str">
        <f t="shared" si="13"/>
        <v/>
      </c>
      <c r="BU30" s="39"/>
      <c r="BV30" s="51" t="str">
        <f t="shared" si="14"/>
        <v/>
      </c>
      <c r="BW30" s="28" t="str">
        <f t="shared" si="15"/>
        <v/>
      </c>
      <c r="BX30" s="28" t="str">
        <f t="shared" si="16"/>
        <v/>
      </c>
      <c r="BY30" s="28" t="str">
        <f t="shared" si="17"/>
        <v/>
      </c>
      <c r="BZ30" s="28" t="str">
        <f t="shared" si="28"/>
        <v/>
      </c>
      <c r="CA30" s="52" t="str">
        <f t="shared" si="29"/>
        <v/>
      </c>
      <c r="CB30" s="39"/>
      <c r="CC30" s="49" t="str">
        <f t="shared" si="18"/>
        <v>-</v>
      </c>
      <c r="CD30" s="29" t="str">
        <f t="shared" si="19"/>
        <v>-</v>
      </c>
      <c r="CE30" s="29" t="str">
        <f t="shared" si="20"/>
        <v>-</v>
      </c>
      <c r="CF30" s="29" t="str">
        <f t="shared" si="21"/>
        <v>-</v>
      </c>
      <c r="CG30" s="50" t="str">
        <f t="shared" si="22"/>
        <v>-</v>
      </c>
      <c r="CH30" s="39"/>
    </row>
    <row r="31" spans="1:86" s="27" customFormat="1" ht="12.4" customHeight="1" thickBot="1" x14ac:dyDescent="0.25">
      <c r="A31" s="96">
        <f t="shared" si="30"/>
        <v>46323</v>
      </c>
      <c r="B31" s="97" t="str">
        <f>+TEXT(A31,"DDD")</f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99"/>
      <c r="AM31" s="99"/>
      <c r="AN31" s="99"/>
      <c r="AO31" s="99"/>
      <c r="AP31" s="99"/>
      <c r="AQ31" s="99"/>
      <c r="AR31" s="99"/>
      <c r="AS31" s="99"/>
      <c r="AT31" s="100"/>
      <c r="AU31" s="100"/>
      <c r="AV31" s="101"/>
      <c r="AW31" s="100"/>
      <c r="AX31" s="102" t="str">
        <f t="shared" si="23"/>
        <v>-</v>
      </c>
      <c r="AY31" s="39"/>
      <c r="AZ31" s="1" t="str">
        <f t="shared" si="1"/>
        <v/>
      </c>
      <c r="BA31" s="11" t="str">
        <f t="shared" si="2"/>
        <v/>
      </c>
      <c r="BB31" s="1" t="str">
        <f t="shared" si="3"/>
        <v/>
      </c>
      <c r="BC31" s="39"/>
      <c r="BD31" s="53" t="str">
        <f t="shared" si="4"/>
        <v/>
      </c>
      <c r="BE31" s="12" t="str">
        <f t="shared" si="5"/>
        <v/>
      </c>
      <c r="BF31" s="12" t="str">
        <f t="shared" si="6"/>
        <v/>
      </c>
      <c r="BG31" s="12" t="str">
        <f t="shared" si="24"/>
        <v/>
      </c>
      <c r="BH31" s="12" t="str">
        <f t="shared" si="7"/>
        <v/>
      </c>
      <c r="BI31" s="54" t="str">
        <f t="shared" si="25"/>
        <v/>
      </c>
      <c r="BJ31" s="39"/>
      <c r="BK31" s="55" t="str">
        <f t="shared" si="8"/>
        <v/>
      </c>
      <c r="BL31" s="13" t="str">
        <f t="shared" si="9"/>
        <v/>
      </c>
      <c r="BM31" s="13" t="str">
        <f t="shared" si="10"/>
        <v/>
      </c>
      <c r="BN31" s="56" t="str">
        <f t="shared" si="11"/>
        <v/>
      </c>
      <c r="BO31" s="39"/>
      <c r="BP31" s="14" t="str">
        <f t="shared" si="12"/>
        <v/>
      </c>
      <c r="BQ31" s="15">
        <v>0</v>
      </c>
      <c r="BR31" s="15" t="str">
        <f t="shared" si="26"/>
        <v/>
      </c>
      <c r="BS31" s="15" t="str">
        <f t="shared" si="27"/>
        <v/>
      </c>
      <c r="BT31" s="16" t="str">
        <f t="shared" si="13"/>
        <v/>
      </c>
      <c r="BU31" s="39"/>
      <c r="BV31" s="51" t="str">
        <f t="shared" si="14"/>
        <v/>
      </c>
      <c r="BW31" s="28" t="str">
        <f t="shared" si="15"/>
        <v/>
      </c>
      <c r="BX31" s="28" t="str">
        <f t="shared" si="16"/>
        <v/>
      </c>
      <c r="BY31" s="28" t="str">
        <f t="shared" si="17"/>
        <v/>
      </c>
      <c r="BZ31" s="28" t="str">
        <f t="shared" si="28"/>
        <v/>
      </c>
      <c r="CA31" s="52" t="str">
        <f t="shared" si="29"/>
        <v/>
      </c>
      <c r="CB31" s="39"/>
      <c r="CC31" s="49" t="str">
        <f t="shared" si="18"/>
        <v>-</v>
      </c>
      <c r="CD31" s="29" t="str">
        <f t="shared" si="19"/>
        <v>-</v>
      </c>
      <c r="CE31" s="29" t="str">
        <f t="shared" si="20"/>
        <v>-</v>
      </c>
      <c r="CF31" s="29" t="str">
        <f t="shared" si="21"/>
        <v>-</v>
      </c>
      <c r="CG31" s="50" t="str">
        <f t="shared" si="22"/>
        <v>-</v>
      </c>
      <c r="CH31" s="39"/>
    </row>
    <row r="32" spans="1:86" s="27" customFormat="1" ht="12.4" customHeight="1" thickBot="1" x14ac:dyDescent="0.25">
      <c r="A32" s="96">
        <f t="shared" si="30"/>
        <v>46324</v>
      </c>
      <c r="B32" s="97" t="str">
        <f>+TEXT(A32,"DDD")</f>
        <v>Thu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1"/>
      <c r="AM32" s="61"/>
      <c r="AN32" s="61"/>
      <c r="AO32" s="61"/>
      <c r="AP32" s="61"/>
      <c r="AQ32" s="61"/>
      <c r="AR32" s="61"/>
      <c r="AS32" s="61"/>
      <c r="AT32" s="60"/>
      <c r="AU32" s="60"/>
      <c r="AV32" s="60"/>
      <c r="AW32" s="60"/>
      <c r="AX32" s="102" t="str">
        <f>IFERROR(AN32/AW32,"-")</f>
        <v>-</v>
      </c>
      <c r="AY32" s="39"/>
      <c r="AZ32" s="1" t="str">
        <f t="shared" si="1"/>
        <v/>
      </c>
      <c r="BA32" s="11" t="str">
        <f t="shared" si="2"/>
        <v/>
      </c>
      <c r="BB32" s="1" t="str">
        <f t="shared" si="3"/>
        <v/>
      </c>
      <c r="BC32" s="39"/>
      <c r="BD32" s="53" t="str">
        <f t="shared" si="4"/>
        <v/>
      </c>
      <c r="BE32" s="12" t="str">
        <f t="shared" si="5"/>
        <v/>
      </c>
      <c r="BF32" s="12" t="str">
        <f t="shared" si="6"/>
        <v/>
      </c>
      <c r="BG32" s="12" t="str">
        <f t="shared" si="24"/>
        <v/>
      </c>
      <c r="BH32" s="12" t="str">
        <f t="shared" si="7"/>
        <v/>
      </c>
      <c r="BI32" s="54" t="str">
        <f t="shared" si="25"/>
        <v/>
      </c>
      <c r="BJ32" s="39"/>
      <c r="BK32" s="55" t="str">
        <f t="shared" si="8"/>
        <v/>
      </c>
      <c r="BL32" s="13" t="str">
        <f t="shared" si="9"/>
        <v/>
      </c>
      <c r="BM32" s="13" t="str">
        <f t="shared" si="10"/>
        <v/>
      </c>
      <c r="BN32" s="56" t="str">
        <f t="shared" si="11"/>
        <v/>
      </c>
      <c r="BO32" s="39"/>
      <c r="BP32" s="14" t="str">
        <f t="shared" si="12"/>
        <v/>
      </c>
      <c r="BQ32" s="15">
        <v>0</v>
      </c>
      <c r="BR32" s="15" t="str">
        <f t="shared" si="26"/>
        <v/>
      </c>
      <c r="BS32" s="15" t="str">
        <f t="shared" si="27"/>
        <v/>
      </c>
      <c r="BT32" s="16" t="str">
        <f t="shared" si="13"/>
        <v/>
      </c>
      <c r="BU32" s="39"/>
      <c r="BV32" s="51" t="str">
        <f t="shared" si="14"/>
        <v/>
      </c>
      <c r="BW32" s="28" t="str">
        <f t="shared" si="15"/>
        <v/>
      </c>
      <c r="BX32" s="28" t="str">
        <f t="shared" si="16"/>
        <v/>
      </c>
      <c r="BY32" s="28" t="str">
        <f t="shared" si="17"/>
        <v/>
      </c>
      <c r="BZ32" s="28" t="str">
        <f t="shared" si="28"/>
        <v/>
      </c>
      <c r="CA32" s="52" t="str">
        <f t="shared" si="29"/>
        <v/>
      </c>
      <c r="CB32" s="39"/>
      <c r="CC32" s="49" t="str">
        <f t="shared" si="18"/>
        <v>-</v>
      </c>
      <c r="CD32" s="29" t="str">
        <f t="shared" si="19"/>
        <v>-</v>
      </c>
      <c r="CE32" s="29" t="str">
        <f t="shared" si="20"/>
        <v>-</v>
      </c>
      <c r="CF32" s="29" t="str">
        <f t="shared" si="21"/>
        <v>-</v>
      </c>
      <c r="CG32" s="50" t="str">
        <f t="shared" si="22"/>
        <v>-</v>
      </c>
      <c r="CH32" s="39"/>
    </row>
    <row r="33" spans="1:86" s="27" customFormat="1" ht="12.4" customHeight="1" thickBot="1" x14ac:dyDescent="0.25">
      <c r="A33" s="96">
        <f t="shared" si="30"/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99"/>
      <c r="AM33" s="99"/>
      <c r="AN33" s="99"/>
      <c r="AO33" s="99"/>
      <c r="AP33" s="99"/>
      <c r="AQ33" s="99"/>
      <c r="AR33" s="99"/>
      <c r="AS33" s="99"/>
      <c r="AT33" s="100"/>
      <c r="AU33" s="100"/>
      <c r="AV33" s="101"/>
      <c r="AW33" s="100"/>
      <c r="AX33" s="102" t="str">
        <f>IFERROR(AN33/AW33,"-")</f>
        <v>-</v>
      </c>
      <c r="AY33" s="39"/>
      <c r="AZ33" s="1" t="str">
        <f t="shared" si="1"/>
        <v/>
      </c>
      <c r="BA33" s="11" t="str">
        <f t="shared" si="2"/>
        <v/>
      </c>
      <c r="BB33" s="1" t="str">
        <f t="shared" si="3"/>
        <v/>
      </c>
      <c r="BC33" s="39"/>
      <c r="BD33" s="53" t="str">
        <f t="shared" si="4"/>
        <v/>
      </c>
      <c r="BE33" s="12" t="str">
        <f t="shared" si="5"/>
        <v/>
      </c>
      <c r="BF33" s="12" t="str">
        <f t="shared" si="6"/>
        <v/>
      </c>
      <c r="BG33" s="12" t="str">
        <f t="shared" si="24"/>
        <v/>
      </c>
      <c r="BH33" s="12" t="str">
        <f t="shared" si="7"/>
        <v/>
      </c>
      <c r="BI33" s="54" t="str">
        <f t="shared" si="25"/>
        <v/>
      </c>
      <c r="BJ33" s="39"/>
      <c r="BK33" s="55" t="str">
        <f t="shared" si="8"/>
        <v/>
      </c>
      <c r="BL33" s="13" t="str">
        <f t="shared" si="9"/>
        <v/>
      </c>
      <c r="BM33" s="13" t="str">
        <f t="shared" si="10"/>
        <v/>
      </c>
      <c r="BN33" s="56" t="str">
        <f t="shared" si="11"/>
        <v/>
      </c>
      <c r="BO33" s="39"/>
      <c r="BP33" s="14" t="str">
        <f t="shared" si="12"/>
        <v/>
      </c>
      <c r="BQ33" s="15">
        <v>0</v>
      </c>
      <c r="BR33" s="15" t="str">
        <f t="shared" si="26"/>
        <v/>
      </c>
      <c r="BS33" s="15" t="str">
        <f t="shared" si="27"/>
        <v/>
      </c>
      <c r="BT33" s="16" t="str">
        <f t="shared" si="13"/>
        <v/>
      </c>
      <c r="BU33" s="39"/>
      <c r="BV33" s="51" t="str">
        <f t="shared" si="14"/>
        <v/>
      </c>
      <c r="BW33" s="28" t="str">
        <f t="shared" si="15"/>
        <v/>
      </c>
      <c r="BX33" s="28" t="str">
        <f t="shared" si="16"/>
        <v/>
      </c>
      <c r="BY33" s="28" t="str">
        <f t="shared" si="17"/>
        <v/>
      </c>
      <c r="BZ33" s="28" t="str">
        <f t="shared" si="28"/>
        <v/>
      </c>
      <c r="CA33" s="52" t="str">
        <f t="shared" si="29"/>
        <v/>
      </c>
      <c r="CB33" s="39"/>
      <c r="CC33" s="49" t="str">
        <f t="shared" si="18"/>
        <v>-</v>
      </c>
      <c r="CD33" s="29" t="str">
        <f t="shared" si="19"/>
        <v>-</v>
      </c>
      <c r="CE33" s="29" t="str">
        <f t="shared" si="20"/>
        <v>-</v>
      </c>
      <c r="CF33" s="29" t="str">
        <f t="shared" si="21"/>
        <v>-</v>
      </c>
      <c r="CG33" s="50" t="str">
        <f t="shared" si="22"/>
        <v>-</v>
      </c>
      <c r="CH33" s="39"/>
    </row>
    <row r="34" spans="1:86" s="27" customFormat="1" ht="12.4" customHeight="1" thickBot="1" x14ac:dyDescent="0.25">
      <c r="A34" s="96">
        <f t="shared" si="30"/>
        <v>46326</v>
      </c>
      <c r="B34" s="97" t="str">
        <f>+TEXT(A34,"DDD")</f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99"/>
      <c r="AM34" s="99"/>
      <c r="AN34" s="99"/>
      <c r="AO34" s="99"/>
      <c r="AP34" s="99"/>
      <c r="AQ34" s="99"/>
      <c r="AR34" s="99"/>
      <c r="AS34" s="99"/>
      <c r="AT34" s="100"/>
      <c r="AU34" s="100"/>
      <c r="AV34" s="101"/>
      <c r="AW34" s="100"/>
      <c r="AX34" s="102" t="str">
        <f>IFERROR(AN34/AW34,"-")</f>
        <v>-</v>
      </c>
      <c r="AY34" s="39"/>
      <c r="AZ34" s="1" t="str">
        <f t="shared" si="1"/>
        <v/>
      </c>
      <c r="BA34" s="11" t="str">
        <f t="shared" si="2"/>
        <v/>
      </c>
      <c r="BB34" s="1" t="str">
        <f t="shared" si="3"/>
        <v/>
      </c>
      <c r="BC34" s="39"/>
      <c r="BD34" s="53" t="str">
        <f t="shared" si="4"/>
        <v/>
      </c>
      <c r="BE34" s="12" t="str">
        <f t="shared" si="5"/>
        <v/>
      </c>
      <c r="BF34" s="12" t="str">
        <f t="shared" si="6"/>
        <v/>
      </c>
      <c r="BG34" s="12" t="str">
        <f t="shared" si="24"/>
        <v/>
      </c>
      <c r="BH34" s="12" t="str">
        <f t="shared" si="7"/>
        <v/>
      </c>
      <c r="BI34" s="54" t="str">
        <f t="shared" si="25"/>
        <v/>
      </c>
      <c r="BJ34" s="39"/>
      <c r="BK34" s="55" t="str">
        <f t="shared" si="8"/>
        <v/>
      </c>
      <c r="BL34" s="13" t="str">
        <f t="shared" si="9"/>
        <v/>
      </c>
      <c r="BM34" s="13" t="str">
        <f t="shared" si="10"/>
        <v/>
      </c>
      <c r="BN34" s="56" t="str">
        <f t="shared" si="11"/>
        <v/>
      </c>
      <c r="BO34" s="39"/>
      <c r="BP34" s="14" t="str">
        <f t="shared" si="12"/>
        <v/>
      </c>
      <c r="BQ34" s="15">
        <v>0</v>
      </c>
      <c r="BR34" s="15" t="str">
        <f t="shared" si="26"/>
        <v/>
      </c>
      <c r="BS34" s="15" t="str">
        <f t="shared" si="27"/>
        <v/>
      </c>
      <c r="BT34" s="16" t="str">
        <f t="shared" si="13"/>
        <v/>
      </c>
      <c r="BU34" s="39"/>
      <c r="BV34" s="51" t="str">
        <f t="shared" si="14"/>
        <v/>
      </c>
      <c r="BW34" s="28" t="str">
        <f t="shared" si="15"/>
        <v/>
      </c>
      <c r="BX34" s="28" t="str">
        <f t="shared" si="16"/>
        <v/>
      </c>
      <c r="BY34" s="28" t="str">
        <f t="shared" si="17"/>
        <v/>
      </c>
      <c r="BZ34" s="28" t="str">
        <f t="shared" si="28"/>
        <v/>
      </c>
      <c r="CA34" s="52" t="str">
        <f t="shared" si="29"/>
        <v/>
      </c>
      <c r="CB34" s="39"/>
      <c r="CC34" s="49" t="str">
        <f t="shared" si="18"/>
        <v>-</v>
      </c>
      <c r="CD34" s="29" t="str">
        <f t="shared" si="19"/>
        <v>-</v>
      </c>
      <c r="CE34" s="29" t="str">
        <f t="shared" si="20"/>
        <v>-</v>
      </c>
      <c r="CF34" s="29" t="str">
        <f t="shared" si="21"/>
        <v>-</v>
      </c>
      <c r="CG34" s="50" t="str">
        <f t="shared" si="22"/>
        <v>-</v>
      </c>
      <c r="CH34" s="39"/>
    </row>
    <row r="35" spans="1:86" s="27" customFormat="1" ht="13.15" customHeight="1" thickBot="1" x14ac:dyDescent="0.25">
      <c r="A35" s="235" t="s">
        <v>68</v>
      </c>
      <c r="B35" s="236"/>
      <c r="C35" s="109" t="e">
        <f>AVERAGE(C4:C34)</f>
        <v>#DIV/0!</v>
      </c>
      <c r="D35" s="109" t="e">
        <f t="shared" ref="D35:AW35" si="31">AVERAGE(D4:D34)</f>
        <v>#DIV/0!</v>
      </c>
      <c r="E35" s="109" t="e">
        <f t="shared" si="31"/>
        <v>#DIV/0!</v>
      </c>
      <c r="F35" s="109" t="e">
        <f t="shared" si="31"/>
        <v>#DIV/0!</v>
      </c>
      <c r="G35" s="109" t="e">
        <f t="shared" si="31"/>
        <v>#DIV/0!</v>
      </c>
      <c r="H35" s="109" t="e">
        <f t="shared" si="31"/>
        <v>#DIV/0!</v>
      </c>
      <c r="I35" s="109" t="e">
        <f t="shared" si="31"/>
        <v>#DIV/0!</v>
      </c>
      <c r="J35" s="109" t="e">
        <f t="shared" si="31"/>
        <v>#DIV/0!</v>
      </c>
      <c r="K35" s="109" t="e">
        <f t="shared" si="31"/>
        <v>#DIV/0!</v>
      </c>
      <c r="L35" s="109" t="e">
        <f t="shared" si="31"/>
        <v>#DIV/0!</v>
      </c>
      <c r="M35" s="109" t="e">
        <f t="shared" si="31"/>
        <v>#DIV/0!</v>
      </c>
      <c r="N35" s="109" t="e">
        <f t="shared" si="31"/>
        <v>#DIV/0!</v>
      </c>
      <c r="O35" s="109" t="e">
        <f t="shared" si="31"/>
        <v>#DIV/0!</v>
      </c>
      <c r="P35" s="109" t="e">
        <f t="shared" si="31"/>
        <v>#DIV/0!</v>
      </c>
      <c r="Q35" s="109" t="e">
        <f t="shared" si="31"/>
        <v>#DIV/0!</v>
      </c>
      <c r="R35" s="109" t="e">
        <f t="shared" si="31"/>
        <v>#DIV/0!</v>
      </c>
      <c r="S35" s="109" t="e">
        <f t="shared" si="31"/>
        <v>#DIV/0!</v>
      </c>
      <c r="T35" s="109" t="e">
        <f t="shared" si="31"/>
        <v>#DIV/0!</v>
      </c>
      <c r="U35" s="109" t="e">
        <f t="shared" si="31"/>
        <v>#DIV/0!</v>
      </c>
      <c r="V35" s="109" t="e">
        <f t="shared" si="31"/>
        <v>#DIV/0!</v>
      </c>
      <c r="W35" s="109" t="e">
        <f t="shared" si="31"/>
        <v>#DIV/0!</v>
      </c>
      <c r="X35" s="109" t="e">
        <f t="shared" si="31"/>
        <v>#DIV/0!</v>
      </c>
      <c r="Y35" s="109" t="e">
        <f t="shared" si="31"/>
        <v>#DIV/0!</v>
      </c>
      <c r="Z35" s="109" t="e">
        <f t="shared" si="31"/>
        <v>#DIV/0!</v>
      </c>
      <c r="AA35" s="109" t="e">
        <f t="shared" si="31"/>
        <v>#DIV/0!</v>
      </c>
      <c r="AB35" s="109" t="e">
        <f t="shared" si="31"/>
        <v>#DIV/0!</v>
      </c>
      <c r="AC35" s="109" t="e">
        <f t="shared" si="31"/>
        <v>#DIV/0!</v>
      </c>
      <c r="AD35" s="109" t="e">
        <f t="shared" si="31"/>
        <v>#DIV/0!</v>
      </c>
      <c r="AE35" s="109" t="e">
        <f t="shared" si="31"/>
        <v>#DIV/0!</v>
      </c>
      <c r="AF35" s="109" t="e">
        <f t="shared" si="31"/>
        <v>#DIV/0!</v>
      </c>
      <c r="AG35" s="109" t="e">
        <f t="shared" si="31"/>
        <v>#DIV/0!</v>
      </c>
      <c r="AH35" s="109" t="e">
        <f t="shared" si="31"/>
        <v>#DIV/0!</v>
      </c>
      <c r="AI35" s="109" t="e">
        <f t="shared" si="31"/>
        <v>#DIV/0!</v>
      </c>
      <c r="AJ35" s="109" t="e">
        <f t="shared" si="31"/>
        <v>#DIV/0!</v>
      </c>
      <c r="AK35" s="109" t="e">
        <f t="shared" si="31"/>
        <v>#DIV/0!</v>
      </c>
      <c r="AL35" s="109" t="e">
        <f t="shared" si="31"/>
        <v>#DIV/0!</v>
      </c>
      <c r="AM35" s="109" t="e">
        <f t="shared" si="31"/>
        <v>#DIV/0!</v>
      </c>
      <c r="AN35" s="109" t="e">
        <f t="shared" si="31"/>
        <v>#DIV/0!</v>
      </c>
      <c r="AO35" s="109" t="e">
        <f t="shared" si="31"/>
        <v>#DIV/0!</v>
      </c>
      <c r="AP35" s="109" t="e">
        <f t="shared" si="31"/>
        <v>#DIV/0!</v>
      </c>
      <c r="AQ35" s="109" t="e">
        <f t="shared" si="31"/>
        <v>#DIV/0!</v>
      </c>
      <c r="AR35" s="109" t="e">
        <f t="shared" si="31"/>
        <v>#DIV/0!</v>
      </c>
      <c r="AS35" s="109" t="e">
        <f t="shared" si="31"/>
        <v>#DIV/0!</v>
      </c>
      <c r="AT35" s="109" t="e">
        <f t="shared" si="31"/>
        <v>#DIV/0!</v>
      </c>
      <c r="AU35" s="109" t="e">
        <f t="shared" si="31"/>
        <v>#DIV/0!</v>
      </c>
      <c r="AV35" s="109" t="e">
        <f t="shared" si="31"/>
        <v>#DIV/0!</v>
      </c>
      <c r="AW35" s="109" t="e">
        <f t="shared" si="31"/>
        <v>#DIV/0!</v>
      </c>
      <c r="AX35" s="110" t="str">
        <f t="shared" si="23"/>
        <v>-</v>
      </c>
      <c r="AY35" s="39"/>
      <c r="AZ35" s="18" t="e">
        <f t="shared" si="1"/>
        <v>#DIV/0!</v>
      </c>
      <c r="BA35" s="19" t="e">
        <f t="shared" si="2"/>
        <v>#DIV/0!</v>
      </c>
      <c r="BB35" s="20" t="e">
        <f t="shared" si="3"/>
        <v>#DIV/0!</v>
      </c>
      <c r="BC35" s="39"/>
      <c r="BD35" s="18" t="e">
        <f t="shared" si="4"/>
        <v>#DIV/0!</v>
      </c>
      <c r="BE35" s="21" t="e">
        <f t="shared" si="5"/>
        <v>#DIV/0!</v>
      </c>
      <c r="BF35" s="21" t="e">
        <f t="shared" si="6"/>
        <v>#DIV/0!</v>
      </c>
      <c r="BG35" s="21" t="e">
        <f t="shared" si="24"/>
        <v>#DIV/0!</v>
      </c>
      <c r="BH35" s="21" t="e">
        <f t="shared" si="7"/>
        <v>#DIV/0!</v>
      </c>
      <c r="BI35" s="20" t="e">
        <f t="shared" si="25"/>
        <v>#DIV/0!</v>
      </c>
      <c r="BJ35" s="39"/>
      <c r="BK35" s="18" t="e">
        <f t="shared" si="8"/>
        <v>#DIV/0!</v>
      </c>
      <c r="BL35" s="21" t="e">
        <f t="shared" si="9"/>
        <v>#DIV/0!</v>
      </c>
      <c r="BM35" s="21" t="e">
        <f t="shared" si="10"/>
        <v>#DIV/0!</v>
      </c>
      <c r="BN35" s="20" t="e">
        <f t="shared" si="11"/>
        <v>#DIV/0!</v>
      </c>
      <c r="BO35" s="39"/>
      <c r="BP35" s="18" t="e">
        <f t="shared" si="12"/>
        <v>#DIV/0!</v>
      </c>
      <c r="BQ35" s="21">
        <v>0</v>
      </c>
      <c r="BR35" s="21" t="e">
        <f t="shared" si="26"/>
        <v>#DIV/0!</v>
      </c>
      <c r="BS35" s="21" t="e">
        <f t="shared" si="27"/>
        <v>#DIV/0!</v>
      </c>
      <c r="BT35" s="20" t="e">
        <f t="shared" si="13"/>
        <v>#DIV/0!</v>
      </c>
      <c r="BU35" s="39"/>
      <c r="BV35" s="30" t="e">
        <f t="shared" si="14"/>
        <v>#DIV/0!</v>
      </c>
      <c r="BW35" s="31" t="e">
        <f t="shared" si="15"/>
        <v>#DIV/0!</v>
      </c>
      <c r="BX35" s="31" t="e">
        <f t="shared" si="16"/>
        <v>#DIV/0!</v>
      </c>
      <c r="BY35" s="31" t="e">
        <f t="shared" si="17"/>
        <v>#DIV/0!</v>
      </c>
      <c r="BZ35" s="31" t="e">
        <f t="shared" si="28"/>
        <v>#DIV/0!</v>
      </c>
      <c r="CA35" s="32" t="e">
        <f t="shared" si="29"/>
        <v>#DIV/0!</v>
      </c>
      <c r="CB35" s="39"/>
      <c r="CC35" s="30" t="str">
        <f t="shared" si="18"/>
        <v>-</v>
      </c>
      <c r="CD35" s="31" t="str">
        <f t="shared" si="19"/>
        <v>-</v>
      </c>
      <c r="CE35" s="31" t="str">
        <f t="shared" si="20"/>
        <v>-</v>
      </c>
      <c r="CF35" s="31" t="str">
        <f t="shared" si="21"/>
        <v>-</v>
      </c>
      <c r="CG35" s="32" t="str">
        <f t="shared" si="22"/>
        <v>-</v>
      </c>
      <c r="CH35" s="39"/>
    </row>
    <row r="36" spans="1:86" s="27" customFormat="1" ht="13.15" customHeight="1" thickBot="1" x14ac:dyDescent="0.25">
      <c r="A36" s="235" t="s">
        <v>69</v>
      </c>
      <c r="B36" s="236"/>
      <c r="C36" s="111">
        <f>SUM(C4:C34)</f>
        <v>0</v>
      </c>
      <c r="D36" s="111">
        <f t="shared" ref="D36:AW36" si="32">SUM(D4:D34)</f>
        <v>0</v>
      </c>
      <c r="E36" s="111">
        <f t="shared" si="32"/>
        <v>0</v>
      </c>
      <c r="F36" s="111">
        <f t="shared" si="32"/>
        <v>0</v>
      </c>
      <c r="G36" s="111">
        <f t="shared" si="32"/>
        <v>0</v>
      </c>
      <c r="H36" s="111">
        <f t="shared" si="32"/>
        <v>0</v>
      </c>
      <c r="I36" s="111">
        <f t="shared" si="32"/>
        <v>0</v>
      </c>
      <c r="J36" s="111">
        <f t="shared" si="32"/>
        <v>0</v>
      </c>
      <c r="K36" s="111">
        <f t="shared" si="32"/>
        <v>0</v>
      </c>
      <c r="L36" s="111">
        <f t="shared" si="32"/>
        <v>0</v>
      </c>
      <c r="M36" s="111">
        <f t="shared" si="32"/>
        <v>0</v>
      </c>
      <c r="N36" s="111">
        <f t="shared" si="32"/>
        <v>0</v>
      </c>
      <c r="O36" s="111">
        <f t="shared" si="32"/>
        <v>0</v>
      </c>
      <c r="P36" s="111">
        <f t="shared" si="32"/>
        <v>0</v>
      </c>
      <c r="Q36" s="111">
        <f t="shared" si="32"/>
        <v>0</v>
      </c>
      <c r="R36" s="111">
        <f t="shared" si="32"/>
        <v>0</v>
      </c>
      <c r="S36" s="111">
        <f t="shared" si="32"/>
        <v>0</v>
      </c>
      <c r="T36" s="111">
        <f t="shared" si="32"/>
        <v>0</v>
      </c>
      <c r="U36" s="111">
        <f t="shared" si="32"/>
        <v>0</v>
      </c>
      <c r="V36" s="111">
        <f t="shared" si="32"/>
        <v>0</v>
      </c>
      <c r="W36" s="111">
        <f t="shared" si="32"/>
        <v>0</v>
      </c>
      <c r="X36" s="111">
        <f t="shared" si="32"/>
        <v>0</v>
      </c>
      <c r="Y36" s="111">
        <f t="shared" si="32"/>
        <v>0</v>
      </c>
      <c r="Z36" s="111">
        <f t="shared" si="32"/>
        <v>0</v>
      </c>
      <c r="AA36" s="111">
        <f t="shared" si="32"/>
        <v>0</v>
      </c>
      <c r="AB36" s="111">
        <f t="shared" si="32"/>
        <v>0</v>
      </c>
      <c r="AC36" s="111">
        <f t="shared" si="32"/>
        <v>0</v>
      </c>
      <c r="AD36" s="111">
        <f t="shared" si="32"/>
        <v>0</v>
      </c>
      <c r="AE36" s="111">
        <f t="shared" si="32"/>
        <v>0</v>
      </c>
      <c r="AF36" s="111">
        <f t="shared" si="32"/>
        <v>0</v>
      </c>
      <c r="AG36" s="111">
        <f t="shared" si="32"/>
        <v>0</v>
      </c>
      <c r="AH36" s="111">
        <f t="shared" si="32"/>
        <v>0</v>
      </c>
      <c r="AI36" s="111">
        <f t="shared" si="32"/>
        <v>0</v>
      </c>
      <c r="AJ36" s="111">
        <f t="shared" si="32"/>
        <v>0</v>
      </c>
      <c r="AK36" s="111">
        <f t="shared" si="32"/>
        <v>0</v>
      </c>
      <c r="AL36" s="111">
        <f t="shared" si="32"/>
        <v>0</v>
      </c>
      <c r="AM36" s="111">
        <f t="shared" si="32"/>
        <v>0</v>
      </c>
      <c r="AN36" s="111">
        <f t="shared" si="32"/>
        <v>0</v>
      </c>
      <c r="AO36" s="111">
        <f t="shared" si="32"/>
        <v>0</v>
      </c>
      <c r="AP36" s="111">
        <f t="shared" si="32"/>
        <v>0</v>
      </c>
      <c r="AQ36" s="111">
        <f t="shared" si="32"/>
        <v>0</v>
      </c>
      <c r="AR36" s="111">
        <f t="shared" si="32"/>
        <v>0</v>
      </c>
      <c r="AS36" s="111">
        <f t="shared" si="32"/>
        <v>0</v>
      </c>
      <c r="AT36" s="111">
        <f t="shared" si="32"/>
        <v>0</v>
      </c>
      <c r="AU36" s="111">
        <f t="shared" si="32"/>
        <v>0</v>
      </c>
      <c r="AV36" s="111">
        <f t="shared" si="32"/>
        <v>0</v>
      </c>
      <c r="AW36" s="111">
        <f t="shared" si="32"/>
        <v>0</v>
      </c>
      <c r="AX36" s="112" t="str">
        <f t="shared" si="23"/>
        <v>-</v>
      </c>
      <c r="AY36" s="40"/>
      <c r="AZ36" s="23" t="str">
        <f t="shared" si="1"/>
        <v/>
      </c>
      <c r="BA36" s="24" t="str">
        <f t="shared" si="2"/>
        <v/>
      </c>
      <c r="BB36" s="25" t="str">
        <f t="shared" si="3"/>
        <v/>
      </c>
      <c r="BC36" s="40"/>
      <c r="BD36" s="23" t="str">
        <f t="shared" si="4"/>
        <v/>
      </c>
      <c r="BE36" s="26" t="str">
        <f t="shared" si="5"/>
        <v/>
      </c>
      <c r="BF36" s="26" t="str">
        <f t="shared" si="6"/>
        <v/>
      </c>
      <c r="BG36" s="26" t="str">
        <f t="shared" si="24"/>
        <v/>
      </c>
      <c r="BH36" s="26" t="str">
        <f t="shared" si="7"/>
        <v/>
      </c>
      <c r="BI36" s="25" t="str">
        <f t="shared" si="25"/>
        <v/>
      </c>
      <c r="BJ36" s="40"/>
      <c r="BK36" s="23" t="str">
        <f t="shared" si="8"/>
        <v/>
      </c>
      <c r="BL36" s="26" t="str">
        <f t="shared" si="9"/>
        <v/>
      </c>
      <c r="BM36" s="26" t="str">
        <f t="shared" si="10"/>
        <v/>
      </c>
      <c r="BN36" s="25" t="str">
        <f t="shared" si="11"/>
        <v/>
      </c>
      <c r="BO36" s="40"/>
      <c r="BP36" s="23" t="str">
        <f t="shared" si="12"/>
        <v/>
      </c>
      <c r="BQ36" s="26">
        <v>0</v>
      </c>
      <c r="BR36" s="26" t="str">
        <f t="shared" si="26"/>
        <v/>
      </c>
      <c r="BS36" s="26" t="str">
        <f t="shared" si="27"/>
        <v/>
      </c>
      <c r="BT36" s="25" t="str">
        <f t="shared" si="13"/>
        <v/>
      </c>
      <c r="BU36" s="40"/>
      <c r="BV36" s="33" t="str">
        <f t="shared" si="14"/>
        <v/>
      </c>
      <c r="BW36" s="34" t="str">
        <f t="shared" si="15"/>
        <v/>
      </c>
      <c r="BX36" s="34" t="str">
        <f t="shared" si="16"/>
        <v/>
      </c>
      <c r="BY36" s="34" t="str">
        <f t="shared" si="17"/>
        <v/>
      </c>
      <c r="BZ36" s="34" t="str">
        <f t="shared" si="28"/>
        <v/>
      </c>
      <c r="CA36" s="35" t="str">
        <f t="shared" si="29"/>
        <v/>
      </c>
      <c r="CB36" s="40"/>
      <c r="CC36" s="33" t="str">
        <f t="shared" si="18"/>
        <v>-</v>
      </c>
      <c r="CD36" s="34" t="str">
        <f t="shared" si="19"/>
        <v>-</v>
      </c>
      <c r="CE36" s="34" t="str">
        <f t="shared" si="20"/>
        <v>-</v>
      </c>
      <c r="CF36" s="34" t="str">
        <f t="shared" si="21"/>
        <v>-</v>
      </c>
      <c r="CG36" s="35" t="str">
        <f t="shared" si="22"/>
        <v>-</v>
      </c>
      <c r="CH36" s="40"/>
    </row>
    <row r="37" spans="1:86" x14ac:dyDescent="0.2"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</sheetData>
  <mergeCells count="88"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workbookViewId="0">
      <selection activeCell="C4" sqref="C4:AW4"/>
    </sheetView>
  </sheetViews>
  <sheetFormatPr defaultColWidth="0" defaultRowHeight="11.25" x14ac:dyDescent="0.2"/>
  <cols>
    <col min="1" max="1" width="7.5703125" style="154" bestFit="1" customWidth="1"/>
    <col min="2" max="2" width="4.140625" style="154" bestFit="1" customWidth="1"/>
    <col min="3" max="3" width="11" style="154" bestFit="1" customWidth="1"/>
    <col min="4" max="4" width="13.5703125" style="154" bestFit="1" customWidth="1"/>
    <col min="5" max="5" width="14.5703125" style="154" bestFit="1" customWidth="1"/>
    <col min="6" max="6" width="11.5703125" style="154" bestFit="1" customWidth="1"/>
    <col min="7" max="7" width="4.42578125" style="154" bestFit="1" customWidth="1"/>
    <col min="8" max="8" width="13.140625" style="154" bestFit="1" customWidth="1"/>
    <col min="9" max="9" width="6.5703125" style="154" bestFit="1" customWidth="1"/>
    <col min="10" max="10" width="7.140625" style="154" bestFit="1" customWidth="1"/>
    <col min="11" max="11" width="8" style="154" bestFit="1" customWidth="1"/>
    <col min="12" max="12" width="5.42578125" style="154" bestFit="1" customWidth="1"/>
    <col min="13" max="13" width="4.7109375" style="154" bestFit="1" customWidth="1"/>
    <col min="14" max="14" width="3.5703125" style="154" bestFit="1" customWidth="1"/>
    <col min="15" max="15" width="3.85546875" style="154" bestFit="1" customWidth="1"/>
    <col min="16" max="16" width="3.5703125" style="154" bestFit="1" customWidth="1"/>
    <col min="17" max="17" width="4" style="154" bestFit="1" customWidth="1"/>
    <col min="18" max="18" width="3.42578125" style="154" bestFit="1" customWidth="1"/>
    <col min="19" max="19" width="3.5703125" style="154" bestFit="1" customWidth="1"/>
    <col min="20" max="20" width="3" style="154" bestFit="1" customWidth="1"/>
    <col min="21" max="21" width="5.140625" style="154" bestFit="1" customWidth="1"/>
    <col min="22" max="23" width="2.5703125" style="154" bestFit="1" customWidth="1"/>
    <col min="24" max="24" width="3.85546875" style="154" bestFit="1" customWidth="1"/>
    <col min="25" max="25" width="3.140625" style="154" bestFit="1" customWidth="1"/>
    <col min="26" max="26" width="2.7109375" style="154" bestFit="1" customWidth="1"/>
    <col min="27" max="27" width="4.28515625" style="154" bestFit="1" customWidth="1"/>
    <col min="28" max="28" width="4.42578125" style="154" bestFit="1" customWidth="1"/>
    <col min="29" max="29" width="3.42578125" style="154" bestFit="1" customWidth="1"/>
    <col min="30" max="30" width="2.5703125" style="154" bestFit="1" customWidth="1"/>
    <col min="31" max="31" width="4.140625" style="154" bestFit="1" customWidth="1"/>
    <col min="32" max="33" width="3.42578125" style="154" bestFit="1" customWidth="1"/>
    <col min="34" max="34" width="3.5703125" style="154" bestFit="1" customWidth="1"/>
    <col min="35" max="35" width="9.42578125" style="154" bestFit="1" customWidth="1"/>
    <col min="36" max="36" width="11.140625" style="154" bestFit="1" customWidth="1"/>
    <col min="37" max="37" width="11.42578125" style="154" bestFit="1" customWidth="1"/>
    <col min="38" max="38" width="10.85546875" style="154" bestFit="1" customWidth="1"/>
    <col min="39" max="39" width="11.28515625" style="154" bestFit="1" customWidth="1"/>
    <col min="40" max="40" width="11.42578125" style="154" bestFit="1" customWidth="1"/>
    <col min="41" max="41" width="7.140625" style="154" bestFit="1" customWidth="1"/>
    <col min="42" max="42" width="10" style="154" bestFit="1" customWidth="1"/>
    <col min="43" max="43" width="8.140625" style="154" bestFit="1" customWidth="1"/>
    <col min="44" max="44" width="7.140625" style="154" bestFit="1" customWidth="1"/>
    <col min="45" max="45" width="9.140625" style="158" bestFit="1" customWidth="1"/>
    <col min="46" max="46" width="10" style="154" bestFit="1" customWidth="1"/>
    <col min="47" max="47" width="8.7109375" style="154" bestFit="1" customWidth="1"/>
    <col min="48" max="48" width="11.42578125" style="154" bestFit="1" customWidth="1"/>
    <col min="49" max="50" width="11.5703125" style="154" bestFit="1" customWidth="1"/>
    <col min="51" max="51" width="2.28515625" style="154" customWidth="1"/>
    <col min="52" max="52" width="12.140625" style="154" bestFit="1" customWidth="1"/>
    <col min="53" max="53" width="9" style="154" bestFit="1" customWidth="1"/>
    <col min="54" max="54" width="9.42578125" style="154" bestFit="1" customWidth="1"/>
    <col min="55" max="55" width="1.5703125" style="154" customWidth="1"/>
    <col min="56" max="56" width="9.28515625" style="154" bestFit="1" customWidth="1"/>
    <col min="57" max="57" width="9.85546875" style="154" bestFit="1" customWidth="1"/>
    <col min="58" max="58" width="14.5703125" style="154" bestFit="1" customWidth="1"/>
    <col min="59" max="59" width="6.85546875" style="154" bestFit="1" customWidth="1"/>
    <col min="60" max="60" width="10.7109375" style="154" bestFit="1" customWidth="1"/>
    <col min="61" max="61" width="7.85546875" style="154" bestFit="1" customWidth="1"/>
    <col min="62" max="62" width="1.85546875" style="154" customWidth="1"/>
    <col min="63" max="63" width="14.5703125" style="154" bestFit="1" customWidth="1"/>
    <col min="64" max="64" width="18.140625" style="154" bestFit="1" customWidth="1"/>
    <col min="65" max="65" width="10" style="154" bestFit="1" customWidth="1"/>
    <col min="66" max="66" width="13.140625" style="154" bestFit="1" customWidth="1"/>
    <col min="67" max="67" width="2.140625" style="154" customWidth="1"/>
    <col min="68" max="68" width="6.7109375" style="154" bestFit="1" customWidth="1"/>
    <col min="69" max="69" width="9.28515625" style="154" bestFit="1" customWidth="1"/>
    <col min="70" max="70" width="10" style="154" bestFit="1" customWidth="1"/>
    <col min="71" max="71" width="9.7109375" style="154" bestFit="1" customWidth="1"/>
    <col min="72" max="72" width="5.85546875" style="154" bestFit="1" customWidth="1"/>
    <col min="73" max="73" width="2.140625" style="154" customWidth="1"/>
    <col min="74" max="74" width="13.42578125" style="154" bestFit="1" customWidth="1"/>
    <col min="75" max="75" width="10.28515625" style="154" bestFit="1" customWidth="1"/>
    <col min="76" max="76" width="13.42578125" style="154" bestFit="1" customWidth="1"/>
    <col min="77" max="77" width="13.7109375" style="154" bestFit="1" customWidth="1"/>
    <col min="78" max="78" width="12.85546875" style="154" bestFit="1" customWidth="1"/>
    <col min="79" max="79" width="13.28515625" style="154" bestFit="1" customWidth="1"/>
    <col min="80" max="80" width="1.85546875" style="154" customWidth="1"/>
    <col min="81" max="83" width="5.7109375" style="154" bestFit="1" customWidth="1"/>
    <col min="84" max="84" width="6.5703125" style="154" bestFit="1" customWidth="1"/>
    <col min="85" max="85" width="6.42578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170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0" si="0">+TEXT(A4,"DDD")</f>
        <v>Thu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98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99"/>
      <c r="AM4" s="99"/>
      <c r="AN4" s="99"/>
      <c r="AO4" s="99"/>
      <c r="AP4" s="99"/>
      <c r="AQ4" s="99"/>
      <c r="AR4" s="99"/>
      <c r="AS4" s="99"/>
      <c r="AT4" s="100"/>
      <c r="AU4" s="100"/>
      <c r="AV4" s="101"/>
      <c r="AW4" s="60"/>
      <c r="AX4" s="102" t="str">
        <f>IFERROR(AN4/AW4,"-")</f>
        <v>-</v>
      </c>
      <c r="AY4" s="151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51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51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51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51"/>
      <c r="BV4" s="127" t="str">
        <f t="shared" ref="BV4:BV36" si="14">IF(AN4&gt;0,(E4/AN4),"")</f>
        <v/>
      </c>
      <c r="BW4" s="127" t="str">
        <f t="shared" ref="BW4:BW36" si="15">IF(AN4&gt;0,(G4/AN4),"")</f>
        <v/>
      </c>
      <c r="BX4" s="127" t="str">
        <f t="shared" ref="BX4:BX36" si="16">IF(AN4&gt;0,(J4/AN4),"")</f>
        <v/>
      </c>
      <c r="BY4" s="127" t="str">
        <f t="shared" ref="BY4:BY36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51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51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99"/>
      <c r="AM5" s="99"/>
      <c r="AN5" s="99"/>
      <c r="AO5" s="99"/>
      <c r="AP5" s="99"/>
      <c r="AQ5" s="99"/>
      <c r="AR5" s="99"/>
      <c r="AS5" s="99"/>
      <c r="AT5" s="100"/>
      <c r="AU5" s="100"/>
      <c r="AV5" s="101"/>
      <c r="AW5" s="100"/>
      <c r="AX5" s="102" t="str">
        <f t="shared" ref="AX5:AX36" si="23">IFERROR(AN5/AW5,"-")</f>
        <v>-</v>
      </c>
      <c r="AY5" s="151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51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ref="BG5:BG36" si="24">+IF(SUM(AO5:AR5)&gt;0,AO5/AN5,"")</f>
        <v/>
      </c>
      <c r="BH5" s="119" t="str">
        <f t="shared" si="7"/>
        <v/>
      </c>
      <c r="BI5" s="120" t="str">
        <f t="shared" ref="BI5:BI36" si="25">+IF(SUM(AO5:AR5)&gt;0,AQ5/AN5,"")</f>
        <v/>
      </c>
      <c r="BJ5" s="151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51"/>
      <c r="BP5" s="124" t="str">
        <f t="shared" si="12"/>
        <v/>
      </c>
      <c r="BQ5" s="125">
        <v>0</v>
      </c>
      <c r="BR5" s="125" t="str">
        <f t="shared" ref="BR5:BR36" si="26">IF(AJ5&gt;0,(AK5/AJ5),"")</f>
        <v/>
      </c>
      <c r="BS5" s="125" t="str">
        <f t="shared" ref="BS5:BS36" si="27">IF(AJ5&gt;0,(AK5/AJ5),"")</f>
        <v/>
      </c>
      <c r="BT5" s="126" t="str">
        <f t="shared" si="13"/>
        <v/>
      </c>
      <c r="BU5" s="151"/>
      <c r="BV5" s="132" t="str">
        <f t="shared" si="14"/>
        <v/>
      </c>
      <c r="BW5" s="127" t="str">
        <f t="shared" si="15"/>
        <v/>
      </c>
      <c r="BX5" s="127" t="str">
        <f t="shared" si="16"/>
        <v/>
      </c>
      <c r="BY5" s="127" t="str">
        <f t="shared" si="17"/>
        <v/>
      </c>
      <c r="BZ5" s="127" t="str">
        <f t="shared" ref="BZ5:BZ36" si="28">IF(AN5&gt;0,(AJ5/AN5),"")</f>
        <v/>
      </c>
      <c r="CA5" s="128" t="str">
        <f t="shared" ref="CA5:CA36" si="29">IF(AN5&gt;0,(AK5/AN5),"")</f>
        <v/>
      </c>
      <c r="CB5" s="151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51"/>
    </row>
    <row r="6" spans="1:86" s="115" customFormat="1" ht="12.4" customHeight="1" thickBot="1" x14ac:dyDescent="0.25">
      <c r="A6" s="96">
        <f t="shared" ref="A6:A34" si="30">A5+1</f>
        <v>46298</v>
      </c>
      <c r="B6" s="97" t="str">
        <f t="shared" si="0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99"/>
      <c r="AM6" s="99"/>
      <c r="AN6" s="99"/>
      <c r="AO6" s="99"/>
      <c r="AP6" s="99"/>
      <c r="AQ6" s="99"/>
      <c r="AR6" s="99"/>
      <c r="AS6" s="99"/>
      <c r="AT6" s="100"/>
      <c r="AU6" s="100"/>
      <c r="AV6" s="101"/>
      <c r="AW6" s="100"/>
      <c r="AX6" s="102" t="str">
        <f t="shared" si="23"/>
        <v>-</v>
      </c>
      <c r="AY6" s="151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51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24"/>
        <v/>
      </c>
      <c r="BH6" s="119" t="str">
        <f t="shared" si="7"/>
        <v/>
      </c>
      <c r="BI6" s="120" t="str">
        <f t="shared" si="25"/>
        <v/>
      </c>
      <c r="BJ6" s="151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51"/>
      <c r="BP6" s="124" t="str">
        <f t="shared" si="12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3"/>
        <v/>
      </c>
      <c r="BU6" s="151"/>
      <c r="BV6" s="132" t="str">
        <f t="shared" si="14"/>
        <v/>
      </c>
      <c r="BW6" s="127" t="str">
        <f t="shared" si="15"/>
        <v/>
      </c>
      <c r="BX6" s="127" t="str">
        <f t="shared" si="16"/>
        <v/>
      </c>
      <c r="BY6" s="127" t="str">
        <f t="shared" si="17"/>
        <v/>
      </c>
      <c r="BZ6" s="127" t="str">
        <f t="shared" si="28"/>
        <v/>
      </c>
      <c r="CA6" s="128" t="str">
        <f t="shared" si="29"/>
        <v/>
      </c>
      <c r="CB6" s="151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51"/>
    </row>
    <row r="7" spans="1:86" s="115" customFormat="1" ht="12.4" customHeight="1" thickBot="1" x14ac:dyDescent="0.25">
      <c r="A7" s="96">
        <f t="shared" si="30"/>
        <v>46299</v>
      </c>
      <c r="B7" s="97" t="str">
        <f t="shared" si="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99"/>
      <c r="AM7" s="99"/>
      <c r="AN7" s="99"/>
      <c r="AO7" s="99"/>
      <c r="AP7" s="99"/>
      <c r="AQ7" s="99"/>
      <c r="AR7" s="99"/>
      <c r="AS7" s="99"/>
      <c r="AT7" s="100"/>
      <c r="AU7" s="100"/>
      <c r="AV7" s="101"/>
      <c r="AW7" s="100"/>
      <c r="AX7" s="102" t="str">
        <f t="shared" si="23"/>
        <v>-</v>
      </c>
      <c r="AY7" s="151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51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24"/>
        <v/>
      </c>
      <c r="BH7" s="119" t="str">
        <f t="shared" si="7"/>
        <v/>
      </c>
      <c r="BI7" s="120" t="str">
        <f t="shared" si="25"/>
        <v/>
      </c>
      <c r="BJ7" s="151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51"/>
      <c r="BP7" s="124" t="str">
        <f t="shared" si="12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3"/>
        <v/>
      </c>
      <c r="BU7" s="151"/>
      <c r="BV7" s="132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si="28"/>
        <v/>
      </c>
      <c r="CA7" s="128" t="str">
        <f t="shared" si="29"/>
        <v/>
      </c>
      <c r="CB7" s="151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51"/>
    </row>
    <row r="8" spans="1:86" s="115" customFormat="1" ht="12.4" customHeight="1" thickBot="1" x14ac:dyDescent="0.25">
      <c r="A8" s="96">
        <f t="shared" si="30"/>
        <v>46300</v>
      </c>
      <c r="B8" s="97" t="str">
        <f t="shared" si="0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99"/>
      <c r="AM8" s="99"/>
      <c r="AN8" s="99"/>
      <c r="AO8" s="99"/>
      <c r="AP8" s="99"/>
      <c r="AQ8" s="99"/>
      <c r="AR8" s="99"/>
      <c r="AS8" s="99"/>
      <c r="AT8" s="100"/>
      <c r="AU8" s="100"/>
      <c r="AV8" s="101"/>
      <c r="AW8" s="100"/>
      <c r="AX8" s="102" t="str">
        <f t="shared" si="23"/>
        <v>-</v>
      </c>
      <c r="AY8" s="151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51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24"/>
        <v/>
      </c>
      <c r="BH8" s="119" t="str">
        <f t="shared" si="7"/>
        <v/>
      </c>
      <c r="BI8" s="120" t="str">
        <f t="shared" si="25"/>
        <v/>
      </c>
      <c r="BJ8" s="151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51"/>
      <c r="BP8" s="124" t="str">
        <f t="shared" si="12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3"/>
        <v/>
      </c>
      <c r="BU8" s="151"/>
      <c r="BV8" s="132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 t="shared" si="28"/>
        <v/>
      </c>
      <c r="CA8" s="128" t="str">
        <f t="shared" si="29"/>
        <v/>
      </c>
      <c r="CB8" s="151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51"/>
    </row>
    <row r="9" spans="1:86" s="115" customFormat="1" ht="12.4" customHeight="1" thickBot="1" x14ac:dyDescent="0.25">
      <c r="A9" s="96">
        <f t="shared" si="30"/>
        <v>46301</v>
      </c>
      <c r="B9" s="97" t="str">
        <f t="shared" si="0"/>
        <v>Tue</v>
      </c>
      <c r="C9" s="98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99"/>
      <c r="AM9" s="99"/>
      <c r="AN9" s="99"/>
      <c r="AO9" s="99"/>
      <c r="AP9" s="99"/>
      <c r="AQ9" s="99"/>
      <c r="AR9" s="99"/>
      <c r="AS9" s="99"/>
      <c r="AT9" s="100"/>
      <c r="AU9" s="100"/>
      <c r="AV9" s="101"/>
      <c r="AW9" s="100"/>
      <c r="AX9" s="102" t="str">
        <f t="shared" si="23"/>
        <v>-</v>
      </c>
      <c r="AY9" s="151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51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24"/>
        <v/>
      </c>
      <c r="BH9" s="119" t="str">
        <f t="shared" si="7"/>
        <v/>
      </c>
      <c r="BI9" s="120" t="str">
        <f t="shared" si="25"/>
        <v/>
      </c>
      <c r="BJ9" s="151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51"/>
      <c r="BP9" s="124" t="str">
        <f t="shared" si="12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3"/>
        <v/>
      </c>
      <c r="BU9" s="151"/>
      <c r="BV9" s="132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 t="shared" si="28"/>
        <v/>
      </c>
      <c r="CA9" s="128" t="str">
        <f t="shared" si="29"/>
        <v/>
      </c>
      <c r="CB9" s="151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51"/>
    </row>
    <row r="10" spans="1:86" s="115" customFormat="1" ht="12.4" customHeight="1" thickBot="1" x14ac:dyDescent="0.25">
      <c r="A10" s="96">
        <f t="shared" si="30"/>
        <v>46302</v>
      </c>
      <c r="B10" s="97" t="str">
        <f>+TEXT(A10,"DDD")</f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99"/>
      <c r="AM10" s="99"/>
      <c r="AN10" s="99"/>
      <c r="AO10" s="99"/>
      <c r="AP10" s="99"/>
      <c r="AQ10" s="99"/>
      <c r="AR10" s="99"/>
      <c r="AS10" s="99"/>
      <c r="AT10" s="100"/>
      <c r="AU10" s="100"/>
      <c r="AV10" s="101"/>
      <c r="AW10" s="100"/>
      <c r="AX10" s="102" t="str">
        <f t="shared" si="23"/>
        <v>-</v>
      </c>
      <c r="AY10" s="151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51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4"/>
        <v/>
      </c>
      <c r="BH10" s="119" t="str">
        <f t="shared" si="7"/>
        <v/>
      </c>
      <c r="BI10" s="120" t="str">
        <f t="shared" si="25"/>
        <v/>
      </c>
      <c r="BJ10" s="151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51"/>
      <c r="BP10" s="124" t="str">
        <f t="shared" si="12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3"/>
        <v/>
      </c>
      <c r="BU10" s="151"/>
      <c r="BV10" s="132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8"/>
        <v/>
      </c>
      <c r="CA10" s="128" t="str">
        <f t="shared" si="29"/>
        <v/>
      </c>
      <c r="CB10" s="151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51"/>
    </row>
    <row r="11" spans="1:86" s="115" customFormat="1" ht="12.4" customHeight="1" thickBot="1" x14ac:dyDescent="0.25">
      <c r="A11" s="96">
        <f t="shared" si="30"/>
        <v>46303</v>
      </c>
      <c r="B11" s="97" t="str">
        <f>+TEXT(A11,"DDD")</f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99"/>
      <c r="AM11" s="99"/>
      <c r="AN11" s="99"/>
      <c r="AO11" s="99"/>
      <c r="AP11" s="99"/>
      <c r="AQ11" s="99"/>
      <c r="AR11" s="99"/>
      <c r="AS11" s="99"/>
      <c r="AT11" s="100"/>
      <c r="AU11" s="100"/>
      <c r="AV11" s="101"/>
      <c r="AW11" s="100"/>
      <c r="AX11" s="102" t="str">
        <f t="shared" si="23"/>
        <v>-</v>
      </c>
      <c r="AY11" s="151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51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4"/>
        <v/>
      </c>
      <c r="BH11" s="119" t="str">
        <f t="shared" si="7"/>
        <v/>
      </c>
      <c r="BI11" s="120" t="str">
        <f t="shared" si="25"/>
        <v/>
      </c>
      <c r="BJ11" s="151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51"/>
      <c r="BP11" s="124" t="str">
        <f t="shared" si="12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3"/>
        <v/>
      </c>
      <c r="BU11" s="151"/>
      <c r="BV11" s="132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8"/>
        <v/>
      </c>
      <c r="CA11" s="128" t="str">
        <f t="shared" si="29"/>
        <v/>
      </c>
      <c r="CB11" s="151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51"/>
    </row>
    <row r="12" spans="1:86" s="115" customFormat="1" ht="12.4" customHeight="1" thickBot="1" x14ac:dyDescent="0.25">
      <c r="A12" s="96">
        <f t="shared" si="30"/>
        <v>46304</v>
      </c>
      <c r="B12" s="97" t="str">
        <f>+TEXT(A12,"DDD")</f>
        <v>Fri</v>
      </c>
      <c r="C12" s="60"/>
      <c r="D12" s="60"/>
      <c r="E12" s="103"/>
      <c r="F12" s="98"/>
      <c r="G12" s="98"/>
      <c r="H12" s="104"/>
      <c r="I12" s="104"/>
      <c r="J12" s="105"/>
      <c r="K12" s="106"/>
      <c r="L12" s="98"/>
      <c r="M12" s="98"/>
      <c r="N12" s="98"/>
      <c r="O12" s="98"/>
      <c r="P12" s="103"/>
      <c r="Q12" s="98"/>
      <c r="R12" s="98"/>
      <c r="S12" s="98"/>
      <c r="T12" s="98"/>
      <c r="U12" s="98"/>
      <c r="V12" s="103"/>
      <c r="W12" s="103"/>
      <c r="X12" s="98"/>
      <c r="Y12" s="98"/>
      <c r="Z12" s="98"/>
      <c r="AA12" s="98"/>
      <c r="AB12" s="98"/>
      <c r="AC12" s="98"/>
      <c r="AD12" s="98"/>
      <c r="AE12" s="98"/>
      <c r="AF12" s="103"/>
      <c r="AG12" s="103"/>
      <c r="AH12" s="98"/>
      <c r="AI12" s="107"/>
      <c r="AJ12" s="108"/>
      <c r="AK12" s="107"/>
      <c r="AL12" s="99"/>
      <c r="AM12" s="99"/>
      <c r="AN12" s="99"/>
      <c r="AO12" s="99"/>
      <c r="AP12" s="99"/>
      <c r="AQ12" s="99"/>
      <c r="AR12" s="99"/>
      <c r="AS12" s="99"/>
      <c r="AT12" s="100"/>
      <c r="AU12" s="100"/>
      <c r="AV12" s="101"/>
      <c r="AW12" s="100"/>
      <c r="AX12" s="102" t="str">
        <f t="shared" si="23"/>
        <v>-</v>
      </c>
      <c r="AY12" s="151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51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4"/>
        <v/>
      </c>
      <c r="BH12" s="119" t="str">
        <f t="shared" si="7"/>
        <v/>
      </c>
      <c r="BI12" s="120" t="str">
        <f t="shared" si="25"/>
        <v/>
      </c>
      <c r="BJ12" s="151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51"/>
      <c r="BP12" s="124" t="str">
        <f t="shared" si="12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3"/>
        <v/>
      </c>
      <c r="BU12" s="151"/>
      <c r="BV12" s="132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8"/>
        <v/>
      </c>
      <c r="CA12" s="128" t="str">
        <f t="shared" si="29"/>
        <v/>
      </c>
      <c r="CB12" s="151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51"/>
    </row>
    <row r="13" spans="1:86" s="115" customFormat="1" ht="12.4" customHeight="1" thickBot="1" x14ac:dyDescent="0.25">
      <c r="A13" s="96">
        <f t="shared" si="30"/>
        <v>46305</v>
      </c>
      <c r="B13" s="97" t="str">
        <f>+TEXT(A13,"DDD")</f>
        <v>Sat</v>
      </c>
      <c r="C13" s="98"/>
      <c r="D13" s="98"/>
      <c r="E13" s="103"/>
      <c r="F13" s="98"/>
      <c r="G13" s="98"/>
      <c r="H13" s="104"/>
      <c r="I13" s="104"/>
      <c r="J13" s="105"/>
      <c r="K13" s="106"/>
      <c r="L13" s="98"/>
      <c r="M13" s="98"/>
      <c r="N13" s="98"/>
      <c r="O13" s="98"/>
      <c r="P13" s="103"/>
      <c r="Q13" s="98"/>
      <c r="R13" s="98"/>
      <c r="S13" s="98"/>
      <c r="T13" s="98"/>
      <c r="U13" s="98"/>
      <c r="V13" s="103"/>
      <c r="W13" s="103"/>
      <c r="X13" s="98"/>
      <c r="Y13" s="98"/>
      <c r="Z13" s="98"/>
      <c r="AA13" s="98"/>
      <c r="AB13" s="98"/>
      <c r="AC13" s="98"/>
      <c r="AD13" s="98"/>
      <c r="AE13" s="98"/>
      <c r="AF13" s="103"/>
      <c r="AG13" s="103"/>
      <c r="AH13" s="98"/>
      <c r="AI13" s="107"/>
      <c r="AJ13" s="108"/>
      <c r="AK13" s="107"/>
      <c r="AL13" s="99"/>
      <c r="AM13" s="99"/>
      <c r="AN13" s="99"/>
      <c r="AO13" s="99"/>
      <c r="AP13" s="99"/>
      <c r="AQ13" s="99"/>
      <c r="AR13" s="99"/>
      <c r="AS13" s="99"/>
      <c r="AT13" s="100"/>
      <c r="AU13" s="100"/>
      <c r="AV13" s="101"/>
      <c r="AW13" s="100"/>
      <c r="AX13" s="102" t="str">
        <f t="shared" si="23"/>
        <v>-</v>
      </c>
      <c r="AY13" s="151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51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4"/>
        <v/>
      </c>
      <c r="BH13" s="119" t="str">
        <f t="shared" si="7"/>
        <v/>
      </c>
      <c r="BI13" s="120" t="str">
        <f t="shared" si="25"/>
        <v/>
      </c>
      <c r="BJ13" s="151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51"/>
      <c r="BP13" s="124" t="str">
        <f t="shared" si="12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3"/>
        <v/>
      </c>
      <c r="BU13" s="151"/>
      <c r="BV13" s="132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8"/>
        <v/>
      </c>
      <c r="CA13" s="128" t="str">
        <f t="shared" si="29"/>
        <v/>
      </c>
      <c r="CB13" s="151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51"/>
    </row>
    <row r="14" spans="1:86" s="115" customFormat="1" ht="12.4" customHeight="1" thickBot="1" x14ac:dyDescent="0.25">
      <c r="A14" s="96">
        <f t="shared" si="30"/>
        <v>46306</v>
      </c>
      <c r="B14" s="97" t="str">
        <f t="shared" si="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60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99"/>
      <c r="AM14" s="99"/>
      <c r="AN14" s="99"/>
      <c r="AO14" s="99"/>
      <c r="AP14" s="99"/>
      <c r="AQ14" s="99"/>
      <c r="AR14" s="99"/>
      <c r="AS14" s="99"/>
      <c r="AT14" s="100"/>
      <c r="AU14" s="100"/>
      <c r="AV14" s="101"/>
      <c r="AW14" s="100"/>
      <c r="AX14" s="102" t="str">
        <f t="shared" si="23"/>
        <v>-</v>
      </c>
      <c r="AY14" s="151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51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4"/>
        <v/>
      </c>
      <c r="BH14" s="119" t="str">
        <f t="shared" si="7"/>
        <v/>
      </c>
      <c r="BI14" s="120" t="str">
        <f t="shared" si="25"/>
        <v/>
      </c>
      <c r="BJ14" s="151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51"/>
      <c r="BP14" s="124" t="str">
        <f t="shared" si="12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3"/>
        <v/>
      </c>
      <c r="BU14" s="151"/>
      <c r="BV14" s="132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8"/>
        <v/>
      </c>
      <c r="CA14" s="128" t="str">
        <f t="shared" si="29"/>
        <v/>
      </c>
      <c r="CB14" s="151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51"/>
    </row>
    <row r="15" spans="1:86" s="115" customFormat="1" ht="12.4" customHeight="1" thickBot="1" x14ac:dyDescent="0.25">
      <c r="A15" s="96">
        <f t="shared" si="30"/>
        <v>46307</v>
      </c>
      <c r="B15" s="97" t="str">
        <f t="shared" si="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60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99"/>
      <c r="AM15" s="99"/>
      <c r="AN15" s="99"/>
      <c r="AO15" s="99"/>
      <c r="AP15" s="99"/>
      <c r="AQ15" s="99"/>
      <c r="AR15" s="99"/>
      <c r="AS15" s="99"/>
      <c r="AT15" s="100"/>
      <c r="AU15" s="100"/>
      <c r="AV15" s="101"/>
      <c r="AW15" s="100"/>
      <c r="AX15" s="102" t="str">
        <f t="shared" si="23"/>
        <v>-</v>
      </c>
      <c r="AY15" s="151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51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24"/>
        <v/>
      </c>
      <c r="BH15" s="119" t="str">
        <f t="shared" si="7"/>
        <v/>
      </c>
      <c r="BI15" s="120" t="str">
        <f t="shared" si="25"/>
        <v/>
      </c>
      <c r="BJ15" s="151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51"/>
      <c r="BP15" s="124" t="str">
        <f t="shared" si="12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3"/>
        <v/>
      </c>
      <c r="BU15" s="151"/>
      <c r="BV15" s="132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 t="shared" si="28"/>
        <v/>
      </c>
      <c r="CA15" s="128" t="str">
        <f t="shared" si="29"/>
        <v/>
      </c>
      <c r="CB15" s="151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51"/>
    </row>
    <row r="16" spans="1:86" s="115" customFormat="1" ht="12.4" customHeight="1" thickBot="1" x14ac:dyDescent="0.25">
      <c r="A16" s="96">
        <f t="shared" si="30"/>
        <v>46308</v>
      </c>
      <c r="B16" s="97" t="str">
        <f t="shared" si="0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99"/>
      <c r="AM16" s="99"/>
      <c r="AN16" s="99"/>
      <c r="AO16" s="99"/>
      <c r="AP16" s="99"/>
      <c r="AQ16" s="99"/>
      <c r="AR16" s="99"/>
      <c r="AS16" s="99"/>
      <c r="AT16" s="100"/>
      <c r="AU16" s="100"/>
      <c r="AV16" s="101"/>
      <c r="AW16" s="100"/>
      <c r="AX16" s="102" t="str">
        <f t="shared" si="23"/>
        <v>-</v>
      </c>
      <c r="AY16" s="151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51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24"/>
        <v/>
      </c>
      <c r="BH16" s="119" t="str">
        <f t="shared" si="7"/>
        <v/>
      </c>
      <c r="BI16" s="120" t="str">
        <f t="shared" si="25"/>
        <v/>
      </c>
      <c r="BJ16" s="151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51"/>
      <c r="BP16" s="124" t="str">
        <f t="shared" si="12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3"/>
        <v/>
      </c>
      <c r="BU16" s="151"/>
      <c r="BV16" s="132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 t="shared" si="28"/>
        <v/>
      </c>
      <c r="CA16" s="128" t="str">
        <f t="shared" si="29"/>
        <v/>
      </c>
      <c r="CB16" s="151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51"/>
    </row>
    <row r="17" spans="1:86" s="115" customFormat="1" ht="12.4" customHeight="1" thickBot="1" x14ac:dyDescent="0.25">
      <c r="A17" s="96">
        <f t="shared" si="30"/>
        <v>46309</v>
      </c>
      <c r="B17" s="97" t="str">
        <f t="shared" si="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99"/>
      <c r="AM17" s="99"/>
      <c r="AN17" s="99"/>
      <c r="AO17" s="99"/>
      <c r="AP17" s="99"/>
      <c r="AQ17" s="99"/>
      <c r="AR17" s="99"/>
      <c r="AS17" s="99"/>
      <c r="AT17" s="100"/>
      <c r="AU17" s="100"/>
      <c r="AV17" s="101"/>
      <c r="AW17" s="100"/>
      <c r="AX17" s="102" t="str">
        <f t="shared" si="23"/>
        <v>-</v>
      </c>
      <c r="AY17" s="151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51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4"/>
        <v/>
      </c>
      <c r="BH17" s="119" t="str">
        <f t="shared" si="7"/>
        <v/>
      </c>
      <c r="BI17" s="120" t="str">
        <f t="shared" si="25"/>
        <v/>
      </c>
      <c r="BJ17" s="151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51"/>
      <c r="BP17" s="124" t="str">
        <f t="shared" si="12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3"/>
        <v/>
      </c>
      <c r="BU17" s="151"/>
      <c r="BV17" s="132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8"/>
        <v/>
      </c>
      <c r="CA17" s="128" t="str">
        <f t="shared" si="29"/>
        <v/>
      </c>
      <c r="CB17" s="151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51"/>
    </row>
    <row r="18" spans="1:86" s="115" customFormat="1" ht="12.4" customHeight="1" thickBot="1" x14ac:dyDescent="0.25">
      <c r="A18" s="96">
        <f t="shared" si="30"/>
        <v>46310</v>
      </c>
      <c r="B18" s="97" t="str">
        <f t="shared" si="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99"/>
      <c r="AM18" s="99"/>
      <c r="AN18" s="99"/>
      <c r="AO18" s="99"/>
      <c r="AP18" s="99"/>
      <c r="AQ18" s="99"/>
      <c r="AR18" s="99"/>
      <c r="AS18" s="99"/>
      <c r="AT18" s="100"/>
      <c r="AU18" s="100"/>
      <c r="AV18" s="101"/>
      <c r="AW18" s="100"/>
      <c r="AX18" s="102" t="str">
        <f t="shared" si="23"/>
        <v>-</v>
      </c>
      <c r="AY18" s="151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51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4"/>
        <v/>
      </c>
      <c r="BH18" s="119" t="str">
        <f t="shared" si="7"/>
        <v/>
      </c>
      <c r="BI18" s="120" t="str">
        <f t="shared" si="25"/>
        <v/>
      </c>
      <c r="BJ18" s="151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51"/>
      <c r="BP18" s="124" t="str">
        <f t="shared" si="12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3"/>
        <v/>
      </c>
      <c r="BU18" s="151"/>
      <c r="BV18" s="132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8"/>
        <v/>
      </c>
      <c r="CA18" s="128" t="str">
        <f t="shared" si="29"/>
        <v/>
      </c>
      <c r="CB18" s="151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51"/>
    </row>
    <row r="19" spans="1:86" s="115" customFormat="1" ht="12.4" customHeight="1" thickBot="1" x14ac:dyDescent="0.25">
      <c r="A19" s="96">
        <f t="shared" si="30"/>
        <v>46311</v>
      </c>
      <c r="B19" s="97" t="str">
        <f t="shared" si="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99"/>
      <c r="AM19" s="99"/>
      <c r="AN19" s="99"/>
      <c r="AO19" s="99"/>
      <c r="AP19" s="99"/>
      <c r="AQ19" s="99"/>
      <c r="AR19" s="99"/>
      <c r="AS19" s="99"/>
      <c r="AT19" s="100"/>
      <c r="AU19" s="100"/>
      <c r="AV19" s="101"/>
      <c r="AW19" s="100"/>
      <c r="AX19" s="102" t="str">
        <f t="shared" si="23"/>
        <v>-</v>
      </c>
      <c r="AY19" s="151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51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4"/>
        <v/>
      </c>
      <c r="BH19" s="119" t="str">
        <f t="shared" si="7"/>
        <v/>
      </c>
      <c r="BI19" s="120" t="str">
        <f t="shared" si="25"/>
        <v/>
      </c>
      <c r="BJ19" s="151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51"/>
      <c r="BP19" s="124" t="str">
        <f t="shared" si="12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3"/>
        <v/>
      </c>
      <c r="BU19" s="151"/>
      <c r="BV19" s="132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8"/>
        <v/>
      </c>
      <c r="CA19" s="128" t="str">
        <f t="shared" si="29"/>
        <v/>
      </c>
      <c r="CB19" s="151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51"/>
    </row>
    <row r="20" spans="1:86" s="115" customFormat="1" ht="12.4" customHeight="1" thickBot="1" x14ac:dyDescent="0.25">
      <c r="A20" s="96">
        <f t="shared" si="30"/>
        <v>46312</v>
      </c>
      <c r="B20" s="97" t="str">
        <f t="shared" si="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99"/>
      <c r="AM20" s="99"/>
      <c r="AN20" s="99"/>
      <c r="AO20" s="99"/>
      <c r="AP20" s="99"/>
      <c r="AQ20" s="99"/>
      <c r="AR20" s="99"/>
      <c r="AS20" s="99"/>
      <c r="AT20" s="100"/>
      <c r="AU20" s="100"/>
      <c r="AV20" s="101"/>
      <c r="AW20" s="100"/>
      <c r="AX20" s="102" t="str">
        <f t="shared" si="23"/>
        <v>-</v>
      </c>
      <c r="AY20" s="151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51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4"/>
        <v/>
      </c>
      <c r="BH20" s="119" t="str">
        <f t="shared" si="7"/>
        <v/>
      </c>
      <c r="BI20" s="120" t="str">
        <f t="shared" si="25"/>
        <v/>
      </c>
      <c r="BJ20" s="151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51"/>
      <c r="BP20" s="124" t="str">
        <f t="shared" si="12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3"/>
        <v/>
      </c>
      <c r="BU20" s="151"/>
      <c r="BV20" s="132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8"/>
        <v/>
      </c>
      <c r="CA20" s="128" t="str">
        <f t="shared" si="29"/>
        <v/>
      </c>
      <c r="CB20" s="151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51"/>
    </row>
    <row r="21" spans="1:86" s="115" customFormat="1" ht="12.4" customHeight="1" thickBot="1" x14ac:dyDescent="0.25">
      <c r="A21" s="96">
        <f t="shared" si="30"/>
        <v>46313</v>
      </c>
      <c r="B21" s="97" t="str">
        <f t="shared" si="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99"/>
      <c r="AM21" s="99"/>
      <c r="AN21" s="99"/>
      <c r="AO21" s="99"/>
      <c r="AP21" s="99"/>
      <c r="AQ21" s="99"/>
      <c r="AR21" s="99"/>
      <c r="AS21" s="99"/>
      <c r="AT21" s="100"/>
      <c r="AU21" s="100"/>
      <c r="AV21" s="101"/>
      <c r="AW21" s="100"/>
      <c r="AX21" s="102" t="str">
        <f t="shared" si="23"/>
        <v>-</v>
      </c>
      <c r="AY21" s="151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51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4"/>
        <v/>
      </c>
      <c r="BH21" s="119" t="str">
        <f t="shared" si="7"/>
        <v/>
      </c>
      <c r="BI21" s="120" t="str">
        <f t="shared" si="25"/>
        <v/>
      </c>
      <c r="BJ21" s="151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51"/>
      <c r="BP21" s="124" t="str">
        <f t="shared" si="12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3"/>
        <v/>
      </c>
      <c r="BU21" s="151"/>
      <c r="BV21" s="132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8"/>
        <v/>
      </c>
      <c r="CA21" s="128" t="str">
        <f t="shared" si="29"/>
        <v/>
      </c>
      <c r="CB21" s="151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51"/>
    </row>
    <row r="22" spans="1:86" s="115" customFormat="1" ht="12.4" customHeight="1" thickBot="1" x14ac:dyDescent="0.25">
      <c r="A22" s="96">
        <f t="shared" si="30"/>
        <v>46314</v>
      </c>
      <c r="B22" s="97" t="str">
        <f t="shared" si="0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99"/>
      <c r="AM22" s="99"/>
      <c r="AN22" s="99"/>
      <c r="AO22" s="99"/>
      <c r="AP22" s="99"/>
      <c r="AQ22" s="99"/>
      <c r="AR22" s="99"/>
      <c r="AS22" s="99"/>
      <c r="AT22" s="100"/>
      <c r="AU22" s="100"/>
      <c r="AV22" s="101"/>
      <c r="AW22" s="100"/>
      <c r="AX22" s="102" t="str">
        <f t="shared" si="23"/>
        <v>-</v>
      </c>
      <c r="AY22" s="151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51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4"/>
        <v/>
      </c>
      <c r="BH22" s="119" t="str">
        <f t="shared" si="7"/>
        <v/>
      </c>
      <c r="BI22" s="120" t="str">
        <f t="shared" si="25"/>
        <v/>
      </c>
      <c r="BJ22" s="151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51"/>
      <c r="BP22" s="124" t="str">
        <f t="shared" si="12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3"/>
        <v/>
      </c>
      <c r="BU22" s="151"/>
      <c r="BV22" s="132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8"/>
        <v/>
      </c>
      <c r="CA22" s="128" t="str">
        <f t="shared" si="29"/>
        <v/>
      </c>
      <c r="CB22" s="151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51"/>
    </row>
    <row r="23" spans="1:86" s="115" customFormat="1" ht="12.4" customHeight="1" thickBot="1" x14ac:dyDescent="0.25">
      <c r="A23" s="96">
        <f t="shared" si="30"/>
        <v>46315</v>
      </c>
      <c r="B23" s="97" t="str">
        <f t="shared" si="0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99"/>
      <c r="AM23" s="99"/>
      <c r="AN23" s="99"/>
      <c r="AO23" s="99"/>
      <c r="AP23" s="99"/>
      <c r="AQ23" s="99"/>
      <c r="AR23" s="99"/>
      <c r="AS23" s="99"/>
      <c r="AT23" s="100"/>
      <c r="AU23" s="100"/>
      <c r="AV23" s="101"/>
      <c r="AW23" s="100"/>
      <c r="AX23" s="102" t="str">
        <f t="shared" si="23"/>
        <v>-</v>
      </c>
      <c r="AY23" s="151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51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24"/>
        <v/>
      </c>
      <c r="BH23" s="119" t="str">
        <f t="shared" si="7"/>
        <v/>
      </c>
      <c r="BI23" s="120" t="str">
        <f t="shared" si="25"/>
        <v/>
      </c>
      <c r="BJ23" s="151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51"/>
      <c r="BP23" s="124" t="str">
        <f t="shared" si="12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3"/>
        <v/>
      </c>
      <c r="BU23" s="151"/>
      <c r="BV23" s="132" t="str">
        <f t="shared" si="14"/>
        <v/>
      </c>
      <c r="BW23" s="127" t="str">
        <f t="shared" si="15"/>
        <v/>
      </c>
      <c r="BX23" s="127" t="str">
        <f t="shared" si="16"/>
        <v/>
      </c>
      <c r="BY23" s="127" t="str">
        <f t="shared" si="17"/>
        <v/>
      </c>
      <c r="BZ23" s="127" t="str">
        <f t="shared" si="28"/>
        <v/>
      </c>
      <c r="CA23" s="128" t="str">
        <f t="shared" si="29"/>
        <v/>
      </c>
      <c r="CB23" s="151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51"/>
    </row>
    <row r="24" spans="1:86" s="115" customFormat="1" ht="12.4" customHeight="1" thickBot="1" x14ac:dyDescent="0.25">
      <c r="A24" s="96">
        <f t="shared" si="30"/>
        <v>46316</v>
      </c>
      <c r="B24" s="97" t="str">
        <f t="shared" si="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99"/>
      <c r="AM24" s="99"/>
      <c r="AN24" s="99"/>
      <c r="AO24" s="99"/>
      <c r="AP24" s="99"/>
      <c r="AQ24" s="99"/>
      <c r="AR24" s="99"/>
      <c r="AS24" s="99"/>
      <c r="AT24" s="100"/>
      <c r="AU24" s="100"/>
      <c r="AV24" s="101"/>
      <c r="AW24" s="100"/>
      <c r="AX24" s="102" t="str">
        <f t="shared" si="23"/>
        <v>-</v>
      </c>
      <c r="AY24" s="151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51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24"/>
        <v/>
      </c>
      <c r="BH24" s="119" t="str">
        <f t="shared" si="7"/>
        <v/>
      </c>
      <c r="BI24" s="120" t="str">
        <f t="shared" si="25"/>
        <v/>
      </c>
      <c r="BJ24" s="151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51"/>
      <c r="BP24" s="124" t="str">
        <f t="shared" si="12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3"/>
        <v/>
      </c>
      <c r="BU24" s="151"/>
      <c r="BV24" s="132" t="str">
        <f t="shared" si="14"/>
        <v/>
      </c>
      <c r="BW24" s="127" t="str">
        <f t="shared" si="15"/>
        <v/>
      </c>
      <c r="BX24" s="127" t="str">
        <f t="shared" si="16"/>
        <v/>
      </c>
      <c r="BY24" s="127" t="str">
        <f t="shared" si="17"/>
        <v/>
      </c>
      <c r="BZ24" s="127" t="str">
        <f t="shared" si="28"/>
        <v/>
      </c>
      <c r="CA24" s="128" t="str">
        <f t="shared" si="29"/>
        <v/>
      </c>
      <c r="CB24" s="151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51"/>
    </row>
    <row r="25" spans="1:86" s="115" customFormat="1" ht="12.4" customHeight="1" thickBot="1" x14ac:dyDescent="0.25">
      <c r="A25" s="96">
        <f t="shared" si="30"/>
        <v>46317</v>
      </c>
      <c r="B25" s="97" t="str">
        <f t="shared" si="0"/>
        <v>Thu</v>
      </c>
      <c r="C25" s="98"/>
      <c r="D25" s="98"/>
      <c r="E25" s="103"/>
      <c r="F25" s="98"/>
      <c r="G25" s="98"/>
      <c r="H25" s="104"/>
      <c r="I25" s="104"/>
      <c r="J25" s="105"/>
      <c r="K25" s="106"/>
      <c r="L25" s="98"/>
      <c r="M25" s="98"/>
      <c r="N25" s="98"/>
      <c r="O25" s="98"/>
      <c r="P25" s="103"/>
      <c r="Q25" s="98"/>
      <c r="R25" s="98"/>
      <c r="S25" s="98"/>
      <c r="T25" s="98"/>
      <c r="U25" s="98"/>
      <c r="V25" s="103"/>
      <c r="W25" s="103"/>
      <c r="X25" s="98"/>
      <c r="Y25" s="98"/>
      <c r="Z25" s="98"/>
      <c r="AA25" s="98"/>
      <c r="AB25" s="98"/>
      <c r="AC25" s="98"/>
      <c r="AD25" s="98"/>
      <c r="AE25" s="98"/>
      <c r="AF25" s="103"/>
      <c r="AG25" s="103"/>
      <c r="AH25" s="98"/>
      <c r="AI25" s="107"/>
      <c r="AJ25" s="108"/>
      <c r="AK25" s="107"/>
      <c r="AL25" s="99"/>
      <c r="AM25" s="99"/>
      <c r="AN25" s="99"/>
      <c r="AO25" s="99"/>
      <c r="AP25" s="99"/>
      <c r="AQ25" s="99"/>
      <c r="AR25" s="99"/>
      <c r="AS25" s="99"/>
      <c r="AT25" s="100"/>
      <c r="AU25" s="100"/>
      <c r="AV25" s="101"/>
      <c r="AW25" s="100"/>
      <c r="AX25" s="102" t="str">
        <f t="shared" si="23"/>
        <v>-</v>
      </c>
      <c r="AY25" s="151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51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4"/>
        <v/>
      </c>
      <c r="BH25" s="119" t="str">
        <f t="shared" si="7"/>
        <v/>
      </c>
      <c r="BI25" s="120" t="str">
        <f t="shared" si="25"/>
        <v/>
      </c>
      <c r="BJ25" s="151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51"/>
      <c r="BP25" s="124" t="str">
        <f t="shared" si="12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3"/>
        <v/>
      </c>
      <c r="BU25" s="151"/>
      <c r="BV25" s="132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8"/>
        <v/>
      </c>
      <c r="CA25" s="128" t="str">
        <f t="shared" si="29"/>
        <v/>
      </c>
      <c r="CB25" s="151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51"/>
    </row>
    <row r="26" spans="1:86" s="115" customFormat="1" ht="12.4" customHeight="1" thickBot="1" x14ac:dyDescent="0.25">
      <c r="A26" s="96">
        <f t="shared" si="30"/>
        <v>46318</v>
      </c>
      <c r="B26" s="97" t="str">
        <f>+TEXT(A26,"DDD")</f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99"/>
      <c r="AM26" s="99"/>
      <c r="AN26" s="99"/>
      <c r="AO26" s="99"/>
      <c r="AP26" s="99"/>
      <c r="AQ26" s="99"/>
      <c r="AR26" s="99"/>
      <c r="AS26" s="99"/>
      <c r="AT26" s="100"/>
      <c r="AU26" s="100"/>
      <c r="AV26" s="101"/>
      <c r="AW26" s="100"/>
      <c r="AX26" s="102" t="str">
        <f t="shared" si="23"/>
        <v>-</v>
      </c>
      <c r="AY26" s="151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51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4"/>
        <v/>
      </c>
      <c r="BH26" s="119" t="str">
        <f t="shared" si="7"/>
        <v/>
      </c>
      <c r="BI26" s="120" t="str">
        <f t="shared" si="25"/>
        <v/>
      </c>
      <c r="BJ26" s="151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51"/>
      <c r="BP26" s="124" t="str">
        <f t="shared" si="12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3"/>
        <v/>
      </c>
      <c r="BU26" s="151"/>
      <c r="BV26" s="132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8"/>
        <v/>
      </c>
      <c r="CA26" s="128" t="str">
        <f t="shared" si="29"/>
        <v/>
      </c>
      <c r="CB26" s="151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51"/>
    </row>
    <row r="27" spans="1:86" s="115" customFormat="1" ht="12.4" customHeight="1" thickBot="1" x14ac:dyDescent="0.25">
      <c r="A27" s="96">
        <f t="shared" si="30"/>
        <v>46319</v>
      </c>
      <c r="B27" s="97" t="str">
        <f t="shared" si="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99"/>
      <c r="AM27" s="99"/>
      <c r="AN27" s="99"/>
      <c r="AO27" s="99"/>
      <c r="AP27" s="99"/>
      <c r="AQ27" s="99"/>
      <c r="AR27" s="99"/>
      <c r="AS27" s="99"/>
      <c r="AT27" s="100"/>
      <c r="AU27" s="100"/>
      <c r="AV27" s="101"/>
      <c r="AW27" s="100"/>
      <c r="AX27" s="102" t="str">
        <f t="shared" si="23"/>
        <v>-</v>
      </c>
      <c r="AY27" s="151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51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4"/>
        <v/>
      </c>
      <c r="BH27" s="119" t="str">
        <f t="shared" si="7"/>
        <v/>
      </c>
      <c r="BI27" s="120" t="str">
        <f t="shared" si="25"/>
        <v/>
      </c>
      <c r="BJ27" s="151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51"/>
      <c r="BP27" s="124" t="str">
        <f t="shared" si="12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3"/>
        <v/>
      </c>
      <c r="BU27" s="151"/>
      <c r="BV27" s="132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8"/>
        <v/>
      </c>
      <c r="CA27" s="128" t="str">
        <f t="shared" si="29"/>
        <v/>
      </c>
      <c r="CB27" s="151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51"/>
    </row>
    <row r="28" spans="1:86" s="115" customFormat="1" ht="12.4" customHeight="1" thickBot="1" x14ac:dyDescent="0.25">
      <c r="A28" s="96">
        <f t="shared" si="30"/>
        <v>46320</v>
      </c>
      <c r="B28" s="97" t="str">
        <f t="shared" si="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99"/>
      <c r="AM28" s="99"/>
      <c r="AN28" s="99"/>
      <c r="AO28" s="99"/>
      <c r="AP28" s="99"/>
      <c r="AQ28" s="99"/>
      <c r="AR28" s="99"/>
      <c r="AS28" s="99"/>
      <c r="AT28" s="100"/>
      <c r="AU28" s="100"/>
      <c r="AV28" s="101"/>
      <c r="AW28" s="100"/>
      <c r="AX28" s="102" t="str">
        <f t="shared" si="23"/>
        <v>-</v>
      </c>
      <c r="AY28" s="151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51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4"/>
        <v/>
      </c>
      <c r="BH28" s="119" t="str">
        <f t="shared" si="7"/>
        <v/>
      </c>
      <c r="BI28" s="120" t="str">
        <f t="shared" si="25"/>
        <v/>
      </c>
      <c r="BJ28" s="151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51"/>
      <c r="BP28" s="124" t="str">
        <f t="shared" si="12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3"/>
        <v/>
      </c>
      <c r="BU28" s="151"/>
      <c r="BV28" s="132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8"/>
        <v/>
      </c>
      <c r="CA28" s="128" t="str">
        <f t="shared" si="29"/>
        <v/>
      </c>
      <c r="CB28" s="151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51"/>
    </row>
    <row r="29" spans="1:86" s="115" customFormat="1" ht="12.4" customHeight="1" thickBot="1" x14ac:dyDescent="0.25">
      <c r="A29" s="96">
        <f t="shared" si="30"/>
        <v>46321</v>
      </c>
      <c r="B29" s="97" t="str">
        <f t="shared" si="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99"/>
      <c r="AM29" s="99"/>
      <c r="AN29" s="99"/>
      <c r="AO29" s="99"/>
      <c r="AP29" s="99"/>
      <c r="AQ29" s="99"/>
      <c r="AR29" s="99"/>
      <c r="AS29" s="99"/>
      <c r="AT29" s="100"/>
      <c r="AU29" s="100"/>
      <c r="AV29" s="101"/>
      <c r="AW29" s="100"/>
      <c r="AX29" s="102" t="str">
        <f>IFERROR(AN29/AW29,"-")</f>
        <v>-</v>
      </c>
      <c r="AY29" s="151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51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4"/>
        <v/>
      </c>
      <c r="BH29" s="119" t="str">
        <f t="shared" si="7"/>
        <v/>
      </c>
      <c r="BI29" s="120" t="str">
        <f t="shared" si="25"/>
        <v/>
      </c>
      <c r="BJ29" s="151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51"/>
      <c r="BP29" s="124" t="str">
        <f t="shared" si="12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3"/>
        <v/>
      </c>
      <c r="BU29" s="151"/>
      <c r="BV29" s="132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8"/>
        <v/>
      </c>
      <c r="CA29" s="128" t="str">
        <f t="shared" si="29"/>
        <v/>
      </c>
      <c r="CB29" s="151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51"/>
    </row>
    <row r="30" spans="1:86" s="115" customFormat="1" ht="12.4" customHeight="1" thickBot="1" x14ac:dyDescent="0.25">
      <c r="A30" s="96">
        <f t="shared" si="30"/>
        <v>46322</v>
      </c>
      <c r="B30" s="97" t="str">
        <f t="shared" si="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99"/>
      <c r="AM30" s="99"/>
      <c r="AN30" s="99"/>
      <c r="AO30" s="99"/>
      <c r="AP30" s="99"/>
      <c r="AQ30" s="99"/>
      <c r="AR30" s="99"/>
      <c r="AS30" s="99"/>
      <c r="AT30" s="100"/>
      <c r="AU30" s="100"/>
      <c r="AV30" s="101"/>
      <c r="AW30" s="100"/>
      <c r="AX30" s="102" t="str">
        <f>IFERROR(AN30/AW30,"-")</f>
        <v>-</v>
      </c>
      <c r="AY30" s="151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51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4"/>
        <v/>
      </c>
      <c r="BH30" s="119" t="str">
        <f t="shared" si="7"/>
        <v/>
      </c>
      <c r="BI30" s="120" t="str">
        <f t="shared" si="25"/>
        <v/>
      </c>
      <c r="BJ30" s="151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51"/>
      <c r="BP30" s="124" t="str">
        <f t="shared" si="12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3"/>
        <v/>
      </c>
      <c r="BU30" s="151"/>
      <c r="BV30" s="132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8"/>
        <v/>
      </c>
      <c r="CA30" s="128" t="str">
        <f t="shared" si="29"/>
        <v/>
      </c>
      <c r="CB30" s="151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51"/>
    </row>
    <row r="31" spans="1:86" s="115" customFormat="1" ht="12.4" customHeight="1" thickBot="1" x14ac:dyDescent="0.25">
      <c r="A31" s="96">
        <f t="shared" si="30"/>
        <v>46323</v>
      </c>
      <c r="B31" s="97" t="str">
        <f>+TEXT(A31,"DDD")</f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99"/>
      <c r="AM31" s="99"/>
      <c r="AN31" s="99"/>
      <c r="AO31" s="99"/>
      <c r="AP31" s="99"/>
      <c r="AQ31" s="99"/>
      <c r="AR31" s="99"/>
      <c r="AS31" s="99"/>
      <c r="AT31" s="100"/>
      <c r="AU31" s="100"/>
      <c r="AV31" s="101"/>
      <c r="AW31" s="100"/>
      <c r="AX31" s="102" t="str">
        <f t="shared" si="23"/>
        <v>-</v>
      </c>
      <c r="AY31" s="151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51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4"/>
        <v/>
      </c>
      <c r="BH31" s="119" t="str">
        <f t="shared" si="7"/>
        <v/>
      </c>
      <c r="BI31" s="120" t="str">
        <f t="shared" si="25"/>
        <v/>
      </c>
      <c r="BJ31" s="151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51"/>
      <c r="BP31" s="124" t="str">
        <f t="shared" si="12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3"/>
        <v/>
      </c>
      <c r="BU31" s="151"/>
      <c r="BV31" s="132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8"/>
        <v/>
      </c>
      <c r="CA31" s="128" t="str">
        <f t="shared" si="29"/>
        <v/>
      </c>
      <c r="CB31" s="151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51"/>
    </row>
    <row r="32" spans="1:86" s="115" customFormat="1" ht="12.4" customHeight="1" thickBot="1" x14ac:dyDescent="0.25">
      <c r="A32" s="96">
        <f t="shared" si="30"/>
        <v>46324</v>
      </c>
      <c r="B32" s="97" t="str">
        <f>+TEXT(A32,"DDD")</f>
        <v>Thu</v>
      </c>
      <c r="C32" s="98"/>
      <c r="D32" s="98"/>
      <c r="E32" s="103"/>
      <c r="F32" s="98"/>
      <c r="G32" s="98"/>
      <c r="H32" s="104"/>
      <c r="I32" s="104"/>
      <c r="J32" s="105"/>
      <c r="K32" s="106"/>
      <c r="L32" s="98"/>
      <c r="M32" s="98"/>
      <c r="N32" s="98"/>
      <c r="O32" s="98"/>
      <c r="P32" s="103"/>
      <c r="Q32" s="98"/>
      <c r="R32" s="98"/>
      <c r="S32" s="98"/>
      <c r="T32" s="98"/>
      <c r="U32" s="98"/>
      <c r="V32" s="103"/>
      <c r="W32" s="103"/>
      <c r="X32" s="98"/>
      <c r="Y32" s="98"/>
      <c r="Z32" s="98"/>
      <c r="AA32" s="98"/>
      <c r="AB32" s="98"/>
      <c r="AC32" s="98"/>
      <c r="AD32" s="98"/>
      <c r="AE32" s="98"/>
      <c r="AF32" s="103"/>
      <c r="AG32" s="103"/>
      <c r="AH32" s="98"/>
      <c r="AI32" s="107"/>
      <c r="AJ32" s="108"/>
      <c r="AK32" s="107"/>
      <c r="AL32" s="99"/>
      <c r="AM32" s="99"/>
      <c r="AN32" s="99"/>
      <c r="AO32" s="99"/>
      <c r="AP32" s="99"/>
      <c r="AQ32" s="99"/>
      <c r="AR32" s="99"/>
      <c r="AS32" s="99"/>
      <c r="AT32" s="100"/>
      <c r="AU32" s="100"/>
      <c r="AV32" s="101"/>
      <c r="AW32" s="100"/>
      <c r="AX32" s="102" t="str">
        <f>IFERROR(AN32/AW32,"-")</f>
        <v>-</v>
      </c>
      <c r="AY32" s="151"/>
      <c r="AZ32" s="116" t="str">
        <f t="shared" si="1"/>
        <v/>
      </c>
      <c r="BA32" s="117" t="str">
        <f t="shared" si="2"/>
        <v/>
      </c>
      <c r="BB32" s="116" t="str">
        <f t="shared" si="3"/>
        <v/>
      </c>
      <c r="BC32" s="151"/>
      <c r="BD32" s="118" t="str">
        <f t="shared" si="4"/>
        <v/>
      </c>
      <c r="BE32" s="119" t="str">
        <f t="shared" si="5"/>
        <v/>
      </c>
      <c r="BF32" s="119" t="str">
        <f t="shared" si="6"/>
        <v/>
      </c>
      <c r="BG32" s="119" t="str">
        <f t="shared" si="24"/>
        <v/>
      </c>
      <c r="BH32" s="119" t="str">
        <f t="shared" si="7"/>
        <v/>
      </c>
      <c r="BI32" s="120" t="str">
        <f t="shared" si="25"/>
        <v/>
      </c>
      <c r="BJ32" s="151"/>
      <c r="BK32" s="121" t="str">
        <f t="shared" si="8"/>
        <v/>
      </c>
      <c r="BL32" s="122" t="str">
        <f t="shared" si="9"/>
        <v/>
      </c>
      <c r="BM32" s="122" t="str">
        <f t="shared" si="10"/>
        <v/>
      </c>
      <c r="BN32" s="123" t="str">
        <f t="shared" si="11"/>
        <v/>
      </c>
      <c r="BO32" s="151"/>
      <c r="BP32" s="124" t="str">
        <f t="shared" si="12"/>
        <v/>
      </c>
      <c r="BQ32" s="125">
        <v>0</v>
      </c>
      <c r="BR32" s="125" t="str">
        <f t="shared" si="26"/>
        <v/>
      </c>
      <c r="BS32" s="125" t="str">
        <f t="shared" si="27"/>
        <v/>
      </c>
      <c r="BT32" s="126" t="str">
        <f t="shared" si="13"/>
        <v/>
      </c>
      <c r="BU32" s="151"/>
      <c r="BV32" s="132" t="str">
        <f t="shared" si="14"/>
        <v/>
      </c>
      <c r="BW32" s="127" t="str">
        <f t="shared" si="15"/>
        <v/>
      </c>
      <c r="BX32" s="127" t="str">
        <f t="shared" si="16"/>
        <v/>
      </c>
      <c r="BY32" s="127" t="str">
        <f t="shared" si="17"/>
        <v/>
      </c>
      <c r="BZ32" s="127" t="str">
        <f t="shared" si="28"/>
        <v/>
      </c>
      <c r="CA32" s="128" t="str">
        <f t="shared" si="29"/>
        <v/>
      </c>
      <c r="CB32" s="151"/>
      <c r="CC32" s="129" t="str">
        <f t="shared" si="18"/>
        <v>-</v>
      </c>
      <c r="CD32" s="130" t="str">
        <f t="shared" si="19"/>
        <v>-</v>
      </c>
      <c r="CE32" s="130" t="str">
        <f t="shared" si="20"/>
        <v>-</v>
      </c>
      <c r="CF32" s="130" t="str">
        <f t="shared" si="21"/>
        <v>-</v>
      </c>
      <c r="CG32" s="131" t="str">
        <f t="shared" si="22"/>
        <v>-</v>
      </c>
      <c r="CH32" s="151"/>
    </row>
    <row r="33" spans="1:86" s="115" customFormat="1" ht="12.4" customHeight="1" thickBot="1" x14ac:dyDescent="0.25">
      <c r="A33" s="96">
        <f t="shared" si="30"/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99"/>
      <c r="AM33" s="99"/>
      <c r="AN33" s="99"/>
      <c r="AO33" s="99"/>
      <c r="AP33" s="99"/>
      <c r="AQ33" s="99"/>
      <c r="AR33" s="99"/>
      <c r="AS33" s="99"/>
      <c r="AT33" s="100"/>
      <c r="AU33" s="100"/>
      <c r="AV33" s="101"/>
      <c r="AW33" s="100"/>
      <c r="AX33" s="102" t="str">
        <f>IFERROR(AN33/AW33,"-")</f>
        <v>-</v>
      </c>
      <c r="AY33" s="151"/>
      <c r="AZ33" s="116" t="str">
        <f t="shared" si="1"/>
        <v/>
      </c>
      <c r="BA33" s="117" t="str">
        <f t="shared" si="2"/>
        <v/>
      </c>
      <c r="BB33" s="116" t="str">
        <f t="shared" si="3"/>
        <v/>
      </c>
      <c r="BC33" s="151"/>
      <c r="BD33" s="118" t="str">
        <f t="shared" si="4"/>
        <v/>
      </c>
      <c r="BE33" s="119" t="str">
        <f t="shared" si="5"/>
        <v/>
      </c>
      <c r="BF33" s="119" t="str">
        <f t="shared" si="6"/>
        <v/>
      </c>
      <c r="BG33" s="119" t="str">
        <f t="shared" si="24"/>
        <v/>
      </c>
      <c r="BH33" s="119" t="str">
        <f t="shared" si="7"/>
        <v/>
      </c>
      <c r="BI33" s="120" t="str">
        <f t="shared" si="25"/>
        <v/>
      </c>
      <c r="BJ33" s="151"/>
      <c r="BK33" s="121" t="str">
        <f t="shared" si="8"/>
        <v/>
      </c>
      <c r="BL33" s="122" t="str">
        <f t="shared" si="9"/>
        <v/>
      </c>
      <c r="BM33" s="122" t="str">
        <f t="shared" si="10"/>
        <v/>
      </c>
      <c r="BN33" s="123" t="str">
        <f t="shared" si="11"/>
        <v/>
      </c>
      <c r="BO33" s="151"/>
      <c r="BP33" s="124" t="str">
        <f t="shared" si="12"/>
        <v/>
      </c>
      <c r="BQ33" s="125">
        <v>0</v>
      </c>
      <c r="BR33" s="125" t="str">
        <f t="shared" si="26"/>
        <v/>
      </c>
      <c r="BS33" s="125" t="str">
        <f t="shared" si="27"/>
        <v/>
      </c>
      <c r="BT33" s="126" t="str">
        <f t="shared" si="13"/>
        <v/>
      </c>
      <c r="BU33" s="151"/>
      <c r="BV33" s="132" t="str">
        <f t="shared" si="14"/>
        <v/>
      </c>
      <c r="BW33" s="127" t="str">
        <f t="shared" si="15"/>
        <v/>
      </c>
      <c r="BX33" s="127" t="str">
        <f t="shared" si="16"/>
        <v/>
      </c>
      <c r="BY33" s="127" t="str">
        <f t="shared" si="17"/>
        <v/>
      </c>
      <c r="BZ33" s="127" t="str">
        <f t="shared" si="28"/>
        <v/>
      </c>
      <c r="CA33" s="128" t="str">
        <f t="shared" si="29"/>
        <v/>
      </c>
      <c r="CB33" s="151"/>
      <c r="CC33" s="129" t="str">
        <f t="shared" si="18"/>
        <v>-</v>
      </c>
      <c r="CD33" s="130" t="str">
        <f t="shared" si="19"/>
        <v>-</v>
      </c>
      <c r="CE33" s="130" t="str">
        <f t="shared" si="20"/>
        <v>-</v>
      </c>
      <c r="CF33" s="130" t="str">
        <f t="shared" si="21"/>
        <v>-</v>
      </c>
      <c r="CG33" s="131" t="str">
        <f t="shared" si="22"/>
        <v>-</v>
      </c>
      <c r="CH33" s="151"/>
    </row>
    <row r="34" spans="1:86" s="115" customFormat="1" ht="12.4" customHeight="1" thickBot="1" x14ac:dyDescent="0.25">
      <c r="A34" s="96">
        <f t="shared" si="30"/>
        <v>46326</v>
      </c>
      <c r="B34" s="97" t="str">
        <f>+TEXT(A34,"DDD")</f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99"/>
      <c r="AM34" s="99"/>
      <c r="AN34" s="99"/>
      <c r="AO34" s="99"/>
      <c r="AP34" s="99"/>
      <c r="AQ34" s="99"/>
      <c r="AR34" s="99"/>
      <c r="AS34" s="99"/>
      <c r="AT34" s="100"/>
      <c r="AU34" s="100"/>
      <c r="AV34" s="101"/>
      <c r="AW34" s="100"/>
      <c r="AX34" s="102" t="str">
        <f>IFERROR(AN34/AW34,"-")</f>
        <v>-</v>
      </c>
      <c r="AY34" s="151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51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 t="shared" si="24"/>
        <v/>
      </c>
      <c r="BH34" s="119" t="str">
        <f t="shared" si="7"/>
        <v/>
      </c>
      <c r="BI34" s="120" t="str">
        <f t="shared" si="25"/>
        <v/>
      </c>
      <c r="BJ34" s="151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51"/>
      <c r="BP34" s="124" t="str">
        <f t="shared" si="12"/>
        <v/>
      </c>
      <c r="BQ34" s="125">
        <v>0</v>
      </c>
      <c r="BR34" s="125" t="str">
        <f t="shared" si="26"/>
        <v/>
      </c>
      <c r="BS34" s="125" t="str">
        <f t="shared" si="27"/>
        <v/>
      </c>
      <c r="BT34" s="126" t="str">
        <f t="shared" si="13"/>
        <v/>
      </c>
      <c r="BU34" s="151"/>
      <c r="BV34" s="132" t="str">
        <f t="shared" si="14"/>
        <v/>
      </c>
      <c r="BW34" s="127" t="str">
        <f t="shared" si="15"/>
        <v/>
      </c>
      <c r="BX34" s="127" t="str">
        <f t="shared" si="16"/>
        <v/>
      </c>
      <c r="BY34" s="127" t="str">
        <f t="shared" si="17"/>
        <v/>
      </c>
      <c r="BZ34" s="127" t="str">
        <f t="shared" si="28"/>
        <v/>
      </c>
      <c r="CA34" s="128" t="str">
        <f t="shared" si="29"/>
        <v/>
      </c>
      <c r="CB34" s="151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51"/>
    </row>
    <row r="35" spans="1:86" s="115" customFormat="1" ht="13.15" customHeight="1" thickBot="1" x14ac:dyDescent="0.25">
      <c r="A35" s="235" t="s">
        <v>68</v>
      </c>
      <c r="B35" s="236"/>
      <c r="C35" s="109" t="e">
        <f>AVERAGE(C4:C34)</f>
        <v>#DIV/0!</v>
      </c>
      <c r="D35" s="109" t="e">
        <f t="shared" ref="D35:AW35" si="31">AVERAGE(D4:D34)</f>
        <v>#DIV/0!</v>
      </c>
      <c r="E35" s="109" t="e">
        <f t="shared" si="31"/>
        <v>#DIV/0!</v>
      </c>
      <c r="F35" s="109" t="e">
        <f t="shared" si="31"/>
        <v>#DIV/0!</v>
      </c>
      <c r="G35" s="109" t="e">
        <f t="shared" si="31"/>
        <v>#DIV/0!</v>
      </c>
      <c r="H35" s="109" t="e">
        <f t="shared" si="31"/>
        <v>#DIV/0!</v>
      </c>
      <c r="I35" s="109" t="e">
        <f t="shared" si="31"/>
        <v>#DIV/0!</v>
      </c>
      <c r="J35" s="109" t="e">
        <f t="shared" si="31"/>
        <v>#DIV/0!</v>
      </c>
      <c r="K35" s="109" t="e">
        <f t="shared" si="31"/>
        <v>#DIV/0!</v>
      </c>
      <c r="L35" s="109" t="e">
        <f t="shared" si="31"/>
        <v>#DIV/0!</v>
      </c>
      <c r="M35" s="109" t="e">
        <f t="shared" si="31"/>
        <v>#DIV/0!</v>
      </c>
      <c r="N35" s="109" t="e">
        <f t="shared" si="31"/>
        <v>#DIV/0!</v>
      </c>
      <c r="O35" s="109" t="e">
        <f t="shared" si="31"/>
        <v>#DIV/0!</v>
      </c>
      <c r="P35" s="109" t="e">
        <f t="shared" si="31"/>
        <v>#DIV/0!</v>
      </c>
      <c r="Q35" s="109" t="e">
        <f t="shared" si="31"/>
        <v>#DIV/0!</v>
      </c>
      <c r="R35" s="109" t="e">
        <f t="shared" si="31"/>
        <v>#DIV/0!</v>
      </c>
      <c r="S35" s="109" t="e">
        <f t="shared" si="31"/>
        <v>#DIV/0!</v>
      </c>
      <c r="T35" s="109" t="e">
        <f t="shared" si="31"/>
        <v>#DIV/0!</v>
      </c>
      <c r="U35" s="109" t="e">
        <f t="shared" si="31"/>
        <v>#DIV/0!</v>
      </c>
      <c r="V35" s="109" t="e">
        <f t="shared" si="31"/>
        <v>#DIV/0!</v>
      </c>
      <c r="W35" s="109" t="e">
        <f t="shared" si="31"/>
        <v>#DIV/0!</v>
      </c>
      <c r="X35" s="109" t="e">
        <f t="shared" si="31"/>
        <v>#DIV/0!</v>
      </c>
      <c r="Y35" s="109" t="e">
        <f t="shared" si="31"/>
        <v>#DIV/0!</v>
      </c>
      <c r="Z35" s="109" t="e">
        <f t="shared" si="31"/>
        <v>#DIV/0!</v>
      </c>
      <c r="AA35" s="109" t="e">
        <f t="shared" si="31"/>
        <v>#DIV/0!</v>
      </c>
      <c r="AB35" s="109" t="e">
        <f t="shared" si="31"/>
        <v>#DIV/0!</v>
      </c>
      <c r="AC35" s="109" t="e">
        <f t="shared" si="31"/>
        <v>#DIV/0!</v>
      </c>
      <c r="AD35" s="109" t="e">
        <f t="shared" si="31"/>
        <v>#DIV/0!</v>
      </c>
      <c r="AE35" s="109" t="e">
        <f t="shared" si="31"/>
        <v>#DIV/0!</v>
      </c>
      <c r="AF35" s="109" t="e">
        <f t="shared" si="31"/>
        <v>#DIV/0!</v>
      </c>
      <c r="AG35" s="109" t="e">
        <f t="shared" si="31"/>
        <v>#DIV/0!</v>
      </c>
      <c r="AH35" s="109" t="e">
        <f t="shared" si="31"/>
        <v>#DIV/0!</v>
      </c>
      <c r="AI35" s="109" t="e">
        <f t="shared" si="31"/>
        <v>#DIV/0!</v>
      </c>
      <c r="AJ35" s="109" t="e">
        <f t="shared" si="31"/>
        <v>#DIV/0!</v>
      </c>
      <c r="AK35" s="109" t="e">
        <f t="shared" si="31"/>
        <v>#DIV/0!</v>
      </c>
      <c r="AL35" s="109" t="e">
        <f t="shared" si="31"/>
        <v>#DIV/0!</v>
      </c>
      <c r="AM35" s="109" t="e">
        <f t="shared" si="31"/>
        <v>#DIV/0!</v>
      </c>
      <c r="AN35" s="109" t="e">
        <f t="shared" si="31"/>
        <v>#DIV/0!</v>
      </c>
      <c r="AO35" s="109" t="e">
        <f t="shared" si="31"/>
        <v>#DIV/0!</v>
      </c>
      <c r="AP35" s="109" t="e">
        <f t="shared" si="31"/>
        <v>#DIV/0!</v>
      </c>
      <c r="AQ35" s="109" t="e">
        <f t="shared" si="31"/>
        <v>#DIV/0!</v>
      </c>
      <c r="AR35" s="109" t="e">
        <f t="shared" si="31"/>
        <v>#DIV/0!</v>
      </c>
      <c r="AS35" s="109" t="e">
        <f t="shared" si="31"/>
        <v>#DIV/0!</v>
      </c>
      <c r="AT35" s="109" t="e">
        <f t="shared" si="31"/>
        <v>#DIV/0!</v>
      </c>
      <c r="AU35" s="109" t="e">
        <f t="shared" si="31"/>
        <v>#DIV/0!</v>
      </c>
      <c r="AV35" s="109" t="e">
        <f t="shared" si="31"/>
        <v>#DIV/0!</v>
      </c>
      <c r="AW35" s="109" t="e">
        <f t="shared" si="31"/>
        <v>#DIV/0!</v>
      </c>
      <c r="AX35" s="110" t="str">
        <f t="shared" si="23"/>
        <v>-</v>
      </c>
      <c r="AY35" s="151"/>
      <c r="AZ35" s="133" t="e">
        <f t="shared" si="1"/>
        <v>#DIV/0!</v>
      </c>
      <c r="BA35" s="134" t="e">
        <f t="shared" si="2"/>
        <v>#DIV/0!</v>
      </c>
      <c r="BB35" s="135" t="e">
        <f t="shared" si="3"/>
        <v>#DIV/0!</v>
      </c>
      <c r="BC35" s="151"/>
      <c r="BD35" s="133" t="e">
        <f t="shared" si="4"/>
        <v>#DIV/0!</v>
      </c>
      <c r="BE35" s="136" t="e">
        <f t="shared" si="5"/>
        <v>#DIV/0!</v>
      </c>
      <c r="BF35" s="136" t="e">
        <f t="shared" si="6"/>
        <v>#DIV/0!</v>
      </c>
      <c r="BG35" s="136" t="e">
        <f t="shared" si="24"/>
        <v>#DIV/0!</v>
      </c>
      <c r="BH35" s="136" t="e">
        <f t="shared" si="7"/>
        <v>#DIV/0!</v>
      </c>
      <c r="BI35" s="135" t="e">
        <f t="shared" si="25"/>
        <v>#DIV/0!</v>
      </c>
      <c r="BJ35" s="151"/>
      <c r="BK35" s="133" t="e">
        <f t="shared" si="8"/>
        <v>#DIV/0!</v>
      </c>
      <c r="BL35" s="136" t="e">
        <f t="shared" si="9"/>
        <v>#DIV/0!</v>
      </c>
      <c r="BM35" s="136" t="e">
        <f t="shared" si="10"/>
        <v>#DIV/0!</v>
      </c>
      <c r="BN35" s="135" t="e">
        <f t="shared" si="11"/>
        <v>#DIV/0!</v>
      </c>
      <c r="BO35" s="151"/>
      <c r="BP35" s="133" t="e">
        <f t="shared" si="12"/>
        <v>#DIV/0!</v>
      </c>
      <c r="BQ35" s="136">
        <v>0</v>
      </c>
      <c r="BR35" s="136" t="e">
        <f t="shared" si="26"/>
        <v>#DIV/0!</v>
      </c>
      <c r="BS35" s="136" t="e">
        <f t="shared" si="27"/>
        <v>#DIV/0!</v>
      </c>
      <c r="BT35" s="135" t="e">
        <f t="shared" si="13"/>
        <v>#DIV/0!</v>
      </c>
      <c r="BU35" s="151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8"/>
        <v>#DIV/0!</v>
      </c>
      <c r="CA35" s="139" t="e">
        <f t="shared" si="29"/>
        <v>#DIV/0!</v>
      </c>
      <c r="CB35" s="151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51"/>
    </row>
    <row r="36" spans="1:86" s="115" customFormat="1" ht="13.15" customHeight="1" thickBot="1" x14ac:dyDescent="0.25">
      <c r="A36" s="235" t="s">
        <v>69</v>
      </c>
      <c r="B36" s="236"/>
      <c r="C36" s="111">
        <f>SUM(C4:C34)</f>
        <v>0</v>
      </c>
      <c r="D36" s="111">
        <f t="shared" ref="D36:AW36" si="32">SUM(D4:D34)</f>
        <v>0</v>
      </c>
      <c r="E36" s="111">
        <f t="shared" si="32"/>
        <v>0</v>
      </c>
      <c r="F36" s="111">
        <f t="shared" si="32"/>
        <v>0</v>
      </c>
      <c r="G36" s="111">
        <f t="shared" si="32"/>
        <v>0</v>
      </c>
      <c r="H36" s="111">
        <f t="shared" si="32"/>
        <v>0</v>
      </c>
      <c r="I36" s="111">
        <f t="shared" si="32"/>
        <v>0</v>
      </c>
      <c r="J36" s="111">
        <f t="shared" si="32"/>
        <v>0</v>
      </c>
      <c r="K36" s="111">
        <f t="shared" si="32"/>
        <v>0</v>
      </c>
      <c r="L36" s="111">
        <f t="shared" si="32"/>
        <v>0</v>
      </c>
      <c r="M36" s="111">
        <f t="shared" si="32"/>
        <v>0</v>
      </c>
      <c r="N36" s="111">
        <f t="shared" si="32"/>
        <v>0</v>
      </c>
      <c r="O36" s="111">
        <f t="shared" si="32"/>
        <v>0</v>
      </c>
      <c r="P36" s="111">
        <f t="shared" si="32"/>
        <v>0</v>
      </c>
      <c r="Q36" s="111">
        <f t="shared" si="32"/>
        <v>0</v>
      </c>
      <c r="R36" s="111">
        <f t="shared" si="32"/>
        <v>0</v>
      </c>
      <c r="S36" s="111">
        <f t="shared" si="32"/>
        <v>0</v>
      </c>
      <c r="T36" s="111">
        <f t="shared" si="32"/>
        <v>0</v>
      </c>
      <c r="U36" s="111">
        <f t="shared" si="32"/>
        <v>0</v>
      </c>
      <c r="V36" s="111">
        <f t="shared" si="32"/>
        <v>0</v>
      </c>
      <c r="W36" s="111">
        <f t="shared" si="32"/>
        <v>0</v>
      </c>
      <c r="X36" s="111">
        <f t="shared" si="32"/>
        <v>0</v>
      </c>
      <c r="Y36" s="111">
        <f t="shared" si="32"/>
        <v>0</v>
      </c>
      <c r="Z36" s="111">
        <f t="shared" si="32"/>
        <v>0</v>
      </c>
      <c r="AA36" s="111">
        <f t="shared" si="32"/>
        <v>0</v>
      </c>
      <c r="AB36" s="111">
        <f t="shared" si="32"/>
        <v>0</v>
      </c>
      <c r="AC36" s="111">
        <f t="shared" si="32"/>
        <v>0</v>
      </c>
      <c r="AD36" s="111">
        <f t="shared" si="32"/>
        <v>0</v>
      </c>
      <c r="AE36" s="111">
        <f t="shared" si="32"/>
        <v>0</v>
      </c>
      <c r="AF36" s="111">
        <f t="shared" si="32"/>
        <v>0</v>
      </c>
      <c r="AG36" s="111">
        <f t="shared" si="32"/>
        <v>0</v>
      </c>
      <c r="AH36" s="111">
        <f t="shared" si="32"/>
        <v>0</v>
      </c>
      <c r="AI36" s="111">
        <f t="shared" si="32"/>
        <v>0</v>
      </c>
      <c r="AJ36" s="111">
        <f t="shared" si="32"/>
        <v>0</v>
      </c>
      <c r="AK36" s="111">
        <f t="shared" si="32"/>
        <v>0</v>
      </c>
      <c r="AL36" s="111">
        <f t="shared" si="32"/>
        <v>0</v>
      </c>
      <c r="AM36" s="111">
        <f t="shared" si="32"/>
        <v>0</v>
      </c>
      <c r="AN36" s="111">
        <f t="shared" si="32"/>
        <v>0</v>
      </c>
      <c r="AO36" s="111">
        <f t="shared" si="32"/>
        <v>0</v>
      </c>
      <c r="AP36" s="111">
        <f t="shared" si="32"/>
        <v>0</v>
      </c>
      <c r="AQ36" s="111">
        <f t="shared" si="32"/>
        <v>0</v>
      </c>
      <c r="AR36" s="111">
        <f t="shared" si="32"/>
        <v>0</v>
      </c>
      <c r="AS36" s="111">
        <f t="shared" si="32"/>
        <v>0</v>
      </c>
      <c r="AT36" s="111">
        <f t="shared" si="32"/>
        <v>0</v>
      </c>
      <c r="AU36" s="111">
        <f t="shared" si="32"/>
        <v>0</v>
      </c>
      <c r="AV36" s="111">
        <f t="shared" si="32"/>
        <v>0</v>
      </c>
      <c r="AW36" s="111">
        <f t="shared" si="32"/>
        <v>0</v>
      </c>
      <c r="AX36" s="112" t="str">
        <f t="shared" si="23"/>
        <v>-</v>
      </c>
      <c r="AY36" s="156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56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 t="shared" si="24"/>
        <v/>
      </c>
      <c r="BH36" s="144" t="str">
        <f t="shared" si="7"/>
        <v/>
      </c>
      <c r="BI36" s="143" t="str">
        <f t="shared" si="25"/>
        <v/>
      </c>
      <c r="BJ36" s="156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56"/>
      <c r="BP36" s="141" t="str">
        <f t="shared" si="12"/>
        <v/>
      </c>
      <c r="BQ36" s="144">
        <v>0</v>
      </c>
      <c r="BR36" s="144" t="str">
        <f t="shared" si="26"/>
        <v/>
      </c>
      <c r="BS36" s="144" t="str">
        <f t="shared" si="27"/>
        <v/>
      </c>
      <c r="BT36" s="143" t="str">
        <f t="shared" si="13"/>
        <v/>
      </c>
      <c r="BU36" s="156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8"/>
        <v/>
      </c>
      <c r="CA36" s="147" t="str">
        <f t="shared" si="29"/>
        <v/>
      </c>
      <c r="CB36" s="156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56"/>
    </row>
    <row r="37" spans="1:86" x14ac:dyDescent="0.2"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</sheetData>
  <mergeCells count="88"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topLeftCell="AO1" workbookViewId="0">
      <selection activeCell="AW4" sqref="C4:AW4"/>
    </sheetView>
  </sheetViews>
  <sheetFormatPr defaultColWidth="0" defaultRowHeight="11.25" x14ac:dyDescent="0.2"/>
  <cols>
    <col min="1" max="1" width="9.5703125" style="148" bestFit="1" customWidth="1"/>
    <col min="2" max="2" width="4.5703125" style="148" customWidth="1"/>
    <col min="3" max="3" width="15.5703125" style="148" bestFit="1" customWidth="1"/>
    <col min="4" max="4" width="18.85546875" style="148" bestFit="1" customWidth="1"/>
    <col min="5" max="5" width="20" style="148" bestFit="1" customWidth="1"/>
    <col min="6" max="6" width="16" style="148" bestFit="1" customWidth="1"/>
    <col min="7" max="7" width="8.5703125" style="148" bestFit="1" customWidth="1"/>
    <col min="8" max="8" width="18.5703125" style="148" bestFit="1" customWidth="1"/>
    <col min="9" max="9" width="9" style="148" bestFit="1" customWidth="1"/>
    <col min="10" max="10" width="9.42578125" style="148" customWidth="1"/>
    <col min="11" max="11" width="11" style="148" bestFit="1" customWidth="1"/>
    <col min="12" max="20" width="8.5703125" style="148" bestFit="1" customWidth="1"/>
    <col min="21" max="21" width="6" style="148" bestFit="1" customWidth="1"/>
    <col min="22" max="34" width="8.5703125" style="148" bestFit="1" customWidth="1"/>
    <col min="35" max="35" width="13.28515625" style="148" bestFit="1" customWidth="1"/>
    <col min="36" max="36" width="15.7109375" style="148" bestFit="1" customWidth="1"/>
    <col min="37" max="37" width="16.28515625" style="148" bestFit="1" customWidth="1"/>
    <col min="38" max="38" width="15.42578125" style="148" bestFit="1" customWidth="1"/>
    <col min="39" max="39" width="15.85546875" style="148" bestFit="1" customWidth="1"/>
    <col min="40" max="40" width="16.28515625" style="148" bestFit="1" customWidth="1"/>
    <col min="41" max="41" width="10" style="148" bestFit="1" customWidth="1"/>
    <col min="42" max="42" width="13.85546875" style="148" bestFit="1" customWidth="1"/>
    <col min="43" max="43" width="11.140625" style="148" bestFit="1" customWidth="1"/>
    <col min="44" max="44" width="10.28515625" style="148" bestFit="1" customWidth="1"/>
    <col min="45" max="45" width="12.5703125" style="150" bestFit="1" customWidth="1"/>
    <col min="46" max="46" width="10" style="148" bestFit="1" customWidth="1"/>
    <col min="47" max="47" width="10.7109375" style="148" customWidth="1"/>
    <col min="48" max="48" width="16.28515625" style="148" bestFit="1" customWidth="1"/>
    <col min="49" max="50" width="16.140625" style="148" bestFit="1" customWidth="1"/>
    <col min="51" max="51" width="2.28515625" style="148" customWidth="1"/>
    <col min="52" max="52" width="16.42578125" style="148" bestFit="1" customWidth="1"/>
    <col min="53" max="53" width="12" style="148" bestFit="1" customWidth="1"/>
    <col min="54" max="54" width="12.85546875" style="148" bestFit="1" customWidth="1"/>
    <col min="55" max="55" width="1.5703125" style="148" customWidth="1"/>
    <col min="56" max="56" width="12.7109375" style="148" bestFit="1" customWidth="1"/>
    <col min="57" max="57" width="13.42578125" style="148" bestFit="1" customWidth="1"/>
    <col min="58" max="58" width="20.42578125" style="148" bestFit="1" customWidth="1"/>
    <col min="59" max="59" width="9.5703125" style="148" bestFit="1" customWidth="1"/>
    <col min="60" max="60" width="14.85546875" style="148" bestFit="1" customWidth="1"/>
    <col min="61" max="61" width="10.7109375" style="148" bestFit="1" customWidth="1"/>
    <col min="62" max="62" width="1.85546875" style="148" customWidth="1"/>
    <col min="63" max="63" width="20.28515625" style="148" bestFit="1" customWidth="1"/>
    <col min="64" max="64" width="25.42578125" style="148" bestFit="1" customWidth="1"/>
    <col min="65" max="65" width="14.140625" style="148" bestFit="1" customWidth="1"/>
    <col min="66" max="66" width="18.140625" style="148" bestFit="1" customWidth="1"/>
    <col min="67" max="67" width="2.140625" style="148" customWidth="1"/>
    <col min="68" max="68" width="9.28515625" style="148" bestFit="1" customWidth="1"/>
    <col min="69" max="69" width="13" style="148" bestFit="1" customWidth="1"/>
    <col min="70" max="70" width="14.140625" style="148" bestFit="1" customWidth="1"/>
    <col min="71" max="71" width="13.85546875" style="148" bestFit="1" customWidth="1"/>
    <col min="72" max="72" width="8" style="148" bestFit="1" customWidth="1"/>
    <col min="73" max="73" width="2.140625" style="148" customWidth="1"/>
    <col min="74" max="74" width="18.5703125" style="148" bestFit="1" customWidth="1"/>
    <col min="75" max="75" width="14.5703125" style="148" bestFit="1" customWidth="1"/>
    <col min="76" max="76" width="18.5703125" style="148" bestFit="1" customWidth="1"/>
    <col min="77" max="77" width="19" style="148" bestFit="1" customWidth="1"/>
    <col min="78" max="78" width="18.140625" style="148" bestFit="1" customWidth="1"/>
    <col min="79" max="79" width="18.7109375" style="148" bestFit="1" customWidth="1"/>
    <col min="80" max="80" width="1.85546875" style="148" customWidth="1"/>
    <col min="81" max="81" width="7.7109375" style="148" bestFit="1" customWidth="1"/>
    <col min="82" max="82" width="5.140625" style="148" bestFit="1" customWidth="1"/>
    <col min="83" max="83" width="6" style="148" bestFit="1" customWidth="1"/>
    <col min="84" max="84" width="4.85546875" style="148" bestFit="1" customWidth="1"/>
    <col min="85" max="85" width="8.5703125" style="148" bestFit="1" customWidth="1"/>
    <col min="86" max="103" width="0" style="148" hidden="1" customWidth="1"/>
    <col min="104" max="16384" width="10.7109375" style="148" hidden="1"/>
  </cols>
  <sheetData>
    <row r="1" spans="1:86" s="115" customFormat="1" ht="13.15" customHeight="1" thickBot="1" x14ac:dyDescent="0.25">
      <c r="A1" s="197" t="s">
        <v>0</v>
      </c>
      <c r="B1" s="198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113"/>
      <c r="AY1" s="114"/>
      <c r="AZ1" s="246" t="s">
        <v>1</v>
      </c>
      <c r="BA1" s="247"/>
      <c r="BB1" s="248"/>
      <c r="BC1" s="114"/>
      <c r="BD1" s="249" t="s">
        <v>2</v>
      </c>
      <c r="BE1" s="250"/>
      <c r="BF1" s="250"/>
      <c r="BG1" s="250"/>
      <c r="BH1" s="250"/>
      <c r="BI1" s="251"/>
      <c r="BJ1" s="114"/>
      <c r="BK1" s="249" t="s">
        <v>3</v>
      </c>
      <c r="BL1" s="250"/>
      <c r="BM1" s="250"/>
      <c r="BN1" s="251"/>
      <c r="BO1" s="114"/>
      <c r="BP1" s="249" t="s">
        <v>4</v>
      </c>
      <c r="BQ1" s="250"/>
      <c r="BR1" s="250"/>
      <c r="BS1" s="250"/>
      <c r="BT1" s="251"/>
      <c r="BU1" s="114"/>
      <c r="BV1" s="249" t="s">
        <v>5</v>
      </c>
      <c r="BW1" s="250"/>
      <c r="BX1" s="250"/>
      <c r="BY1" s="250"/>
      <c r="BZ1" s="250"/>
      <c r="CA1" s="251"/>
      <c r="CB1" s="114"/>
      <c r="CC1" s="249" t="s">
        <v>6</v>
      </c>
      <c r="CD1" s="250"/>
      <c r="CE1" s="250"/>
      <c r="CF1" s="250"/>
      <c r="CG1" s="251"/>
      <c r="CH1" s="114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14"/>
      <c r="AZ2" s="217" t="s">
        <v>40</v>
      </c>
      <c r="BA2" s="219" t="s">
        <v>41</v>
      </c>
      <c r="BB2" s="221" t="s">
        <v>42</v>
      </c>
      <c r="BC2" s="114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14"/>
      <c r="BK2" s="231" t="s">
        <v>49</v>
      </c>
      <c r="BL2" s="232" t="s">
        <v>50</v>
      </c>
      <c r="BM2" s="232" t="s">
        <v>51</v>
      </c>
      <c r="BN2" s="245" t="s">
        <v>52</v>
      </c>
      <c r="BO2" s="114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14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14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14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14"/>
      <c r="AZ3" s="218"/>
      <c r="BA3" s="220"/>
      <c r="BB3" s="222"/>
      <c r="BC3" s="114"/>
      <c r="BD3" s="224"/>
      <c r="BE3" s="226"/>
      <c r="BF3" s="226"/>
      <c r="BG3" s="226"/>
      <c r="BH3" s="226"/>
      <c r="BI3" s="230"/>
      <c r="BJ3" s="114"/>
      <c r="BK3" s="224"/>
      <c r="BL3" s="226"/>
      <c r="BM3" s="226"/>
      <c r="BN3" s="230"/>
      <c r="BO3" s="114"/>
      <c r="BP3" s="224"/>
      <c r="BQ3" s="226"/>
      <c r="BR3" s="228"/>
      <c r="BS3" s="226"/>
      <c r="BT3" s="230"/>
      <c r="BU3" s="114"/>
      <c r="BV3" s="242"/>
      <c r="BW3" s="244"/>
      <c r="BX3" s="244"/>
      <c r="BY3" s="194"/>
      <c r="BZ3" s="244"/>
      <c r="CA3" s="238"/>
      <c r="CB3" s="114"/>
      <c r="CC3" s="240"/>
      <c r="CD3" s="228"/>
      <c r="CE3" s="228"/>
      <c r="CF3" s="228"/>
      <c r="CG3" s="234"/>
      <c r="CH3" s="114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0" si="0">+TEXT(A4,"DDD")</f>
        <v>Thu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98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99"/>
      <c r="AM4" s="99"/>
      <c r="AN4" s="99"/>
      <c r="AO4" s="99"/>
      <c r="AP4" s="99"/>
      <c r="AQ4" s="99"/>
      <c r="AR4" s="99"/>
      <c r="AS4" s="99"/>
      <c r="AT4" s="100"/>
      <c r="AU4" s="100"/>
      <c r="AV4" s="101"/>
      <c r="AW4" s="60"/>
      <c r="AX4" s="102" t="str">
        <f>IFERROR(AN4/AW4,"-")</f>
        <v>-</v>
      </c>
      <c r="AY4" s="114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14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14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14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14"/>
      <c r="BV4" s="127" t="str">
        <f t="shared" ref="BV4:BV36" si="14">IF(AN4&gt;0,(E4/AN4),"")</f>
        <v/>
      </c>
      <c r="BW4" s="127" t="str">
        <f t="shared" ref="BW4:BW36" si="15">IF(AN4&gt;0,(G4/AN4),"")</f>
        <v/>
      </c>
      <c r="BX4" s="127" t="str">
        <f t="shared" ref="BX4:BX36" si="16">IF(AN4&gt;0,(J4/AN4),"")</f>
        <v/>
      </c>
      <c r="BY4" s="127" t="str">
        <f t="shared" ref="BY4:BY36" si="17">IF(AN4&gt;0,(K4/AN4),"")</f>
        <v/>
      </c>
      <c r="BZ4" s="127" t="str">
        <f>IF(AN4&gt;0,(AJ4/AN4),"")</f>
        <v/>
      </c>
      <c r="CA4" s="128" t="str">
        <f>IF(AN4&gt;0,(AK4/AN4),"")</f>
        <v/>
      </c>
      <c r="CB4" s="114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14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98"/>
      <c r="D5" s="98"/>
      <c r="E5" s="103"/>
      <c r="F5" s="98"/>
      <c r="G5" s="98"/>
      <c r="H5" s="104"/>
      <c r="I5" s="104"/>
      <c r="J5" s="105"/>
      <c r="K5" s="106"/>
      <c r="L5" s="98"/>
      <c r="M5" s="98"/>
      <c r="N5" s="98"/>
      <c r="O5" s="98"/>
      <c r="P5" s="103"/>
      <c r="Q5" s="98"/>
      <c r="R5" s="98"/>
      <c r="S5" s="98"/>
      <c r="T5" s="98"/>
      <c r="U5" s="98"/>
      <c r="V5" s="103"/>
      <c r="W5" s="103"/>
      <c r="X5" s="98"/>
      <c r="Y5" s="98"/>
      <c r="Z5" s="98"/>
      <c r="AA5" s="98"/>
      <c r="AB5" s="98"/>
      <c r="AC5" s="98"/>
      <c r="AD5" s="98"/>
      <c r="AE5" s="98"/>
      <c r="AF5" s="103"/>
      <c r="AG5" s="103"/>
      <c r="AH5" s="98"/>
      <c r="AI5" s="107"/>
      <c r="AJ5" s="108"/>
      <c r="AK5" s="107"/>
      <c r="AL5" s="99"/>
      <c r="AM5" s="99"/>
      <c r="AN5" s="99"/>
      <c r="AO5" s="99"/>
      <c r="AP5" s="99"/>
      <c r="AQ5" s="99"/>
      <c r="AR5" s="99"/>
      <c r="AS5" s="99"/>
      <c r="AT5" s="100"/>
      <c r="AU5" s="100"/>
      <c r="AV5" s="101"/>
      <c r="AW5" s="100"/>
      <c r="AX5" s="102" t="str">
        <f t="shared" ref="AX5:AX36" si="23">IFERROR(AN5/AW5,"-")</f>
        <v>-</v>
      </c>
      <c r="AY5" s="114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14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ref="BG5:BG36" si="24">+IF(SUM(AO5:AR5)&gt;0,AO5/AN5,"")</f>
        <v/>
      </c>
      <c r="BH5" s="119" t="str">
        <f t="shared" si="7"/>
        <v/>
      </c>
      <c r="BI5" s="120" t="str">
        <f t="shared" ref="BI5:BI36" si="25">+IF(SUM(AO5:AR5)&gt;0,AQ5/AN5,"")</f>
        <v/>
      </c>
      <c r="BJ5" s="114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14"/>
      <c r="BP5" s="124" t="str">
        <f t="shared" si="12"/>
        <v/>
      </c>
      <c r="BQ5" s="125">
        <v>0</v>
      </c>
      <c r="BR5" s="125" t="str">
        <f t="shared" ref="BR5:BR36" si="26">IF(AJ5&gt;0,(AK5/AJ5),"")</f>
        <v/>
      </c>
      <c r="BS5" s="125" t="str">
        <f t="shared" ref="BS5:BS36" si="27">IF(AJ5&gt;0,(AK5/AJ5),"")</f>
        <v/>
      </c>
      <c r="BT5" s="126" t="str">
        <f t="shared" si="13"/>
        <v/>
      </c>
      <c r="BU5" s="114"/>
      <c r="BV5" s="132" t="str">
        <f t="shared" si="14"/>
        <v/>
      </c>
      <c r="BW5" s="127" t="str">
        <f t="shared" si="15"/>
        <v/>
      </c>
      <c r="BX5" s="127" t="str">
        <f t="shared" si="16"/>
        <v/>
      </c>
      <c r="BY5" s="127" t="str">
        <f t="shared" si="17"/>
        <v/>
      </c>
      <c r="BZ5" s="127" t="str">
        <f t="shared" ref="BZ5:BZ36" si="28">IF(AN5&gt;0,(AJ5/AN5),"")</f>
        <v/>
      </c>
      <c r="CA5" s="128" t="str">
        <f t="shared" ref="CA5:CA36" si="29">IF(AN5&gt;0,(AK5/AN5),"")</f>
        <v/>
      </c>
      <c r="CB5" s="114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14"/>
    </row>
    <row r="6" spans="1:86" s="115" customFormat="1" ht="12.4" customHeight="1" thickBot="1" x14ac:dyDescent="0.25">
      <c r="A6" s="96">
        <f t="shared" ref="A6:A34" si="30">A5+1</f>
        <v>46298</v>
      </c>
      <c r="B6" s="97" t="str">
        <f t="shared" si="0"/>
        <v>Sat</v>
      </c>
      <c r="C6" s="98"/>
      <c r="D6" s="98"/>
      <c r="E6" s="103"/>
      <c r="F6" s="98"/>
      <c r="G6" s="98"/>
      <c r="H6" s="104"/>
      <c r="I6" s="104"/>
      <c r="J6" s="105"/>
      <c r="K6" s="106"/>
      <c r="L6" s="98"/>
      <c r="M6" s="98"/>
      <c r="N6" s="98"/>
      <c r="O6" s="98"/>
      <c r="P6" s="103"/>
      <c r="Q6" s="98"/>
      <c r="R6" s="98"/>
      <c r="S6" s="98"/>
      <c r="T6" s="98"/>
      <c r="U6" s="98"/>
      <c r="V6" s="103"/>
      <c r="W6" s="103"/>
      <c r="X6" s="98"/>
      <c r="Y6" s="98"/>
      <c r="Z6" s="98"/>
      <c r="AA6" s="98"/>
      <c r="AB6" s="98"/>
      <c r="AC6" s="98"/>
      <c r="AD6" s="98"/>
      <c r="AE6" s="98"/>
      <c r="AF6" s="103"/>
      <c r="AG6" s="103"/>
      <c r="AH6" s="98"/>
      <c r="AI6" s="107"/>
      <c r="AJ6" s="108"/>
      <c r="AK6" s="107"/>
      <c r="AL6" s="99"/>
      <c r="AM6" s="99"/>
      <c r="AN6" s="99"/>
      <c r="AO6" s="99"/>
      <c r="AP6" s="99"/>
      <c r="AQ6" s="99"/>
      <c r="AR6" s="99"/>
      <c r="AS6" s="99"/>
      <c r="AT6" s="100"/>
      <c r="AU6" s="100"/>
      <c r="AV6" s="101"/>
      <c r="AW6" s="100"/>
      <c r="AX6" s="102" t="str">
        <f t="shared" si="23"/>
        <v>-</v>
      </c>
      <c r="AY6" s="114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14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24"/>
        <v/>
      </c>
      <c r="BH6" s="119" t="str">
        <f t="shared" si="7"/>
        <v/>
      </c>
      <c r="BI6" s="120" t="str">
        <f t="shared" si="25"/>
        <v/>
      </c>
      <c r="BJ6" s="114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14"/>
      <c r="BP6" s="124" t="str">
        <f t="shared" si="12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3"/>
        <v/>
      </c>
      <c r="BU6" s="114"/>
      <c r="BV6" s="132" t="str">
        <f t="shared" si="14"/>
        <v/>
      </c>
      <c r="BW6" s="127" t="str">
        <f t="shared" si="15"/>
        <v/>
      </c>
      <c r="BX6" s="127" t="str">
        <f t="shared" si="16"/>
        <v/>
      </c>
      <c r="BY6" s="127" t="str">
        <f t="shared" si="17"/>
        <v/>
      </c>
      <c r="BZ6" s="127" t="str">
        <f t="shared" si="28"/>
        <v/>
      </c>
      <c r="CA6" s="128" t="str">
        <f t="shared" si="29"/>
        <v/>
      </c>
      <c r="CB6" s="114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14"/>
    </row>
    <row r="7" spans="1:86" s="115" customFormat="1" ht="12.4" customHeight="1" thickBot="1" x14ac:dyDescent="0.25">
      <c r="A7" s="96">
        <f t="shared" si="30"/>
        <v>46299</v>
      </c>
      <c r="B7" s="97" t="str">
        <f t="shared" si="0"/>
        <v>Sun</v>
      </c>
      <c r="C7" s="98"/>
      <c r="D7" s="98"/>
      <c r="E7" s="103"/>
      <c r="F7" s="98"/>
      <c r="G7" s="98"/>
      <c r="H7" s="104"/>
      <c r="I7" s="104"/>
      <c r="J7" s="105"/>
      <c r="K7" s="106"/>
      <c r="L7" s="98"/>
      <c r="M7" s="98"/>
      <c r="N7" s="98"/>
      <c r="O7" s="98"/>
      <c r="P7" s="103"/>
      <c r="Q7" s="98"/>
      <c r="R7" s="98"/>
      <c r="S7" s="98"/>
      <c r="T7" s="98"/>
      <c r="U7" s="98"/>
      <c r="V7" s="103"/>
      <c r="W7" s="103"/>
      <c r="X7" s="98"/>
      <c r="Y7" s="98"/>
      <c r="Z7" s="98"/>
      <c r="AA7" s="98"/>
      <c r="AB7" s="98"/>
      <c r="AC7" s="98"/>
      <c r="AD7" s="98"/>
      <c r="AE7" s="98"/>
      <c r="AF7" s="103"/>
      <c r="AG7" s="103"/>
      <c r="AH7" s="98"/>
      <c r="AI7" s="107"/>
      <c r="AJ7" s="108"/>
      <c r="AK7" s="107"/>
      <c r="AL7" s="99"/>
      <c r="AM7" s="99"/>
      <c r="AN7" s="99"/>
      <c r="AO7" s="99"/>
      <c r="AP7" s="99"/>
      <c r="AQ7" s="99"/>
      <c r="AR7" s="99"/>
      <c r="AS7" s="99"/>
      <c r="AT7" s="100"/>
      <c r="AU7" s="100"/>
      <c r="AV7" s="101"/>
      <c r="AW7" s="100"/>
      <c r="AX7" s="102" t="str">
        <f t="shared" si="23"/>
        <v>-</v>
      </c>
      <c r="AY7" s="114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14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24"/>
        <v/>
      </c>
      <c r="BH7" s="119" t="str">
        <f t="shared" si="7"/>
        <v/>
      </c>
      <c r="BI7" s="120" t="str">
        <f t="shared" si="25"/>
        <v/>
      </c>
      <c r="BJ7" s="114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14"/>
      <c r="BP7" s="124" t="str">
        <f t="shared" si="12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3"/>
        <v/>
      </c>
      <c r="BU7" s="114"/>
      <c r="BV7" s="132" t="str">
        <f t="shared" si="14"/>
        <v/>
      </c>
      <c r="BW7" s="127" t="str">
        <f t="shared" si="15"/>
        <v/>
      </c>
      <c r="BX7" s="127" t="str">
        <f t="shared" si="16"/>
        <v/>
      </c>
      <c r="BY7" s="127" t="str">
        <f t="shared" si="17"/>
        <v/>
      </c>
      <c r="BZ7" s="127" t="str">
        <f t="shared" si="28"/>
        <v/>
      </c>
      <c r="CA7" s="128" t="str">
        <f t="shared" si="29"/>
        <v/>
      </c>
      <c r="CB7" s="114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14"/>
    </row>
    <row r="8" spans="1:86" s="115" customFormat="1" ht="12.4" customHeight="1" thickBot="1" x14ac:dyDescent="0.25">
      <c r="A8" s="96">
        <f t="shared" si="30"/>
        <v>46300</v>
      </c>
      <c r="B8" s="97" t="str">
        <f t="shared" si="0"/>
        <v>Mon</v>
      </c>
      <c r="C8" s="98"/>
      <c r="D8" s="98"/>
      <c r="E8" s="103"/>
      <c r="F8" s="98"/>
      <c r="G8" s="98"/>
      <c r="H8" s="104"/>
      <c r="I8" s="104"/>
      <c r="J8" s="105"/>
      <c r="K8" s="106"/>
      <c r="L8" s="98"/>
      <c r="M8" s="98"/>
      <c r="N8" s="98"/>
      <c r="O8" s="98"/>
      <c r="P8" s="103"/>
      <c r="Q8" s="98"/>
      <c r="R8" s="98"/>
      <c r="S8" s="98"/>
      <c r="T8" s="98"/>
      <c r="U8" s="98"/>
      <c r="V8" s="103"/>
      <c r="W8" s="103"/>
      <c r="X8" s="98"/>
      <c r="Y8" s="98"/>
      <c r="Z8" s="98"/>
      <c r="AA8" s="98"/>
      <c r="AB8" s="98"/>
      <c r="AC8" s="98"/>
      <c r="AD8" s="98"/>
      <c r="AE8" s="98"/>
      <c r="AF8" s="103"/>
      <c r="AG8" s="103"/>
      <c r="AH8" s="98"/>
      <c r="AI8" s="107"/>
      <c r="AJ8" s="108"/>
      <c r="AK8" s="107"/>
      <c r="AL8" s="99"/>
      <c r="AM8" s="99"/>
      <c r="AN8" s="99"/>
      <c r="AO8" s="99"/>
      <c r="AP8" s="99"/>
      <c r="AQ8" s="99"/>
      <c r="AR8" s="99"/>
      <c r="AS8" s="99"/>
      <c r="AT8" s="100"/>
      <c r="AU8" s="100"/>
      <c r="AV8" s="101"/>
      <c r="AW8" s="100"/>
      <c r="AX8" s="102" t="str">
        <f t="shared" si="23"/>
        <v>-</v>
      </c>
      <c r="AY8" s="114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14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24"/>
        <v/>
      </c>
      <c r="BH8" s="119" t="str">
        <f t="shared" si="7"/>
        <v/>
      </c>
      <c r="BI8" s="120" t="str">
        <f t="shared" si="25"/>
        <v/>
      </c>
      <c r="BJ8" s="114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14"/>
      <c r="BP8" s="124" t="str">
        <f t="shared" si="12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3"/>
        <v/>
      </c>
      <c r="BU8" s="114"/>
      <c r="BV8" s="132" t="str">
        <f t="shared" si="14"/>
        <v/>
      </c>
      <c r="BW8" s="127" t="str">
        <f t="shared" si="15"/>
        <v/>
      </c>
      <c r="BX8" s="127" t="str">
        <f t="shared" si="16"/>
        <v/>
      </c>
      <c r="BY8" s="127" t="str">
        <f t="shared" si="17"/>
        <v/>
      </c>
      <c r="BZ8" s="127" t="str">
        <f t="shared" si="28"/>
        <v/>
      </c>
      <c r="CA8" s="128" t="str">
        <f t="shared" si="29"/>
        <v/>
      </c>
      <c r="CB8" s="114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14"/>
    </row>
    <row r="9" spans="1:86" s="115" customFormat="1" ht="12.4" customHeight="1" thickBot="1" x14ac:dyDescent="0.25">
      <c r="A9" s="96">
        <f t="shared" si="30"/>
        <v>46301</v>
      </c>
      <c r="B9" s="97" t="str">
        <f t="shared" si="0"/>
        <v>Tue</v>
      </c>
      <c r="C9" s="98"/>
      <c r="D9" s="98"/>
      <c r="E9" s="103"/>
      <c r="F9" s="98"/>
      <c r="G9" s="98"/>
      <c r="H9" s="104"/>
      <c r="I9" s="104"/>
      <c r="J9" s="105"/>
      <c r="K9" s="106"/>
      <c r="L9" s="98"/>
      <c r="M9" s="98"/>
      <c r="N9" s="98"/>
      <c r="O9" s="98"/>
      <c r="P9" s="103"/>
      <c r="Q9" s="98"/>
      <c r="R9" s="98"/>
      <c r="S9" s="98"/>
      <c r="T9" s="98"/>
      <c r="U9" s="98"/>
      <c r="V9" s="103"/>
      <c r="W9" s="103"/>
      <c r="X9" s="98"/>
      <c r="Y9" s="98"/>
      <c r="Z9" s="98"/>
      <c r="AA9" s="98"/>
      <c r="AB9" s="98"/>
      <c r="AC9" s="98"/>
      <c r="AD9" s="98"/>
      <c r="AE9" s="98"/>
      <c r="AF9" s="103"/>
      <c r="AG9" s="103"/>
      <c r="AH9" s="98"/>
      <c r="AI9" s="107"/>
      <c r="AJ9" s="108"/>
      <c r="AK9" s="107"/>
      <c r="AL9" s="99"/>
      <c r="AM9" s="99"/>
      <c r="AN9" s="99"/>
      <c r="AO9" s="99"/>
      <c r="AP9" s="99"/>
      <c r="AQ9" s="99"/>
      <c r="AR9" s="99"/>
      <c r="AS9" s="99"/>
      <c r="AT9" s="100"/>
      <c r="AU9" s="100"/>
      <c r="AV9" s="101"/>
      <c r="AW9" s="100"/>
      <c r="AX9" s="102" t="str">
        <f t="shared" si="23"/>
        <v>-</v>
      </c>
      <c r="AY9" s="114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14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24"/>
        <v/>
      </c>
      <c r="BH9" s="119" t="str">
        <f t="shared" si="7"/>
        <v/>
      </c>
      <c r="BI9" s="120" t="str">
        <f t="shared" si="25"/>
        <v/>
      </c>
      <c r="BJ9" s="114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14"/>
      <c r="BP9" s="124" t="str">
        <f t="shared" si="12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3"/>
        <v/>
      </c>
      <c r="BU9" s="114"/>
      <c r="BV9" s="132" t="str">
        <f t="shared" si="14"/>
        <v/>
      </c>
      <c r="BW9" s="127" t="str">
        <f t="shared" si="15"/>
        <v/>
      </c>
      <c r="BX9" s="127" t="str">
        <f t="shared" si="16"/>
        <v/>
      </c>
      <c r="BY9" s="127" t="str">
        <f t="shared" si="17"/>
        <v/>
      </c>
      <c r="BZ9" s="127" t="str">
        <f t="shared" si="28"/>
        <v/>
      </c>
      <c r="CA9" s="128" t="str">
        <f t="shared" si="29"/>
        <v/>
      </c>
      <c r="CB9" s="114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14"/>
    </row>
    <row r="10" spans="1:86" s="115" customFormat="1" ht="12.4" customHeight="1" thickBot="1" x14ac:dyDescent="0.25">
      <c r="A10" s="96">
        <f t="shared" si="30"/>
        <v>46302</v>
      </c>
      <c r="B10" s="97" t="str">
        <f>+TEXT(A10,"DDD")</f>
        <v>Wed</v>
      </c>
      <c r="C10" s="98"/>
      <c r="D10" s="98"/>
      <c r="E10" s="103"/>
      <c r="F10" s="98"/>
      <c r="G10" s="98"/>
      <c r="H10" s="104"/>
      <c r="I10" s="104"/>
      <c r="J10" s="105"/>
      <c r="K10" s="106"/>
      <c r="L10" s="98"/>
      <c r="M10" s="98"/>
      <c r="N10" s="98"/>
      <c r="O10" s="98"/>
      <c r="P10" s="103"/>
      <c r="Q10" s="98"/>
      <c r="R10" s="98"/>
      <c r="S10" s="98"/>
      <c r="T10" s="98"/>
      <c r="U10" s="98"/>
      <c r="V10" s="103"/>
      <c r="W10" s="103"/>
      <c r="X10" s="98"/>
      <c r="Y10" s="98"/>
      <c r="Z10" s="98"/>
      <c r="AA10" s="98"/>
      <c r="AB10" s="98"/>
      <c r="AC10" s="98"/>
      <c r="AD10" s="98"/>
      <c r="AE10" s="98"/>
      <c r="AF10" s="103"/>
      <c r="AG10" s="103"/>
      <c r="AH10" s="98"/>
      <c r="AI10" s="107"/>
      <c r="AJ10" s="108"/>
      <c r="AK10" s="107"/>
      <c r="AL10" s="99"/>
      <c r="AM10" s="99"/>
      <c r="AN10" s="99"/>
      <c r="AO10" s="99"/>
      <c r="AP10" s="99"/>
      <c r="AQ10" s="99"/>
      <c r="AR10" s="99"/>
      <c r="AS10" s="99"/>
      <c r="AT10" s="100"/>
      <c r="AU10" s="100"/>
      <c r="AV10" s="101"/>
      <c r="AW10" s="100"/>
      <c r="AX10" s="102" t="str">
        <f t="shared" si="23"/>
        <v>-</v>
      </c>
      <c r="AY10" s="114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14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4"/>
        <v/>
      </c>
      <c r="BH10" s="119" t="str">
        <f t="shared" si="7"/>
        <v/>
      </c>
      <c r="BI10" s="120" t="str">
        <f t="shared" si="25"/>
        <v/>
      </c>
      <c r="BJ10" s="114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14"/>
      <c r="BP10" s="124" t="str">
        <f t="shared" si="12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3"/>
        <v/>
      </c>
      <c r="BU10" s="114"/>
      <c r="BV10" s="132" t="str">
        <f t="shared" si="14"/>
        <v/>
      </c>
      <c r="BW10" s="127" t="str">
        <f t="shared" si="15"/>
        <v/>
      </c>
      <c r="BX10" s="127" t="str">
        <f t="shared" si="16"/>
        <v/>
      </c>
      <c r="BY10" s="127" t="str">
        <f t="shared" si="17"/>
        <v/>
      </c>
      <c r="BZ10" s="127" t="str">
        <f t="shared" si="28"/>
        <v/>
      </c>
      <c r="CA10" s="128" t="str">
        <f t="shared" si="29"/>
        <v/>
      </c>
      <c r="CB10" s="114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14"/>
    </row>
    <row r="11" spans="1:86" s="115" customFormat="1" ht="12.4" customHeight="1" thickBot="1" x14ac:dyDescent="0.25">
      <c r="A11" s="96">
        <f t="shared" si="30"/>
        <v>46303</v>
      </c>
      <c r="B11" s="97" t="str">
        <f>+TEXT(A11,"DDD")</f>
        <v>Thu</v>
      </c>
      <c r="C11" s="98"/>
      <c r="D11" s="98"/>
      <c r="E11" s="103"/>
      <c r="F11" s="98"/>
      <c r="G11" s="98"/>
      <c r="H11" s="104"/>
      <c r="I11" s="104"/>
      <c r="J11" s="105"/>
      <c r="K11" s="106"/>
      <c r="L11" s="98"/>
      <c r="M11" s="98"/>
      <c r="N11" s="98"/>
      <c r="O11" s="98"/>
      <c r="P11" s="103"/>
      <c r="Q11" s="98"/>
      <c r="R11" s="98"/>
      <c r="S11" s="98"/>
      <c r="T11" s="98"/>
      <c r="U11" s="98"/>
      <c r="V11" s="103"/>
      <c r="W11" s="103"/>
      <c r="X11" s="98"/>
      <c r="Y11" s="98"/>
      <c r="Z11" s="98"/>
      <c r="AA11" s="98"/>
      <c r="AB11" s="98"/>
      <c r="AC11" s="98"/>
      <c r="AD11" s="98"/>
      <c r="AE11" s="98"/>
      <c r="AF11" s="103"/>
      <c r="AG11" s="103"/>
      <c r="AH11" s="98"/>
      <c r="AI11" s="107"/>
      <c r="AJ11" s="108"/>
      <c r="AK11" s="107"/>
      <c r="AL11" s="99"/>
      <c r="AM11" s="99"/>
      <c r="AN11" s="99"/>
      <c r="AO11" s="99"/>
      <c r="AP11" s="99"/>
      <c r="AQ11" s="99"/>
      <c r="AR11" s="99"/>
      <c r="AS11" s="99"/>
      <c r="AT11" s="100"/>
      <c r="AU11" s="100"/>
      <c r="AV11" s="101"/>
      <c r="AW11" s="100"/>
      <c r="AX11" s="102" t="str">
        <f t="shared" si="23"/>
        <v>-</v>
      </c>
      <c r="AY11" s="114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14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4"/>
        <v/>
      </c>
      <c r="BH11" s="119" t="str">
        <f t="shared" si="7"/>
        <v/>
      </c>
      <c r="BI11" s="120" t="str">
        <f t="shared" si="25"/>
        <v/>
      </c>
      <c r="BJ11" s="114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14"/>
      <c r="BP11" s="124" t="str">
        <f t="shared" si="12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3"/>
        <v/>
      </c>
      <c r="BU11" s="114"/>
      <c r="BV11" s="132" t="str">
        <f t="shared" si="14"/>
        <v/>
      </c>
      <c r="BW11" s="127" t="str">
        <f t="shared" si="15"/>
        <v/>
      </c>
      <c r="BX11" s="127" t="str">
        <f t="shared" si="16"/>
        <v/>
      </c>
      <c r="BY11" s="127" t="str">
        <f t="shared" si="17"/>
        <v/>
      </c>
      <c r="BZ11" s="127" t="str">
        <f t="shared" si="28"/>
        <v/>
      </c>
      <c r="CA11" s="128" t="str">
        <f t="shared" si="29"/>
        <v/>
      </c>
      <c r="CB11" s="114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14"/>
    </row>
    <row r="12" spans="1:86" s="115" customFormat="1" ht="12.4" customHeight="1" thickBot="1" x14ac:dyDescent="0.25">
      <c r="A12" s="96">
        <f t="shared" si="30"/>
        <v>46304</v>
      </c>
      <c r="B12" s="97" t="str">
        <f>+TEXT(A12,"DDD")</f>
        <v>Fri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98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1"/>
      <c r="AM12" s="61"/>
      <c r="AN12" s="61"/>
      <c r="AO12" s="61"/>
      <c r="AP12" s="61"/>
      <c r="AQ12" s="61"/>
      <c r="AR12" s="61"/>
      <c r="AS12" s="61"/>
      <c r="AT12" s="60"/>
      <c r="AU12" s="60"/>
      <c r="AV12" s="60"/>
      <c r="AW12" s="60"/>
      <c r="AX12" s="102" t="str">
        <f t="shared" si="23"/>
        <v>-</v>
      </c>
      <c r="AY12" s="114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14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4"/>
        <v/>
      </c>
      <c r="BH12" s="119" t="str">
        <f t="shared" si="7"/>
        <v/>
      </c>
      <c r="BI12" s="120" t="str">
        <f t="shared" si="25"/>
        <v/>
      </c>
      <c r="BJ12" s="114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14"/>
      <c r="BP12" s="124" t="str">
        <f t="shared" si="12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3"/>
        <v/>
      </c>
      <c r="BU12" s="114"/>
      <c r="BV12" s="132" t="str">
        <f t="shared" si="14"/>
        <v/>
      </c>
      <c r="BW12" s="127" t="str">
        <f t="shared" si="15"/>
        <v/>
      </c>
      <c r="BX12" s="127" t="str">
        <f t="shared" si="16"/>
        <v/>
      </c>
      <c r="BY12" s="127" t="str">
        <f t="shared" si="17"/>
        <v/>
      </c>
      <c r="BZ12" s="127" t="str">
        <f t="shared" si="28"/>
        <v/>
      </c>
      <c r="CA12" s="128" t="str">
        <f t="shared" si="29"/>
        <v/>
      </c>
      <c r="CB12" s="114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14"/>
    </row>
    <row r="13" spans="1:86" s="115" customFormat="1" ht="12.4" customHeight="1" thickBot="1" x14ac:dyDescent="0.25">
      <c r="A13" s="96">
        <f t="shared" si="30"/>
        <v>46305</v>
      </c>
      <c r="B13" s="97" t="str">
        <f>+TEXT(A13,"DDD")</f>
        <v>Sat</v>
      </c>
      <c r="C13" s="98"/>
      <c r="D13" s="98"/>
      <c r="E13" s="103"/>
      <c r="F13" s="98"/>
      <c r="G13" s="98"/>
      <c r="H13" s="104"/>
      <c r="I13" s="104"/>
      <c r="J13" s="105"/>
      <c r="K13" s="106"/>
      <c r="L13" s="98"/>
      <c r="M13" s="98"/>
      <c r="N13" s="98"/>
      <c r="O13" s="98"/>
      <c r="P13" s="103"/>
      <c r="Q13" s="98"/>
      <c r="R13" s="98"/>
      <c r="S13" s="98"/>
      <c r="T13" s="98"/>
      <c r="U13" s="98"/>
      <c r="V13" s="103"/>
      <c r="W13" s="103"/>
      <c r="X13" s="98"/>
      <c r="Y13" s="98"/>
      <c r="Z13" s="98"/>
      <c r="AA13" s="98"/>
      <c r="AB13" s="98"/>
      <c r="AC13" s="98"/>
      <c r="AD13" s="98"/>
      <c r="AE13" s="98"/>
      <c r="AF13" s="103"/>
      <c r="AG13" s="103"/>
      <c r="AH13" s="98"/>
      <c r="AI13" s="107"/>
      <c r="AJ13" s="108"/>
      <c r="AK13" s="107"/>
      <c r="AL13" s="99"/>
      <c r="AM13" s="99"/>
      <c r="AN13" s="99"/>
      <c r="AO13" s="99"/>
      <c r="AP13" s="99"/>
      <c r="AQ13" s="99"/>
      <c r="AR13" s="99"/>
      <c r="AS13" s="99"/>
      <c r="AT13" s="100"/>
      <c r="AU13" s="100"/>
      <c r="AV13" s="101"/>
      <c r="AW13" s="100"/>
      <c r="AX13" s="102" t="str">
        <f t="shared" si="23"/>
        <v>-</v>
      </c>
      <c r="AY13" s="114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14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4"/>
        <v/>
      </c>
      <c r="BH13" s="119" t="str">
        <f t="shared" si="7"/>
        <v/>
      </c>
      <c r="BI13" s="120" t="str">
        <f t="shared" si="25"/>
        <v/>
      </c>
      <c r="BJ13" s="114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14"/>
      <c r="BP13" s="124" t="str">
        <f t="shared" si="12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3"/>
        <v/>
      </c>
      <c r="BU13" s="114"/>
      <c r="BV13" s="132" t="str">
        <f t="shared" si="14"/>
        <v/>
      </c>
      <c r="BW13" s="127" t="str">
        <f t="shared" si="15"/>
        <v/>
      </c>
      <c r="BX13" s="127" t="str">
        <f t="shared" si="16"/>
        <v/>
      </c>
      <c r="BY13" s="127" t="str">
        <f t="shared" si="17"/>
        <v/>
      </c>
      <c r="BZ13" s="127" t="str">
        <f t="shared" si="28"/>
        <v/>
      </c>
      <c r="CA13" s="128" t="str">
        <f t="shared" si="29"/>
        <v/>
      </c>
      <c r="CB13" s="114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14"/>
    </row>
    <row r="14" spans="1:86" s="115" customFormat="1" ht="12.4" customHeight="1" thickBot="1" x14ac:dyDescent="0.25">
      <c r="A14" s="96">
        <f t="shared" si="30"/>
        <v>46306</v>
      </c>
      <c r="B14" s="97" t="str">
        <f t="shared" si="0"/>
        <v>Sun</v>
      </c>
      <c r="C14" s="98"/>
      <c r="D14" s="98"/>
      <c r="E14" s="103"/>
      <c r="F14" s="98"/>
      <c r="G14" s="98"/>
      <c r="H14" s="104"/>
      <c r="I14" s="104"/>
      <c r="J14" s="105"/>
      <c r="K14" s="106"/>
      <c r="L14" s="98"/>
      <c r="M14" s="98"/>
      <c r="N14" s="98"/>
      <c r="O14" s="98"/>
      <c r="P14" s="103"/>
      <c r="Q14" s="98"/>
      <c r="R14" s="98"/>
      <c r="S14" s="98"/>
      <c r="T14" s="98"/>
      <c r="U14" s="60"/>
      <c r="V14" s="103"/>
      <c r="W14" s="103"/>
      <c r="X14" s="98"/>
      <c r="Y14" s="98"/>
      <c r="Z14" s="98"/>
      <c r="AA14" s="98"/>
      <c r="AB14" s="98"/>
      <c r="AC14" s="98"/>
      <c r="AD14" s="98"/>
      <c r="AE14" s="98"/>
      <c r="AF14" s="103"/>
      <c r="AG14" s="103"/>
      <c r="AH14" s="98"/>
      <c r="AI14" s="107"/>
      <c r="AJ14" s="108"/>
      <c r="AK14" s="107"/>
      <c r="AL14" s="99"/>
      <c r="AM14" s="99"/>
      <c r="AN14" s="99"/>
      <c r="AO14" s="99"/>
      <c r="AP14" s="99"/>
      <c r="AQ14" s="99"/>
      <c r="AR14" s="99"/>
      <c r="AS14" s="99"/>
      <c r="AT14" s="100"/>
      <c r="AU14" s="100"/>
      <c r="AV14" s="101"/>
      <c r="AW14" s="100"/>
      <c r="AX14" s="102" t="str">
        <f t="shared" si="23"/>
        <v>-</v>
      </c>
      <c r="AY14" s="114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14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4"/>
        <v/>
      </c>
      <c r="BH14" s="119" t="str">
        <f t="shared" si="7"/>
        <v/>
      </c>
      <c r="BI14" s="120" t="str">
        <f t="shared" si="25"/>
        <v/>
      </c>
      <c r="BJ14" s="114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14"/>
      <c r="BP14" s="124" t="str">
        <f t="shared" si="12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3"/>
        <v/>
      </c>
      <c r="BU14" s="114"/>
      <c r="BV14" s="132" t="str">
        <f t="shared" si="14"/>
        <v/>
      </c>
      <c r="BW14" s="127" t="str">
        <f t="shared" si="15"/>
        <v/>
      </c>
      <c r="BX14" s="127" t="str">
        <f t="shared" si="16"/>
        <v/>
      </c>
      <c r="BY14" s="127" t="str">
        <f t="shared" si="17"/>
        <v/>
      </c>
      <c r="BZ14" s="127" t="str">
        <f t="shared" si="28"/>
        <v/>
      </c>
      <c r="CA14" s="128" t="str">
        <f t="shared" si="29"/>
        <v/>
      </c>
      <c r="CB14" s="114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14"/>
    </row>
    <row r="15" spans="1:86" s="115" customFormat="1" ht="12.4" customHeight="1" thickBot="1" x14ac:dyDescent="0.25">
      <c r="A15" s="96">
        <f t="shared" si="30"/>
        <v>46307</v>
      </c>
      <c r="B15" s="97" t="str">
        <f t="shared" si="0"/>
        <v>Mon</v>
      </c>
      <c r="C15" s="98"/>
      <c r="D15" s="98"/>
      <c r="E15" s="103"/>
      <c r="F15" s="98"/>
      <c r="G15" s="98"/>
      <c r="H15" s="104"/>
      <c r="I15" s="104"/>
      <c r="J15" s="105"/>
      <c r="K15" s="106"/>
      <c r="L15" s="98"/>
      <c r="M15" s="98"/>
      <c r="N15" s="98"/>
      <c r="O15" s="98"/>
      <c r="P15" s="103"/>
      <c r="Q15" s="98"/>
      <c r="R15" s="98"/>
      <c r="S15" s="98"/>
      <c r="T15" s="98"/>
      <c r="U15" s="60"/>
      <c r="V15" s="103"/>
      <c r="W15" s="103"/>
      <c r="X15" s="98"/>
      <c r="Y15" s="98"/>
      <c r="Z15" s="98"/>
      <c r="AA15" s="98"/>
      <c r="AB15" s="98"/>
      <c r="AC15" s="98"/>
      <c r="AD15" s="98"/>
      <c r="AE15" s="98"/>
      <c r="AF15" s="103"/>
      <c r="AG15" s="103"/>
      <c r="AH15" s="98"/>
      <c r="AI15" s="107"/>
      <c r="AJ15" s="108"/>
      <c r="AK15" s="107"/>
      <c r="AL15" s="99"/>
      <c r="AM15" s="99"/>
      <c r="AN15" s="99"/>
      <c r="AO15" s="99"/>
      <c r="AP15" s="99"/>
      <c r="AQ15" s="99"/>
      <c r="AR15" s="99"/>
      <c r="AS15" s="99"/>
      <c r="AT15" s="100"/>
      <c r="AU15" s="100"/>
      <c r="AV15" s="101"/>
      <c r="AW15" s="100"/>
      <c r="AX15" s="102" t="str">
        <f t="shared" si="23"/>
        <v>-</v>
      </c>
      <c r="AY15" s="114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14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24"/>
        <v/>
      </c>
      <c r="BH15" s="119" t="str">
        <f t="shared" si="7"/>
        <v/>
      </c>
      <c r="BI15" s="120" t="str">
        <f t="shared" si="25"/>
        <v/>
      </c>
      <c r="BJ15" s="114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14"/>
      <c r="BP15" s="124" t="str">
        <f t="shared" si="12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3"/>
        <v/>
      </c>
      <c r="BU15" s="114"/>
      <c r="BV15" s="132" t="str">
        <f t="shared" si="14"/>
        <v/>
      </c>
      <c r="BW15" s="127" t="str">
        <f t="shared" si="15"/>
        <v/>
      </c>
      <c r="BX15" s="127" t="str">
        <f t="shared" si="16"/>
        <v/>
      </c>
      <c r="BY15" s="127" t="str">
        <f t="shared" si="17"/>
        <v/>
      </c>
      <c r="BZ15" s="127" t="str">
        <f t="shared" si="28"/>
        <v/>
      </c>
      <c r="CA15" s="128" t="str">
        <f t="shared" si="29"/>
        <v/>
      </c>
      <c r="CB15" s="114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14"/>
    </row>
    <row r="16" spans="1:86" s="115" customFormat="1" ht="12.4" customHeight="1" thickBot="1" x14ac:dyDescent="0.25">
      <c r="A16" s="96">
        <f t="shared" si="30"/>
        <v>46308</v>
      </c>
      <c r="B16" s="97" t="str">
        <f t="shared" si="0"/>
        <v>Tue</v>
      </c>
      <c r="C16" s="98"/>
      <c r="D16" s="98"/>
      <c r="E16" s="103"/>
      <c r="F16" s="98"/>
      <c r="G16" s="98"/>
      <c r="H16" s="104"/>
      <c r="I16" s="104"/>
      <c r="J16" s="105"/>
      <c r="K16" s="106"/>
      <c r="L16" s="98"/>
      <c r="M16" s="98"/>
      <c r="N16" s="98"/>
      <c r="O16" s="98"/>
      <c r="P16" s="103"/>
      <c r="Q16" s="98"/>
      <c r="R16" s="98"/>
      <c r="S16" s="98"/>
      <c r="T16" s="98"/>
      <c r="U16" s="98"/>
      <c r="V16" s="103"/>
      <c r="W16" s="103"/>
      <c r="X16" s="98"/>
      <c r="Y16" s="98"/>
      <c r="Z16" s="98"/>
      <c r="AA16" s="98"/>
      <c r="AB16" s="98"/>
      <c r="AC16" s="98"/>
      <c r="AD16" s="98"/>
      <c r="AE16" s="98"/>
      <c r="AF16" s="103"/>
      <c r="AG16" s="103"/>
      <c r="AH16" s="98"/>
      <c r="AI16" s="107"/>
      <c r="AJ16" s="108"/>
      <c r="AK16" s="107"/>
      <c r="AL16" s="99"/>
      <c r="AM16" s="99"/>
      <c r="AN16" s="99"/>
      <c r="AO16" s="99"/>
      <c r="AP16" s="99"/>
      <c r="AQ16" s="99"/>
      <c r="AR16" s="99"/>
      <c r="AS16" s="99"/>
      <c r="AT16" s="100"/>
      <c r="AU16" s="100"/>
      <c r="AV16" s="101"/>
      <c r="AW16" s="100"/>
      <c r="AX16" s="102" t="str">
        <f t="shared" si="23"/>
        <v>-</v>
      </c>
      <c r="AY16" s="114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14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24"/>
        <v/>
      </c>
      <c r="BH16" s="119" t="str">
        <f t="shared" si="7"/>
        <v/>
      </c>
      <c r="BI16" s="120" t="str">
        <f t="shared" si="25"/>
        <v/>
      </c>
      <c r="BJ16" s="114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14"/>
      <c r="BP16" s="124" t="str">
        <f t="shared" si="12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3"/>
        <v/>
      </c>
      <c r="BU16" s="114"/>
      <c r="BV16" s="132" t="str">
        <f t="shared" si="14"/>
        <v/>
      </c>
      <c r="BW16" s="127" t="str">
        <f t="shared" si="15"/>
        <v/>
      </c>
      <c r="BX16" s="127" t="str">
        <f t="shared" si="16"/>
        <v/>
      </c>
      <c r="BY16" s="127" t="str">
        <f t="shared" si="17"/>
        <v/>
      </c>
      <c r="BZ16" s="127" t="str">
        <f t="shared" si="28"/>
        <v/>
      </c>
      <c r="CA16" s="128" t="str">
        <f t="shared" si="29"/>
        <v/>
      </c>
      <c r="CB16" s="114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14"/>
    </row>
    <row r="17" spans="1:86" s="115" customFormat="1" ht="12.4" customHeight="1" thickBot="1" x14ac:dyDescent="0.25">
      <c r="A17" s="96">
        <f t="shared" si="30"/>
        <v>46309</v>
      </c>
      <c r="B17" s="97" t="str">
        <f t="shared" si="0"/>
        <v>Wed</v>
      </c>
      <c r="C17" s="98"/>
      <c r="D17" s="98"/>
      <c r="E17" s="103"/>
      <c r="F17" s="98"/>
      <c r="G17" s="98"/>
      <c r="H17" s="104"/>
      <c r="I17" s="104"/>
      <c r="J17" s="105"/>
      <c r="K17" s="106"/>
      <c r="L17" s="98"/>
      <c r="M17" s="98"/>
      <c r="N17" s="98"/>
      <c r="O17" s="98"/>
      <c r="P17" s="103"/>
      <c r="Q17" s="98"/>
      <c r="R17" s="98"/>
      <c r="S17" s="98"/>
      <c r="T17" s="98"/>
      <c r="U17" s="98"/>
      <c r="V17" s="103"/>
      <c r="W17" s="103"/>
      <c r="X17" s="98"/>
      <c r="Y17" s="98"/>
      <c r="Z17" s="98"/>
      <c r="AA17" s="98"/>
      <c r="AB17" s="98"/>
      <c r="AC17" s="98"/>
      <c r="AD17" s="98"/>
      <c r="AE17" s="98"/>
      <c r="AF17" s="103"/>
      <c r="AG17" s="103"/>
      <c r="AH17" s="98"/>
      <c r="AI17" s="107"/>
      <c r="AJ17" s="108"/>
      <c r="AK17" s="107"/>
      <c r="AL17" s="99"/>
      <c r="AM17" s="99"/>
      <c r="AN17" s="99"/>
      <c r="AO17" s="99"/>
      <c r="AP17" s="99"/>
      <c r="AQ17" s="99"/>
      <c r="AR17" s="99"/>
      <c r="AS17" s="99"/>
      <c r="AT17" s="100"/>
      <c r="AU17" s="100"/>
      <c r="AV17" s="101"/>
      <c r="AW17" s="100"/>
      <c r="AX17" s="102" t="str">
        <f t="shared" si="23"/>
        <v>-</v>
      </c>
      <c r="AY17" s="114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14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4"/>
        <v/>
      </c>
      <c r="BH17" s="119" t="str">
        <f t="shared" si="7"/>
        <v/>
      </c>
      <c r="BI17" s="120" t="str">
        <f t="shared" si="25"/>
        <v/>
      </c>
      <c r="BJ17" s="114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14"/>
      <c r="BP17" s="124" t="str">
        <f t="shared" si="12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3"/>
        <v/>
      </c>
      <c r="BU17" s="114"/>
      <c r="BV17" s="132" t="str">
        <f t="shared" si="14"/>
        <v/>
      </c>
      <c r="BW17" s="127" t="str">
        <f t="shared" si="15"/>
        <v/>
      </c>
      <c r="BX17" s="127" t="str">
        <f t="shared" si="16"/>
        <v/>
      </c>
      <c r="BY17" s="127" t="str">
        <f t="shared" si="17"/>
        <v/>
      </c>
      <c r="BZ17" s="127" t="str">
        <f t="shared" si="28"/>
        <v/>
      </c>
      <c r="CA17" s="128" t="str">
        <f t="shared" si="29"/>
        <v/>
      </c>
      <c r="CB17" s="114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14"/>
    </row>
    <row r="18" spans="1:86" s="115" customFormat="1" ht="12.4" customHeight="1" thickBot="1" x14ac:dyDescent="0.25">
      <c r="A18" s="96">
        <f t="shared" si="30"/>
        <v>46310</v>
      </c>
      <c r="B18" s="97" t="str">
        <f t="shared" si="0"/>
        <v>Thu</v>
      </c>
      <c r="C18" s="98"/>
      <c r="D18" s="98"/>
      <c r="E18" s="103"/>
      <c r="F18" s="98"/>
      <c r="G18" s="98"/>
      <c r="H18" s="104"/>
      <c r="I18" s="104"/>
      <c r="J18" s="105"/>
      <c r="K18" s="106"/>
      <c r="L18" s="98"/>
      <c r="M18" s="98"/>
      <c r="N18" s="98"/>
      <c r="O18" s="98"/>
      <c r="P18" s="103"/>
      <c r="Q18" s="98"/>
      <c r="R18" s="98"/>
      <c r="S18" s="98"/>
      <c r="T18" s="98"/>
      <c r="U18" s="98"/>
      <c r="V18" s="103"/>
      <c r="W18" s="103"/>
      <c r="X18" s="98"/>
      <c r="Y18" s="98"/>
      <c r="Z18" s="98"/>
      <c r="AA18" s="98"/>
      <c r="AB18" s="98"/>
      <c r="AC18" s="98"/>
      <c r="AD18" s="98"/>
      <c r="AE18" s="98"/>
      <c r="AF18" s="103"/>
      <c r="AG18" s="103"/>
      <c r="AH18" s="98"/>
      <c r="AI18" s="107"/>
      <c r="AJ18" s="108"/>
      <c r="AK18" s="107"/>
      <c r="AL18" s="99"/>
      <c r="AM18" s="99"/>
      <c r="AN18" s="99"/>
      <c r="AO18" s="99"/>
      <c r="AP18" s="99"/>
      <c r="AQ18" s="99"/>
      <c r="AR18" s="99"/>
      <c r="AS18" s="99"/>
      <c r="AT18" s="100"/>
      <c r="AU18" s="100"/>
      <c r="AV18" s="101"/>
      <c r="AW18" s="100"/>
      <c r="AX18" s="102" t="str">
        <f t="shared" si="23"/>
        <v>-</v>
      </c>
      <c r="AY18" s="114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14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4"/>
        <v/>
      </c>
      <c r="BH18" s="119" t="str">
        <f t="shared" si="7"/>
        <v/>
      </c>
      <c r="BI18" s="120" t="str">
        <f t="shared" si="25"/>
        <v/>
      </c>
      <c r="BJ18" s="114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14"/>
      <c r="BP18" s="124" t="str">
        <f t="shared" si="12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3"/>
        <v/>
      </c>
      <c r="BU18" s="114"/>
      <c r="BV18" s="132" t="str">
        <f t="shared" si="14"/>
        <v/>
      </c>
      <c r="BW18" s="127" t="str">
        <f t="shared" si="15"/>
        <v/>
      </c>
      <c r="BX18" s="127" t="str">
        <f t="shared" si="16"/>
        <v/>
      </c>
      <c r="BY18" s="127" t="str">
        <f t="shared" si="17"/>
        <v/>
      </c>
      <c r="BZ18" s="127" t="str">
        <f t="shared" si="28"/>
        <v/>
      </c>
      <c r="CA18" s="128" t="str">
        <f t="shared" si="29"/>
        <v/>
      </c>
      <c r="CB18" s="114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14"/>
    </row>
    <row r="19" spans="1:86" s="115" customFormat="1" ht="12.4" customHeight="1" thickBot="1" x14ac:dyDescent="0.25">
      <c r="A19" s="96">
        <f t="shared" si="30"/>
        <v>46311</v>
      </c>
      <c r="B19" s="97" t="str">
        <f t="shared" si="0"/>
        <v>Fri</v>
      </c>
      <c r="C19" s="98"/>
      <c r="D19" s="98"/>
      <c r="E19" s="103"/>
      <c r="F19" s="98"/>
      <c r="G19" s="98"/>
      <c r="H19" s="104"/>
      <c r="I19" s="104"/>
      <c r="J19" s="105"/>
      <c r="K19" s="106"/>
      <c r="L19" s="98"/>
      <c r="M19" s="98"/>
      <c r="N19" s="98"/>
      <c r="O19" s="98"/>
      <c r="P19" s="103"/>
      <c r="Q19" s="98"/>
      <c r="R19" s="98"/>
      <c r="S19" s="98"/>
      <c r="T19" s="98"/>
      <c r="U19" s="98"/>
      <c r="V19" s="103"/>
      <c r="W19" s="103"/>
      <c r="X19" s="98"/>
      <c r="Y19" s="98"/>
      <c r="Z19" s="98"/>
      <c r="AA19" s="98"/>
      <c r="AB19" s="98"/>
      <c r="AC19" s="98"/>
      <c r="AD19" s="98"/>
      <c r="AE19" s="98"/>
      <c r="AF19" s="103"/>
      <c r="AG19" s="103"/>
      <c r="AH19" s="98"/>
      <c r="AI19" s="107"/>
      <c r="AJ19" s="108"/>
      <c r="AK19" s="107"/>
      <c r="AL19" s="99"/>
      <c r="AM19" s="99"/>
      <c r="AN19" s="99"/>
      <c r="AO19" s="99"/>
      <c r="AP19" s="99"/>
      <c r="AQ19" s="99"/>
      <c r="AR19" s="99"/>
      <c r="AS19" s="99"/>
      <c r="AT19" s="100"/>
      <c r="AU19" s="100"/>
      <c r="AV19" s="101"/>
      <c r="AW19" s="100"/>
      <c r="AX19" s="102" t="str">
        <f t="shared" si="23"/>
        <v>-</v>
      </c>
      <c r="AY19" s="114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14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4"/>
        <v/>
      </c>
      <c r="BH19" s="119" t="str">
        <f t="shared" si="7"/>
        <v/>
      </c>
      <c r="BI19" s="120" t="str">
        <f t="shared" si="25"/>
        <v/>
      </c>
      <c r="BJ19" s="114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14"/>
      <c r="BP19" s="124" t="str">
        <f t="shared" si="12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3"/>
        <v/>
      </c>
      <c r="BU19" s="114"/>
      <c r="BV19" s="132" t="str">
        <f t="shared" si="14"/>
        <v/>
      </c>
      <c r="BW19" s="127" t="str">
        <f t="shared" si="15"/>
        <v/>
      </c>
      <c r="BX19" s="127" t="str">
        <f t="shared" si="16"/>
        <v/>
      </c>
      <c r="BY19" s="127" t="str">
        <f t="shared" si="17"/>
        <v/>
      </c>
      <c r="BZ19" s="127" t="str">
        <f t="shared" si="28"/>
        <v/>
      </c>
      <c r="CA19" s="128" t="str">
        <f t="shared" si="29"/>
        <v/>
      </c>
      <c r="CB19" s="114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14"/>
    </row>
    <row r="20" spans="1:86" s="115" customFormat="1" ht="12.4" customHeight="1" thickBot="1" x14ac:dyDescent="0.25">
      <c r="A20" s="96">
        <f t="shared" si="30"/>
        <v>46312</v>
      </c>
      <c r="B20" s="97" t="str">
        <f t="shared" si="0"/>
        <v>Sat</v>
      </c>
      <c r="C20" s="98"/>
      <c r="D20" s="98"/>
      <c r="E20" s="103"/>
      <c r="F20" s="98"/>
      <c r="G20" s="98"/>
      <c r="H20" s="104"/>
      <c r="I20" s="104"/>
      <c r="J20" s="105"/>
      <c r="K20" s="106"/>
      <c r="L20" s="98"/>
      <c r="M20" s="98"/>
      <c r="N20" s="98"/>
      <c r="O20" s="98"/>
      <c r="P20" s="103"/>
      <c r="Q20" s="98"/>
      <c r="R20" s="98"/>
      <c r="S20" s="98"/>
      <c r="T20" s="98"/>
      <c r="U20" s="98"/>
      <c r="V20" s="103"/>
      <c r="W20" s="103"/>
      <c r="X20" s="98"/>
      <c r="Y20" s="98"/>
      <c r="Z20" s="98"/>
      <c r="AA20" s="98"/>
      <c r="AB20" s="98"/>
      <c r="AC20" s="98"/>
      <c r="AD20" s="98"/>
      <c r="AE20" s="98"/>
      <c r="AF20" s="103"/>
      <c r="AG20" s="103"/>
      <c r="AH20" s="98"/>
      <c r="AI20" s="107"/>
      <c r="AJ20" s="108"/>
      <c r="AK20" s="107"/>
      <c r="AL20" s="99"/>
      <c r="AM20" s="99"/>
      <c r="AN20" s="99"/>
      <c r="AO20" s="99"/>
      <c r="AP20" s="99"/>
      <c r="AQ20" s="99"/>
      <c r="AR20" s="99"/>
      <c r="AS20" s="99"/>
      <c r="AT20" s="100"/>
      <c r="AU20" s="100"/>
      <c r="AV20" s="101"/>
      <c r="AW20" s="100"/>
      <c r="AX20" s="102" t="str">
        <f t="shared" si="23"/>
        <v>-</v>
      </c>
      <c r="AY20" s="114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14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4"/>
        <v/>
      </c>
      <c r="BH20" s="119" t="str">
        <f t="shared" si="7"/>
        <v/>
      </c>
      <c r="BI20" s="120" t="str">
        <f t="shared" si="25"/>
        <v/>
      </c>
      <c r="BJ20" s="114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14"/>
      <c r="BP20" s="124" t="str">
        <f t="shared" si="12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3"/>
        <v/>
      </c>
      <c r="BU20" s="114"/>
      <c r="BV20" s="132" t="str">
        <f t="shared" si="14"/>
        <v/>
      </c>
      <c r="BW20" s="127" t="str">
        <f t="shared" si="15"/>
        <v/>
      </c>
      <c r="BX20" s="127" t="str">
        <f t="shared" si="16"/>
        <v/>
      </c>
      <c r="BY20" s="127" t="str">
        <f t="shared" si="17"/>
        <v/>
      </c>
      <c r="BZ20" s="127" t="str">
        <f t="shared" si="28"/>
        <v/>
      </c>
      <c r="CA20" s="128" t="str">
        <f t="shared" si="29"/>
        <v/>
      </c>
      <c r="CB20" s="114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14"/>
    </row>
    <row r="21" spans="1:86" s="115" customFormat="1" ht="12.4" customHeight="1" thickBot="1" x14ac:dyDescent="0.25">
      <c r="A21" s="96">
        <f t="shared" si="30"/>
        <v>46313</v>
      </c>
      <c r="B21" s="97" t="str">
        <f t="shared" si="0"/>
        <v>Sun</v>
      </c>
      <c r="C21" s="98"/>
      <c r="D21" s="98"/>
      <c r="E21" s="103"/>
      <c r="F21" s="98"/>
      <c r="G21" s="98"/>
      <c r="H21" s="104"/>
      <c r="I21" s="104"/>
      <c r="J21" s="105"/>
      <c r="K21" s="106"/>
      <c r="L21" s="98"/>
      <c r="M21" s="98"/>
      <c r="N21" s="98"/>
      <c r="O21" s="98"/>
      <c r="P21" s="103"/>
      <c r="Q21" s="98"/>
      <c r="R21" s="98"/>
      <c r="S21" s="98"/>
      <c r="T21" s="98"/>
      <c r="U21" s="98"/>
      <c r="V21" s="103"/>
      <c r="W21" s="103"/>
      <c r="X21" s="98"/>
      <c r="Y21" s="98"/>
      <c r="Z21" s="98"/>
      <c r="AA21" s="98"/>
      <c r="AB21" s="98"/>
      <c r="AC21" s="98"/>
      <c r="AD21" s="98"/>
      <c r="AE21" s="98"/>
      <c r="AF21" s="103"/>
      <c r="AG21" s="103"/>
      <c r="AH21" s="98"/>
      <c r="AI21" s="107"/>
      <c r="AJ21" s="108"/>
      <c r="AK21" s="107"/>
      <c r="AL21" s="99"/>
      <c r="AM21" s="99"/>
      <c r="AN21" s="99"/>
      <c r="AO21" s="99"/>
      <c r="AP21" s="99"/>
      <c r="AQ21" s="99"/>
      <c r="AR21" s="99"/>
      <c r="AS21" s="99"/>
      <c r="AT21" s="100"/>
      <c r="AU21" s="100"/>
      <c r="AV21" s="101"/>
      <c r="AW21" s="100"/>
      <c r="AX21" s="102" t="str">
        <f t="shared" si="23"/>
        <v>-</v>
      </c>
      <c r="AY21" s="114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14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4"/>
        <v/>
      </c>
      <c r="BH21" s="119" t="str">
        <f t="shared" si="7"/>
        <v/>
      </c>
      <c r="BI21" s="120" t="str">
        <f t="shared" si="25"/>
        <v/>
      </c>
      <c r="BJ21" s="114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14"/>
      <c r="BP21" s="124" t="str">
        <f t="shared" si="12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3"/>
        <v/>
      </c>
      <c r="BU21" s="114"/>
      <c r="BV21" s="132" t="str">
        <f t="shared" si="14"/>
        <v/>
      </c>
      <c r="BW21" s="127" t="str">
        <f t="shared" si="15"/>
        <v/>
      </c>
      <c r="BX21" s="127" t="str">
        <f t="shared" si="16"/>
        <v/>
      </c>
      <c r="BY21" s="127" t="str">
        <f t="shared" si="17"/>
        <v/>
      </c>
      <c r="BZ21" s="127" t="str">
        <f t="shared" si="28"/>
        <v/>
      </c>
      <c r="CA21" s="128" t="str">
        <f t="shared" si="29"/>
        <v/>
      </c>
      <c r="CB21" s="114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14"/>
    </row>
    <row r="22" spans="1:86" s="115" customFormat="1" ht="12.4" customHeight="1" thickBot="1" x14ac:dyDescent="0.25">
      <c r="A22" s="96">
        <f t="shared" si="30"/>
        <v>46314</v>
      </c>
      <c r="B22" s="97" t="str">
        <f t="shared" si="0"/>
        <v>Mon</v>
      </c>
      <c r="C22" s="98"/>
      <c r="D22" s="98"/>
      <c r="E22" s="103"/>
      <c r="F22" s="98"/>
      <c r="G22" s="98"/>
      <c r="H22" s="104"/>
      <c r="I22" s="104"/>
      <c r="J22" s="105"/>
      <c r="K22" s="106"/>
      <c r="L22" s="98"/>
      <c r="M22" s="98"/>
      <c r="N22" s="98"/>
      <c r="O22" s="98"/>
      <c r="P22" s="103"/>
      <c r="Q22" s="98"/>
      <c r="R22" s="98"/>
      <c r="S22" s="98"/>
      <c r="T22" s="98"/>
      <c r="U22" s="98"/>
      <c r="V22" s="103"/>
      <c r="W22" s="103"/>
      <c r="X22" s="98"/>
      <c r="Y22" s="98"/>
      <c r="Z22" s="98"/>
      <c r="AA22" s="98"/>
      <c r="AB22" s="98"/>
      <c r="AC22" s="98"/>
      <c r="AD22" s="98"/>
      <c r="AE22" s="98"/>
      <c r="AF22" s="103"/>
      <c r="AG22" s="103"/>
      <c r="AH22" s="98"/>
      <c r="AI22" s="107"/>
      <c r="AJ22" s="108"/>
      <c r="AK22" s="107"/>
      <c r="AL22" s="99"/>
      <c r="AM22" s="99"/>
      <c r="AN22" s="99"/>
      <c r="AO22" s="99"/>
      <c r="AP22" s="99"/>
      <c r="AQ22" s="99"/>
      <c r="AR22" s="99"/>
      <c r="AS22" s="99"/>
      <c r="AT22" s="100"/>
      <c r="AU22" s="100"/>
      <c r="AV22" s="101"/>
      <c r="AW22" s="100"/>
      <c r="AX22" s="102" t="str">
        <f t="shared" si="23"/>
        <v>-</v>
      </c>
      <c r="AY22" s="114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14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4"/>
        <v/>
      </c>
      <c r="BH22" s="119" t="str">
        <f t="shared" si="7"/>
        <v/>
      </c>
      <c r="BI22" s="120" t="str">
        <f t="shared" si="25"/>
        <v/>
      </c>
      <c r="BJ22" s="114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14"/>
      <c r="BP22" s="124" t="str">
        <f t="shared" si="12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3"/>
        <v/>
      </c>
      <c r="BU22" s="114"/>
      <c r="BV22" s="132" t="str">
        <f t="shared" si="14"/>
        <v/>
      </c>
      <c r="BW22" s="127" t="str">
        <f t="shared" si="15"/>
        <v/>
      </c>
      <c r="BX22" s="127" t="str">
        <f t="shared" si="16"/>
        <v/>
      </c>
      <c r="BY22" s="127" t="str">
        <f t="shared" si="17"/>
        <v/>
      </c>
      <c r="BZ22" s="127" t="str">
        <f t="shared" si="28"/>
        <v/>
      </c>
      <c r="CA22" s="128" t="str">
        <f t="shared" si="29"/>
        <v/>
      </c>
      <c r="CB22" s="114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14"/>
    </row>
    <row r="23" spans="1:86" s="115" customFormat="1" ht="12.4" customHeight="1" thickBot="1" x14ac:dyDescent="0.25">
      <c r="A23" s="96">
        <f t="shared" si="30"/>
        <v>46315</v>
      </c>
      <c r="B23" s="97" t="str">
        <f t="shared" si="0"/>
        <v>Tue</v>
      </c>
      <c r="C23" s="98"/>
      <c r="D23" s="98"/>
      <c r="E23" s="103"/>
      <c r="F23" s="98"/>
      <c r="G23" s="98"/>
      <c r="H23" s="104"/>
      <c r="I23" s="104"/>
      <c r="J23" s="105"/>
      <c r="K23" s="106"/>
      <c r="L23" s="98"/>
      <c r="M23" s="98"/>
      <c r="N23" s="98"/>
      <c r="O23" s="98"/>
      <c r="P23" s="103"/>
      <c r="Q23" s="98"/>
      <c r="R23" s="98"/>
      <c r="S23" s="98"/>
      <c r="T23" s="98"/>
      <c r="U23" s="98"/>
      <c r="V23" s="103"/>
      <c r="W23" s="103"/>
      <c r="X23" s="98"/>
      <c r="Y23" s="98"/>
      <c r="Z23" s="98"/>
      <c r="AA23" s="98"/>
      <c r="AB23" s="98"/>
      <c r="AC23" s="98"/>
      <c r="AD23" s="98"/>
      <c r="AE23" s="98"/>
      <c r="AF23" s="103"/>
      <c r="AG23" s="103"/>
      <c r="AH23" s="98"/>
      <c r="AI23" s="107"/>
      <c r="AJ23" s="108"/>
      <c r="AK23" s="107"/>
      <c r="AL23" s="99"/>
      <c r="AM23" s="99"/>
      <c r="AN23" s="99"/>
      <c r="AO23" s="99"/>
      <c r="AP23" s="99"/>
      <c r="AQ23" s="99"/>
      <c r="AR23" s="99"/>
      <c r="AS23" s="99"/>
      <c r="AT23" s="100"/>
      <c r="AU23" s="100"/>
      <c r="AV23" s="101"/>
      <c r="AW23" s="100"/>
      <c r="AX23" s="102" t="str">
        <f t="shared" si="23"/>
        <v>-</v>
      </c>
      <c r="AY23" s="114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14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24"/>
        <v/>
      </c>
      <c r="BH23" s="119" t="str">
        <f t="shared" si="7"/>
        <v/>
      </c>
      <c r="BI23" s="120" t="str">
        <f t="shared" si="25"/>
        <v/>
      </c>
      <c r="BJ23" s="114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14"/>
      <c r="BP23" s="124" t="str">
        <f t="shared" si="12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3"/>
        <v/>
      </c>
      <c r="BU23" s="114"/>
      <c r="BV23" s="132" t="str">
        <f t="shared" si="14"/>
        <v/>
      </c>
      <c r="BW23" s="127" t="str">
        <f t="shared" si="15"/>
        <v/>
      </c>
      <c r="BX23" s="127" t="str">
        <f t="shared" si="16"/>
        <v/>
      </c>
      <c r="BY23" s="127" t="str">
        <f t="shared" si="17"/>
        <v/>
      </c>
      <c r="BZ23" s="127" t="str">
        <f t="shared" si="28"/>
        <v/>
      </c>
      <c r="CA23" s="128" t="str">
        <f t="shared" si="29"/>
        <v/>
      </c>
      <c r="CB23" s="114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14"/>
    </row>
    <row r="24" spans="1:86" s="115" customFormat="1" ht="12.4" customHeight="1" thickBot="1" x14ac:dyDescent="0.25">
      <c r="A24" s="96">
        <f t="shared" si="30"/>
        <v>46316</v>
      </c>
      <c r="B24" s="97" t="str">
        <f t="shared" si="0"/>
        <v>Wed</v>
      </c>
      <c r="C24" s="98"/>
      <c r="D24" s="98"/>
      <c r="E24" s="103"/>
      <c r="F24" s="98"/>
      <c r="G24" s="98"/>
      <c r="H24" s="104"/>
      <c r="I24" s="104"/>
      <c r="J24" s="105"/>
      <c r="K24" s="106"/>
      <c r="L24" s="98"/>
      <c r="M24" s="98"/>
      <c r="N24" s="98"/>
      <c r="O24" s="98"/>
      <c r="P24" s="103"/>
      <c r="Q24" s="98"/>
      <c r="R24" s="98"/>
      <c r="S24" s="98"/>
      <c r="T24" s="98"/>
      <c r="U24" s="98"/>
      <c r="V24" s="103"/>
      <c r="W24" s="103"/>
      <c r="X24" s="98"/>
      <c r="Y24" s="98"/>
      <c r="Z24" s="98"/>
      <c r="AA24" s="98"/>
      <c r="AB24" s="98"/>
      <c r="AC24" s="98"/>
      <c r="AD24" s="98"/>
      <c r="AE24" s="98"/>
      <c r="AF24" s="103"/>
      <c r="AG24" s="103"/>
      <c r="AH24" s="98"/>
      <c r="AI24" s="107"/>
      <c r="AJ24" s="108"/>
      <c r="AK24" s="107"/>
      <c r="AL24" s="99"/>
      <c r="AM24" s="99"/>
      <c r="AN24" s="99"/>
      <c r="AO24" s="99"/>
      <c r="AP24" s="99"/>
      <c r="AQ24" s="99"/>
      <c r="AR24" s="99"/>
      <c r="AS24" s="99"/>
      <c r="AT24" s="100"/>
      <c r="AU24" s="100"/>
      <c r="AV24" s="101"/>
      <c r="AW24" s="100"/>
      <c r="AX24" s="102" t="str">
        <f t="shared" si="23"/>
        <v>-</v>
      </c>
      <c r="AY24" s="114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14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24"/>
        <v/>
      </c>
      <c r="BH24" s="119" t="str">
        <f t="shared" si="7"/>
        <v/>
      </c>
      <c r="BI24" s="120" t="str">
        <f t="shared" si="25"/>
        <v/>
      </c>
      <c r="BJ24" s="114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14"/>
      <c r="BP24" s="124" t="str">
        <f t="shared" si="12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3"/>
        <v/>
      </c>
      <c r="BU24" s="114"/>
      <c r="BV24" s="132" t="str">
        <f t="shared" si="14"/>
        <v/>
      </c>
      <c r="BW24" s="127" t="str">
        <f t="shared" si="15"/>
        <v/>
      </c>
      <c r="BX24" s="127" t="str">
        <f t="shared" si="16"/>
        <v/>
      </c>
      <c r="BY24" s="127" t="str">
        <f t="shared" si="17"/>
        <v/>
      </c>
      <c r="BZ24" s="127" t="str">
        <f t="shared" si="28"/>
        <v/>
      </c>
      <c r="CA24" s="128" t="str">
        <f t="shared" si="29"/>
        <v/>
      </c>
      <c r="CB24" s="114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14"/>
    </row>
    <row r="25" spans="1:86" s="115" customFormat="1" ht="12.4" customHeight="1" thickBot="1" x14ac:dyDescent="0.25">
      <c r="A25" s="96">
        <f t="shared" si="30"/>
        <v>46317</v>
      </c>
      <c r="B25" s="97" t="str">
        <f t="shared" si="0"/>
        <v>Thu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1"/>
      <c r="AM25" s="61"/>
      <c r="AN25" s="61"/>
      <c r="AO25" s="61"/>
      <c r="AP25" s="61"/>
      <c r="AQ25" s="61"/>
      <c r="AR25" s="61"/>
      <c r="AS25" s="61"/>
      <c r="AT25" s="60"/>
      <c r="AU25" s="60"/>
      <c r="AV25" s="60"/>
      <c r="AW25" s="60"/>
      <c r="AX25" s="102" t="str">
        <f t="shared" si="23"/>
        <v>-</v>
      </c>
      <c r="AY25" s="114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14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4"/>
        <v/>
      </c>
      <c r="BH25" s="119" t="str">
        <f t="shared" si="7"/>
        <v/>
      </c>
      <c r="BI25" s="120" t="str">
        <f t="shared" si="25"/>
        <v/>
      </c>
      <c r="BJ25" s="114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14"/>
      <c r="BP25" s="124" t="str">
        <f t="shared" si="12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3"/>
        <v/>
      </c>
      <c r="BU25" s="114"/>
      <c r="BV25" s="132" t="str">
        <f t="shared" si="14"/>
        <v/>
      </c>
      <c r="BW25" s="127" t="str">
        <f t="shared" si="15"/>
        <v/>
      </c>
      <c r="BX25" s="127" t="str">
        <f t="shared" si="16"/>
        <v/>
      </c>
      <c r="BY25" s="127" t="str">
        <f t="shared" si="17"/>
        <v/>
      </c>
      <c r="BZ25" s="127" t="str">
        <f t="shared" si="28"/>
        <v/>
      </c>
      <c r="CA25" s="128" t="str">
        <f t="shared" si="29"/>
        <v/>
      </c>
      <c r="CB25" s="114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14"/>
    </row>
    <row r="26" spans="1:86" s="115" customFormat="1" ht="12.4" customHeight="1" thickBot="1" x14ac:dyDescent="0.25">
      <c r="A26" s="96">
        <f t="shared" si="30"/>
        <v>46318</v>
      </c>
      <c r="B26" s="97" t="str">
        <f>+TEXT(A26,"DDD")</f>
        <v>Fri</v>
      </c>
      <c r="C26" s="98"/>
      <c r="D26" s="98"/>
      <c r="E26" s="103"/>
      <c r="F26" s="98"/>
      <c r="G26" s="98"/>
      <c r="H26" s="104"/>
      <c r="I26" s="104"/>
      <c r="J26" s="105"/>
      <c r="K26" s="106"/>
      <c r="L26" s="98"/>
      <c r="M26" s="98"/>
      <c r="N26" s="98"/>
      <c r="O26" s="98"/>
      <c r="P26" s="103"/>
      <c r="Q26" s="98"/>
      <c r="R26" s="98"/>
      <c r="S26" s="98"/>
      <c r="T26" s="98"/>
      <c r="U26" s="98"/>
      <c r="V26" s="103"/>
      <c r="W26" s="103"/>
      <c r="X26" s="98"/>
      <c r="Y26" s="98"/>
      <c r="Z26" s="98"/>
      <c r="AA26" s="98"/>
      <c r="AB26" s="98"/>
      <c r="AC26" s="98"/>
      <c r="AD26" s="98"/>
      <c r="AE26" s="98"/>
      <c r="AF26" s="103"/>
      <c r="AG26" s="103"/>
      <c r="AH26" s="98"/>
      <c r="AI26" s="107"/>
      <c r="AJ26" s="108"/>
      <c r="AK26" s="107"/>
      <c r="AL26" s="99"/>
      <c r="AM26" s="99"/>
      <c r="AN26" s="99"/>
      <c r="AO26" s="99"/>
      <c r="AP26" s="99"/>
      <c r="AQ26" s="99"/>
      <c r="AR26" s="99"/>
      <c r="AS26" s="99"/>
      <c r="AT26" s="100"/>
      <c r="AU26" s="100"/>
      <c r="AV26" s="101"/>
      <c r="AW26" s="100"/>
      <c r="AX26" s="102" t="str">
        <f t="shared" si="23"/>
        <v>-</v>
      </c>
      <c r="AY26" s="114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14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4"/>
        <v/>
      </c>
      <c r="BH26" s="119" t="str">
        <f t="shared" si="7"/>
        <v/>
      </c>
      <c r="BI26" s="120" t="str">
        <f t="shared" si="25"/>
        <v/>
      </c>
      <c r="BJ26" s="114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14"/>
      <c r="BP26" s="124" t="str">
        <f t="shared" si="12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3"/>
        <v/>
      </c>
      <c r="BU26" s="114"/>
      <c r="BV26" s="132" t="str">
        <f t="shared" si="14"/>
        <v/>
      </c>
      <c r="BW26" s="127" t="str">
        <f t="shared" si="15"/>
        <v/>
      </c>
      <c r="BX26" s="127" t="str">
        <f t="shared" si="16"/>
        <v/>
      </c>
      <c r="BY26" s="127" t="str">
        <f t="shared" si="17"/>
        <v/>
      </c>
      <c r="BZ26" s="127" t="str">
        <f t="shared" si="28"/>
        <v/>
      </c>
      <c r="CA26" s="128" t="str">
        <f t="shared" si="29"/>
        <v/>
      </c>
      <c r="CB26" s="114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14"/>
    </row>
    <row r="27" spans="1:86" s="115" customFormat="1" ht="12.4" customHeight="1" thickBot="1" x14ac:dyDescent="0.25">
      <c r="A27" s="96">
        <f t="shared" si="30"/>
        <v>46319</v>
      </c>
      <c r="B27" s="97" t="str">
        <f t="shared" si="0"/>
        <v>Sat</v>
      </c>
      <c r="C27" s="98"/>
      <c r="D27" s="98"/>
      <c r="E27" s="103"/>
      <c r="F27" s="98"/>
      <c r="G27" s="98"/>
      <c r="H27" s="104"/>
      <c r="I27" s="104"/>
      <c r="J27" s="105"/>
      <c r="K27" s="106"/>
      <c r="L27" s="98"/>
      <c r="M27" s="98"/>
      <c r="N27" s="98"/>
      <c r="O27" s="98"/>
      <c r="P27" s="103"/>
      <c r="Q27" s="98"/>
      <c r="R27" s="98"/>
      <c r="S27" s="98"/>
      <c r="T27" s="98"/>
      <c r="U27" s="98"/>
      <c r="V27" s="103"/>
      <c r="W27" s="103"/>
      <c r="X27" s="98"/>
      <c r="Y27" s="98"/>
      <c r="Z27" s="98"/>
      <c r="AA27" s="98"/>
      <c r="AB27" s="98"/>
      <c r="AC27" s="98"/>
      <c r="AD27" s="98"/>
      <c r="AE27" s="98"/>
      <c r="AF27" s="103"/>
      <c r="AG27" s="103"/>
      <c r="AH27" s="98"/>
      <c r="AI27" s="107"/>
      <c r="AJ27" s="108"/>
      <c r="AK27" s="107"/>
      <c r="AL27" s="99"/>
      <c r="AM27" s="99"/>
      <c r="AN27" s="99"/>
      <c r="AO27" s="99"/>
      <c r="AP27" s="99"/>
      <c r="AQ27" s="99"/>
      <c r="AR27" s="99"/>
      <c r="AS27" s="99"/>
      <c r="AT27" s="100"/>
      <c r="AU27" s="100"/>
      <c r="AV27" s="101"/>
      <c r="AW27" s="100"/>
      <c r="AX27" s="102" t="str">
        <f t="shared" si="23"/>
        <v>-</v>
      </c>
      <c r="AY27" s="114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14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4"/>
        <v/>
      </c>
      <c r="BH27" s="119" t="str">
        <f t="shared" si="7"/>
        <v/>
      </c>
      <c r="BI27" s="120" t="str">
        <f t="shared" si="25"/>
        <v/>
      </c>
      <c r="BJ27" s="114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14"/>
      <c r="BP27" s="124" t="str">
        <f t="shared" si="12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3"/>
        <v/>
      </c>
      <c r="BU27" s="114"/>
      <c r="BV27" s="132" t="str">
        <f t="shared" si="14"/>
        <v/>
      </c>
      <c r="BW27" s="127" t="str">
        <f t="shared" si="15"/>
        <v/>
      </c>
      <c r="BX27" s="127" t="str">
        <f t="shared" si="16"/>
        <v/>
      </c>
      <c r="BY27" s="127" t="str">
        <f t="shared" si="17"/>
        <v/>
      </c>
      <c r="BZ27" s="127" t="str">
        <f t="shared" si="28"/>
        <v/>
      </c>
      <c r="CA27" s="128" t="str">
        <f t="shared" si="29"/>
        <v/>
      </c>
      <c r="CB27" s="114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14"/>
    </row>
    <row r="28" spans="1:86" s="115" customFormat="1" ht="12.4" customHeight="1" thickBot="1" x14ac:dyDescent="0.25">
      <c r="A28" s="96">
        <f t="shared" si="30"/>
        <v>46320</v>
      </c>
      <c r="B28" s="97" t="str">
        <f t="shared" si="0"/>
        <v>Sun</v>
      </c>
      <c r="C28" s="98"/>
      <c r="D28" s="98"/>
      <c r="E28" s="103"/>
      <c r="F28" s="98"/>
      <c r="G28" s="98"/>
      <c r="H28" s="104"/>
      <c r="I28" s="104"/>
      <c r="J28" s="105"/>
      <c r="K28" s="106"/>
      <c r="L28" s="98"/>
      <c r="M28" s="98"/>
      <c r="N28" s="98"/>
      <c r="O28" s="98"/>
      <c r="P28" s="103"/>
      <c r="Q28" s="98"/>
      <c r="R28" s="98"/>
      <c r="S28" s="98"/>
      <c r="T28" s="98"/>
      <c r="U28" s="98"/>
      <c r="V28" s="103"/>
      <c r="W28" s="103"/>
      <c r="X28" s="98"/>
      <c r="Y28" s="98"/>
      <c r="Z28" s="98"/>
      <c r="AA28" s="98"/>
      <c r="AB28" s="98"/>
      <c r="AC28" s="98"/>
      <c r="AD28" s="98"/>
      <c r="AE28" s="98"/>
      <c r="AF28" s="103"/>
      <c r="AG28" s="103"/>
      <c r="AH28" s="98"/>
      <c r="AI28" s="107"/>
      <c r="AJ28" s="108"/>
      <c r="AK28" s="107"/>
      <c r="AL28" s="99"/>
      <c r="AM28" s="99"/>
      <c r="AN28" s="99"/>
      <c r="AO28" s="99"/>
      <c r="AP28" s="99"/>
      <c r="AQ28" s="99"/>
      <c r="AR28" s="99"/>
      <c r="AS28" s="99"/>
      <c r="AT28" s="100"/>
      <c r="AU28" s="100"/>
      <c r="AV28" s="101"/>
      <c r="AW28" s="100"/>
      <c r="AX28" s="102" t="str">
        <f t="shared" si="23"/>
        <v>-</v>
      </c>
      <c r="AY28" s="114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14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4"/>
        <v/>
      </c>
      <c r="BH28" s="119" t="str">
        <f t="shared" si="7"/>
        <v/>
      </c>
      <c r="BI28" s="120" t="str">
        <f t="shared" si="25"/>
        <v/>
      </c>
      <c r="BJ28" s="114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14"/>
      <c r="BP28" s="124" t="str">
        <f t="shared" si="12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3"/>
        <v/>
      </c>
      <c r="BU28" s="114"/>
      <c r="BV28" s="132" t="str">
        <f t="shared" si="14"/>
        <v/>
      </c>
      <c r="BW28" s="127" t="str">
        <f t="shared" si="15"/>
        <v/>
      </c>
      <c r="BX28" s="127" t="str">
        <f t="shared" si="16"/>
        <v/>
      </c>
      <c r="BY28" s="127" t="str">
        <f t="shared" si="17"/>
        <v/>
      </c>
      <c r="BZ28" s="127" t="str">
        <f t="shared" si="28"/>
        <v/>
      </c>
      <c r="CA28" s="128" t="str">
        <f t="shared" si="29"/>
        <v/>
      </c>
      <c r="CB28" s="114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14"/>
    </row>
    <row r="29" spans="1:86" s="115" customFormat="1" ht="12.4" customHeight="1" thickBot="1" x14ac:dyDescent="0.25">
      <c r="A29" s="96">
        <f t="shared" si="30"/>
        <v>46321</v>
      </c>
      <c r="B29" s="97" t="str">
        <f t="shared" si="0"/>
        <v>Mon</v>
      </c>
      <c r="C29" s="98"/>
      <c r="D29" s="98"/>
      <c r="E29" s="103"/>
      <c r="F29" s="98"/>
      <c r="G29" s="98"/>
      <c r="H29" s="104"/>
      <c r="I29" s="104"/>
      <c r="J29" s="105"/>
      <c r="K29" s="106"/>
      <c r="L29" s="98"/>
      <c r="M29" s="98"/>
      <c r="N29" s="98"/>
      <c r="O29" s="98"/>
      <c r="P29" s="103"/>
      <c r="Q29" s="98"/>
      <c r="R29" s="98"/>
      <c r="S29" s="98"/>
      <c r="T29" s="98"/>
      <c r="U29" s="98"/>
      <c r="V29" s="103"/>
      <c r="W29" s="103"/>
      <c r="X29" s="98"/>
      <c r="Y29" s="98"/>
      <c r="Z29" s="98"/>
      <c r="AA29" s="98"/>
      <c r="AB29" s="98"/>
      <c r="AC29" s="98"/>
      <c r="AD29" s="98"/>
      <c r="AE29" s="98"/>
      <c r="AF29" s="103"/>
      <c r="AG29" s="103"/>
      <c r="AH29" s="98"/>
      <c r="AI29" s="107"/>
      <c r="AJ29" s="108"/>
      <c r="AK29" s="107"/>
      <c r="AL29" s="99"/>
      <c r="AM29" s="99"/>
      <c r="AN29" s="99"/>
      <c r="AO29" s="99"/>
      <c r="AP29" s="99"/>
      <c r="AQ29" s="99"/>
      <c r="AR29" s="99"/>
      <c r="AS29" s="99"/>
      <c r="AT29" s="100"/>
      <c r="AU29" s="100"/>
      <c r="AV29" s="101"/>
      <c r="AW29" s="100"/>
      <c r="AX29" s="102" t="str">
        <f>IFERROR(AN29/AW29,"-")</f>
        <v>-</v>
      </c>
      <c r="AY29" s="114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14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4"/>
        <v/>
      </c>
      <c r="BH29" s="119" t="str">
        <f t="shared" si="7"/>
        <v/>
      </c>
      <c r="BI29" s="120" t="str">
        <f t="shared" si="25"/>
        <v/>
      </c>
      <c r="BJ29" s="114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14"/>
      <c r="BP29" s="124" t="str">
        <f t="shared" si="12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3"/>
        <v/>
      </c>
      <c r="BU29" s="114"/>
      <c r="BV29" s="132" t="str">
        <f t="shared" si="14"/>
        <v/>
      </c>
      <c r="BW29" s="127" t="str">
        <f t="shared" si="15"/>
        <v/>
      </c>
      <c r="BX29" s="127" t="str">
        <f t="shared" si="16"/>
        <v/>
      </c>
      <c r="BY29" s="127" t="str">
        <f t="shared" si="17"/>
        <v/>
      </c>
      <c r="BZ29" s="127" t="str">
        <f t="shared" si="28"/>
        <v/>
      </c>
      <c r="CA29" s="128" t="str">
        <f t="shared" si="29"/>
        <v/>
      </c>
      <c r="CB29" s="114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14"/>
    </row>
    <row r="30" spans="1:86" s="115" customFormat="1" ht="12.4" customHeight="1" thickBot="1" x14ac:dyDescent="0.25">
      <c r="A30" s="96">
        <f t="shared" si="30"/>
        <v>46322</v>
      </c>
      <c r="B30" s="97" t="str">
        <f t="shared" si="0"/>
        <v>Tue</v>
      </c>
      <c r="C30" s="98"/>
      <c r="D30" s="98"/>
      <c r="E30" s="103"/>
      <c r="F30" s="98"/>
      <c r="G30" s="98"/>
      <c r="H30" s="104"/>
      <c r="I30" s="104"/>
      <c r="J30" s="105"/>
      <c r="K30" s="106"/>
      <c r="L30" s="98"/>
      <c r="M30" s="98"/>
      <c r="N30" s="98"/>
      <c r="O30" s="98"/>
      <c r="P30" s="103"/>
      <c r="Q30" s="98"/>
      <c r="R30" s="98"/>
      <c r="S30" s="98"/>
      <c r="T30" s="98"/>
      <c r="U30" s="98"/>
      <c r="V30" s="103"/>
      <c r="W30" s="103"/>
      <c r="X30" s="98"/>
      <c r="Y30" s="98"/>
      <c r="Z30" s="98"/>
      <c r="AA30" s="98"/>
      <c r="AB30" s="98"/>
      <c r="AC30" s="98"/>
      <c r="AD30" s="98"/>
      <c r="AE30" s="98"/>
      <c r="AF30" s="103"/>
      <c r="AG30" s="103"/>
      <c r="AH30" s="98"/>
      <c r="AI30" s="107"/>
      <c r="AJ30" s="108"/>
      <c r="AK30" s="107"/>
      <c r="AL30" s="99"/>
      <c r="AM30" s="99"/>
      <c r="AN30" s="99"/>
      <c r="AO30" s="99"/>
      <c r="AP30" s="99"/>
      <c r="AQ30" s="99"/>
      <c r="AR30" s="99"/>
      <c r="AS30" s="99"/>
      <c r="AT30" s="100"/>
      <c r="AU30" s="100"/>
      <c r="AV30" s="101"/>
      <c r="AW30" s="100"/>
      <c r="AX30" s="102" t="str">
        <f>IFERROR(AN30/AW30,"-")</f>
        <v>-</v>
      </c>
      <c r="AY30" s="114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14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4"/>
        <v/>
      </c>
      <c r="BH30" s="119" t="str">
        <f t="shared" si="7"/>
        <v/>
      </c>
      <c r="BI30" s="120" t="str">
        <f t="shared" si="25"/>
        <v/>
      </c>
      <c r="BJ30" s="114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14"/>
      <c r="BP30" s="124" t="str">
        <f t="shared" si="12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3"/>
        <v/>
      </c>
      <c r="BU30" s="114"/>
      <c r="BV30" s="132" t="str">
        <f t="shared" si="14"/>
        <v/>
      </c>
      <c r="BW30" s="127" t="str">
        <f t="shared" si="15"/>
        <v/>
      </c>
      <c r="BX30" s="127" t="str">
        <f t="shared" si="16"/>
        <v/>
      </c>
      <c r="BY30" s="127" t="str">
        <f t="shared" si="17"/>
        <v/>
      </c>
      <c r="BZ30" s="127" t="str">
        <f t="shared" si="28"/>
        <v/>
      </c>
      <c r="CA30" s="128" t="str">
        <f t="shared" si="29"/>
        <v/>
      </c>
      <c r="CB30" s="114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14"/>
    </row>
    <row r="31" spans="1:86" s="115" customFormat="1" ht="12.4" customHeight="1" thickBot="1" x14ac:dyDescent="0.25">
      <c r="A31" s="96">
        <f t="shared" si="30"/>
        <v>46323</v>
      </c>
      <c r="B31" s="97" t="str">
        <f>+TEXT(A31,"DDD")</f>
        <v>Wed</v>
      </c>
      <c r="C31" s="98"/>
      <c r="D31" s="98"/>
      <c r="E31" s="103"/>
      <c r="F31" s="98"/>
      <c r="G31" s="98"/>
      <c r="H31" s="104"/>
      <c r="I31" s="104"/>
      <c r="J31" s="105"/>
      <c r="K31" s="106"/>
      <c r="L31" s="98"/>
      <c r="M31" s="98"/>
      <c r="N31" s="98"/>
      <c r="O31" s="98"/>
      <c r="P31" s="103"/>
      <c r="Q31" s="98"/>
      <c r="R31" s="98"/>
      <c r="S31" s="98"/>
      <c r="T31" s="98"/>
      <c r="U31" s="98"/>
      <c r="V31" s="103"/>
      <c r="W31" s="103"/>
      <c r="X31" s="98"/>
      <c r="Y31" s="98"/>
      <c r="Z31" s="98"/>
      <c r="AA31" s="98"/>
      <c r="AB31" s="98"/>
      <c r="AC31" s="98"/>
      <c r="AD31" s="98"/>
      <c r="AE31" s="98"/>
      <c r="AF31" s="103"/>
      <c r="AG31" s="103"/>
      <c r="AH31" s="98"/>
      <c r="AI31" s="107"/>
      <c r="AJ31" s="108"/>
      <c r="AK31" s="107"/>
      <c r="AL31" s="99"/>
      <c r="AM31" s="99"/>
      <c r="AN31" s="99"/>
      <c r="AO31" s="99"/>
      <c r="AP31" s="99"/>
      <c r="AQ31" s="99"/>
      <c r="AR31" s="99"/>
      <c r="AS31" s="99"/>
      <c r="AT31" s="100"/>
      <c r="AU31" s="100"/>
      <c r="AV31" s="101"/>
      <c r="AW31" s="100"/>
      <c r="AX31" s="102" t="str">
        <f t="shared" si="23"/>
        <v>-</v>
      </c>
      <c r="AY31" s="114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14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4"/>
        <v/>
      </c>
      <c r="BH31" s="119" t="str">
        <f t="shared" si="7"/>
        <v/>
      </c>
      <c r="BI31" s="120" t="str">
        <f t="shared" si="25"/>
        <v/>
      </c>
      <c r="BJ31" s="114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14"/>
      <c r="BP31" s="124" t="str">
        <f t="shared" si="12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3"/>
        <v/>
      </c>
      <c r="BU31" s="114"/>
      <c r="BV31" s="132" t="str">
        <f t="shared" si="14"/>
        <v/>
      </c>
      <c r="BW31" s="127" t="str">
        <f t="shared" si="15"/>
        <v/>
      </c>
      <c r="BX31" s="127" t="str">
        <f t="shared" si="16"/>
        <v/>
      </c>
      <c r="BY31" s="127" t="str">
        <f t="shared" si="17"/>
        <v/>
      </c>
      <c r="BZ31" s="127" t="str">
        <f t="shared" si="28"/>
        <v/>
      </c>
      <c r="CA31" s="128" t="str">
        <f t="shared" si="29"/>
        <v/>
      </c>
      <c r="CB31" s="114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14"/>
    </row>
    <row r="32" spans="1:86" s="115" customFormat="1" ht="12.4" customHeight="1" thickBot="1" x14ac:dyDescent="0.25">
      <c r="A32" s="96">
        <f t="shared" si="30"/>
        <v>46324</v>
      </c>
      <c r="B32" s="97" t="str">
        <f>+TEXT(A32,"DDD")</f>
        <v>Thu</v>
      </c>
      <c r="C32" s="98"/>
      <c r="D32" s="98"/>
      <c r="E32" s="103"/>
      <c r="F32" s="98"/>
      <c r="G32" s="98"/>
      <c r="H32" s="104"/>
      <c r="I32" s="104"/>
      <c r="J32" s="105"/>
      <c r="K32" s="106"/>
      <c r="L32" s="98"/>
      <c r="M32" s="98"/>
      <c r="N32" s="98"/>
      <c r="O32" s="98"/>
      <c r="P32" s="103"/>
      <c r="Q32" s="98"/>
      <c r="R32" s="98"/>
      <c r="S32" s="98"/>
      <c r="T32" s="98"/>
      <c r="U32" s="98"/>
      <c r="V32" s="103"/>
      <c r="W32" s="103"/>
      <c r="X32" s="98"/>
      <c r="Y32" s="98"/>
      <c r="Z32" s="98"/>
      <c r="AA32" s="98"/>
      <c r="AB32" s="98"/>
      <c r="AC32" s="98"/>
      <c r="AD32" s="98"/>
      <c r="AE32" s="98"/>
      <c r="AF32" s="103"/>
      <c r="AG32" s="103"/>
      <c r="AH32" s="98"/>
      <c r="AI32" s="107"/>
      <c r="AJ32" s="108"/>
      <c r="AK32" s="107"/>
      <c r="AL32" s="99"/>
      <c r="AM32" s="99"/>
      <c r="AN32" s="99"/>
      <c r="AO32" s="99"/>
      <c r="AP32" s="99"/>
      <c r="AQ32" s="99"/>
      <c r="AR32" s="99"/>
      <c r="AS32" s="99"/>
      <c r="AT32" s="100"/>
      <c r="AU32" s="100"/>
      <c r="AV32" s="101"/>
      <c r="AW32" s="100"/>
      <c r="AX32" s="102" t="str">
        <f>IFERROR(AN32/AW32,"-")</f>
        <v>-</v>
      </c>
      <c r="AY32" s="114"/>
      <c r="AZ32" s="116" t="str">
        <f t="shared" si="1"/>
        <v/>
      </c>
      <c r="BA32" s="117" t="str">
        <f t="shared" si="2"/>
        <v/>
      </c>
      <c r="BB32" s="116" t="str">
        <f t="shared" si="3"/>
        <v/>
      </c>
      <c r="BC32" s="114"/>
      <c r="BD32" s="118" t="str">
        <f t="shared" si="4"/>
        <v/>
      </c>
      <c r="BE32" s="119" t="str">
        <f t="shared" si="5"/>
        <v/>
      </c>
      <c r="BF32" s="119" t="str">
        <f t="shared" si="6"/>
        <v/>
      </c>
      <c r="BG32" s="119" t="str">
        <f t="shared" si="24"/>
        <v/>
      </c>
      <c r="BH32" s="119" t="str">
        <f t="shared" si="7"/>
        <v/>
      </c>
      <c r="BI32" s="120" t="str">
        <f t="shared" si="25"/>
        <v/>
      </c>
      <c r="BJ32" s="114"/>
      <c r="BK32" s="121" t="str">
        <f t="shared" si="8"/>
        <v/>
      </c>
      <c r="BL32" s="122" t="str">
        <f t="shared" si="9"/>
        <v/>
      </c>
      <c r="BM32" s="122" t="str">
        <f t="shared" si="10"/>
        <v/>
      </c>
      <c r="BN32" s="123" t="str">
        <f t="shared" si="11"/>
        <v/>
      </c>
      <c r="BO32" s="114"/>
      <c r="BP32" s="124" t="str">
        <f t="shared" si="12"/>
        <v/>
      </c>
      <c r="BQ32" s="125">
        <v>0</v>
      </c>
      <c r="BR32" s="125" t="str">
        <f t="shared" si="26"/>
        <v/>
      </c>
      <c r="BS32" s="125" t="str">
        <f t="shared" si="27"/>
        <v/>
      </c>
      <c r="BT32" s="126" t="str">
        <f t="shared" si="13"/>
        <v/>
      </c>
      <c r="BU32" s="114"/>
      <c r="BV32" s="132" t="str">
        <f t="shared" si="14"/>
        <v/>
      </c>
      <c r="BW32" s="127" t="str">
        <f t="shared" si="15"/>
        <v/>
      </c>
      <c r="BX32" s="127" t="str">
        <f t="shared" si="16"/>
        <v/>
      </c>
      <c r="BY32" s="127" t="str">
        <f t="shared" si="17"/>
        <v/>
      </c>
      <c r="BZ32" s="127" t="str">
        <f t="shared" si="28"/>
        <v/>
      </c>
      <c r="CA32" s="128" t="str">
        <f t="shared" si="29"/>
        <v/>
      </c>
      <c r="CB32" s="114"/>
      <c r="CC32" s="129" t="str">
        <f t="shared" si="18"/>
        <v>-</v>
      </c>
      <c r="CD32" s="130" t="str">
        <f t="shared" si="19"/>
        <v>-</v>
      </c>
      <c r="CE32" s="130" t="str">
        <f t="shared" si="20"/>
        <v>-</v>
      </c>
      <c r="CF32" s="130" t="str">
        <f t="shared" si="21"/>
        <v>-</v>
      </c>
      <c r="CG32" s="131" t="str">
        <f t="shared" si="22"/>
        <v>-</v>
      </c>
      <c r="CH32" s="114"/>
    </row>
    <row r="33" spans="1:86" s="115" customFormat="1" ht="12.4" customHeight="1" thickBot="1" x14ac:dyDescent="0.25">
      <c r="A33" s="96">
        <f t="shared" si="30"/>
        <v>46325</v>
      </c>
      <c r="B33" s="97" t="str">
        <f>+TEXT(A33,"DDD")</f>
        <v>Fri</v>
      </c>
      <c r="C33" s="98"/>
      <c r="D33" s="98"/>
      <c r="E33" s="103"/>
      <c r="F33" s="98"/>
      <c r="G33" s="98"/>
      <c r="H33" s="104"/>
      <c r="I33" s="104"/>
      <c r="J33" s="105"/>
      <c r="K33" s="106"/>
      <c r="L33" s="98"/>
      <c r="M33" s="98"/>
      <c r="N33" s="98"/>
      <c r="O33" s="98"/>
      <c r="P33" s="103"/>
      <c r="Q33" s="98"/>
      <c r="R33" s="98"/>
      <c r="S33" s="98"/>
      <c r="T33" s="98"/>
      <c r="U33" s="98"/>
      <c r="V33" s="103"/>
      <c r="W33" s="103"/>
      <c r="X33" s="98"/>
      <c r="Y33" s="98"/>
      <c r="Z33" s="98"/>
      <c r="AA33" s="98"/>
      <c r="AB33" s="98"/>
      <c r="AC33" s="98"/>
      <c r="AD33" s="98"/>
      <c r="AE33" s="98"/>
      <c r="AF33" s="103"/>
      <c r="AG33" s="103"/>
      <c r="AH33" s="98"/>
      <c r="AI33" s="107"/>
      <c r="AJ33" s="108"/>
      <c r="AK33" s="107"/>
      <c r="AL33" s="99"/>
      <c r="AM33" s="99"/>
      <c r="AN33" s="99"/>
      <c r="AO33" s="99"/>
      <c r="AP33" s="99"/>
      <c r="AQ33" s="99"/>
      <c r="AR33" s="99"/>
      <c r="AS33" s="99"/>
      <c r="AT33" s="100"/>
      <c r="AU33" s="100"/>
      <c r="AV33" s="101"/>
      <c r="AW33" s="100"/>
      <c r="AX33" s="102" t="str">
        <f>IFERROR(AN33/AW33,"-")</f>
        <v>-</v>
      </c>
      <c r="AY33" s="114"/>
      <c r="AZ33" s="116" t="str">
        <f t="shared" si="1"/>
        <v/>
      </c>
      <c r="BA33" s="117" t="str">
        <f t="shared" si="2"/>
        <v/>
      </c>
      <c r="BB33" s="116" t="str">
        <f t="shared" si="3"/>
        <v/>
      </c>
      <c r="BC33" s="114"/>
      <c r="BD33" s="118" t="str">
        <f t="shared" si="4"/>
        <v/>
      </c>
      <c r="BE33" s="119" t="str">
        <f t="shared" si="5"/>
        <v/>
      </c>
      <c r="BF33" s="119" t="str">
        <f t="shared" si="6"/>
        <v/>
      </c>
      <c r="BG33" s="119" t="str">
        <f t="shared" si="24"/>
        <v/>
      </c>
      <c r="BH33" s="119" t="str">
        <f t="shared" si="7"/>
        <v/>
      </c>
      <c r="BI33" s="120" t="str">
        <f t="shared" si="25"/>
        <v/>
      </c>
      <c r="BJ33" s="114"/>
      <c r="BK33" s="121" t="str">
        <f t="shared" si="8"/>
        <v/>
      </c>
      <c r="BL33" s="122" t="str">
        <f t="shared" si="9"/>
        <v/>
      </c>
      <c r="BM33" s="122" t="str">
        <f t="shared" si="10"/>
        <v/>
      </c>
      <c r="BN33" s="123" t="str">
        <f t="shared" si="11"/>
        <v/>
      </c>
      <c r="BO33" s="114"/>
      <c r="BP33" s="124" t="str">
        <f t="shared" si="12"/>
        <v/>
      </c>
      <c r="BQ33" s="125">
        <v>0</v>
      </c>
      <c r="BR33" s="125" t="str">
        <f t="shared" si="26"/>
        <v/>
      </c>
      <c r="BS33" s="125" t="str">
        <f t="shared" si="27"/>
        <v/>
      </c>
      <c r="BT33" s="126" t="str">
        <f t="shared" si="13"/>
        <v/>
      </c>
      <c r="BU33" s="114"/>
      <c r="BV33" s="132" t="str">
        <f t="shared" si="14"/>
        <v/>
      </c>
      <c r="BW33" s="127" t="str">
        <f t="shared" si="15"/>
        <v/>
      </c>
      <c r="BX33" s="127" t="str">
        <f t="shared" si="16"/>
        <v/>
      </c>
      <c r="BY33" s="127" t="str">
        <f t="shared" si="17"/>
        <v/>
      </c>
      <c r="BZ33" s="127" t="str">
        <f t="shared" si="28"/>
        <v/>
      </c>
      <c r="CA33" s="128" t="str">
        <f t="shared" si="29"/>
        <v/>
      </c>
      <c r="CB33" s="114"/>
      <c r="CC33" s="129" t="str">
        <f t="shared" si="18"/>
        <v>-</v>
      </c>
      <c r="CD33" s="130" t="str">
        <f t="shared" si="19"/>
        <v>-</v>
      </c>
      <c r="CE33" s="130" t="str">
        <f t="shared" si="20"/>
        <v>-</v>
      </c>
      <c r="CF33" s="130" t="str">
        <f t="shared" si="21"/>
        <v>-</v>
      </c>
      <c r="CG33" s="131" t="str">
        <f t="shared" si="22"/>
        <v>-</v>
      </c>
      <c r="CH33" s="114"/>
    </row>
    <row r="34" spans="1:86" s="115" customFormat="1" ht="12.4" customHeight="1" thickBot="1" x14ac:dyDescent="0.25">
      <c r="A34" s="96">
        <f t="shared" si="30"/>
        <v>46326</v>
      </c>
      <c r="B34" s="97" t="str">
        <f>+TEXT(A34,"DDD")</f>
        <v>Sat</v>
      </c>
      <c r="C34" s="98"/>
      <c r="D34" s="98"/>
      <c r="E34" s="103"/>
      <c r="F34" s="98"/>
      <c r="G34" s="98"/>
      <c r="H34" s="104"/>
      <c r="I34" s="104"/>
      <c r="J34" s="105"/>
      <c r="K34" s="106"/>
      <c r="L34" s="98"/>
      <c r="M34" s="98"/>
      <c r="N34" s="98"/>
      <c r="O34" s="98"/>
      <c r="P34" s="103"/>
      <c r="Q34" s="98"/>
      <c r="R34" s="98"/>
      <c r="S34" s="98"/>
      <c r="T34" s="98"/>
      <c r="U34" s="98"/>
      <c r="V34" s="103"/>
      <c r="W34" s="103"/>
      <c r="X34" s="98"/>
      <c r="Y34" s="98"/>
      <c r="Z34" s="98"/>
      <c r="AA34" s="98"/>
      <c r="AB34" s="98"/>
      <c r="AC34" s="98"/>
      <c r="AD34" s="98"/>
      <c r="AE34" s="98"/>
      <c r="AF34" s="103"/>
      <c r="AG34" s="103"/>
      <c r="AH34" s="98"/>
      <c r="AI34" s="107"/>
      <c r="AJ34" s="108"/>
      <c r="AK34" s="107"/>
      <c r="AL34" s="99"/>
      <c r="AM34" s="99"/>
      <c r="AN34" s="99"/>
      <c r="AO34" s="99"/>
      <c r="AP34" s="99"/>
      <c r="AQ34" s="99"/>
      <c r="AR34" s="99"/>
      <c r="AS34" s="99"/>
      <c r="AT34" s="100"/>
      <c r="AU34" s="100"/>
      <c r="AV34" s="101"/>
      <c r="AW34" s="100"/>
      <c r="AX34" s="102" t="str">
        <f>IFERROR(AN34/AW34,"-")</f>
        <v>-</v>
      </c>
      <c r="AY34" s="114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14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 t="shared" si="24"/>
        <v/>
      </c>
      <c r="BH34" s="119" t="str">
        <f t="shared" si="7"/>
        <v/>
      </c>
      <c r="BI34" s="120" t="str">
        <f t="shared" si="25"/>
        <v/>
      </c>
      <c r="BJ34" s="114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14"/>
      <c r="BP34" s="124" t="str">
        <f t="shared" si="12"/>
        <v/>
      </c>
      <c r="BQ34" s="125">
        <v>0</v>
      </c>
      <c r="BR34" s="125" t="str">
        <f t="shared" si="26"/>
        <v/>
      </c>
      <c r="BS34" s="125" t="str">
        <f t="shared" si="27"/>
        <v/>
      </c>
      <c r="BT34" s="126" t="str">
        <f t="shared" si="13"/>
        <v/>
      </c>
      <c r="BU34" s="114"/>
      <c r="BV34" s="132" t="str">
        <f t="shared" si="14"/>
        <v/>
      </c>
      <c r="BW34" s="127" t="str">
        <f t="shared" si="15"/>
        <v/>
      </c>
      <c r="BX34" s="127" t="str">
        <f t="shared" si="16"/>
        <v/>
      </c>
      <c r="BY34" s="127" t="str">
        <f t="shared" si="17"/>
        <v/>
      </c>
      <c r="BZ34" s="127" t="str">
        <f t="shared" si="28"/>
        <v/>
      </c>
      <c r="CA34" s="128" t="str">
        <f t="shared" si="29"/>
        <v/>
      </c>
      <c r="CB34" s="114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14"/>
    </row>
    <row r="35" spans="1:86" s="115" customFormat="1" ht="13.15" customHeight="1" thickBot="1" x14ac:dyDescent="0.25">
      <c r="A35" s="235" t="s">
        <v>68</v>
      </c>
      <c r="B35" s="236"/>
      <c r="C35" s="109" t="e">
        <f>AVERAGE(C4:C34)</f>
        <v>#DIV/0!</v>
      </c>
      <c r="D35" s="109" t="e">
        <f t="shared" ref="D35:AW35" si="31">AVERAGE(D4:D34)</f>
        <v>#DIV/0!</v>
      </c>
      <c r="E35" s="109" t="e">
        <f t="shared" si="31"/>
        <v>#DIV/0!</v>
      </c>
      <c r="F35" s="109" t="e">
        <f t="shared" si="31"/>
        <v>#DIV/0!</v>
      </c>
      <c r="G35" s="109" t="e">
        <f t="shared" si="31"/>
        <v>#DIV/0!</v>
      </c>
      <c r="H35" s="109" t="e">
        <f t="shared" si="31"/>
        <v>#DIV/0!</v>
      </c>
      <c r="I35" s="109" t="e">
        <f t="shared" si="31"/>
        <v>#DIV/0!</v>
      </c>
      <c r="J35" s="109" t="e">
        <f t="shared" si="31"/>
        <v>#DIV/0!</v>
      </c>
      <c r="K35" s="109" t="e">
        <f t="shared" si="31"/>
        <v>#DIV/0!</v>
      </c>
      <c r="L35" s="109" t="e">
        <f t="shared" si="31"/>
        <v>#DIV/0!</v>
      </c>
      <c r="M35" s="109" t="e">
        <f t="shared" si="31"/>
        <v>#DIV/0!</v>
      </c>
      <c r="N35" s="109" t="e">
        <f t="shared" si="31"/>
        <v>#DIV/0!</v>
      </c>
      <c r="O35" s="109" t="e">
        <f t="shared" si="31"/>
        <v>#DIV/0!</v>
      </c>
      <c r="P35" s="109" t="e">
        <f t="shared" si="31"/>
        <v>#DIV/0!</v>
      </c>
      <c r="Q35" s="109" t="e">
        <f t="shared" si="31"/>
        <v>#DIV/0!</v>
      </c>
      <c r="R35" s="109" t="e">
        <f t="shared" si="31"/>
        <v>#DIV/0!</v>
      </c>
      <c r="S35" s="109" t="e">
        <f t="shared" si="31"/>
        <v>#DIV/0!</v>
      </c>
      <c r="T35" s="109" t="e">
        <f t="shared" si="31"/>
        <v>#DIV/0!</v>
      </c>
      <c r="U35" s="109" t="e">
        <f t="shared" si="31"/>
        <v>#DIV/0!</v>
      </c>
      <c r="V35" s="109" t="e">
        <f t="shared" si="31"/>
        <v>#DIV/0!</v>
      </c>
      <c r="W35" s="109" t="e">
        <f t="shared" si="31"/>
        <v>#DIV/0!</v>
      </c>
      <c r="X35" s="109" t="e">
        <f t="shared" si="31"/>
        <v>#DIV/0!</v>
      </c>
      <c r="Y35" s="109" t="e">
        <f t="shared" si="31"/>
        <v>#DIV/0!</v>
      </c>
      <c r="Z35" s="109" t="e">
        <f t="shared" si="31"/>
        <v>#DIV/0!</v>
      </c>
      <c r="AA35" s="109" t="e">
        <f t="shared" si="31"/>
        <v>#DIV/0!</v>
      </c>
      <c r="AB35" s="109" t="e">
        <f t="shared" si="31"/>
        <v>#DIV/0!</v>
      </c>
      <c r="AC35" s="109" t="e">
        <f t="shared" si="31"/>
        <v>#DIV/0!</v>
      </c>
      <c r="AD35" s="109" t="e">
        <f t="shared" si="31"/>
        <v>#DIV/0!</v>
      </c>
      <c r="AE35" s="109" t="e">
        <f t="shared" si="31"/>
        <v>#DIV/0!</v>
      </c>
      <c r="AF35" s="109" t="e">
        <f t="shared" si="31"/>
        <v>#DIV/0!</v>
      </c>
      <c r="AG35" s="109" t="e">
        <f t="shared" si="31"/>
        <v>#DIV/0!</v>
      </c>
      <c r="AH35" s="109" t="e">
        <f t="shared" si="31"/>
        <v>#DIV/0!</v>
      </c>
      <c r="AI35" s="109" t="e">
        <f t="shared" si="31"/>
        <v>#DIV/0!</v>
      </c>
      <c r="AJ35" s="109" t="e">
        <f t="shared" si="31"/>
        <v>#DIV/0!</v>
      </c>
      <c r="AK35" s="109" t="e">
        <f t="shared" si="31"/>
        <v>#DIV/0!</v>
      </c>
      <c r="AL35" s="109" t="e">
        <f t="shared" si="31"/>
        <v>#DIV/0!</v>
      </c>
      <c r="AM35" s="109" t="e">
        <f t="shared" si="31"/>
        <v>#DIV/0!</v>
      </c>
      <c r="AN35" s="109" t="e">
        <f t="shared" si="31"/>
        <v>#DIV/0!</v>
      </c>
      <c r="AO35" s="109" t="e">
        <f t="shared" si="31"/>
        <v>#DIV/0!</v>
      </c>
      <c r="AP35" s="109" t="e">
        <f t="shared" si="31"/>
        <v>#DIV/0!</v>
      </c>
      <c r="AQ35" s="109" t="e">
        <f t="shared" si="31"/>
        <v>#DIV/0!</v>
      </c>
      <c r="AR35" s="109" t="e">
        <f t="shared" si="31"/>
        <v>#DIV/0!</v>
      </c>
      <c r="AS35" s="109" t="e">
        <f t="shared" si="31"/>
        <v>#DIV/0!</v>
      </c>
      <c r="AT35" s="109" t="e">
        <f t="shared" si="31"/>
        <v>#DIV/0!</v>
      </c>
      <c r="AU35" s="109" t="e">
        <f t="shared" si="31"/>
        <v>#DIV/0!</v>
      </c>
      <c r="AV35" s="109" t="e">
        <f t="shared" si="31"/>
        <v>#DIV/0!</v>
      </c>
      <c r="AW35" s="109" t="e">
        <f t="shared" si="31"/>
        <v>#DIV/0!</v>
      </c>
      <c r="AX35" s="110" t="str">
        <f t="shared" si="23"/>
        <v>-</v>
      </c>
      <c r="AY35" s="114"/>
      <c r="AZ35" s="133" t="e">
        <f t="shared" si="1"/>
        <v>#DIV/0!</v>
      </c>
      <c r="BA35" s="134" t="e">
        <f t="shared" si="2"/>
        <v>#DIV/0!</v>
      </c>
      <c r="BB35" s="135" t="e">
        <f t="shared" si="3"/>
        <v>#DIV/0!</v>
      </c>
      <c r="BC35" s="114"/>
      <c r="BD35" s="133" t="e">
        <f t="shared" si="4"/>
        <v>#DIV/0!</v>
      </c>
      <c r="BE35" s="136" t="e">
        <f t="shared" si="5"/>
        <v>#DIV/0!</v>
      </c>
      <c r="BF35" s="136" t="e">
        <f t="shared" si="6"/>
        <v>#DIV/0!</v>
      </c>
      <c r="BG35" s="136" t="e">
        <f t="shared" si="24"/>
        <v>#DIV/0!</v>
      </c>
      <c r="BH35" s="136" t="e">
        <f t="shared" si="7"/>
        <v>#DIV/0!</v>
      </c>
      <c r="BI35" s="135" t="e">
        <f t="shared" si="25"/>
        <v>#DIV/0!</v>
      </c>
      <c r="BJ35" s="114"/>
      <c r="BK35" s="133" t="e">
        <f t="shared" si="8"/>
        <v>#DIV/0!</v>
      </c>
      <c r="BL35" s="136" t="e">
        <f t="shared" si="9"/>
        <v>#DIV/0!</v>
      </c>
      <c r="BM35" s="136" t="e">
        <f t="shared" si="10"/>
        <v>#DIV/0!</v>
      </c>
      <c r="BN35" s="135" t="e">
        <f t="shared" si="11"/>
        <v>#DIV/0!</v>
      </c>
      <c r="BO35" s="114"/>
      <c r="BP35" s="133" t="e">
        <f t="shared" si="12"/>
        <v>#DIV/0!</v>
      </c>
      <c r="BQ35" s="136">
        <v>0</v>
      </c>
      <c r="BR35" s="136" t="e">
        <f t="shared" si="26"/>
        <v>#DIV/0!</v>
      </c>
      <c r="BS35" s="136" t="e">
        <f t="shared" si="27"/>
        <v>#DIV/0!</v>
      </c>
      <c r="BT35" s="135" t="e">
        <f t="shared" si="13"/>
        <v>#DIV/0!</v>
      </c>
      <c r="BU35" s="114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8"/>
        <v>#DIV/0!</v>
      </c>
      <c r="CA35" s="139" t="e">
        <f t="shared" si="29"/>
        <v>#DIV/0!</v>
      </c>
      <c r="CB35" s="114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14"/>
    </row>
    <row r="36" spans="1:86" s="115" customFormat="1" ht="13.15" customHeight="1" thickBot="1" x14ac:dyDescent="0.25">
      <c r="A36" s="235" t="s">
        <v>69</v>
      </c>
      <c r="B36" s="236"/>
      <c r="C36" s="111">
        <f>SUM(C4:C34)</f>
        <v>0</v>
      </c>
      <c r="D36" s="111">
        <f t="shared" ref="D36:AW36" si="32">SUM(D4:D34)</f>
        <v>0</v>
      </c>
      <c r="E36" s="111">
        <f t="shared" si="32"/>
        <v>0</v>
      </c>
      <c r="F36" s="111">
        <f t="shared" si="32"/>
        <v>0</v>
      </c>
      <c r="G36" s="111">
        <f t="shared" si="32"/>
        <v>0</v>
      </c>
      <c r="H36" s="111">
        <f t="shared" si="32"/>
        <v>0</v>
      </c>
      <c r="I36" s="111">
        <f t="shared" si="32"/>
        <v>0</v>
      </c>
      <c r="J36" s="111">
        <f t="shared" si="32"/>
        <v>0</v>
      </c>
      <c r="K36" s="111">
        <f t="shared" si="32"/>
        <v>0</v>
      </c>
      <c r="L36" s="111">
        <f t="shared" si="32"/>
        <v>0</v>
      </c>
      <c r="M36" s="111">
        <f t="shared" si="32"/>
        <v>0</v>
      </c>
      <c r="N36" s="111">
        <f t="shared" si="32"/>
        <v>0</v>
      </c>
      <c r="O36" s="111">
        <f t="shared" si="32"/>
        <v>0</v>
      </c>
      <c r="P36" s="111">
        <f t="shared" si="32"/>
        <v>0</v>
      </c>
      <c r="Q36" s="111">
        <f t="shared" si="32"/>
        <v>0</v>
      </c>
      <c r="R36" s="111">
        <f t="shared" si="32"/>
        <v>0</v>
      </c>
      <c r="S36" s="111">
        <f t="shared" si="32"/>
        <v>0</v>
      </c>
      <c r="T36" s="111">
        <f t="shared" si="32"/>
        <v>0</v>
      </c>
      <c r="U36" s="111">
        <f t="shared" si="32"/>
        <v>0</v>
      </c>
      <c r="V36" s="111">
        <f t="shared" si="32"/>
        <v>0</v>
      </c>
      <c r="W36" s="111">
        <f t="shared" si="32"/>
        <v>0</v>
      </c>
      <c r="X36" s="111">
        <f t="shared" si="32"/>
        <v>0</v>
      </c>
      <c r="Y36" s="111">
        <f t="shared" si="32"/>
        <v>0</v>
      </c>
      <c r="Z36" s="111">
        <f t="shared" si="32"/>
        <v>0</v>
      </c>
      <c r="AA36" s="111">
        <f t="shared" si="32"/>
        <v>0</v>
      </c>
      <c r="AB36" s="111">
        <f t="shared" si="32"/>
        <v>0</v>
      </c>
      <c r="AC36" s="111">
        <f t="shared" si="32"/>
        <v>0</v>
      </c>
      <c r="AD36" s="111">
        <f t="shared" si="32"/>
        <v>0</v>
      </c>
      <c r="AE36" s="111">
        <f t="shared" si="32"/>
        <v>0</v>
      </c>
      <c r="AF36" s="111">
        <f t="shared" si="32"/>
        <v>0</v>
      </c>
      <c r="AG36" s="111">
        <f t="shared" si="32"/>
        <v>0</v>
      </c>
      <c r="AH36" s="111">
        <f t="shared" si="32"/>
        <v>0</v>
      </c>
      <c r="AI36" s="111">
        <f t="shared" si="32"/>
        <v>0</v>
      </c>
      <c r="AJ36" s="111">
        <f t="shared" si="32"/>
        <v>0</v>
      </c>
      <c r="AK36" s="111">
        <f t="shared" si="32"/>
        <v>0</v>
      </c>
      <c r="AL36" s="111">
        <f t="shared" si="32"/>
        <v>0</v>
      </c>
      <c r="AM36" s="111">
        <f t="shared" si="32"/>
        <v>0</v>
      </c>
      <c r="AN36" s="111">
        <f t="shared" si="32"/>
        <v>0</v>
      </c>
      <c r="AO36" s="111">
        <f t="shared" si="32"/>
        <v>0</v>
      </c>
      <c r="AP36" s="111">
        <f t="shared" si="32"/>
        <v>0</v>
      </c>
      <c r="AQ36" s="111">
        <f t="shared" si="32"/>
        <v>0</v>
      </c>
      <c r="AR36" s="111">
        <f t="shared" si="32"/>
        <v>0</v>
      </c>
      <c r="AS36" s="111">
        <f t="shared" si="32"/>
        <v>0</v>
      </c>
      <c r="AT36" s="111">
        <f t="shared" si="32"/>
        <v>0</v>
      </c>
      <c r="AU36" s="111">
        <f t="shared" si="32"/>
        <v>0</v>
      </c>
      <c r="AV36" s="111">
        <f t="shared" si="32"/>
        <v>0</v>
      </c>
      <c r="AW36" s="111">
        <f t="shared" si="32"/>
        <v>0</v>
      </c>
      <c r="AX36" s="112" t="str">
        <f t="shared" si="23"/>
        <v>-</v>
      </c>
      <c r="AY36" s="140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40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 t="shared" si="24"/>
        <v/>
      </c>
      <c r="BH36" s="144" t="str">
        <f t="shared" si="7"/>
        <v/>
      </c>
      <c r="BI36" s="143" t="str">
        <f t="shared" si="25"/>
        <v/>
      </c>
      <c r="BJ36" s="140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40"/>
      <c r="BP36" s="141" t="str">
        <f t="shared" si="12"/>
        <v/>
      </c>
      <c r="BQ36" s="144">
        <v>0</v>
      </c>
      <c r="BR36" s="144" t="str">
        <f t="shared" si="26"/>
        <v/>
      </c>
      <c r="BS36" s="144" t="str">
        <f t="shared" si="27"/>
        <v/>
      </c>
      <c r="BT36" s="143" t="str">
        <f t="shared" si="13"/>
        <v/>
      </c>
      <c r="BU36" s="140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8"/>
        <v/>
      </c>
      <c r="CA36" s="147" t="str">
        <f t="shared" si="29"/>
        <v/>
      </c>
      <c r="CB36" s="140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40"/>
    </row>
    <row r="37" spans="1:86" x14ac:dyDescent="0.2"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</row>
  </sheetData>
  <mergeCells count="88"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showGridLines="0" zoomScaleNormal="100" workbookViewId="0">
      <selection activeCell="C19" sqref="C19"/>
    </sheetView>
  </sheetViews>
  <sheetFormatPr defaultColWidth="0" defaultRowHeight="11.25" x14ac:dyDescent="0.2"/>
  <cols>
    <col min="1" max="1" width="9.42578125" style="154" bestFit="1" customWidth="1"/>
    <col min="2" max="2" width="4.5703125" style="154" customWidth="1"/>
    <col min="3" max="3" width="15.42578125" style="154" bestFit="1" customWidth="1"/>
    <col min="4" max="4" width="18.7109375" style="154" bestFit="1" customWidth="1"/>
    <col min="5" max="5" width="19.85546875" style="154" bestFit="1" customWidth="1"/>
    <col min="6" max="6" width="15.85546875" style="154" bestFit="1" customWidth="1"/>
    <col min="7" max="7" width="7.85546875" style="154" bestFit="1" customWidth="1"/>
    <col min="8" max="8" width="18.42578125" style="154" bestFit="1" customWidth="1"/>
    <col min="9" max="9" width="8.85546875" style="154" bestFit="1" customWidth="1"/>
    <col min="10" max="10" width="9.42578125" style="154" customWidth="1"/>
    <col min="11" max="11" width="10.85546875" style="154" bestFit="1" customWidth="1"/>
    <col min="12" max="12" width="7.140625" style="154" bestFit="1" customWidth="1"/>
    <col min="13" max="13" width="5.85546875" style="154" bestFit="1" customWidth="1"/>
    <col min="14" max="14" width="5.5703125" style="154" bestFit="1" customWidth="1"/>
    <col min="15" max="15" width="4.7109375" style="154" bestFit="1" customWidth="1"/>
    <col min="16" max="16" width="5.5703125" style="154" bestFit="1" customWidth="1"/>
    <col min="17" max="17" width="5.42578125" style="154" bestFit="1" customWidth="1"/>
    <col min="18" max="18" width="4" style="154" bestFit="1" customWidth="1"/>
    <col min="19" max="19" width="5.5703125" style="154" bestFit="1" customWidth="1"/>
    <col min="20" max="20" width="3.5703125" style="154" bestFit="1" customWidth="1"/>
    <col min="21" max="21" width="5.85546875" style="154" bestFit="1" customWidth="1"/>
    <col min="22" max="23" width="3.28515625" style="154" bestFit="1" customWidth="1"/>
    <col min="24" max="24" width="5" style="154" bestFit="1" customWidth="1"/>
    <col min="25" max="25" width="3.85546875" style="154" bestFit="1" customWidth="1"/>
    <col min="26" max="26" width="3.42578125" style="154" bestFit="1" customWidth="1"/>
    <col min="27" max="27" width="5.5703125" style="154" bestFit="1" customWidth="1"/>
    <col min="28" max="28" width="5.7109375" style="154" bestFit="1" customWidth="1"/>
    <col min="29" max="29" width="4" style="154" bestFit="1" customWidth="1"/>
    <col min="30" max="30" width="3.28515625" style="154" bestFit="1" customWidth="1"/>
    <col min="31" max="31" width="5.42578125" style="154" bestFit="1" customWidth="1"/>
    <col min="32" max="33" width="4.42578125" style="154" bestFit="1" customWidth="1"/>
    <col min="34" max="34" width="5.5703125" style="154" bestFit="1" customWidth="1"/>
    <col min="35" max="35" width="13.140625" style="154" bestFit="1" customWidth="1"/>
    <col min="36" max="36" width="15.5703125" style="154" bestFit="1" customWidth="1"/>
    <col min="37" max="37" width="16.140625" style="154" bestFit="1" customWidth="1"/>
    <col min="38" max="38" width="15.28515625" style="154" bestFit="1" customWidth="1"/>
    <col min="39" max="39" width="15.7109375" style="154" bestFit="1" customWidth="1"/>
    <col min="40" max="40" width="16.140625" style="154" bestFit="1" customWidth="1"/>
    <col min="41" max="41" width="9.85546875" style="154" bestFit="1" customWidth="1"/>
    <col min="42" max="42" width="13.7109375" style="154" bestFit="1" customWidth="1"/>
    <col min="43" max="43" width="11" style="154" bestFit="1" customWidth="1"/>
    <col min="44" max="44" width="10.140625" style="154" bestFit="1" customWidth="1"/>
    <col min="45" max="45" width="12.42578125" style="158" bestFit="1" customWidth="1"/>
    <col min="46" max="46" width="13.42578125" style="154" bestFit="1" customWidth="1"/>
    <col min="47" max="47" width="12" style="154" bestFit="1" customWidth="1"/>
    <col min="48" max="48" width="16.140625" style="154" bestFit="1" customWidth="1"/>
    <col min="49" max="50" width="16" style="154" bestFit="1" customWidth="1"/>
    <col min="51" max="51" width="2.42578125" style="154" customWidth="1"/>
    <col min="52" max="52" width="16.28515625" style="154" bestFit="1" customWidth="1"/>
    <col min="53" max="53" width="11.85546875" style="154" bestFit="1" customWidth="1"/>
    <col min="54" max="54" width="12.7109375" style="154" bestFit="1" customWidth="1"/>
    <col min="55" max="55" width="1.85546875" style="154" customWidth="1"/>
    <col min="56" max="56" width="12.5703125" style="154" bestFit="1" customWidth="1"/>
    <col min="57" max="57" width="13.28515625" style="154" bestFit="1" customWidth="1"/>
    <col min="58" max="58" width="20.28515625" style="154" bestFit="1" customWidth="1"/>
    <col min="59" max="59" width="9.42578125" style="154" bestFit="1" customWidth="1"/>
    <col min="60" max="60" width="14.7109375" style="154" bestFit="1" customWidth="1"/>
    <col min="61" max="61" width="10.5703125" style="154" bestFit="1" customWidth="1"/>
    <col min="62" max="62" width="2" style="154" customWidth="1"/>
    <col min="63" max="63" width="20.140625" style="154" bestFit="1" customWidth="1"/>
    <col min="64" max="64" width="25.28515625" style="154" bestFit="1" customWidth="1"/>
    <col min="65" max="65" width="14" style="154" bestFit="1" customWidth="1"/>
    <col min="66" max="66" width="18" style="154" bestFit="1" customWidth="1"/>
    <col min="67" max="67" width="1.42578125" style="154" customWidth="1"/>
    <col min="68" max="68" width="9.140625" style="154" bestFit="1" customWidth="1"/>
    <col min="69" max="69" width="12.85546875" style="154" bestFit="1" customWidth="1"/>
    <col min="70" max="70" width="14" style="154" bestFit="1" customWidth="1"/>
    <col min="71" max="71" width="13.7109375" style="154" bestFit="1" customWidth="1"/>
    <col min="72" max="72" width="7.85546875" style="154" bestFit="1" customWidth="1"/>
    <col min="73" max="73" width="2.5703125" style="154" customWidth="1"/>
    <col min="74" max="74" width="18.42578125" style="154" bestFit="1" customWidth="1"/>
    <col min="75" max="75" width="14.42578125" style="154" bestFit="1" customWidth="1"/>
    <col min="76" max="76" width="18.42578125" style="154" bestFit="1" customWidth="1"/>
    <col min="77" max="77" width="18.85546875" style="154" bestFit="1" customWidth="1"/>
    <col min="78" max="78" width="18" style="154" bestFit="1" customWidth="1"/>
    <col min="79" max="79" width="18.5703125" style="154" bestFit="1" customWidth="1"/>
    <col min="80" max="80" width="2.28515625" style="154" customWidth="1"/>
    <col min="81" max="82" width="5.5703125" style="154" bestFit="1" customWidth="1"/>
    <col min="83" max="83" width="5.85546875" style="154" bestFit="1" customWidth="1"/>
    <col min="84" max="84" width="5.5703125" style="154" bestFit="1" customWidth="1"/>
    <col min="85" max="85" width="8.42578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197" t="s">
        <v>0</v>
      </c>
      <c r="B1" s="198"/>
      <c r="C1" s="93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151"/>
      <c r="AZ1" s="246" t="s">
        <v>1</v>
      </c>
      <c r="BA1" s="247"/>
      <c r="BB1" s="248"/>
      <c r="BC1" s="151"/>
      <c r="BD1" s="249" t="s">
        <v>2</v>
      </c>
      <c r="BE1" s="250"/>
      <c r="BF1" s="250"/>
      <c r="BG1" s="250"/>
      <c r="BH1" s="250"/>
      <c r="BI1" s="251"/>
      <c r="BJ1" s="151"/>
      <c r="BK1" s="249" t="s">
        <v>3</v>
      </c>
      <c r="BL1" s="250"/>
      <c r="BM1" s="250"/>
      <c r="BN1" s="251"/>
      <c r="BO1" s="151"/>
      <c r="BP1" s="249" t="s">
        <v>4</v>
      </c>
      <c r="BQ1" s="250"/>
      <c r="BR1" s="250"/>
      <c r="BS1" s="250"/>
      <c r="BT1" s="251"/>
      <c r="BU1" s="151"/>
      <c r="BV1" s="249" t="s">
        <v>5</v>
      </c>
      <c r="BW1" s="250"/>
      <c r="BX1" s="250"/>
      <c r="BY1" s="250"/>
      <c r="BZ1" s="250"/>
      <c r="CA1" s="251"/>
      <c r="CB1" s="151"/>
      <c r="CC1" s="249" t="s">
        <v>6</v>
      </c>
      <c r="CD1" s="250"/>
      <c r="CE1" s="250"/>
      <c r="CF1" s="250"/>
      <c r="CG1" s="251"/>
      <c r="CH1" s="151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51"/>
      <c r="AZ2" s="217" t="s">
        <v>40</v>
      </c>
      <c r="BA2" s="219" t="s">
        <v>41</v>
      </c>
      <c r="BB2" s="221" t="s">
        <v>42</v>
      </c>
      <c r="BC2" s="151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51"/>
      <c r="BK2" s="231" t="s">
        <v>49</v>
      </c>
      <c r="BL2" s="232" t="s">
        <v>50</v>
      </c>
      <c r="BM2" s="232" t="s">
        <v>51</v>
      </c>
      <c r="BN2" s="245" t="s">
        <v>52</v>
      </c>
      <c r="BO2" s="151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51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51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51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51"/>
      <c r="AZ3" s="218"/>
      <c r="BA3" s="220"/>
      <c r="BB3" s="222"/>
      <c r="BC3" s="151"/>
      <c r="BD3" s="224"/>
      <c r="BE3" s="226"/>
      <c r="BF3" s="226"/>
      <c r="BG3" s="226"/>
      <c r="BH3" s="226"/>
      <c r="BI3" s="230"/>
      <c r="BJ3" s="151"/>
      <c r="BK3" s="224"/>
      <c r="BL3" s="226"/>
      <c r="BM3" s="226"/>
      <c r="BN3" s="230"/>
      <c r="BO3" s="151"/>
      <c r="BP3" s="224"/>
      <c r="BQ3" s="226"/>
      <c r="BR3" s="228"/>
      <c r="BS3" s="226"/>
      <c r="BT3" s="230"/>
      <c r="BU3" s="151"/>
      <c r="BV3" s="242"/>
      <c r="BW3" s="244"/>
      <c r="BX3" s="244"/>
      <c r="BY3" s="194"/>
      <c r="BZ3" s="244"/>
      <c r="CA3" s="238"/>
      <c r="CB3" s="151"/>
      <c r="CC3" s="240"/>
      <c r="CD3" s="228"/>
      <c r="CE3" s="228"/>
      <c r="CF3" s="228"/>
      <c r="CG3" s="234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1" si="0">+TEXT(A4,"DDD")</f>
        <v>Thu</v>
      </c>
      <c r="C4" s="98">
        <f>+SUM(EL_DEL_CD2_JO_!C4,EL_DEL_CD2_SBI_1_4_!C4,EL_DEL_CD2_SBI_5_6_!C4,EL_DEL_CD2_SBI_7_8_!C4,EL_DEL_CD2_SBI_9_10_!C4,EL_DEL_CD2_STAB_!C4,EL_DEL_CD2_JO_L_!C4,EL_DEL_CD2_SBI_L_1_4_!C4,EL_DEL_CD2_SBI_L_5_6_!C4,EL_DEL_CD2_SBI_L_7_8_!C4,EL_DEL_CD2_SBI_L_9_10_!C4,EL_DEL_CD2_L_STAB_!C4)</f>
        <v>0</v>
      </c>
      <c r="D4" s="98">
        <f>+SUM(EL_DEL_CD2_JO_!D4,EL_DEL_CD2_SBI_1_4_!D4,EL_DEL_CD2_SBI_5_6_!D4,EL_DEL_CD2_SBI_7_8_!D4,EL_DEL_CD2_SBI_9_10_!D4,EL_DEL_CD2_STAB_!D4,EL_DEL_CD2_JO_L_!D4,EL_DEL_CD2_SBI_L_1_4_!D4,EL_DEL_CD2_SBI_L_5_6_!D4,EL_DEL_CD2_SBI_L_7_8_!D4,EL_DEL_CD2_SBI_L_9_10_!D4,EL_DEL_CD2_L_STAB_!D4)</f>
        <v>0</v>
      </c>
      <c r="E4" s="98">
        <f>+SUM(EL_DEL_CD2_JO_!E4,EL_DEL_CD2_SBI_1_4_!E4,EL_DEL_CD2_SBI_5_6_!E4,EL_DEL_CD2_SBI_7_8_!E4,EL_DEL_CD2_SBI_9_10_!E4,EL_DEL_CD2_STAB_!E4,EL_DEL_CD2_JO_L_!E4,EL_DEL_CD2_SBI_L_1_4_!E4,EL_DEL_CD2_SBI_L_5_6_!E4,EL_DEL_CD2_SBI_L_7_8_!E4,EL_DEL_CD2_SBI_L_9_10_!E4,EL_DEL_CD2_L_STAB_!E4)</f>
        <v>0</v>
      </c>
      <c r="F4" s="98">
        <f>+SUM(EL_DEL_CD2_JO_!F4,EL_DEL_CD2_SBI_1_4_!F4,EL_DEL_CD2_SBI_5_6_!F4,EL_DEL_CD2_SBI_7_8_!F4,EL_DEL_CD2_SBI_9_10_!F4,EL_DEL_CD2_STAB_!F4,EL_DEL_CD2_JO_L_!F4,EL_DEL_CD2_SBI_L_1_4_!F4,EL_DEL_CD2_SBI_L_5_6_!F4,EL_DEL_CD2_SBI_L_7_8_!F4,EL_DEL_CD2_SBI_L_9_10_!F4,EL_DEL_CD2_L_STAB_!F4)</f>
        <v>0</v>
      </c>
      <c r="G4" s="98">
        <f>+SUM(EL_DEL_CD2_JO_!G4,EL_DEL_CD2_SBI_1_4_!G4,EL_DEL_CD2_SBI_5_6_!G4,EL_DEL_CD2_SBI_7_8_!G4,EL_DEL_CD2_SBI_9_10_!G4,EL_DEL_CD2_STAB_!G4,EL_DEL_CD2_JO_L_!G4,EL_DEL_CD2_SBI_L_1_4_!G4,EL_DEL_CD2_SBI_L_5_6_!G4,EL_DEL_CD2_SBI_L_7_8_!G4,EL_DEL_CD2_SBI_L_9_10_!G4,EL_DEL_CD2_L_STAB_!G4)</f>
        <v>0</v>
      </c>
      <c r="H4" s="98">
        <f>+SUM(EL_DEL_CD2_JO_!H4,EL_DEL_CD2_SBI_1_4_!H4,EL_DEL_CD2_SBI_5_6_!H4,EL_DEL_CD2_SBI_7_8_!H4,EL_DEL_CD2_SBI_9_10_!H4,EL_DEL_CD2_STAB_!H4,EL_DEL_CD2_JO_L_!H4,EL_DEL_CD2_SBI_L_1_4_!H4,EL_DEL_CD2_SBI_L_5_6_!H4,EL_DEL_CD2_SBI_L_7_8_!H4,EL_DEL_CD2_SBI_L_9_10_!H4,EL_DEL_CD2_L_STAB_!H4)</f>
        <v>0</v>
      </c>
      <c r="I4" s="98">
        <f>+SUM(EL_DEL_CD2_JO_!I4,EL_DEL_CD2_SBI_1_4_!I4,EL_DEL_CD2_SBI_5_6_!I4,EL_DEL_CD2_SBI_7_8_!I4,EL_DEL_CD2_SBI_9_10_!I4,EL_DEL_CD2_STAB_!I4,EL_DEL_CD2_JO_L_!I4,EL_DEL_CD2_SBI_L_1_4_!I4,EL_DEL_CD2_SBI_L_5_6_!I4,EL_DEL_CD2_SBI_L_7_8_!I4,EL_DEL_CD2_SBI_L_9_10_!I4,EL_DEL_CD2_L_STAB_!I4)</f>
        <v>0</v>
      </c>
      <c r="J4" s="98">
        <f>+SUM(EL_DEL_CD2_JO_!J4,EL_DEL_CD2_SBI_1_4_!J4,EL_DEL_CD2_SBI_5_6_!J4,EL_DEL_CD2_SBI_7_8_!J4,EL_DEL_CD2_SBI_9_10_!J4,EL_DEL_CD2_STAB_!J4,EL_DEL_CD2_JO_L_!J4,EL_DEL_CD2_SBI_L_1_4_!J4,EL_DEL_CD2_SBI_L_5_6_!J4,EL_DEL_CD2_SBI_L_7_8_!J4,EL_DEL_CD2_SBI_L_9_10_!J4,EL_DEL_CD2_L_STAB_!J4)</f>
        <v>0</v>
      </c>
      <c r="K4" s="98">
        <f>+SUM(EL_DEL_CD2_JO_!K4,EL_DEL_CD2_SBI_1_4_!K4,EL_DEL_CD2_SBI_5_6_!K4,EL_DEL_CD2_SBI_7_8_!K4,EL_DEL_CD2_SBI_9_10_!K4,EL_DEL_CD2_STAB_!K4,EL_DEL_CD2_JO_L_!K4,EL_DEL_CD2_SBI_L_1_4_!K4,EL_DEL_CD2_SBI_L_5_6_!K4,EL_DEL_CD2_SBI_L_7_8_!K4,EL_DEL_CD2_SBI_L_9_10_!K4,EL_DEL_CD2_L_STAB_!K4)</f>
        <v>0</v>
      </c>
      <c r="L4" s="98">
        <f>+SUM(EL_DEL_CD2_JO_!L4,EL_DEL_CD2_SBI_1_4_!L4,EL_DEL_CD2_SBI_5_6_!L4,EL_DEL_CD2_SBI_7_8_!L4,EL_DEL_CD2_SBI_9_10_!L4,EL_DEL_CD2_STAB_!L4,EL_DEL_CD2_JO_L_!L4,EL_DEL_CD2_SBI_L_1_4_!L4,EL_DEL_CD2_SBI_L_5_6_!L4,EL_DEL_CD2_SBI_L_7_8_!L4,EL_DEL_CD2_SBI_L_9_10_!L4,EL_DEL_CD2_L_STAB_!L4)</f>
        <v>0</v>
      </c>
      <c r="M4" s="98">
        <f>+SUM(EL_DEL_CD2_JO_!M4,EL_DEL_CD2_SBI_1_4_!M4,EL_DEL_CD2_SBI_5_6_!M4,EL_DEL_CD2_SBI_7_8_!M4,EL_DEL_CD2_SBI_9_10_!M4,EL_DEL_CD2_STAB_!M4,EL_DEL_CD2_JO_L_!M4,EL_DEL_CD2_SBI_L_1_4_!M4,EL_DEL_CD2_SBI_L_5_6_!M4,EL_DEL_CD2_SBI_L_7_8_!M4,EL_DEL_CD2_SBI_L_9_10_!M4,EL_DEL_CD2_L_STAB_!M4)</f>
        <v>0</v>
      </c>
      <c r="N4" s="98">
        <f>+SUM(EL_DEL_CD2_JO_!N4,EL_DEL_CD2_SBI_1_4_!N4,EL_DEL_CD2_SBI_5_6_!N4,EL_DEL_CD2_SBI_7_8_!N4,EL_DEL_CD2_SBI_9_10_!N4,EL_DEL_CD2_STAB_!N4,EL_DEL_CD2_JO_L_!N4,EL_DEL_CD2_SBI_L_1_4_!N4,EL_DEL_CD2_SBI_L_5_6_!N4,EL_DEL_CD2_SBI_L_7_8_!N4,EL_DEL_CD2_SBI_L_9_10_!N4,EL_DEL_CD2_L_STAB_!N4)</f>
        <v>0</v>
      </c>
      <c r="O4" s="98">
        <f>+SUM(EL_DEL_CD2_JO_!O4,EL_DEL_CD2_SBI_1_4_!O4,EL_DEL_CD2_SBI_5_6_!O4,EL_DEL_CD2_SBI_7_8_!O4,EL_DEL_CD2_SBI_9_10_!O4,EL_DEL_CD2_STAB_!O4,EL_DEL_CD2_JO_L_!O4,EL_DEL_CD2_SBI_L_1_4_!O4,EL_DEL_CD2_SBI_L_5_6_!O4,EL_DEL_CD2_SBI_L_7_8_!O4,EL_DEL_CD2_SBI_L_9_10_!O4,EL_DEL_CD2_L_STAB_!O4)</f>
        <v>0</v>
      </c>
      <c r="P4" s="98">
        <f>+SUM(EL_DEL_CD2_JO_!P4,EL_DEL_CD2_SBI_1_4_!P4,EL_DEL_CD2_SBI_5_6_!P4,EL_DEL_CD2_SBI_7_8_!P4,EL_DEL_CD2_SBI_9_10_!P4,EL_DEL_CD2_STAB_!P4,EL_DEL_CD2_JO_L_!P4,EL_DEL_CD2_SBI_L_1_4_!P4,EL_DEL_CD2_SBI_L_5_6_!P4,EL_DEL_CD2_SBI_L_7_8_!P4,EL_DEL_CD2_SBI_L_9_10_!P4,EL_DEL_CD2_L_STAB_!P4)</f>
        <v>0</v>
      </c>
      <c r="Q4" s="98">
        <f>+SUM(EL_DEL_CD2_JO_!Q4,EL_DEL_CD2_SBI_1_4_!Q4,EL_DEL_CD2_SBI_5_6_!Q4,EL_DEL_CD2_SBI_7_8_!Q4,EL_DEL_CD2_SBI_9_10_!Q4,EL_DEL_CD2_STAB_!Q4,EL_DEL_CD2_JO_L_!Q4,EL_DEL_CD2_SBI_L_1_4_!Q4,EL_DEL_CD2_SBI_L_5_6_!Q4,EL_DEL_CD2_SBI_L_7_8_!Q4,EL_DEL_CD2_SBI_L_9_10_!Q4,EL_DEL_CD2_L_STAB_!Q4)</f>
        <v>0</v>
      </c>
      <c r="R4" s="98">
        <f>+SUM(EL_DEL_CD2_JO_!R4,EL_DEL_CD2_SBI_1_4_!R4,EL_DEL_CD2_SBI_5_6_!R4,EL_DEL_CD2_SBI_7_8_!R4,EL_DEL_CD2_SBI_9_10_!R4,EL_DEL_CD2_STAB_!R4,EL_DEL_CD2_JO_L_!R4,EL_DEL_CD2_SBI_L_1_4_!R4,EL_DEL_CD2_SBI_L_5_6_!R4,EL_DEL_CD2_SBI_L_7_8_!R4,EL_DEL_CD2_SBI_L_9_10_!R4,EL_DEL_CD2_L_STAB_!R4)</f>
        <v>0</v>
      </c>
      <c r="S4" s="98">
        <f>+SUM(EL_DEL_CD2_JO_!S4,EL_DEL_CD2_SBI_1_4_!S4,EL_DEL_CD2_SBI_5_6_!S4,EL_DEL_CD2_SBI_7_8_!S4,EL_DEL_CD2_SBI_9_10_!S4,EL_DEL_CD2_STAB_!S4,EL_DEL_CD2_JO_L_!S4,EL_DEL_CD2_SBI_L_1_4_!S4,EL_DEL_CD2_SBI_L_5_6_!S4,EL_DEL_CD2_SBI_L_7_8_!S4,EL_DEL_CD2_SBI_L_9_10_!S4,EL_DEL_CD2_L_STAB_!S4)</f>
        <v>0</v>
      </c>
      <c r="T4" s="98">
        <f>+SUM(EL_DEL_CD2_JO_!T4,EL_DEL_CD2_SBI_1_4_!T4,EL_DEL_CD2_SBI_5_6_!T4,EL_DEL_CD2_SBI_7_8_!T4,EL_DEL_CD2_SBI_9_10_!T4,EL_DEL_CD2_STAB_!T4,EL_DEL_CD2_JO_L_!T4,EL_DEL_CD2_SBI_L_1_4_!T4,EL_DEL_CD2_SBI_L_5_6_!T4,EL_DEL_CD2_SBI_L_7_8_!T4,EL_DEL_CD2_SBI_L_9_10_!T4,EL_DEL_CD2_L_STAB_!T4)</f>
        <v>0</v>
      </c>
      <c r="U4" s="98">
        <f>+SUM(EL_DEL_CD2_JO_!U4,EL_DEL_CD2_SBI_1_4_!U4,EL_DEL_CD2_SBI_5_6_!U4,EL_DEL_CD2_SBI_7_8_!U4,EL_DEL_CD2_SBI_9_10_!U4,EL_DEL_CD2_STAB_!U4,EL_DEL_CD2_JO_L_!U4,EL_DEL_CD2_SBI_L_1_4_!U4,EL_DEL_CD2_SBI_L_5_6_!U4,EL_DEL_CD2_SBI_L_7_8_!U4,EL_DEL_CD2_SBI_L_9_10_!U4,EL_DEL_CD2_L_STAB_!U4)</f>
        <v>0</v>
      </c>
      <c r="V4" s="98">
        <f>+SUM(EL_DEL_CD2_JO_!V4,EL_DEL_CD2_SBI_1_4_!V4,EL_DEL_CD2_SBI_5_6_!V4,EL_DEL_CD2_SBI_7_8_!V4,EL_DEL_CD2_SBI_9_10_!V4,EL_DEL_CD2_STAB_!V4,EL_DEL_CD2_JO_L_!V4,EL_DEL_CD2_SBI_L_1_4_!V4,EL_DEL_CD2_SBI_L_5_6_!V4,EL_DEL_CD2_SBI_L_7_8_!V4,EL_DEL_CD2_SBI_L_9_10_!V4,EL_DEL_CD2_L_STAB_!V4)</f>
        <v>0</v>
      </c>
      <c r="W4" s="98">
        <f>+SUM(EL_DEL_CD2_JO_!W4,EL_DEL_CD2_SBI_1_4_!W4,EL_DEL_CD2_SBI_5_6_!W4,EL_DEL_CD2_SBI_7_8_!W4,EL_DEL_CD2_SBI_9_10_!W4,EL_DEL_CD2_STAB_!W4,EL_DEL_CD2_JO_L_!W4,EL_DEL_CD2_SBI_L_1_4_!W4,EL_DEL_CD2_SBI_L_5_6_!W4,EL_DEL_CD2_SBI_L_7_8_!W4,EL_DEL_CD2_SBI_L_9_10_!W4,EL_DEL_CD2_L_STAB_!W4)</f>
        <v>0</v>
      </c>
      <c r="X4" s="98">
        <f>+SUM(EL_DEL_CD2_JO_!X4,EL_DEL_CD2_SBI_1_4_!X4,EL_DEL_CD2_SBI_5_6_!X4,EL_DEL_CD2_SBI_7_8_!X4,EL_DEL_CD2_SBI_9_10_!X4,EL_DEL_CD2_STAB_!X4,EL_DEL_CD2_JO_L_!X4,EL_DEL_CD2_SBI_L_1_4_!X4,EL_DEL_CD2_SBI_L_5_6_!X4,EL_DEL_CD2_SBI_L_7_8_!X4,EL_DEL_CD2_SBI_L_9_10_!X4,EL_DEL_CD2_L_STAB_!X4)</f>
        <v>0</v>
      </c>
      <c r="Y4" s="98">
        <f>+SUM(EL_DEL_CD2_JO_!Y4,EL_DEL_CD2_SBI_1_4_!Y4,EL_DEL_CD2_SBI_5_6_!Y4,EL_DEL_CD2_SBI_7_8_!Y4,EL_DEL_CD2_SBI_9_10_!Y4,EL_DEL_CD2_STAB_!Y4,EL_DEL_CD2_JO_L_!Y4,EL_DEL_CD2_SBI_L_1_4_!Y4,EL_DEL_CD2_SBI_L_5_6_!Y4,EL_DEL_CD2_SBI_L_7_8_!Y4,EL_DEL_CD2_SBI_L_9_10_!Y4,EL_DEL_CD2_L_STAB_!Y4)</f>
        <v>0</v>
      </c>
      <c r="Z4" s="98">
        <f>+SUM(EL_DEL_CD2_JO_!Z4,EL_DEL_CD2_SBI_1_4_!Z4,EL_DEL_CD2_SBI_5_6_!Z4,EL_DEL_CD2_SBI_7_8_!Z4,EL_DEL_CD2_SBI_9_10_!Z4,EL_DEL_CD2_STAB_!Z4,EL_DEL_CD2_JO_L_!Z4,EL_DEL_CD2_SBI_L_1_4_!Z4,EL_DEL_CD2_SBI_L_5_6_!Z4,EL_DEL_CD2_SBI_L_7_8_!Z4,EL_DEL_CD2_SBI_L_9_10_!Z4,EL_DEL_CD2_L_STAB_!Z4)</f>
        <v>0</v>
      </c>
      <c r="AA4" s="98">
        <f>+SUM(EL_DEL_CD2_JO_!AA4,EL_DEL_CD2_SBI_1_4_!AA4,EL_DEL_CD2_SBI_5_6_!AA4,EL_DEL_CD2_SBI_7_8_!AA4,EL_DEL_CD2_SBI_9_10_!AA4,EL_DEL_CD2_STAB_!AA4,EL_DEL_CD2_JO_L_!AA4,EL_DEL_CD2_SBI_L_1_4_!AA4,EL_DEL_CD2_SBI_L_5_6_!AA4,EL_DEL_CD2_SBI_L_7_8_!AA4,EL_DEL_CD2_SBI_L_9_10_!AA4,EL_DEL_CD2_L_STAB_!AA4)</f>
        <v>0</v>
      </c>
      <c r="AB4" s="98">
        <f>+SUM(EL_DEL_CD2_JO_!AB4,EL_DEL_CD2_SBI_1_4_!AB4,EL_DEL_CD2_SBI_5_6_!AB4,EL_DEL_CD2_SBI_7_8_!AB4,EL_DEL_CD2_SBI_9_10_!AB4,EL_DEL_CD2_STAB_!AB4,EL_DEL_CD2_JO_L_!AB4,EL_DEL_CD2_SBI_L_1_4_!AB4,EL_DEL_CD2_SBI_L_5_6_!AB4,EL_DEL_CD2_SBI_L_7_8_!AB4,EL_DEL_CD2_SBI_L_9_10_!AB4,EL_DEL_CD2_L_STAB_!AB4)</f>
        <v>0</v>
      </c>
      <c r="AC4" s="98">
        <f>+SUM(EL_DEL_CD2_JO_!AC4,EL_DEL_CD2_SBI_1_4_!AC4,EL_DEL_CD2_SBI_5_6_!AC4,EL_DEL_CD2_SBI_7_8_!AC4,EL_DEL_CD2_SBI_9_10_!AC4,EL_DEL_CD2_STAB_!AC4,EL_DEL_CD2_JO_L_!AC4,EL_DEL_CD2_SBI_L_1_4_!AC4,EL_DEL_CD2_SBI_L_5_6_!AC4,EL_DEL_CD2_SBI_L_7_8_!AC4,EL_DEL_CD2_SBI_L_9_10_!AC4,EL_DEL_CD2_L_STAB_!AC4)</f>
        <v>0</v>
      </c>
      <c r="AD4" s="98">
        <f>+SUM(EL_DEL_CD2_JO_!AD4,EL_DEL_CD2_SBI_1_4_!AD4,EL_DEL_CD2_SBI_5_6_!AD4,EL_DEL_CD2_SBI_7_8_!AD4,EL_DEL_CD2_SBI_9_10_!AD4,EL_DEL_CD2_STAB_!AD4,EL_DEL_CD2_JO_L_!AD4,EL_DEL_CD2_SBI_L_1_4_!AD4,EL_DEL_CD2_SBI_L_5_6_!AD4,EL_DEL_CD2_SBI_L_7_8_!AD4,EL_DEL_CD2_SBI_L_9_10_!AD4,EL_DEL_CD2_L_STAB_!AD4)</f>
        <v>0</v>
      </c>
      <c r="AE4" s="98">
        <f>+SUM(EL_DEL_CD2_JO_!AE4,EL_DEL_CD2_SBI_1_4_!AE4,EL_DEL_CD2_SBI_5_6_!AE4,EL_DEL_CD2_SBI_7_8_!AE4,EL_DEL_CD2_SBI_9_10_!AE4,EL_DEL_CD2_STAB_!AE4,EL_DEL_CD2_JO_L_!AE4,EL_DEL_CD2_SBI_L_1_4_!AE4,EL_DEL_CD2_SBI_L_5_6_!AE4,EL_DEL_CD2_SBI_L_7_8_!AE4,EL_DEL_CD2_SBI_L_9_10_!AE4,EL_DEL_CD2_L_STAB_!AE4)</f>
        <v>0</v>
      </c>
      <c r="AF4" s="98">
        <f>+SUM(EL_DEL_CD2_JO_!AF4,EL_DEL_CD2_SBI_1_4_!AF4,EL_DEL_CD2_SBI_5_6_!AF4,EL_DEL_CD2_SBI_7_8_!AF4,EL_DEL_CD2_SBI_9_10_!AF4,EL_DEL_CD2_STAB_!AF4,EL_DEL_CD2_JO_L_!AF4,EL_DEL_CD2_SBI_L_1_4_!AF4,EL_DEL_CD2_SBI_L_5_6_!AF4,EL_DEL_CD2_SBI_L_7_8_!AF4,EL_DEL_CD2_SBI_L_9_10_!AF4,EL_DEL_CD2_L_STAB_!AF4)</f>
        <v>0</v>
      </c>
      <c r="AG4" s="98">
        <f>+SUM(EL_DEL_CD2_JO_!AG4,EL_DEL_CD2_SBI_1_4_!AG4,EL_DEL_CD2_SBI_5_6_!AG4,EL_DEL_CD2_SBI_7_8_!AG4,EL_DEL_CD2_SBI_9_10_!AG4,EL_DEL_CD2_STAB_!AG4,EL_DEL_CD2_JO_L_!AG4,EL_DEL_CD2_SBI_L_1_4_!AG4,EL_DEL_CD2_SBI_L_5_6_!AG4,EL_DEL_CD2_SBI_L_7_8_!AG4,EL_DEL_CD2_SBI_L_9_10_!AG4,EL_DEL_CD2_L_STAB_!AG4)</f>
        <v>0</v>
      </c>
      <c r="AH4" s="98">
        <f>+SUM(EL_DEL_CD2_JO_!AH4,EL_DEL_CD2_SBI_1_4_!AH4,EL_DEL_CD2_SBI_5_6_!AH4,EL_DEL_CD2_SBI_7_8_!AH4,EL_DEL_CD2_SBI_9_10_!AH4,EL_DEL_CD2_STAB_!AH4,EL_DEL_CD2_JO_L_!AH4,EL_DEL_CD2_SBI_L_1_4_!AH4,EL_DEL_CD2_SBI_L_5_6_!AH4,EL_DEL_CD2_SBI_L_7_8_!AH4,EL_DEL_CD2_SBI_L_9_10_!AH4,EL_DEL_CD2_L_STAB_!AH4)</f>
        <v>0</v>
      </c>
      <c r="AI4" s="98">
        <f>+SUM(EL_DEL_CD2_JO_!AI4,EL_DEL_CD2_SBI_1_4_!AI4,EL_DEL_CD2_SBI_5_6_!AI4,EL_DEL_CD2_SBI_7_8_!AI4,EL_DEL_CD2_SBI_9_10_!AI4,EL_DEL_CD2_STAB_!AI4,EL_DEL_CD2_JO_L_!AI4,EL_DEL_CD2_SBI_L_1_4_!AI4,EL_DEL_CD2_SBI_L_5_6_!AI4,EL_DEL_CD2_SBI_L_7_8_!AI4,EL_DEL_CD2_SBI_L_9_10_!AI4,EL_DEL_CD2_L_STAB_!AI4)</f>
        <v>0</v>
      </c>
      <c r="AJ4" s="98">
        <f>+SUM(EL_DEL_CD2_JO_!AJ4,EL_DEL_CD2_SBI_1_4_!AJ4,EL_DEL_CD2_SBI_5_6_!AJ4,EL_DEL_CD2_SBI_7_8_!AJ4,EL_DEL_CD2_SBI_9_10_!AJ4,EL_DEL_CD2_STAB_!AJ4,EL_DEL_CD2_JO_L_!AJ4,EL_DEL_CD2_SBI_L_1_4_!AJ4,EL_DEL_CD2_SBI_L_5_6_!AJ4,EL_DEL_CD2_SBI_L_7_8_!AJ4,EL_DEL_CD2_SBI_L_9_10_!AJ4,EL_DEL_CD2_L_STAB_!AJ4)</f>
        <v>0</v>
      </c>
      <c r="AK4" s="98">
        <f>+SUM(EL_DEL_CD2_JO_!AK4,EL_DEL_CD2_SBI_1_4_!AK4,EL_DEL_CD2_SBI_5_6_!AK4,EL_DEL_CD2_SBI_7_8_!AK4,EL_DEL_CD2_SBI_9_10_!AK4,EL_DEL_CD2_STAB_!AK4,EL_DEL_CD2_JO_L_!AK4,EL_DEL_CD2_SBI_L_1_4_!AK4,EL_DEL_CD2_SBI_L_5_6_!AK4,EL_DEL_CD2_SBI_L_7_8_!AK4,EL_DEL_CD2_SBI_L_9_10_!AK4,EL_DEL_CD2_L_STAB_!AK4)</f>
        <v>0</v>
      </c>
      <c r="AL4" s="152" t="str">
        <f>+IFERROR(AVERAGE(EL_DEL_CD2_JO_!AL4,EL_DEL_CD2_SBI_1_4_!AL4,EL_DEL_CD2_SBI_5_6_!AL4,EL_DEL_CD2_SBI_7_8_!AL4,EL_DEL_CD2_SBI_9_10_!AL4,EL_DEL_CD2_STAB_!AL4,EL_DEL_CD2_JO_L_!AL4,EL_DEL_CD2_SBI_L_1_4_!AL4,EL_DEL_CD2_SBI_L_5_6_!AL4,EL_DEL_CD2_SBI_L_7_8_!AL4,EL_DEL_CD2_SBI_L_9_10_!AL4,EL_DEL_CD2_L_STAB_!AL4),"0:00")</f>
        <v>0:00</v>
      </c>
      <c r="AM4" s="152" t="str">
        <f>+IFERROR(AVERAGE(EL_DEL_CD2_JO_!AM4,EL_DEL_CD2_SBI_1_4_!AM4,EL_DEL_CD2_SBI_5_6_!AM4,EL_DEL_CD2_SBI_7_8_!AM4,EL_DEL_CD2_SBI_9_10_!AM4,EL_DEL_CD2_STAB_!AM4,EL_DEL_CD2_JO_L_!AM4,EL_DEL_CD2_SBI_L_1_4_!AM4,EL_DEL_CD2_SBI_L_5_6_!AM4,EL_DEL_CD2_SBI_L_7_8_!AM4,EL_DEL_CD2_SBI_L_9_10_!AM4,EL_DEL_CD2_L_STAB_!AM4),"0:00")</f>
        <v>0:00</v>
      </c>
      <c r="AN4" s="152" t="str">
        <f>+IFERROR(AVERAGE(EL_DEL_CD2_JO_!AN4,EL_DEL_CD2_SBI_1_4_!AN4,EL_DEL_CD2_SBI_5_6_!AN4,EL_DEL_CD2_SBI_7_8_!AN4,EL_DEL_CD2_SBI_9_10_!AN4,EL_DEL_CD2_STAB_!AN4,EL_DEL_CD2_JO_L_!AN4,EL_DEL_CD2_SBI_L_1_4_!AN4,EL_DEL_CD2_SBI_L_5_6_!AN4,EL_DEL_CD2_SBI_L_7_8_!AN4,EL_DEL_CD2_SBI_L_9_10_!AN4,EL_DEL_CD2_L_STAB_!AN4),"0:00")</f>
        <v>0:00</v>
      </c>
      <c r="AO4" s="152" t="str">
        <f>+IFERROR(AVERAGE(EL_DEL_CD2_JO_!AO4,EL_DEL_CD2_SBI_1_4_!AO4,EL_DEL_CD2_SBI_5_6_!AO4,EL_DEL_CD2_SBI_7_8_!AO4,EL_DEL_CD2_SBI_9_10_!AO4,EL_DEL_CD2_STAB_!AO4,EL_DEL_CD2_JO_L_!AO4,EL_DEL_CD2_SBI_L_1_4_!AO4,EL_DEL_CD2_SBI_L_5_6_!AO4,EL_DEL_CD2_SBI_L_7_8_!AO4,EL_DEL_CD2_SBI_L_9_10_!AO4,EL_DEL_CD2_L_STAB_!AO4),"0:00")</f>
        <v>0:00</v>
      </c>
      <c r="AP4" s="152" t="str">
        <f>+IFERROR(AVERAGE(EL_DEL_CD2_JO_!AP4,EL_DEL_CD2_SBI_1_4_!AP4,EL_DEL_CD2_SBI_5_6_!AP4,EL_DEL_CD2_SBI_7_8_!AP4,EL_DEL_CD2_SBI_9_10_!AP4,EL_DEL_CD2_STAB_!AP4,EL_DEL_CD2_JO_L_!AP4,EL_DEL_CD2_SBI_L_1_4_!AP4,EL_DEL_CD2_SBI_L_5_6_!AP4,EL_DEL_CD2_SBI_L_7_8_!AP4,EL_DEL_CD2_SBI_L_9_10_!AP4,EL_DEL_CD2_L_STAB_!AP4),"0:00")</f>
        <v>0:00</v>
      </c>
      <c r="AQ4" s="152" t="str">
        <f>+IFERROR(AVERAGE(EL_DEL_CD2_JO_!AQ4,EL_DEL_CD2_SBI_1_4_!AQ4,EL_DEL_CD2_SBI_5_6_!AQ4,EL_DEL_CD2_SBI_7_8_!AQ4,EL_DEL_CD2_SBI_9_10_!AQ4,EL_DEL_CD2_STAB_!AQ4,EL_DEL_CD2_JO_L_!AQ4,EL_DEL_CD2_SBI_L_1_4_!AQ4,EL_DEL_CD2_SBI_L_5_6_!AQ4,EL_DEL_CD2_SBI_L_7_8_!AQ4,EL_DEL_CD2_SBI_L_9_10_!AQ4,EL_DEL_CD2_L_STAB_!AQ4),"0:00")</f>
        <v>0:00</v>
      </c>
      <c r="AR4" s="152" t="str">
        <f>+IFERROR(AVERAGE(EL_DEL_CD2_JO_!AR4,EL_DEL_CD2_SBI_1_4_!AR4,EL_DEL_CD2_SBI_5_6_!AR4,EL_DEL_CD2_SBI_7_8_!AR4,EL_DEL_CD2_SBI_9_10_!AR4,EL_DEL_CD2_STAB_!AR4,EL_DEL_CD2_JO_L_!AR4,EL_DEL_CD2_SBI_L_1_4_!AR4,EL_DEL_CD2_SBI_L_5_6_!AR4,EL_DEL_CD2_SBI_L_7_8_!AR4,EL_DEL_CD2_SBI_L_9_10_!AR4,EL_DEL_CD2_L_STAB_!AR4),"0:00")</f>
        <v>0:00</v>
      </c>
      <c r="AS4" s="152" t="str">
        <f>+IFERROR(AVERAGE(EL_DEL_CD2_JO_!AS4,EL_DEL_CD2_SBI_1_4_!AS4,EL_DEL_CD2_SBI_5_6_!AS4,EL_DEL_CD2_SBI_7_8_!AS4,EL_DEL_CD2_SBI_9_10_!AS4,EL_DEL_CD2_STAB_!AS4,EL_DEL_CD2_JO_L_!AS4,EL_DEL_CD2_SBI_L_1_4_!AS4,EL_DEL_CD2_SBI_L_5_6_!AS4,EL_DEL_CD2_SBI_L_7_8_!AS4,EL_DEL_CD2_SBI_L_9_10_!AS4,EL_DEL_CD2_L_STAB_!AS4),"0:00")</f>
        <v>0:00</v>
      </c>
      <c r="AT4" s="98">
        <f>+SUM(EL_DEL_CD2_JO_!AT4,EL_DEL_CD2_SBI_1_4_!AT4,EL_DEL_CD2_SBI_5_6_!AT4,EL_DEL_CD2_SBI_7_8_!AT4,EL_DEL_CD2_SBI_9_10_!AT4,EL_DEL_CD2_STAB_!AT4,EL_DEL_CD2_JO_L_!AT4,EL_DEL_CD2_SBI_L_1_4_!AT4,EL_DEL_CD2_SBI_L_5_6_!AT4,EL_DEL_CD2_SBI_L_7_8_!AT4,EL_DEL_CD2_SBI_L_9_10_!AT4,EL_DEL_CD2_L_STAB_!AT4)</f>
        <v>0</v>
      </c>
      <c r="AU4" s="98">
        <f>+SUM(EL_DEL_CD2_JO_!AU4,EL_DEL_CD2_SBI_1_4_!AU4,EL_DEL_CD2_SBI_5_6_!AU4,EL_DEL_CD2_SBI_7_8_!AU4,EL_DEL_CD2_SBI_9_10_!AU4,EL_DEL_CD2_STAB_!AU4,EL_DEL_CD2_JO_L_!AU4,EL_DEL_CD2_SBI_L_1_4_!AU4,EL_DEL_CD2_SBI_L_5_6_!AU4,EL_DEL_CD2_SBI_L_7_8_!AU4,EL_DEL_CD2_SBI_L_9_10_!AU4,EL_DEL_CD2_L_STAB_!AU4)</f>
        <v>0</v>
      </c>
      <c r="AV4" s="98">
        <f>+SUM(EL_DEL_CD2_JO_!AV4,EL_DEL_CD2_SBI_1_4_!AV4,EL_DEL_CD2_SBI_5_6_!AV4,EL_DEL_CD2_SBI_7_8_!AV4,EL_DEL_CD2_SBI_9_10_!AV4,EL_DEL_CD2_STAB_!AV4,EL_DEL_CD2_JO_L_!AV4,EL_DEL_CD2_SBI_L_1_4_!AV4,EL_DEL_CD2_SBI_L_5_6_!AV4,EL_DEL_CD2_SBI_L_7_8_!AV4,EL_DEL_CD2_SBI_L_9_10_!AV4,EL_DEL_CD2_L_STAB_!AV4)</f>
        <v>0</v>
      </c>
      <c r="AW4" s="167">
        <f>+SUM(EL_DEL_CD2_JO_!AW4,EL_DEL_CD2_SBI_1_4_!AW4,EL_DEL_CD2_SBI_5_6_!AW4,EL_DEL_CD2_SBI_7_8_!AW4,EL_DEL_CD2_SBI_9_10_!AW4,EL_DEL_CD2_STAB_!AW4,EL_DEL_CD2_JO_L_!AW4,EL_DEL_CD2_SBI_L_1_4_!AW4,EL_DEL_CD2_SBI_L_5_6_!AW4,EL_DEL_CD2_SBI_L_7_8_!AW4,EL_DEL_CD2_SBI_L_9_10_!AW4,EL_DEL_CD2_L_STAB_!AW4)</f>
        <v>0</v>
      </c>
      <c r="AX4" s="102" t="str">
        <f>IFERROR(AN4/AW4,"-")</f>
        <v>-</v>
      </c>
      <c r="AY4" s="151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51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 t="shared" ref="BG4:BG9" si="7">+IF(SUM(AO4:AR4)&gt;0,AO4/AN4,"")</f>
        <v/>
      </c>
      <c r="BH4" s="119" t="str">
        <f t="shared" ref="BH4:BH36" si="8">+IF(G4&gt;0,K4/G4,"")</f>
        <v/>
      </c>
      <c r="BI4" s="120" t="str">
        <f>+IF(SUM(AO4:AR4)&gt;0,AQ4/AN4,"")</f>
        <v/>
      </c>
      <c r="BJ4" s="151"/>
      <c r="BK4" s="121" t="str">
        <f t="shared" ref="BK4:BK36" si="9">+IF(E4&gt;0,(AJ4/E4),"")</f>
        <v/>
      </c>
      <c r="BL4" s="122" t="str">
        <f t="shared" ref="BL4:BL36" si="10">+IF(E4&gt;0,(AJ4/F4),"")</f>
        <v/>
      </c>
      <c r="BM4" s="122" t="str">
        <f t="shared" ref="BM4:BM36" si="11">+IF(E4&gt;0,(AJ4/G4),"")</f>
        <v/>
      </c>
      <c r="BN4" s="123" t="str">
        <f t="shared" ref="BN4:BN36" si="12">+IF(E4&gt;0,(AJ4/J4),"")</f>
        <v/>
      </c>
      <c r="BO4" s="151"/>
      <c r="BP4" s="124" t="str">
        <f t="shared" ref="BP4:BP36" si="13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4">IF(J4&gt;0,AD4/J4,"")</f>
        <v/>
      </c>
      <c r="BU4" s="151"/>
      <c r="BV4" s="127" t="e">
        <f t="shared" ref="BV4:BV36" si="15">IF(AN4&gt;0,(E4/AN4),"")</f>
        <v>#DIV/0!</v>
      </c>
      <c r="BW4" s="127" t="e">
        <f t="shared" ref="BW4:BW36" si="16">IF(AN4&gt;0,(G4/AN4),"")</f>
        <v>#DIV/0!</v>
      </c>
      <c r="BX4" s="127" t="e">
        <f t="shared" ref="BX4:BX36" si="17">IF(AN4&gt;0,(J4/AN4),"")</f>
        <v>#DIV/0!</v>
      </c>
      <c r="BY4" s="127" t="e">
        <f t="shared" ref="BY4:BY36" si="18">IF(AN4&gt;0,(K4/AN4),"")</f>
        <v>#DIV/0!</v>
      </c>
      <c r="BZ4" s="127" t="e">
        <f>IF(AN4&gt;0,(AJ4/AN4),"")</f>
        <v>#DIV/0!</v>
      </c>
      <c r="CA4" s="128" t="e">
        <f>IF(AN4&gt;0,(AK4/AN4),"")</f>
        <v>#DIV/0!</v>
      </c>
      <c r="CB4" s="151"/>
      <c r="CC4" s="129" t="str">
        <f t="shared" ref="CC4:CC36" si="19">IFERROR(((AN4-AO4)*3600)/J4,"-")</f>
        <v>-</v>
      </c>
      <c r="CD4" s="130" t="str">
        <f t="shared" ref="CD4:CD36" si="20">IFERROR((AR4*3600)/J4,"-")</f>
        <v>-</v>
      </c>
      <c r="CE4" s="130" t="str">
        <f t="shared" ref="CE4:CE36" si="21">IFERROR((AQ4*3600)/J4,"-")</f>
        <v>-</v>
      </c>
      <c r="CF4" s="130" t="str">
        <f t="shared" ref="CF4:CF36" si="22">IFERROR((AO4*3600)/J4,"-")</f>
        <v>-</v>
      </c>
      <c r="CG4" s="131" t="str">
        <f t="shared" ref="CG4:CG36" si="23">IFERROR((AP4*3600)/J4,"-")</f>
        <v>-</v>
      </c>
      <c r="CH4" s="151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98">
        <f>+SUM(EL_DEL_CD2_JO_!C5,EL_DEL_CD2_SBI_1_4_!C5,EL_DEL_CD2_SBI_5_6_!C5,EL_DEL_CD2_SBI_7_8_!C5,EL_DEL_CD2_SBI_9_10_!C5,EL_DEL_CD2_STAB_!C5,EL_DEL_CD2_JO_L_!C5,EL_DEL_CD2_SBI_L_1_4_!C5,EL_DEL_CD2_SBI_L_5_6_!C5,EL_DEL_CD2_SBI_L_7_8_!C5,EL_DEL_CD2_SBI_L_9_10_!C5,EL_DEL_CD2_L_STAB_!C5)</f>
        <v>0</v>
      </c>
      <c r="D5" s="98">
        <f>+SUM(EL_DEL_CD2_JO_!D5,EL_DEL_CD2_SBI_1_4_!D5,EL_DEL_CD2_SBI_5_6_!D5,EL_DEL_CD2_SBI_7_8_!D5,EL_DEL_CD2_SBI_9_10_!D5,EL_DEL_CD2_STAB_!D5,EL_DEL_CD2_JO_L_!D5,EL_DEL_CD2_SBI_L_1_4_!D5,EL_DEL_CD2_SBI_L_5_6_!D5,EL_DEL_CD2_SBI_L_7_8_!D5,EL_DEL_CD2_SBI_L_9_10_!D5,EL_DEL_CD2_L_STAB_!D5)</f>
        <v>0</v>
      </c>
      <c r="E5" s="98">
        <f>+SUM(EL_DEL_CD2_JO_!E5,EL_DEL_CD2_SBI_1_4_!E5,EL_DEL_CD2_SBI_5_6_!E5,EL_DEL_CD2_SBI_7_8_!E5,EL_DEL_CD2_SBI_9_10_!E5,EL_DEL_CD2_STAB_!E5,EL_DEL_CD2_JO_L_!E5,EL_DEL_CD2_SBI_L_1_4_!E5,EL_DEL_CD2_SBI_L_5_6_!E5,EL_DEL_CD2_SBI_L_7_8_!E5,EL_DEL_CD2_SBI_L_9_10_!E5,EL_DEL_CD2_L_STAB_!E5)</f>
        <v>0</v>
      </c>
      <c r="F5" s="98">
        <f>+SUM(EL_DEL_CD2_JO_!F5,EL_DEL_CD2_SBI_1_4_!F5,EL_DEL_CD2_SBI_5_6_!F5,EL_DEL_CD2_SBI_7_8_!F5,EL_DEL_CD2_SBI_9_10_!F5,EL_DEL_CD2_STAB_!F5,EL_DEL_CD2_JO_L_!F5,EL_DEL_CD2_SBI_L_1_4_!F5,EL_DEL_CD2_SBI_L_5_6_!F5,EL_DEL_CD2_SBI_L_7_8_!F5,EL_DEL_CD2_SBI_L_9_10_!F5,EL_DEL_CD2_L_STAB_!F5)</f>
        <v>0</v>
      </c>
      <c r="G5" s="98">
        <f>+SUM(EL_DEL_CD2_JO_!G5,EL_DEL_CD2_SBI_1_4_!G5,EL_DEL_CD2_SBI_5_6_!G5,EL_DEL_CD2_SBI_7_8_!G5,EL_DEL_CD2_SBI_9_10_!G5,EL_DEL_CD2_STAB_!G5,EL_DEL_CD2_JO_L_!G5,EL_DEL_CD2_SBI_L_1_4_!G5,EL_DEL_CD2_SBI_L_5_6_!G5,EL_DEL_CD2_SBI_L_7_8_!G5,EL_DEL_CD2_SBI_L_9_10_!G5,EL_DEL_CD2_L_STAB_!G5)</f>
        <v>0</v>
      </c>
      <c r="H5" s="98">
        <f>+SUM(EL_DEL_CD2_JO_!H5,EL_DEL_CD2_SBI_1_4_!H5,EL_DEL_CD2_SBI_5_6_!H5,EL_DEL_CD2_SBI_7_8_!H5,EL_DEL_CD2_SBI_9_10_!H5,EL_DEL_CD2_STAB_!H5,EL_DEL_CD2_JO_L_!H5,EL_DEL_CD2_SBI_L_1_4_!H5,EL_DEL_CD2_SBI_L_5_6_!H5,EL_DEL_CD2_SBI_L_7_8_!H5,EL_DEL_CD2_SBI_L_9_10_!H5,EL_DEL_CD2_L_STAB_!H5)</f>
        <v>0</v>
      </c>
      <c r="I5" s="98">
        <f>+SUM(EL_DEL_CD2_JO_!I5,EL_DEL_CD2_SBI_1_4_!I5,EL_DEL_CD2_SBI_5_6_!I5,EL_DEL_CD2_SBI_7_8_!I5,EL_DEL_CD2_SBI_9_10_!I5,EL_DEL_CD2_STAB_!I5,EL_DEL_CD2_JO_L_!I5,EL_DEL_CD2_SBI_L_1_4_!I5,EL_DEL_CD2_SBI_L_5_6_!I5,EL_DEL_CD2_SBI_L_7_8_!I5,EL_DEL_CD2_SBI_L_9_10_!I5,EL_DEL_CD2_L_STAB_!I5)</f>
        <v>0</v>
      </c>
      <c r="J5" s="98">
        <f>+SUM(EL_DEL_CD2_JO_!J5,EL_DEL_CD2_SBI_1_4_!J5,EL_DEL_CD2_SBI_5_6_!J5,EL_DEL_CD2_SBI_7_8_!J5,EL_DEL_CD2_SBI_9_10_!J5,EL_DEL_CD2_STAB_!J5,EL_DEL_CD2_JO_L_!J5,EL_DEL_CD2_SBI_L_1_4_!J5,EL_DEL_CD2_SBI_L_5_6_!J5,EL_DEL_CD2_SBI_L_7_8_!J5,EL_DEL_CD2_SBI_L_9_10_!J5,EL_DEL_CD2_L_STAB_!J5)</f>
        <v>0</v>
      </c>
      <c r="K5" s="98">
        <f>+SUM(EL_DEL_CD2_JO_!K5,EL_DEL_CD2_SBI_1_4_!K5,EL_DEL_CD2_SBI_5_6_!K5,EL_DEL_CD2_SBI_7_8_!K5,EL_DEL_CD2_SBI_9_10_!K5,EL_DEL_CD2_STAB_!K5,EL_DEL_CD2_JO_L_!K5,EL_DEL_CD2_SBI_L_1_4_!K5,EL_DEL_CD2_SBI_L_5_6_!K5,EL_DEL_CD2_SBI_L_7_8_!K5,EL_DEL_CD2_SBI_L_9_10_!K5,EL_DEL_CD2_L_STAB_!K5)</f>
        <v>0</v>
      </c>
      <c r="L5" s="98">
        <f>+SUM(EL_DEL_CD2_JO_!L5,EL_DEL_CD2_SBI_1_4_!L5,EL_DEL_CD2_SBI_5_6_!L5,EL_DEL_CD2_SBI_7_8_!L5,EL_DEL_CD2_SBI_9_10_!L5,EL_DEL_CD2_STAB_!L5,EL_DEL_CD2_JO_L_!L5,EL_DEL_CD2_SBI_L_1_4_!L5,EL_DEL_CD2_SBI_L_5_6_!L5,EL_DEL_CD2_SBI_L_7_8_!L5,EL_DEL_CD2_SBI_L_9_10_!L5,EL_DEL_CD2_L_STAB_!L5)</f>
        <v>0</v>
      </c>
      <c r="M5" s="98">
        <f>+SUM(EL_DEL_CD2_JO_!M5,EL_DEL_CD2_SBI_1_4_!M5,EL_DEL_CD2_SBI_5_6_!M5,EL_DEL_CD2_SBI_7_8_!M5,EL_DEL_CD2_SBI_9_10_!M5,EL_DEL_CD2_STAB_!M5,EL_DEL_CD2_JO_L_!M5,EL_DEL_CD2_SBI_L_1_4_!M5,EL_DEL_CD2_SBI_L_5_6_!M5,EL_DEL_CD2_SBI_L_7_8_!M5,EL_DEL_CD2_SBI_L_9_10_!M5,EL_DEL_CD2_L_STAB_!M5)</f>
        <v>0</v>
      </c>
      <c r="N5" s="98">
        <f>+SUM(EL_DEL_CD2_JO_!N5,EL_DEL_CD2_SBI_1_4_!N5,EL_DEL_CD2_SBI_5_6_!N5,EL_DEL_CD2_SBI_7_8_!N5,EL_DEL_CD2_SBI_9_10_!N5,EL_DEL_CD2_STAB_!N5,EL_DEL_CD2_JO_L_!N5,EL_DEL_CD2_SBI_L_1_4_!N5,EL_DEL_CD2_SBI_L_5_6_!N5,EL_DEL_CD2_SBI_L_7_8_!N5,EL_DEL_CD2_SBI_L_9_10_!N5,EL_DEL_CD2_L_STAB_!N5)</f>
        <v>0</v>
      </c>
      <c r="O5" s="98">
        <f>+SUM(EL_DEL_CD2_JO_!O5,EL_DEL_CD2_SBI_1_4_!O5,EL_DEL_CD2_SBI_5_6_!O5,EL_DEL_CD2_SBI_7_8_!O5,EL_DEL_CD2_SBI_9_10_!O5,EL_DEL_CD2_STAB_!O5,EL_DEL_CD2_JO_L_!O5,EL_DEL_CD2_SBI_L_1_4_!O5,EL_DEL_CD2_SBI_L_5_6_!O5,EL_DEL_CD2_SBI_L_7_8_!O5,EL_DEL_CD2_SBI_L_9_10_!O5,EL_DEL_CD2_L_STAB_!O5)</f>
        <v>0</v>
      </c>
      <c r="P5" s="98">
        <f>+SUM(EL_DEL_CD2_JO_!P5,EL_DEL_CD2_SBI_1_4_!P5,EL_DEL_CD2_SBI_5_6_!P5,EL_DEL_CD2_SBI_7_8_!P5,EL_DEL_CD2_SBI_9_10_!P5,EL_DEL_CD2_STAB_!P5,EL_DEL_CD2_JO_L_!P5,EL_DEL_CD2_SBI_L_1_4_!P5,EL_DEL_CD2_SBI_L_5_6_!P5,EL_DEL_CD2_SBI_L_7_8_!P5,EL_DEL_CD2_SBI_L_9_10_!P5,EL_DEL_CD2_L_STAB_!P5)</f>
        <v>0</v>
      </c>
      <c r="Q5" s="98">
        <f>+SUM(EL_DEL_CD2_JO_!Q5,EL_DEL_CD2_SBI_1_4_!Q5,EL_DEL_CD2_SBI_5_6_!Q5,EL_DEL_CD2_SBI_7_8_!Q5,EL_DEL_CD2_SBI_9_10_!Q5,EL_DEL_CD2_STAB_!Q5,EL_DEL_CD2_JO_L_!Q5,EL_DEL_CD2_SBI_L_1_4_!Q5,EL_DEL_CD2_SBI_L_5_6_!Q5,EL_DEL_CD2_SBI_L_7_8_!Q5,EL_DEL_CD2_SBI_L_9_10_!Q5,EL_DEL_CD2_L_STAB_!Q5)</f>
        <v>0</v>
      </c>
      <c r="R5" s="98">
        <f>+SUM(EL_DEL_CD2_JO_!R5,EL_DEL_CD2_SBI_1_4_!R5,EL_DEL_CD2_SBI_5_6_!R5,EL_DEL_CD2_SBI_7_8_!R5,EL_DEL_CD2_SBI_9_10_!R5,EL_DEL_CD2_STAB_!R5,EL_DEL_CD2_JO_L_!R5,EL_DEL_CD2_SBI_L_1_4_!R5,EL_DEL_CD2_SBI_L_5_6_!R5,EL_DEL_CD2_SBI_L_7_8_!R5,EL_DEL_CD2_SBI_L_9_10_!R5,EL_DEL_CD2_L_STAB_!R5)</f>
        <v>0</v>
      </c>
      <c r="S5" s="98">
        <f>+SUM(EL_DEL_CD2_JO_!S5,EL_DEL_CD2_SBI_1_4_!S5,EL_DEL_CD2_SBI_5_6_!S5,EL_DEL_CD2_SBI_7_8_!S5,EL_DEL_CD2_SBI_9_10_!S5,EL_DEL_CD2_STAB_!S5,EL_DEL_CD2_JO_L_!S5,EL_DEL_CD2_SBI_L_1_4_!S5,EL_DEL_CD2_SBI_L_5_6_!S5,EL_DEL_CD2_SBI_L_7_8_!S5,EL_DEL_CD2_SBI_L_9_10_!S5,EL_DEL_CD2_L_STAB_!S5)</f>
        <v>0</v>
      </c>
      <c r="T5" s="98">
        <f>+SUM(EL_DEL_CD2_JO_!T5,EL_DEL_CD2_SBI_1_4_!T5,EL_DEL_CD2_SBI_5_6_!T5,EL_DEL_CD2_SBI_7_8_!T5,EL_DEL_CD2_SBI_9_10_!T5,EL_DEL_CD2_STAB_!T5,EL_DEL_CD2_JO_L_!T5,EL_DEL_CD2_SBI_L_1_4_!T5,EL_DEL_CD2_SBI_L_5_6_!T5,EL_DEL_CD2_SBI_L_7_8_!T5,EL_DEL_CD2_SBI_L_9_10_!T5,EL_DEL_CD2_L_STAB_!T5)</f>
        <v>0</v>
      </c>
      <c r="U5" s="98">
        <f>+SUM(EL_DEL_CD2_JO_!U5,EL_DEL_CD2_SBI_1_4_!U5,EL_DEL_CD2_SBI_5_6_!U5,EL_DEL_CD2_SBI_7_8_!U5,EL_DEL_CD2_SBI_9_10_!U5,EL_DEL_CD2_STAB_!U5,EL_DEL_CD2_JO_L_!U5,EL_DEL_CD2_SBI_L_1_4_!U5,EL_DEL_CD2_SBI_L_5_6_!U5,EL_DEL_CD2_SBI_L_7_8_!U5,EL_DEL_CD2_SBI_L_9_10_!U5,EL_DEL_CD2_L_STAB_!U5)</f>
        <v>0</v>
      </c>
      <c r="V5" s="98">
        <f>+SUM(EL_DEL_CD2_JO_!V5,EL_DEL_CD2_SBI_1_4_!V5,EL_DEL_CD2_SBI_5_6_!V5,EL_DEL_CD2_SBI_7_8_!V5,EL_DEL_CD2_SBI_9_10_!V5,EL_DEL_CD2_STAB_!V5,EL_DEL_CD2_JO_L_!V5,EL_DEL_CD2_SBI_L_1_4_!V5,EL_DEL_CD2_SBI_L_5_6_!V5,EL_DEL_CD2_SBI_L_7_8_!V5,EL_DEL_CD2_SBI_L_9_10_!V5,EL_DEL_CD2_L_STAB_!V5)</f>
        <v>0</v>
      </c>
      <c r="W5" s="98">
        <f>+SUM(EL_DEL_CD2_JO_!W5,EL_DEL_CD2_SBI_1_4_!W5,EL_DEL_CD2_SBI_5_6_!W5,EL_DEL_CD2_SBI_7_8_!W5,EL_DEL_CD2_SBI_9_10_!W5,EL_DEL_CD2_STAB_!W5,EL_DEL_CD2_JO_L_!W5,EL_DEL_CD2_SBI_L_1_4_!W5,EL_DEL_CD2_SBI_L_5_6_!W5,EL_DEL_CD2_SBI_L_7_8_!W5,EL_DEL_CD2_SBI_L_9_10_!W5,EL_DEL_CD2_L_STAB_!W5)</f>
        <v>0</v>
      </c>
      <c r="X5" s="98">
        <f>+SUM(EL_DEL_CD2_JO_!X5,EL_DEL_CD2_SBI_1_4_!X5,EL_DEL_CD2_SBI_5_6_!X5,EL_DEL_CD2_SBI_7_8_!X5,EL_DEL_CD2_SBI_9_10_!X5,EL_DEL_CD2_STAB_!X5,EL_DEL_CD2_JO_L_!X5,EL_DEL_CD2_SBI_L_1_4_!X5,EL_DEL_CD2_SBI_L_5_6_!X5,EL_DEL_CD2_SBI_L_7_8_!X5,EL_DEL_CD2_SBI_L_9_10_!X5,EL_DEL_CD2_L_STAB_!X5)</f>
        <v>0</v>
      </c>
      <c r="Y5" s="98">
        <f>+SUM(EL_DEL_CD2_JO_!Y5,EL_DEL_CD2_SBI_1_4_!Y5,EL_DEL_CD2_SBI_5_6_!Y5,EL_DEL_CD2_SBI_7_8_!Y5,EL_DEL_CD2_SBI_9_10_!Y5,EL_DEL_CD2_STAB_!Y5,EL_DEL_CD2_JO_L_!Y5,EL_DEL_CD2_SBI_L_1_4_!Y5,EL_DEL_CD2_SBI_L_5_6_!Y5,EL_DEL_CD2_SBI_L_7_8_!Y5,EL_DEL_CD2_SBI_L_9_10_!Y5,EL_DEL_CD2_L_STAB_!Y5)</f>
        <v>0</v>
      </c>
      <c r="Z5" s="98">
        <f>+SUM(EL_DEL_CD2_JO_!Z5,EL_DEL_CD2_SBI_1_4_!Z5,EL_DEL_CD2_SBI_5_6_!Z5,EL_DEL_CD2_SBI_7_8_!Z5,EL_DEL_CD2_SBI_9_10_!Z5,EL_DEL_CD2_STAB_!Z5,EL_DEL_CD2_JO_L_!Z5,EL_DEL_CD2_SBI_L_1_4_!Z5,EL_DEL_CD2_SBI_L_5_6_!Z5,EL_DEL_CD2_SBI_L_7_8_!Z5,EL_DEL_CD2_SBI_L_9_10_!Z5,EL_DEL_CD2_L_STAB_!Z5)</f>
        <v>0</v>
      </c>
      <c r="AA5" s="98">
        <f>+SUM(EL_DEL_CD2_JO_!AA5,EL_DEL_CD2_SBI_1_4_!AA5,EL_DEL_CD2_SBI_5_6_!AA5,EL_DEL_CD2_SBI_7_8_!AA5,EL_DEL_CD2_SBI_9_10_!AA5,EL_DEL_CD2_STAB_!AA5,EL_DEL_CD2_JO_L_!AA5,EL_DEL_CD2_SBI_L_1_4_!AA5,EL_DEL_CD2_SBI_L_5_6_!AA5,EL_DEL_CD2_SBI_L_7_8_!AA5,EL_DEL_CD2_SBI_L_9_10_!AA5,EL_DEL_CD2_L_STAB_!AA5)</f>
        <v>0</v>
      </c>
      <c r="AB5" s="98">
        <f>+SUM(EL_DEL_CD2_JO_!AB5,EL_DEL_CD2_SBI_1_4_!AB5,EL_DEL_CD2_SBI_5_6_!AB5,EL_DEL_CD2_SBI_7_8_!AB5,EL_DEL_CD2_SBI_9_10_!AB5,EL_DEL_CD2_STAB_!AB5,EL_DEL_CD2_JO_L_!AB5,EL_DEL_CD2_SBI_L_1_4_!AB5,EL_DEL_CD2_SBI_L_5_6_!AB5,EL_DEL_CD2_SBI_L_7_8_!AB5,EL_DEL_CD2_SBI_L_9_10_!AB5,EL_DEL_CD2_L_STAB_!AB5)</f>
        <v>0</v>
      </c>
      <c r="AC5" s="98">
        <f>+SUM(EL_DEL_CD2_JO_!AC5,EL_DEL_CD2_SBI_1_4_!AC5,EL_DEL_CD2_SBI_5_6_!AC5,EL_DEL_CD2_SBI_7_8_!AC5,EL_DEL_CD2_SBI_9_10_!AC5,EL_DEL_CD2_STAB_!AC5,EL_DEL_CD2_JO_L_!AC5,EL_DEL_CD2_SBI_L_1_4_!AC5,EL_DEL_CD2_SBI_L_5_6_!AC5,EL_DEL_CD2_SBI_L_7_8_!AC5,EL_DEL_CD2_SBI_L_9_10_!AC5,EL_DEL_CD2_L_STAB_!AC5)</f>
        <v>0</v>
      </c>
      <c r="AD5" s="98">
        <f>+SUM(EL_DEL_CD2_JO_!AD5,EL_DEL_CD2_SBI_1_4_!AD5,EL_DEL_CD2_SBI_5_6_!AD5,EL_DEL_CD2_SBI_7_8_!AD5,EL_DEL_CD2_SBI_9_10_!AD5,EL_DEL_CD2_STAB_!AD5,EL_DEL_CD2_JO_L_!AD5,EL_DEL_CD2_SBI_L_1_4_!AD5,EL_DEL_CD2_SBI_L_5_6_!AD5,EL_DEL_CD2_SBI_L_7_8_!AD5,EL_DEL_CD2_SBI_L_9_10_!AD5,EL_DEL_CD2_L_STAB_!AD5)</f>
        <v>0</v>
      </c>
      <c r="AE5" s="98">
        <f>+SUM(EL_DEL_CD2_JO_!AE5,EL_DEL_CD2_SBI_1_4_!AE5,EL_DEL_CD2_SBI_5_6_!AE5,EL_DEL_CD2_SBI_7_8_!AE5,EL_DEL_CD2_SBI_9_10_!AE5,EL_DEL_CD2_STAB_!AE5,EL_DEL_CD2_JO_L_!AE5,EL_DEL_CD2_SBI_L_1_4_!AE5,EL_DEL_CD2_SBI_L_5_6_!AE5,EL_DEL_CD2_SBI_L_7_8_!AE5,EL_DEL_CD2_SBI_L_9_10_!AE5,EL_DEL_CD2_L_STAB_!AE5)</f>
        <v>0</v>
      </c>
      <c r="AF5" s="98">
        <f>+SUM(EL_DEL_CD2_JO_!AF5,EL_DEL_CD2_SBI_1_4_!AF5,EL_DEL_CD2_SBI_5_6_!AF5,EL_DEL_CD2_SBI_7_8_!AF5,EL_DEL_CD2_SBI_9_10_!AF5,EL_DEL_CD2_STAB_!AF5,EL_DEL_CD2_JO_L_!AF5,EL_DEL_CD2_SBI_L_1_4_!AF5,EL_DEL_CD2_SBI_L_5_6_!AF5,EL_DEL_CD2_SBI_L_7_8_!AF5,EL_DEL_CD2_SBI_L_9_10_!AF5,EL_DEL_CD2_L_STAB_!AF5)</f>
        <v>0</v>
      </c>
      <c r="AG5" s="98">
        <f>+SUM(EL_DEL_CD2_JO_!AG5,EL_DEL_CD2_SBI_1_4_!AG5,EL_DEL_CD2_SBI_5_6_!AG5,EL_DEL_CD2_SBI_7_8_!AG5,EL_DEL_CD2_SBI_9_10_!AG5,EL_DEL_CD2_STAB_!AG5,EL_DEL_CD2_JO_L_!AG5,EL_DEL_CD2_SBI_L_1_4_!AG5,EL_DEL_CD2_SBI_L_5_6_!AG5,EL_DEL_CD2_SBI_L_7_8_!AG5,EL_DEL_CD2_SBI_L_9_10_!AG5,EL_DEL_CD2_L_STAB_!AG5)</f>
        <v>0</v>
      </c>
      <c r="AH5" s="98">
        <f>+SUM(EL_DEL_CD2_JO_!AH5,EL_DEL_CD2_SBI_1_4_!AH5,EL_DEL_CD2_SBI_5_6_!AH5,EL_DEL_CD2_SBI_7_8_!AH5,EL_DEL_CD2_SBI_9_10_!AH5,EL_DEL_CD2_STAB_!AH5,EL_DEL_CD2_JO_L_!AH5,EL_DEL_CD2_SBI_L_1_4_!AH5,EL_DEL_CD2_SBI_L_5_6_!AH5,EL_DEL_CD2_SBI_L_7_8_!AH5,EL_DEL_CD2_SBI_L_9_10_!AH5,EL_DEL_CD2_L_STAB_!AH5)</f>
        <v>0</v>
      </c>
      <c r="AI5" s="98">
        <f>+SUM(EL_DEL_CD2_JO_!AI5,EL_DEL_CD2_SBI_1_4_!AI5,EL_DEL_CD2_SBI_5_6_!AI5,EL_DEL_CD2_SBI_7_8_!AI5,EL_DEL_CD2_SBI_9_10_!AI5,EL_DEL_CD2_STAB_!AI5,EL_DEL_CD2_JO_L_!AI5,EL_DEL_CD2_SBI_L_1_4_!AI5,EL_DEL_CD2_SBI_L_5_6_!AI5,EL_DEL_CD2_SBI_L_7_8_!AI5,EL_DEL_CD2_SBI_L_9_10_!AI5,EL_DEL_CD2_L_STAB_!AI5)</f>
        <v>0</v>
      </c>
      <c r="AJ5" s="98">
        <f>+SUM(EL_DEL_CD2_JO_!AJ5,EL_DEL_CD2_SBI_1_4_!AJ5,EL_DEL_CD2_SBI_5_6_!AJ5,EL_DEL_CD2_SBI_7_8_!AJ5,EL_DEL_CD2_SBI_9_10_!AJ5,EL_DEL_CD2_STAB_!AJ5,EL_DEL_CD2_JO_L_!AJ5,EL_DEL_CD2_SBI_L_1_4_!AJ5,EL_DEL_CD2_SBI_L_5_6_!AJ5,EL_DEL_CD2_SBI_L_7_8_!AJ5,EL_DEL_CD2_SBI_L_9_10_!AJ5,EL_DEL_CD2_L_STAB_!AJ5)</f>
        <v>0</v>
      </c>
      <c r="AK5" s="98">
        <f>+SUM(EL_DEL_CD2_JO_!AK5,EL_DEL_CD2_SBI_1_4_!AK5,EL_DEL_CD2_SBI_5_6_!AK5,EL_DEL_CD2_SBI_7_8_!AK5,EL_DEL_CD2_SBI_9_10_!AK5,EL_DEL_CD2_STAB_!AK5,EL_DEL_CD2_JO_L_!AK5,EL_DEL_CD2_SBI_L_1_4_!AK5,EL_DEL_CD2_SBI_L_5_6_!AK5,EL_DEL_CD2_SBI_L_7_8_!AK5,EL_DEL_CD2_SBI_L_9_10_!AK5,EL_DEL_CD2_L_STAB_!AK5)</f>
        <v>0</v>
      </c>
      <c r="AL5" s="152" t="str">
        <f>+IFERROR(AVERAGE(EL_DEL_CD2_JO_!AL5,EL_DEL_CD2_SBI_1_4_!AL5,EL_DEL_CD2_SBI_5_6_!AL5,EL_DEL_CD2_SBI_7_8_!AL5,EL_DEL_CD2_SBI_9_10_!AL5,EL_DEL_CD2_STAB_!AL5,EL_DEL_CD2_JO_L_!AL5,EL_DEL_CD2_SBI_L_1_4_!AL5,EL_DEL_CD2_SBI_L_5_6_!AL5,EL_DEL_CD2_SBI_L_7_8_!AL5,EL_DEL_CD2_SBI_L_9_10_!AL5,EL_DEL_CD2_L_STAB_!AL5),"0:00")</f>
        <v>0:00</v>
      </c>
      <c r="AM5" s="152" t="str">
        <f>+IFERROR(AVERAGE(EL_DEL_CD2_JO_!AM5,EL_DEL_CD2_SBI_1_4_!AM5,EL_DEL_CD2_SBI_5_6_!AM5,EL_DEL_CD2_SBI_7_8_!AM5,EL_DEL_CD2_SBI_9_10_!AM5,EL_DEL_CD2_STAB_!AM5,EL_DEL_CD2_JO_L_!AM5,EL_DEL_CD2_SBI_L_1_4_!AM5,EL_DEL_CD2_SBI_L_5_6_!AM5,EL_DEL_CD2_SBI_L_7_8_!AM5,EL_DEL_CD2_SBI_L_9_10_!AM5,EL_DEL_CD2_L_STAB_!AM5),"0:00")</f>
        <v>0:00</v>
      </c>
      <c r="AN5" s="152" t="str">
        <f>+IFERROR(AVERAGE(EL_DEL_CD2_JO_!AN5,EL_DEL_CD2_SBI_1_4_!AN5,EL_DEL_CD2_SBI_5_6_!AN5,EL_DEL_CD2_SBI_7_8_!AN5,EL_DEL_CD2_SBI_9_10_!AN5,EL_DEL_CD2_STAB_!AN5,EL_DEL_CD2_JO_L_!AN5,EL_DEL_CD2_SBI_L_1_4_!AN5,EL_DEL_CD2_SBI_L_5_6_!AN5,EL_DEL_CD2_SBI_L_7_8_!AN5,EL_DEL_CD2_SBI_L_9_10_!AN5,EL_DEL_CD2_L_STAB_!AN5),"0:00")</f>
        <v>0:00</v>
      </c>
      <c r="AO5" s="152" t="str">
        <f>+IFERROR(AVERAGE(EL_DEL_CD2_JO_!AO5,EL_DEL_CD2_SBI_1_4_!AO5,EL_DEL_CD2_SBI_5_6_!AO5,EL_DEL_CD2_SBI_7_8_!AO5,EL_DEL_CD2_SBI_9_10_!AO5,EL_DEL_CD2_STAB_!AO5,EL_DEL_CD2_JO_L_!AO5,EL_DEL_CD2_SBI_L_1_4_!AO5,EL_DEL_CD2_SBI_L_5_6_!AO5,EL_DEL_CD2_SBI_L_7_8_!AO5,EL_DEL_CD2_SBI_L_9_10_!AO5,EL_DEL_CD2_L_STAB_!AO5),"0:00")</f>
        <v>0:00</v>
      </c>
      <c r="AP5" s="98" t="str">
        <f>+IFERROR(AVERAGE(EL_DEL_CD2_JO_!AP5,EL_DEL_CD2_SBI_1_4_!AP5,EL_DEL_CD2_SBI_5_6_!AP5,EL_DEL_CD2_SBI_7_8_!AP5,EL_DEL_CD2_SBI_9_10_!AP5,EL_DEL_CD2_STAB_!AP5,EL_DEL_CD2_JO_L_!AP5,EL_DEL_CD2_SBI_L_1_4_!AP5,EL_DEL_CD2_SBI_L_5_6_!AP5,EL_DEL_CD2_SBI_L_7_8_!AP5,EL_DEL_CD2_SBI_L_9_10_!AP5,EL_DEL_CD2_L_STAB_!AP5),"0:00")</f>
        <v>0:00</v>
      </c>
      <c r="AQ5" s="152" t="str">
        <f>+IFERROR(AVERAGE(EL_DEL_CD2_JO_!AQ5,EL_DEL_CD2_SBI_1_4_!AQ5,EL_DEL_CD2_SBI_5_6_!AQ5,EL_DEL_CD2_SBI_7_8_!AQ5,EL_DEL_CD2_SBI_9_10_!AQ5,EL_DEL_CD2_STAB_!AQ5,EL_DEL_CD2_JO_L_!AQ5,EL_DEL_CD2_SBI_L_1_4_!AQ5,EL_DEL_CD2_SBI_L_5_6_!AQ5,EL_DEL_CD2_SBI_L_7_8_!AQ5,EL_DEL_CD2_SBI_L_9_10_!AQ5,EL_DEL_CD2_L_STAB_!AQ5),"0:00")</f>
        <v>0:00</v>
      </c>
      <c r="AR5" s="152" t="str">
        <f>+IFERROR(AVERAGE(EL_DEL_CD2_JO_!AR5,EL_DEL_CD2_SBI_1_4_!AR5,EL_DEL_CD2_SBI_5_6_!AR5,EL_DEL_CD2_SBI_7_8_!AR5,EL_DEL_CD2_SBI_9_10_!AR5,EL_DEL_CD2_STAB_!AR5,EL_DEL_CD2_JO_L_!AR5,EL_DEL_CD2_SBI_L_1_4_!AR5,EL_DEL_CD2_SBI_L_5_6_!AR5,EL_DEL_CD2_SBI_L_7_8_!AR5,EL_DEL_CD2_SBI_L_9_10_!AR5,EL_DEL_CD2_L_STAB_!AR5),"0:00")</f>
        <v>0:00</v>
      </c>
      <c r="AS5" s="152" t="str">
        <f>+IFERROR(AVERAGE(EL_DEL_CD2_JO_!AS5,EL_DEL_CD2_SBI_1_4_!AS5,EL_DEL_CD2_SBI_5_6_!AS5,EL_DEL_CD2_SBI_7_8_!AS5,EL_DEL_CD2_SBI_9_10_!AS5,EL_DEL_CD2_STAB_!AS5,EL_DEL_CD2_JO_L_!AS5,EL_DEL_CD2_SBI_L_1_4_!AS5,EL_DEL_CD2_SBI_L_5_6_!AS5,EL_DEL_CD2_SBI_L_7_8_!AS5,EL_DEL_CD2_SBI_L_9_10_!AS5,EL_DEL_CD2_L_STAB_!AS5),"0:00")</f>
        <v>0:00</v>
      </c>
      <c r="AT5" s="98">
        <f>+SUM(EL_DEL_CD2_JO_!AT5,EL_DEL_CD2_SBI_1_4_!AT5,EL_DEL_CD2_SBI_5_6_!AT5,EL_DEL_CD2_SBI_7_8_!AT5,EL_DEL_CD2_SBI_9_10_!AT5,EL_DEL_CD2_STAB_!AT5,EL_DEL_CD2_JO_L_!AT5,EL_DEL_CD2_SBI_L_1_4_!AT5,EL_DEL_CD2_SBI_L_5_6_!AT5,EL_DEL_CD2_SBI_L_7_8_!AT5,EL_DEL_CD2_SBI_L_9_10_!AT5,EL_DEL_CD2_L_STAB_!AT5)</f>
        <v>0</v>
      </c>
      <c r="AU5" s="98">
        <f>+SUM(EL_DEL_CD2_JO_!AU5,EL_DEL_CD2_SBI_1_4_!AU5,EL_DEL_CD2_SBI_5_6_!AU5,EL_DEL_CD2_SBI_7_8_!AU5,EL_DEL_CD2_SBI_9_10_!AU5,EL_DEL_CD2_STAB_!AU5,EL_DEL_CD2_JO_L_!AU5,EL_DEL_CD2_SBI_L_1_4_!AU5,EL_DEL_CD2_SBI_L_5_6_!AU5,EL_DEL_CD2_SBI_L_7_8_!AU5,EL_DEL_CD2_SBI_L_9_10_!AU5,EL_DEL_CD2_L_STAB_!AU5)</f>
        <v>0</v>
      </c>
      <c r="AV5" s="98">
        <f>+SUM(EL_DEL_CD2_JO_!AV5,EL_DEL_CD2_SBI_1_4_!AV5,EL_DEL_CD2_SBI_5_6_!AV5,EL_DEL_CD2_SBI_7_8_!AV5,EL_DEL_CD2_SBI_9_10_!AV5,EL_DEL_CD2_STAB_!AV5,EL_DEL_CD2_JO_L_!AV5,EL_DEL_CD2_SBI_L_1_4_!AV5,EL_DEL_CD2_SBI_L_5_6_!AV5,EL_DEL_CD2_SBI_L_7_8_!AV5,EL_DEL_CD2_SBI_L_9_10_!AV5,EL_DEL_CD2_L_STAB_!AV5)</f>
        <v>0</v>
      </c>
      <c r="AW5" s="167">
        <f>+SUM(EL_DEL_CD2_JO_!AW5,EL_DEL_CD2_SBI_1_4_!AW5,EL_DEL_CD2_SBI_5_6_!AW5,EL_DEL_CD2_SBI_7_8_!AW5,EL_DEL_CD2_SBI_9_10_!AW5,EL_DEL_CD2_STAB_!AW5,EL_DEL_CD2_JO_L_!AW5,EL_DEL_CD2_SBI_L_1_4_!AW5,EL_DEL_CD2_SBI_L_5_6_!AW5,EL_DEL_CD2_SBI_L_7_8_!AW5,EL_DEL_CD2_SBI_L_9_10_!AW5,EL_DEL_CD2_L_STAB_!AW5)</f>
        <v>0</v>
      </c>
      <c r="AX5" s="102" t="str">
        <f t="shared" ref="AX5:AX34" si="24">IFERROR(AN5/AW5,"-")</f>
        <v>-</v>
      </c>
      <c r="AY5" s="151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51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si="7"/>
        <v/>
      </c>
      <c r="BH5" s="119" t="str">
        <f t="shared" si="8"/>
        <v/>
      </c>
      <c r="BI5" s="120" t="str">
        <f t="shared" ref="BI5:BI31" si="25">+IF(SUM(AO5:AR5)&gt;0,AQ5/AN5,"")</f>
        <v/>
      </c>
      <c r="BJ5" s="151"/>
      <c r="BK5" s="121" t="str">
        <f t="shared" si="9"/>
        <v/>
      </c>
      <c r="BL5" s="122" t="str">
        <f t="shared" si="10"/>
        <v/>
      </c>
      <c r="BM5" s="122" t="str">
        <f t="shared" si="11"/>
        <v/>
      </c>
      <c r="BN5" s="123" t="str">
        <f t="shared" si="12"/>
        <v/>
      </c>
      <c r="BO5" s="151"/>
      <c r="BP5" s="124" t="str">
        <f t="shared" si="13"/>
        <v/>
      </c>
      <c r="BQ5" s="125">
        <v>0</v>
      </c>
      <c r="BR5" s="125" t="str">
        <f t="shared" ref="BR5:BR31" si="26">IF(AJ5&gt;0,(AK5/AJ5),"")</f>
        <v/>
      </c>
      <c r="BS5" s="125" t="str">
        <f t="shared" ref="BS5:BS31" si="27">IF(AJ5&gt;0,(AK5/AJ5),"")</f>
        <v/>
      </c>
      <c r="BT5" s="126" t="str">
        <f t="shared" si="14"/>
        <v/>
      </c>
      <c r="BU5" s="151"/>
      <c r="BV5" s="127" t="e">
        <f t="shared" si="15"/>
        <v>#DIV/0!</v>
      </c>
      <c r="BW5" s="127" t="e">
        <f t="shared" si="16"/>
        <v>#DIV/0!</v>
      </c>
      <c r="BX5" s="127" t="e">
        <f t="shared" si="17"/>
        <v>#DIV/0!</v>
      </c>
      <c r="BY5" s="127" t="e">
        <f t="shared" si="18"/>
        <v>#DIV/0!</v>
      </c>
      <c r="BZ5" s="127" t="e">
        <f t="shared" ref="BZ5:BZ31" si="28">IF(AN5&gt;0,(AJ5/AN5),"")</f>
        <v>#DIV/0!</v>
      </c>
      <c r="CA5" s="128" t="e">
        <f t="shared" ref="CA5:CA31" si="29">IF(AN5&gt;0,(AK5/AN5),"")</f>
        <v>#DIV/0!</v>
      </c>
      <c r="CB5" s="151"/>
      <c r="CC5" s="129" t="str">
        <f t="shared" si="19"/>
        <v>-</v>
      </c>
      <c r="CD5" s="130" t="str">
        <f t="shared" si="20"/>
        <v>-</v>
      </c>
      <c r="CE5" s="130" t="str">
        <f t="shared" si="21"/>
        <v>-</v>
      </c>
      <c r="CF5" s="130" t="str">
        <f t="shared" si="22"/>
        <v>-</v>
      </c>
      <c r="CG5" s="131" t="str">
        <f t="shared" si="23"/>
        <v>-</v>
      </c>
      <c r="CH5" s="151"/>
    </row>
    <row r="6" spans="1:86" s="115" customFormat="1" ht="12.4" customHeight="1" thickBot="1" x14ac:dyDescent="0.25">
      <c r="A6" s="96">
        <f t="shared" ref="A6:A34" si="30">A5+1</f>
        <v>46298</v>
      </c>
      <c r="B6" s="97" t="str">
        <f t="shared" si="0"/>
        <v>Sat</v>
      </c>
      <c r="C6" s="98">
        <f>+SUM(EL_DEL_CD2_JO_!C6,EL_DEL_CD2_SBI_1_4_!C6,EL_DEL_CD2_SBI_5_6_!C6,EL_DEL_CD2_SBI_7_8_!C6,EL_DEL_CD2_SBI_9_10_!C6,EL_DEL_CD2_STAB_!C6,EL_DEL_CD2_JO_L_!C6,EL_DEL_CD2_SBI_L_1_4_!C6,EL_DEL_CD2_SBI_L_5_6_!C6,EL_DEL_CD2_SBI_L_7_8_!C6,EL_DEL_CD2_SBI_L_9_10_!C6,EL_DEL_CD2_L_STAB_!C6)</f>
        <v>0</v>
      </c>
      <c r="D6" s="98">
        <f>+SUM(EL_DEL_CD2_JO_!D6,EL_DEL_CD2_SBI_1_4_!D6,EL_DEL_CD2_SBI_5_6_!D6,EL_DEL_CD2_SBI_7_8_!D6,EL_DEL_CD2_SBI_9_10_!D6,EL_DEL_CD2_STAB_!D6,EL_DEL_CD2_JO_L_!D6,EL_DEL_CD2_SBI_L_1_4_!D6,EL_DEL_CD2_SBI_L_5_6_!D6,EL_DEL_CD2_SBI_L_7_8_!D6,EL_DEL_CD2_SBI_L_9_10_!D6,EL_DEL_CD2_L_STAB_!D6)</f>
        <v>0</v>
      </c>
      <c r="E6" s="98">
        <f>+SUM(EL_DEL_CD2_JO_!E6,EL_DEL_CD2_SBI_1_4_!E6,EL_DEL_CD2_SBI_5_6_!E6,EL_DEL_CD2_SBI_7_8_!E6,EL_DEL_CD2_SBI_9_10_!E6,EL_DEL_CD2_STAB_!E6,EL_DEL_CD2_JO_L_!E6,EL_DEL_CD2_SBI_L_1_4_!E6,EL_DEL_CD2_SBI_L_5_6_!E6,EL_DEL_CD2_SBI_L_7_8_!E6,EL_DEL_CD2_SBI_L_9_10_!E6,EL_DEL_CD2_L_STAB_!E6)</f>
        <v>0</v>
      </c>
      <c r="F6" s="98">
        <f>+SUM(EL_DEL_CD2_JO_!F6,EL_DEL_CD2_SBI_1_4_!F6,EL_DEL_CD2_SBI_5_6_!F6,EL_DEL_CD2_SBI_7_8_!F6,EL_DEL_CD2_SBI_9_10_!F6,EL_DEL_CD2_STAB_!F6,EL_DEL_CD2_JO_L_!F6,EL_DEL_CD2_SBI_L_1_4_!F6,EL_DEL_CD2_SBI_L_5_6_!F6,EL_DEL_CD2_SBI_L_7_8_!F6,EL_DEL_CD2_SBI_L_9_10_!F6,EL_DEL_CD2_L_STAB_!F6)</f>
        <v>0</v>
      </c>
      <c r="G6" s="98">
        <f>+SUM(EL_DEL_CD2_JO_!G6,EL_DEL_CD2_SBI_1_4_!G6,EL_DEL_CD2_SBI_5_6_!G6,EL_DEL_CD2_SBI_7_8_!G6,EL_DEL_CD2_SBI_9_10_!G6,EL_DEL_CD2_STAB_!G6,EL_DEL_CD2_JO_L_!G6,EL_DEL_CD2_SBI_L_1_4_!G6,EL_DEL_CD2_SBI_L_5_6_!G6,EL_DEL_CD2_SBI_L_7_8_!G6,EL_DEL_CD2_SBI_L_9_10_!G6,EL_DEL_CD2_L_STAB_!G6)</f>
        <v>0</v>
      </c>
      <c r="H6" s="98">
        <f>+SUM(EL_DEL_CD2_JO_!H6,EL_DEL_CD2_SBI_1_4_!H6,EL_DEL_CD2_SBI_5_6_!H6,EL_DEL_CD2_SBI_7_8_!H6,EL_DEL_CD2_SBI_9_10_!H6,EL_DEL_CD2_STAB_!H6,EL_DEL_CD2_JO_L_!H6,EL_DEL_CD2_SBI_L_1_4_!H6,EL_DEL_CD2_SBI_L_5_6_!H6,EL_DEL_CD2_SBI_L_7_8_!H6,EL_DEL_CD2_SBI_L_9_10_!H6,EL_DEL_CD2_L_STAB_!H6)</f>
        <v>0</v>
      </c>
      <c r="I6" s="98">
        <f>+SUM(EL_DEL_CD2_JO_!I6,EL_DEL_CD2_SBI_1_4_!I6,EL_DEL_CD2_SBI_5_6_!I6,EL_DEL_CD2_SBI_7_8_!I6,EL_DEL_CD2_SBI_9_10_!I6,EL_DEL_CD2_STAB_!I6,EL_DEL_CD2_JO_L_!I6,EL_DEL_CD2_SBI_L_1_4_!I6,EL_DEL_CD2_SBI_L_5_6_!I6,EL_DEL_CD2_SBI_L_7_8_!I6,EL_DEL_CD2_SBI_L_9_10_!I6,EL_DEL_CD2_L_STAB_!I6)</f>
        <v>0</v>
      </c>
      <c r="J6" s="98">
        <f>+SUM(EL_DEL_CD2_JO_!J6,EL_DEL_CD2_SBI_1_4_!J6,EL_DEL_CD2_SBI_5_6_!J6,EL_DEL_CD2_SBI_7_8_!J6,EL_DEL_CD2_SBI_9_10_!J6,EL_DEL_CD2_STAB_!J6,EL_DEL_CD2_JO_L_!J6,EL_DEL_CD2_SBI_L_1_4_!J6,EL_DEL_CD2_SBI_L_5_6_!J6,EL_DEL_CD2_SBI_L_7_8_!J6,EL_DEL_CD2_SBI_L_9_10_!J6,EL_DEL_CD2_L_STAB_!J6)</f>
        <v>0</v>
      </c>
      <c r="K6" s="98">
        <f>+SUM(EL_DEL_CD2_JO_!K6,EL_DEL_CD2_SBI_1_4_!K6,EL_DEL_CD2_SBI_5_6_!K6,EL_DEL_CD2_SBI_7_8_!K6,EL_DEL_CD2_SBI_9_10_!K6,EL_DEL_CD2_STAB_!K6,EL_DEL_CD2_JO_L_!K6,EL_DEL_CD2_SBI_L_1_4_!K6,EL_DEL_CD2_SBI_L_5_6_!K6,EL_DEL_CD2_SBI_L_7_8_!K6,EL_DEL_CD2_SBI_L_9_10_!K6,EL_DEL_CD2_L_STAB_!K6)</f>
        <v>0</v>
      </c>
      <c r="L6" s="98">
        <f>+SUM(EL_DEL_CD2_JO_!L6,EL_DEL_CD2_SBI_1_4_!L6,EL_DEL_CD2_SBI_5_6_!L6,EL_DEL_CD2_SBI_7_8_!L6,EL_DEL_CD2_SBI_9_10_!L6,EL_DEL_CD2_STAB_!L6,EL_DEL_CD2_JO_L_!L6,EL_DEL_CD2_SBI_L_1_4_!L6,EL_DEL_CD2_SBI_L_5_6_!L6,EL_DEL_CD2_SBI_L_7_8_!L6,EL_DEL_CD2_SBI_L_9_10_!L6,EL_DEL_CD2_L_STAB_!L6)</f>
        <v>0</v>
      </c>
      <c r="M6" s="98">
        <f>+SUM(EL_DEL_CD2_JO_!M6,EL_DEL_CD2_SBI_1_4_!M6,EL_DEL_CD2_SBI_5_6_!M6,EL_DEL_CD2_SBI_7_8_!M6,EL_DEL_CD2_SBI_9_10_!M6,EL_DEL_CD2_STAB_!M6,EL_DEL_CD2_JO_L_!M6,EL_DEL_CD2_SBI_L_1_4_!M6,EL_DEL_CD2_SBI_L_5_6_!M6,EL_DEL_CD2_SBI_L_7_8_!M6,EL_DEL_CD2_SBI_L_9_10_!M6,EL_DEL_CD2_L_STAB_!M6)</f>
        <v>0</v>
      </c>
      <c r="N6" s="98">
        <f>+SUM(EL_DEL_CD2_JO_!N6,EL_DEL_CD2_SBI_1_4_!N6,EL_DEL_CD2_SBI_5_6_!N6,EL_DEL_CD2_SBI_7_8_!N6,EL_DEL_CD2_SBI_9_10_!N6,EL_DEL_CD2_STAB_!N6,EL_DEL_CD2_JO_L_!N6,EL_DEL_CD2_SBI_L_1_4_!N6,EL_DEL_CD2_SBI_L_5_6_!N6,EL_DEL_CD2_SBI_L_7_8_!N6,EL_DEL_CD2_SBI_L_9_10_!N6,EL_DEL_CD2_L_STAB_!N6)</f>
        <v>0</v>
      </c>
      <c r="O6" s="98">
        <f>+SUM(EL_DEL_CD2_JO_!O6,EL_DEL_CD2_SBI_1_4_!O6,EL_DEL_CD2_SBI_5_6_!O6,EL_DEL_CD2_SBI_7_8_!O6,EL_DEL_CD2_SBI_9_10_!O6,EL_DEL_CD2_STAB_!O6,EL_DEL_CD2_JO_L_!O6,EL_DEL_CD2_SBI_L_1_4_!O6,EL_DEL_CD2_SBI_L_5_6_!O6,EL_DEL_CD2_SBI_L_7_8_!O6,EL_DEL_CD2_SBI_L_9_10_!O6,EL_DEL_CD2_L_STAB_!O6)</f>
        <v>0</v>
      </c>
      <c r="P6" s="98">
        <f>+SUM(EL_DEL_CD2_JO_!P6,EL_DEL_CD2_SBI_1_4_!P6,EL_DEL_CD2_SBI_5_6_!P6,EL_DEL_CD2_SBI_7_8_!P6,EL_DEL_CD2_SBI_9_10_!P6,EL_DEL_CD2_STAB_!P6,EL_DEL_CD2_JO_L_!P6,EL_DEL_CD2_SBI_L_1_4_!P6,EL_DEL_CD2_SBI_L_5_6_!P6,EL_DEL_CD2_SBI_L_7_8_!P6,EL_DEL_CD2_SBI_L_9_10_!P6,EL_DEL_CD2_L_STAB_!P6)</f>
        <v>0</v>
      </c>
      <c r="Q6" s="98">
        <f>+SUM(EL_DEL_CD2_JO_!Q6,EL_DEL_CD2_SBI_1_4_!Q6,EL_DEL_CD2_SBI_5_6_!Q6,EL_DEL_CD2_SBI_7_8_!Q6,EL_DEL_CD2_SBI_9_10_!Q6,EL_DEL_CD2_STAB_!Q6,EL_DEL_CD2_JO_L_!Q6,EL_DEL_CD2_SBI_L_1_4_!Q6,EL_DEL_CD2_SBI_L_5_6_!Q6,EL_DEL_CD2_SBI_L_7_8_!Q6,EL_DEL_CD2_SBI_L_9_10_!Q6,EL_DEL_CD2_L_STAB_!Q6)</f>
        <v>0</v>
      </c>
      <c r="R6" s="98">
        <f>+SUM(EL_DEL_CD2_JO_!R6,EL_DEL_CD2_SBI_1_4_!R6,EL_DEL_CD2_SBI_5_6_!R6,EL_DEL_CD2_SBI_7_8_!R6,EL_DEL_CD2_SBI_9_10_!R6,EL_DEL_CD2_STAB_!R6,EL_DEL_CD2_JO_L_!R6,EL_DEL_CD2_SBI_L_1_4_!R6,EL_DEL_CD2_SBI_L_5_6_!R6,EL_DEL_CD2_SBI_L_7_8_!R6,EL_DEL_CD2_SBI_L_9_10_!R6,EL_DEL_CD2_L_STAB_!R6)</f>
        <v>0</v>
      </c>
      <c r="S6" s="98">
        <f>+SUM(EL_DEL_CD2_JO_!S6,EL_DEL_CD2_SBI_1_4_!S6,EL_DEL_CD2_SBI_5_6_!S6,EL_DEL_CD2_SBI_7_8_!S6,EL_DEL_CD2_SBI_9_10_!S6,EL_DEL_CD2_STAB_!S6,EL_DEL_CD2_JO_L_!S6,EL_DEL_CD2_SBI_L_1_4_!S6,EL_DEL_CD2_SBI_L_5_6_!S6,EL_DEL_CD2_SBI_L_7_8_!S6,EL_DEL_CD2_SBI_L_9_10_!S6,EL_DEL_CD2_L_STAB_!S6)</f>
        <v>0</v>
      </c>
      <c r="T6" s="98">
        <f>+SUM(EL_DEL_CD2_JO_!T6,EL_DEL_CD2_SBI_1_4_!T6,EL_DEL_CD2_SBI_5_6_!T6,EL_DEL_CD2_SBI_7_8_!T6,EL_DEL_CD2_SBI_9_10_!T6,EL_DEL_CD2_STAB_!T6,EL_DEL_CD2_JO_L_!T6,EL_DEL_CD2_SBI_L_1_4_!T6,EL_DEL_CD2_SBI_L_5_6_!T6,EL_DEL_CD2_SBI_L_7_8_!T6,EL_DEL_CD2_SBI_L_9_10_!T6,EL_DEL_CD2_L_STAB_!T6)</f>
        <v>0</v>
      </c>
      <c r="U6" s="98">
        <f>+SUM(EL_DEL_CD2_JO_!U6,EL_DEL_CD2_SBI_1_4_!U6,EL_DEL_CD2_SBI_5_6_!U6,EL_DEL_CD2_SBI_7_8_!U6,EL_DEL_CD2_SBI_9_10_!U6,EL_DEL_CD2_STAB_!U6,EL_DEL_CD2_JO_L_!U6,EL_DEL_CD2_SBI_L_1_4_!U6,EL_DEL_CD2_SBI_L_5_6_!U6,EL_DEL_CD2_SBI_L_7_8_!U6,EL_DEL_CD2_SBI_L_9_10_!U6,EL_DEL_CD2_L_STAB_!U6)</f>
        <v>0</v>
      </c>
      <c r="V6" s="98">
        <f>+SUM(EL_DEL_CD2_JO_!V6,EL_DEL_CD2_SBI_1_4_!V6,EL_DEL_CD2_SBI_5_6_!V6,EL_DEL_CD2_SBI_7_8_!V6,EL_DEL_CD2_SBI_9_10_!V6,EL_DEL_CD2_STAB_!V6,EL_DEL_CD2_JO_L_!V6,EL_DEL_CD2_SBI_L_1_4_!V6,EL_DEL_CD2_SBI_L_5_6_!V6,EL_DEL_CD2_SBI_L_7_8_!V6,EL_DEL_CD2_SBI_L_9_10_!V6,EL_DEL_CD2_L_STAB_!V6)</f>
        <v>0</v>
      </c>
      <c r="W6" s="98">
        <f>+SUM(EL_DEL_CD2_JO_!W6,EL_DEL_CD2_SBI_1_4_!W6,EL_DEL_CD2_SBI_5_6_!W6,EL_DEL_CD2_SBI_7_8_!W6,EL_DEL_CD2_SBI_9_10_!W6,EL_DEL_CD2_STAB_!W6,EL_DEL_CD2_JO_L_!W6,EL_DEL_CD2_SBI_L_1_4_!W6,EL_DEL_CD2_SBI_L_5_6_!W6,EL_DEL_CD2_SBI_L_7_8_!W6,EL_DEL_CD2_SBI_L_9_10_!W6,EL_DEL_CD2_L_STAB_!W6)</f>
        <v>0</v>
      </c>
      <c r="X6" s="98">
        <f>+SUM(EL_DEL_CD2_JO_!X6,EL_DEL_CD2_SBI_1_4_!X6,EL_DEL_CD2_SBI_5_6_!X6,EL_DEL_CD2_SBI_7_8_!X6,EL_DEL_CD2_SBI_9_10_!X6,EL_DEL_CD2_STAB_!X6,EL_DEL_CD2_JO_L_!X6,EL_DEL_CD2_SBI_L_1_4_!X6,EL_DEL_CD2_SBI_L_5_6_!X6,EL_DEL_CD2_SBI_L_7_8_!X6,EL_DEL_CD2_SBI_L_9_10_!X6,EL_DEL_CD2_L_STAB_!X6)</f>
        <v>0</v>
      </c>
      <c r="Y6" s="98">
        <f>+SUM(EL_DEL_CD2_JO_!Y6,EL_DEL_CD2_SBI_1_4_!Y6,EL_DEL_CD2_SBI_5_6_!Y6,EL_DEL_CD2_SBI_7_8_!Y6,EL_DEL_CD2_SBI_9_10_!Y6,EL_DEL_CD2_STAB_!Y6,EL_DEL_CD2_JO_L_!Y6,EL_DEL_CD2_SBI_L_1_4_!Y6,EL_DEL_CD2_SBI_L_5_6_!Y6,EL_DEL_CD2_SBI_L_7_8_!Y6,EL_DEL_CD2_SBI_L_9_10_!Y6,EL_DEL_CD2_L_STAB_!Y6)</f>
        <v>0</v>
      </c>
      <c r="Z6" s="98">
        <f>+SUM(EL_DEL_CD2_JO_!Z6,EL_DEL_CD2_SBI_1_4_!Z6,EL_DEL_CD2_SBI_5_6_!Z6,EL_DEL_CD2_SBI_7_8_!Z6,EL_DEL_CD2_SBI_9_10_!Z6,EL_DEL_CD2_STAB_!Z6,EL_DEL_CD2_JO_L_!Z6,EL_DEL_CD2_SBI_L_1_4_!Z6,EL_DEL_CD2_SBI_L_5_6_!Z6,EL_DEL_CD2_SBI_L_7_8_!Z6,EL_DEL_CD2_SBI_L_9_10_!Z6,EL_DEL_CD2_L_STAB_!Z6)</f>
        <v>0</v>
      </c>
      <c r="AA6" s="98">
        <f>+SUM(EL_DEL_CD2_JO_!AA6,EL_DEL_CD2_SBI_1_4_!AA6,EL_DEL_CD2_SBI_5_6_!AA6,EL_DEL_CD2_SBI_7_8_!AA6,EL_DEL_CD2_SBI_9_10_!AA6,EL_DEL_CD2_STAB_!AA6,EL_DEL_CD2_JO_L_!AA6,EL_DEL_CD2_SBI_L_1_4_!AA6,EL_DEL_CD2_SBI_L_5_6_!AA6,EL_DEL_CD2_SBI_L_7_8_!AA6,EL_DEL_CD2_SBI_L_9_10_!AA6,EL_DEL_CD2_L_STAB_!AA6)</f>
        <v>0</v>
      </c>
      <c r="AB6" s="98">
        <f>+SUM(EL_DEL_CD2_JO_!AB6,EL_DEL_CD2_SBI_1_4_!AB6,EL_DEL_CD2_SBI_5_6_!AB6,EL_DEL_CD2_SBI_7_8_!AB6,EL_DEL_CD2_SBI_9_10_!AB6,EL_DEL_CD2_STAB_!AB6,EL_DEL_CD2_JO_L_!AB6,EL_DEL_CD2_SBI_L_1_4_!AB6,EL_DEL_CD2_SBI_L_5_6_!AB6,EL_DEL_CD2_SBI_L_7_8_!AB6,EL_DEL_CD2_SBI_L_9_10_!AB6,EL_DEL_CD2_L_STAB_!AB6)</f>
        <v>0</v>
      </c>
      <c r="AC6" s="98">
        <f>+SUM(EL_DEL_CD2_JO_!AC6,EL_DEL_CD2_SBI_1_4_!AC6,EL_DEL_CD2_SBI_5_6_!AC6,EL_DEL_CD2_SBI_7_8_!AC6,EL_DEL_CD2_SBI_9_10_!AC6,EL_DEL_CD2_STAB_!AC6,EL_DEL_CD2_JO_L_!AC6,EL_DEL_CD2_SBI_L_1_4_!AC6,EL_DEL_CD2_SBI_L_5_6_!AC6,EL_DEL_CD2_SBI_L_7_8_!AC6,EL_DEL_CD2_SBI_L_9_10_!AC6,EL_DEL_CD2_L_STAB_!AC6)</f>
        <v>0</v>
      </c>
      <c r="AD6" s="98">
        <f>+SUM(EL_DEL_CD2_JO_!AD6,EL_DEL_CD2_SBI_1_4_!AD6,EL_DEL_CD2_SBI_5_6_!AD6,EL_DEL_CD2_SBI_7_8_!AD6,EL_DEL_CD2_SBI_9_10_!AD6,EL_DEL_CD2_STAB_!AD6,EL_DEL_CD2_JO_L_!AD6,EL_DEL_CD2_SBI_L_1_4_!AD6,EL_DEL_CD2_SBI_L_5_6_!AD6,EL_DEL_CD2_SBI_L_7_8_!AD6,EL_DEL_CD2_SBI_L_9_10_!AD6,EL_DEL_CD2_L_STAB_!AD6)</f>
        <v>0</v>
      </c>
      <c r="AE6" s="98">
        <f>+SUM(EL_DEL_CD2_JO_!AE6,EL_DEL_CD2_SBI_1_4_!AE6,EL_DEL_CD2_SBI_5_6_!AE6,EL_DEL_CD2_SBI_7_8_!AE6,EL_DEL_CD2_SBI_9_10_!AE6,EL_DEL_CD2_STAB_!AE6,EL_DEL_CD2_JO_L_!AE6,EL_DEL_CD2_SBI_L_1_4_!AE6,EL_DEL_CD2_SBI_L_5_6_!AE6,EL_DEL_CD2_SBI_L_7_8_!AE6,EL_DEL_CD2_SBI_L_9_10_!AE6,EL_DEL_CD2_L_STAB_!AE6)</f>
        <v>0</v>
      </c>
      <c r="AF6" s="98">
        <f>+SUM(EL_DEL_CD2_JO_!AF6,EL_DEL_CD2_SBI_1_4_!AF6,EL_DEL_CD2_SBI_5_6_!AF6,EL_DEL_CD2_SBI_7_8_!AF6,EL_DEL_CD2_SBI_9_10_!AF6,EL_DEL_CD2_STAB_!AF6,EL_DEL_CD2_JO_L_!AF6,EL_DEL_CD2_SBI_L_1_4_!AF6,EL_DEL_CD2_SBI_L_5_6_!AF6,EL_DEL_CD2_SBI_L_7_8_!AF6,EL_DEL_CD2_SBI_L_9_10_!AF6,EL_DEL_CD2_L_STAB_!AF6)</f>
        <v>0</v>
      </c>
      <c r="AG6" s="98">
        <f>+SUM(EL_DEL_CD2_JO_!AG6,EL_DEL_CD2_SBI_1_4_!AG6,EL_DEL_CD2_SBI_5_6_!AG6,EL_DEL_CD2_SBI_7_8_!AG6,EL_DEL_CD2_SBI_9_10_!AG6,EL_DEL_CD2_STAB_!AG6,EL_DEL_CD2_JO_L_!AG6,EL_DEL_CD2_SBI_L_1_4_!AG6,EL_DEL_CD2_SBI_L_5_6_!AG6,EL_DEL_CD2_SBI_L_7_8_!AG6,EL_DEL_CD2_SBI_L_9_10_!AG6,EL_DEL_CD2_L_STAB_!AG6)</f>
        <v>0</v>
      </c>
      <c r="AH6" s="98">
        <f>+SUM(EL_DEL_CD2_JO_!AH6,EL_DEL_CD2_SBI_1_4_!AH6,EL_DEL_CD2_SBI_5_6_!AH6,EL_DEL_CD2_SBI_7_8_!AH6,EL_DEL_CD2_SBI_9_10_!AH6,EL_DEL_CD2_STAB_!AH6,EL_DEL_CD2_JO_L_!AH6,EL_DEL_CD2_SBI_L_1_4_!AH6,EL_DEL_CD2_SBI_L_5_6_!AH6,EL_DEL_CD2_SBI_L_7_8_!AH6,EL_DEL_CD2_SBI_L_9_10_!AH6,EL_DEL_CD2_L_STAB_!AH6)</f>
        <v>0</v>
      </c>
      <c r="AI6" s="98">
        <f>+SUM(EL_DEL_CD2_JO_!AI6,EL_DEL_CD2_SBI_1_4_!AI6,EL_DEL_CD2_SBI_5_6_!AI6,EL_DEL_CD2_SBI_7_8_!AI6,EL_DEL_CD2_SBI_9_10_!AI6,EL_DEL_CD2_STAB_!AI6,EL_DEL_CD2_JO_L_!AI6,EL_DEL_CD2_SBI_L_1_4_!AI6,EL_DEL_CD2_SBI_L_5_6_!AI6,EL_DEL_CD2_SBI_L_7_8_!AI6,EL_DEL_CD2_SBI_L_9_10_!AI6,EL_DEL_CD2_L_STAB_!AI6)</f>
        <v>0</v>
      </c>
      <c r="AJ6" s="98">
        <f>+SUM(EL_DEL_CD2_JO_!AJ6,EL_DEL_CD2_SBI_1_4_!AJ6,EL_DEL_CD2_SBI_5_6_!AJ6,EL_DEL_CD2_SBI_7_8_!AJ6,EL_DEL_CD2_SBI_9_10_!AJ6,EL_DEL_CD2_STAB_!AJ6,EL_DEL_CD2_JO_L_!AJ6,EL_DEL_CD2_SBI_L_1_4_!AJ6,EL_DEL_CD2_SBI_L_5_6_!AJ6,EL_DEL_CD2_SBI_L_7_8_!AJ6,EL_DEL_CD2_SBI_L_9_10_!AJ6,EL_DEL_CD2_L_STAB_!AJ6)</f>
        <v>0</v>
      </c>
      <c r="AK6" s="98">
        <f>+SUM(EL_DEL_CD2_JO_!AK6,EL_DEL_CD2_SBI_1_4_!AK6,EL_DEL_CD2_SBI_5_6_!AK6,EL_DEL_CD2_SBI_7_8_!AK6,EL_DEL_CD2_SBI_9_10_!AK6,EL_DEL_CD2_STAB_!AK6,EL_DEL_CD2_JO_L_!AK6,EL_DEL_CD2_SBI_L_1_4_!AK6,EL_DEL_CD2_SBI_L_5_6_!AK6,EL_DEL_CD2_SBI_L_7_8_!AK6,EL_DEL_CD2_SBI_L_9_10_!AK6,EL_DEL_CD2_L_STAB_!AK6)</f>
        <v>0</v>
      </c>
      <c r="AL6" s="152" t="str">
        <f>+IFERROR(AVERAGE(EL_DEL_CD2_JO_!AL6,EL_DEL_CD2_SBI_1_4_!AL6,EL_DEL_CD2_SBI_5_6_!AL6,EL_DEL_CD2_SBI_7_8_!AL6,EL_DEL_CD2_SBI_9_10_!AL6,EL_DEL_CD2_STAB_!AL6,EL_DEL_CD2_JO_L_!AL6,EL_DEL_CD2_SBI_L_1_4_!AL6,EL_DEL_CD2_SBI_L_5_6_!AL6,EL_DEL_CD2_SBI_L_7_8_!AL6,EL_DEL_CD2_SBI_L_9_10_!AL6,EL_DEL_CD2_L_STAB_!AL6),"0:00")</f>
        <v>0:00</v>
      </c>
      <c r="AM6" s="152" t="str">
        <f>+IFERROR(AVERAGE(EL_DEL_CD2_JO_!AM6,EL_DEL_CD2_SBI_1_4_!AM6,EL_DEL_CD2_SBI_5_6_!AM6,EL_DEL_CD2_SBI_7_8_!AM6,EL_DEL_CD2_SBI_9_10_!AM6,EL_DEL_CD2_STAB_!AM6,EL_DEL_CD2_JO_L_!AM6,EL_DEL_CD2_SBI_L_1_4_!AM6,EL_DEL_CD2_SBI_L_5_6_!AM6,EL_DEL_CD2_SBI_L_7_8_!AM6,EL_DEL_CD2_SBI_L_9_10_!AM6,EL_DEL_CD2_L_STAB_!AM6),"0:00")</f>
        <v>0:00</v>
      </c>
      <c r="AN6" s="152" t="str">
        <f>+IFERROR(AVERAGE(EL_DEL_CD2_JO_!AN6,EL_DEL_CD2_SBI_1_4_!AN6,EL_DEL_CD2_SBI_5_6_!AN6,EL_DEL_CD2_SBI_7_8_!AN6,EL_DEL_CD2_SBI_9_10_!AN6,EL_DEL_CD2_STAB_!AN6,EL_DEL_CD2_JO_L_!AN6,EL_DEL_CD2_SBI_L_1_4_!AN6,EL_DEL_CD2_SBI_L_5_6_!AN6,EL_DEL_CD2_SBI_L_7_8_!AN6,EL_DEL_CD2_SBI_L_9_10_!AN6,EL_DEL_CD2_L_STAB_!AN6),"0:00")</f>
        <v>0:00</v>
      </c>
      <c r="AO6" s="152" t="str">
        <f>+IFERROR(AVERAGE(EL_DEL_CD2_JO_!AO6,EL_DEL_CD2_SBI_1_4_!AO6,EL_DEL_CD2_SBI_5_6_!AO6,EL_DEL_CD2_SBI_7_8_!AO6,EL_DEL_CD2_SBI_9_10_!AO6,EL_DEL_CD2_STAB_!AO6,EL_DEL_CD2_JO_L_!AO6,EL_DEL_CD2_SBI_L_1_4_!AO6,EL_DEL_CD2_SBI_L_5_6_!AO6,EL_DEL_CD2_SBI_L_7_8_!AO6,EL_DEL_CD2_SBI_L_9_10_!AO6,EL_DEL_CD2_L_STAB_!AO6),"0:00")</f>
        <v>0:00</v>
      </c>
      <c r="AP6" s="98" t="str">
        <f>+IFERROR(AVERAGE(EL_DEL_CD2_JO_!AP6,EL_DEL_CD2_SBI_1_4_!AP6,EL_DEL_CD2_SBI_5_6_!AP6,EL_DEL_CD2_SBI_7_8_!AP6,EL_DEL_CD2_SBI_9_10_!AP6,EL_DEL_CD2_STAB_!AP6,EL_DEL_CD2_JO_L_!AP6,EL_DEL_CD2_SBI_L_1_4_!AP6,EL_DEL_CD2_SBI_L_5_6_!AP6,EL_DEL_CD2_SBI_L_7_8_!AP6,EL_DEL_CD2_SBI_L_9_10_!AP6,EL_DEL_CD2_L_STAB_!AP6),"0:00")</f>
        <v>0:00</v>
      </c>
      <c r="AQ6" s="152" t="str">
        <f>+IFERROR(AVERAGE(EL_DEL_CD2_JO_!AQ6,EL_DEL_CD2_SBI_1_4_!AQ6,EL_DEL_CD2_SBI_5_6_!AQ6,EL_DEL_CD2_SBI_7_8_!AQ6,EL_DEL_CD2_SBI_9_10_!AQ6,EL_DEL_CD2_STAB_!AQ6,EL_DEL_CD2_JO_L_!AQ6,EL_DEL_CD2_SBI_L_1_4_!AQ6,EL_DEL_CD2_SBI_L_5_6_!AQ6,EL_DEL_CD2_SBI_L_7_8_!AQ6,EL_DEL_CD2_SBI_L_9_10_!AQ6,EL_DEL_CD2_L_STAB_!AQ6),"0:00")</f>
        <v>0:00</v>
      </c>
      <c r="AR6" s="152" t="str">
        <f>+IFERROR(AVERAGE(EL_DEL_CD2_JO_!AR6,EL_DEL_CD2_SBI_1_4_!AR6,EL_DEL_CD2_SBI_5_6_!AR6,EL_DEL_CD2_SBI_7_8_!AR6,EL_DEL_CD2_SBI_9_10_!AR6,EL_DEL_CD2_STAB_!AR6,EL_DEL_CD2_JO_L_!AR6,EL_DEL_CD2_SBI_L_1_4_!AR6,EL_DEL_CD2_SBI_L_5_6_!AR6,EL_DEL_CD2_SBI_L_7_8_!AR6,EL_DEL_CD2_SBI_L_9_10_!AR6,EL_DEL_CD2_L_STAB_!AR6),"0:00")</f>
        <v>0:00</v>
      </c>
      <c r="AS6" s="152" t="str">
        <f>+IFERROR(AVERAGE(EL_DEL_CD2_JO_!AS6,EL_DEL_CD2_SBI_1_4_!AS6,EL_DEL_CD2_SBI_5_6_!AS6,EL_DEL_CD2_SBI_7_8_!AS6,EL_DEL_CD2_SBI_9_10_!AS6,EL_DEL_CD2_STAB_!AS6,EL_DEL_CD2_JO_L_!AS6,EL_DEL_CD2_SBI_L_1_4_!AS6,EL_DEL_CD2_SBI_L_5_6_!AS6,EL_DEL_CD2_SBI_L_7_8_!AS6,EL_DEL_CD2_SBI_L_9_10_!AS6,EL_DEL_CD2_L_STAB_!AS6),"0:00")</f>
        <v>0:00</v>
      </c>
      <c r="AT6" s="98">
        <f>+SUM(EL_DEL_CD2_JO_!AT6,EL_DEL_CD2_SBI_1_4_!AT6,EL_DEL_CD2_SBI_5_6_!AT6,EL_DEL_CD2_SBI_7_8_!AT6,EL_DEL_CD2_SBI_9_10_!AT6,EL_DEL_CD2_STAB_!AT6,EL_DEL_CD2_JO_L_!AT6,EL_DEL_CD2_SBI_L_1_4_!AT6,EL_DEL_CD2_SBI_L_5_6_!AT6,EL_DEL_CD2_SBI_L_7_8_!AT6,EL_DEL_CD2_SBI_L_9_10_!AT6,EL_DEL_CD2_L_STAB_!AT6)</f>
        <v>0</v>
      </c>
      <c r="AU6" s="98">
        <f>+SUM(EL_DEL_CD2_JO_!AU6,EL_DEL_CD2_SBI_1_4_!AU6,EL_DEL_CD2_SBI_5_6_!AU6,EL_DEL_CD2_SBI_7_8_!AU6,EL_DEL_CD2_SBI_9_10_!AU6,EL_DEL_CD2_STAB_!AU6,EL_DEL_CD2_JO_L_!AU6,EL_DEL_CD2_SBI_L_1_4_!AU6,EL_DEL_CD2_SBI_L_5_6_!AU6,EL_DEL_CD2_SBI_L_7_8_!AU6,EL_DEL_CD2_SBI_L_9_10_!AU6,EL_DEL_CD2_L_STAB_!AU6)</f>
        <v>0</v>
      </c>
      <c r="AV6" s="98">
        <f>+SUM(EL_DEL_CD2_JO_!AV6,EL_DEL_CD2_SBI_1_4_!AV6,EL_DEL_CD2_SBI_5_6_!AV6,EL_DEL_CD2_SBI_7_8_!AV6,EL_DEL_CD2_SBI_9_10_!AV6,EL_DEL_CD2_STAB_!AV6,EL_DEL_CD2_JO_L_!AV6,EL_DEL_CD2_SBI_L_1_4_!AV6,EL_DEL_CD2_SBI_L_5_6_!AV6,EL_DEL_CD2_SBI_L_7_8_!AV6,EL_DEL_CD2_SBI_L_9_10_!AV6,EL_DEL_CD2_L_STAB_!AV6)</f>
        <v>0</v>
      </c>
      <c r="AW6" s="167">
        <f>+SUM(EL_DEL_CD2_JO_!AW6,EL_DEL_CD2_SBI_1_4_!AW6,EL_DEL_CD2_SBI_5_6_!AW6,EL_DEL_CD2_SBI_7_8_!AW6,EL_DEL_CD2_SBI_9_10_!AW6,EL_DEL_CD2_STAB_!AW6,EL_DEL_CD2_JO_L_!AW6,EL_DEL_CD2_SBI_L_1_4_!AW6,EL_DEL_CD2_SBI_L_5_6_!AW6,EL_DEL_CD2_SBI_L_7_8_!AW6,EL_DEL_CD2_SBI_L_9_10_!AW6,EL_DEL_CD2_L_STAB_!AW6)</f>
        <v>0</v>
      </c>
      <c r="AX6" s="102" t="str">
        <f t="shared" si="24"/>
        <v>-</v>
      </c>
      <c r="AY6" s="151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51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7"/>
        <v/>
      </c>
      <c r="BH6" s="119" t="str">
        <f t="shared" si="8"/>
        <v/>
      </c>
      <c r="BI6" s="120" t="str">
        <f t="shared" si="25"/>
        <v/>
      </c>
      <c r="BJ6" s="151"/>
      <c r="BK6" s="121" t="str">
        <f t="shared" si="9"/>
        <v/>
      </c>
      <c r="BL6" s="122" t="str">
        <f t="shared" si="10"/>
        <v/>
      </c>
      <c r="BM6" s="122" t="str">
        <f t="shared" si="11"/>
        <v/>
      </c>
      <c r="BN6" s="123" t="str">
        <f t="shared" si="12"/>
        <v/>
      </c>
      <c r="BO6" s="151"/>
      <c r="BP6" s="124" t="str">
        <f t="shared" si="13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4"/>
        <v/>
      </c>
      <c r="BU6" s="151"/>
      <c r="BV6" s="127" t="e">
        <f t="shared" si="15"/>
        <v>#DIV/0!</v>
      </c>
      <c r="BW6" s="127" t="e">
        <f t="shared" si="16"/>
        <v>#DIV/0!</v>
      </c>
      <c r="BX6" s="127" t="e">
        <f t="shared" si="17"/>
        <v>#DIV/0!</v>
      </c>
      <c r="BY6" s="127" t="e">
        <f t="shared" si="18"/>
        <v>#DIV/0!</v>
      </c>
      <c r="BZ6" s="127" t="e">
        <f t="shared" si="28"/>
        <v>#DIV/0!</v>
      </c>
      <c r="CA6" s="128" t="e">
        <f t="shared" si="29"/>
        <v>#DIV/0!</v>
      </c>
      <c r="CB6" s="151"/>
      <c r="CC6" s="129" t="str">
        <f t="shared" si="19"/>
        <v>-</v>
      </c>
      <c r="CD6" s="130" t="str">
        <f t="shared" si="20"/>
        <v>-</v>
      </c>
      <c r="CE6" s="130" t="str">
        <f t="shared" si="21"/>
        <v>-</v>
      </c>
      <c r="CF6" s="130" t="str">
        <f t="shared" si="22"/>
        <v>-</v>
      </c>
      <c r="CG6" s="131" t="str">
        <f t="shared" si="23"/>
        <v>-</v>
      </c>
      <c r="CH6" s="151"/>
    </row>
    <row r="7" spans="1:86" s="115" customFormat="1" ht="12.4" customHeight="1" thickBot="1" x14ac:dyDescent="0.25">
      <c r="A7" s="96">
        <f t="shared" si="30"/>
        <v>46299</v>
      </c>
      <c r="B7" s="97" t="str">
        <f t="shared" si="0"/>
        <v>Sun</v>
      </c>
      <c r="C7" s="98">
        <f>+SUM(EL_DEL_CD2_JO_!C7,EL_DEL_CD2_SBI_1_4_!C7,EL_DEL_CD2_SBI_5_6_!C7,EL_DEL_CD2_SBI_7_8_!C7,EL_DEL_CD2_SBI_9_10_!C7,EL_DEL_CD2_STAB_!C7,EL_DEL_CD2_JO_L_!C7,EL_DEL_CD2_SBI_L_1_4_!C7,EL_DEL_CD2_SBI_L_5_6_!C7,EL_DEL_CD2_SBI_L_7_8_!C7,EL_DEL_CD2_SBI_L_9_10_!C7,EL_DEL_CD2_L_STAB_!C7)</f>
        <v>0</v>
      </c>
      <c r="D7" s="98">
        <f>+SUM(EL_DEL_CD2_JO_!D7,EL_DEL_CD2_SBI_1_4_!D7,EL_DEL_CD2_SBI_5_6_!D7,EL_DEL_CD2_SBI_7_8_!D7,EL_DEL_CD2_SBI_9_10_!D7,EL_DEL_CD2_STAB_!D7,EL_DEL_CD2_JO_L_!D7,EL_DEL_CD2_SBI_L_1_4_!D7,EL_DEL_CD2_SBI_L_5_6_!D7,EL_DEL_CD2_SBI_L_7_8_!D7,EL_DEL_CD2_SBI_L_9_10_!D7,EL_DEL_CD2_L_STAB_!D7)</f>
        <v>0</v>
      </c>
      <c r="E7" s="98">
        <f>+SUM(EL_DEL_CD2_JO_!E7,EL_DEL_CD2_SBI_1_4_!E7,EL_DEL_CD2_SBI_5_6_!E7,EL_DEL_CD2_SBI_7_8_!E7,EL_DEL_CD2_SBI_9_10_!E7,EL_DEL_CD2_STAB_!E7,EL_DEL_CD2_JO_L_!E7,EL_DEL_CD2_SBI_L_1_4_!E7,EL_DEL_CD2_SBI_L_5_6_!E7,EL_DEL_CD2_SBI_L_7_8_!E7,EL_DEL_CD2_SBI_L_9_10_!E7,EL_DEL_CD2_L_STAB_!E7)</f>
        <v>0</v>
      </c>
      <c r="F7" s="98">
        <f>+SUM(EL_DEL_CD2_JO_!F7,EL_DEL_CD2_SBI_1_4_!F7,EL_DEL_CD2_SBI_5_6_!F7,EL_DEL_CD2_SBI_7_8_!F7,EL_DEL_CD2_SBI_9_10_!F7,EL_DEL_CD2_STAB_!F7,EL_DEL_CD2_JO_L_!F7,EL_DEL_CD2_SBI_L_1_4_!F7,EL_DEL_CD2_SBI_L_5_6_!F7,EL_DEL_CD2_SBI_L_7_8_!F7,EL_DEL_CD2_SBI_L_9_10_!F7,EL_DEL_CD2_L_STAB_!F7)</f>
        <v>0</v>
      </c>
      <c r="G7" s="98">
        <f>+SUM(EL_DEL_CD2_JO_!G7,EL_DEL_CD2_SBI_1_4_!G7,EL_DEL_CD2_SBI_5_6_!G7,EL_DEL_CD2_SBI_7_8_!G7,EL_DEL_CD2_SBI_9_10_!G7,EL_DEL_CD2_STAB_!G7,EL_DEL_CD2_JO_L_!G7,EL_DEL_CD2_SBI_L_1_4_!G7,EL_DEL_CD2_SBI_L_5_6_!G7,EL_DEL_CD2_SBI_L_7_8_!G7,EL_DEL_CD2_SBI_L_9_10_!G7,EL_DEL_CD2_L_STAB_!G7)</f>
        <v>0</v>
      </c>
      <c r="H7" s="98">
        <f>+SUM(EL_DEL_CD2_JO_!H7,EL_DEL_CD2_SBI_1_4_!H7,EL_DEL_CD2_SBI_5_6_!H7,EL_DEL_CD2_SBI_7_8_!H7,EL_DEL_CD2_SBI_9_10_!H7,EL_DEL_CD2_STAB_!H7,EL_DEL_CD2_JO_L_!H7,EL_DEL_CD2_SBI_L_1_4_!H7,EL_DEL_CD2_SBI_L_5_6_!H7,EL_DEL_CD2_SBI_L_7_8_!H7,EL_DEL_CD2_SBI_L_9_10_!H7,EL_DEL_CD2_L_STAB_!H7)</f>
        <v>0</v>
      </c>
      <c r="I7" s="98">
        <f>+SUM(EL_DEL_CD2_JO_!I7,EL_DEL_CD2_SBI_1_4_!I7,EL_DEL_CD2_SBI_5_6_!I7,EL_DEL_CD2_SBI_7_8_!I7,EL_DEL_CD2_SBI_9_10_!I7,EL_DEL_CD2_STAB_!I7,EL_DEL_CD2_JO_L_!I7,EL_DEL_CD2_SBI_L_1_4_!I7,EL_DEL_CD2_SBI_L_5_6_!I7,EL_DEL_CD2_SBI_L_7_8_!I7,EL_DEL_CD2_SBI_L_9_10_!I7,EL_DEL_CD2_L_STAB_!I7)</f>
        <v>0</v>
      </c>
      <c r="J7" s="98">
        <f>+SUM(EL_DEL_CD2_JO_!J7,EL_DEL_CD2_SBI_1_4_!J7,EL_DEL_CD2_SBI_5_6_!J7,EL_DEL_CD2_SBI_7_8_!J7,EL_DEL_CD2_SBI_9_10_!J7,EL_DEL_CD2_STAB_!J7,EL_DEL_CD2_JO_L_!J7,EL_DEL_CD2_SBI_L_1_4_!J7,EL_DEL_CD2_SBI_L_5_6_!J7,EL_DEL_CD2_SBI_L_7_8_!J7,EL_DEL_CD2_SBI_L_9_10_!J7,EL_DEL_CD2_L_STAB_!J7)</f>
        <v>0</v>
      </c>
      <c r="K7" s="98">
        <f>+SUM(EL_DEL_CD2_JO_!K7,EL_DEL_CD2_SBI_1_4_!K7,EL_DEL_CD2_SBI_5_6_!K7,EL_DEL_CD2_SBI_7_8_!K7,EL_DEL_CD2_SBI_9_10_!K7,EL_DEL_CD2_STAB_!K7,EL_DEL_CD2_JO_L_!K7,EL_DEL_CD2_SBI_L_1_4_!K7,EL_DEL_CD2_SBI_L_5_6_!K7,EL_DEL_CD2_SBI_L_7_8_!K7,EL_DEL_CD2_SBI_L_9_10_!K7,EL_DEL_CD2_L_STAB_!K7)</f>
        <v>0</v>
      </c>
      <c r="L7" s="98">
        <f>+SUM(EL_DEL_CD2_JO_!L7,EL_DEL_CD2_SBI_1_4_!L7,EL_DEL_CD2_SBI_5_6_!L7,EL_DEL_CD2_SBI_7_8_!L7,EL_DEL_CD2_SBI_9_10_!L7,EL_DEL_CD2_STAB_!L7,EL_DEL_CD2_JO_L_!L7,EL_DEL_CD2_SBI_L_1_4_!L7,EL_DEL_CD2_SBI_L_5_6_!L7,EL_DEL_CD2_SBI_L_7_8_!L7,EL_DEL_CD2_SBI_L_9_10_!L7,EL_DEL_CD2_L_STAB_!L7)</f>
        <v>0</v>
      </c>
      <c r="M7" s="98">
        <f>+SUM(EL_DEL_CD2_JO_!M7,EL_DEL_CD2_SBI_1_4_!M7,EL_DEL_CD2_SBI_5_6_!M7,EL_DEL_CD2_SBI_7_8_!M7,EL_DEL_CD2_SBI_9_10_!M7,EL_DEL_CD2_STAB_!M7,EL_DEL_CD2_JO_L_!M7,EL_DEL_CD2_SBI_L_1_4_!M7,EL_DEL_CD2_SBI_L_5_6_!M7,EL_DEL_CD2_SBI_L_7_8_!M7,EL_DEL_CD2_SBI_L_9_10_!M7,EL_DEL_CD2_L_STAB_!M7)</f>
        <v>0</v>
      </c>
      <c r="N7" s="98">
        <f>+SUM(EL_DEL_CD2_JO_!N7,EL_DEL_CD2_SBI_1_4_!N7,EL_DEL_CD2_SBI_5_6_!N7,EL_DEL_CD2_SBI_7_8_!N7,EL_DEL_CD2_SBI_9_10_!N7,EL_DEL_CD2_STAB_!N7,EL_DEL_CD2_JO_L_!N7,EL_DEL_CD2_SBI_L_1_4_!N7,EL_DEL_CD2_SBI_L_5_6_!N7,EL_DEL_CD2_SBI_L_7_8_!N7,EL_DEL_CD2_SBI_L_9_10_!N7,EL_DEL_CD2_L_STAB_!N7)</f>
        <v>0</v>
      </c>
      <c r="O7" s="98">
        <f>+SUM(EL_DEL_CD2_JO_!O7,EL_DEL_CD2_SBI_1_4_!O7,EL_DEL_CD2_SBI_5_6_!O7,EL_DEL_CD2_SBI_7_8_!O7,EL_DEL_CD2_SBI_9_10_!O7,EL_DEL_CD2_STAB_!O7,EL_DEL_CD2_JO_L_!O7,EL_DEL_CD2_SBI_L_1_4_!O7,EL_DEL_CD2_SBI_L_5_6_!O7,EL_DEL_CD2_SBI_L_7_8_!O7,EL_DEL_CD2_SBI_L_9_10_!O7,EL_DEL_CD2_L_STAB_!O7)</f>
        <v>0</v>
      </c>
      <c r="P7" s="98">
        <f>+SUM(EL_DEL_CD2_JO_!P7,EL_DEL_CD2_SBI_1_4_!P7,EL_DEL_CD2_SBI_5_6_!P7,EL_DEL_CD2_SBI_7_8_!P7,EL_DEL_CD2_SBI_9_10_!P7,EL_DEL_CD2_STAB_!P7,EL_DEL_CD2_JO_L_!P7,EL_DEL_CD2_SBI_L_1_4_!P7,EL_DEL_CD2_SBI_L_5_6_!P7,EL_DEL_CD2_SBI_L_7_8_!P7,EL_DEL_CD2_SBI_L_9_10_!P7,EL_DEL_CD2_L_STAB_!P7)</f>
        <v>0</v>
      </c>
      <c r="Q7" s="98">
        <f>+SUM(EL_DEL_CD2_JO_!Q7,EL_DEL_CD2_SBI_1_4_!Q7,EL_DEL_CD2_SBI_5_6_!Q7,EL_DEL_CD2_SBI_7_8_!Q7,EL_DEL_CD2_SBI_9_10_!Q7,EL_DEL_CD2_STAB_!Q7,EL_DEL_CD2_JO_L_!Q7,EL_DEL_CD2_SBI_L_1_4_!Q7,EL_DEL_CD2_SBI_L_5_6_!Q7,EL_DEL_CD2_SBI_L_7_8_!Q7,EL_DEL_CD2_SBI_L_9_10_!Q7,EL_DEL_CD2_L_STAB_!Q7)</f>
        <v>0</v>
      </c>
      <c r="R7" s="98">
        <f>+SUM(EL_DEL_CD2_JO_!R7,EL_DEL_CD2_SBI_1_4_!R7,EL_DEL_CD2_SBI_5_6_!R7,EL_DEL_CD2_SBI_7_8_!R7,EL_DEL_CD2_SBI_9_10_!R7,EL_DEL_CD2_STAB_!R7,EL_DEL_CD2_JO_L_!R7,EL_DEL_CD2_SBI_L_1_4_!R7,EL_DEL_CD2_SBI_L_5_6_!R7,EL_DEL_CD2_SBI_L_7_8_!R7,EL_DEL_CD2_SBI_L_9_10_!R7,EL_DEL_CD2_L_STAB_!R7)</f>
        <v>0</v>
      </c>
      <c r="S7" s="98">
        <f>+SUM(EL_DEL_CD2_JO_!S7,EL_DEL_CD2_SBI_1_4_!S7,EL_DEL_CD2_SBI_5_6_!S7,EL_DEL_CD2_SBI_7_8_!S7,EL_DEL_CD2_SBI_9_10_!S7,EL_DEL_CD2_STAB_!S7,EL_DEL_CD2_JO_L_!S7,EL_DEL_CD2_SBI_L_1_4_!S7,EL_DEL_CD2_SBI_L_5_6_!S7,EL_DEL_CD2_SBI_L_7_8_!S7,EL_DEL_CD2_SBI_L_9_10_!S7,EL_DEL_CD2_L_STAB_!S7)</f>
        <v>0</v>
      </c>
      <c r="T7" s="98">
        <f>+SUM(EL_DEL_CD2_JO_!T7,EL_DEL_CD2_SBI_1_4_!T7,EL_DEL_CD2_SBI_5_6_!T7,EL_DEL_CD2_SBI_7_8_!T7,EL_DEL_CD2_SBI_9_10_!T7,EL_DEL_CD2_STAB_!T7,EL_DEL_CD2_JO_L_!T7,EL_DEL_CD2_SBI_L_1_4_!T7,EL_DEL_CD2_SBI_L_5_6_!T7,EL_DEL_CD2_SBI_L_7_8_!T7,EL_DEL_CD2_SBI_L_9_10_!T7,EL_DEL_CD2_L_STAB_!T7)</f>
        <v>0</v>
      </c>
      <c r="U7" s="98">
        <f>+SUM(EL_DEL_CD2_JO_!U7,EL_DEL_CD2_SBI_1_4_!U7,EL_DEL_CD2_SBI_5_6_!U7,EL_DEL_CD2_SBI_7_8_!U7,EL_DEL_CD2_SBI_9_10_!U7,EL_DEL_CD2_STAB_!U7,EL_DEL_CD2_JO_L_!U7,EL_DEL_CD2_SBI_L_1_4_!U7,EL_DEL_CD2_SBI_L_5_6_!U7,EL_DEL_CD2_SBI_L_7_8_!U7,EL_DEL_CD2_SBI_L_9_10_!U7,EL_DEL_CD2_L_STAB_!U7)</f>
        <v>0</v>
      </c>
      <c r="V7" s="98">
        <f>+SUM(EL_DEL_CD2_JO_!V7,EL_DEL_CD2_SBI_1_4_!V7,EL_DEL_CD2_SBI_5_6_!V7,EL_DEL_CD2_SBI_7_8_!V7,EL_DEL_CD2_SBI_9_10_!V7,EL_DEL_CD2_STAB_!V7,EL_DEL_CD2_JO_L_!V7,EL_DEL_CD2_SBI_L_1_4_!V7,EL_DEL_CD2_SBI_L_5_6_!V7,EL_DEL_CD2_SBI_L_7_8_!V7,EL_DEL_CD2_SBI_L_9_10_!V7,EL_DEL_CD2_L_STAB_!V7)</f>
        <v>0</v>
      </c>
      <c r="W7" s="98">
        <f>+SUM(EL_DEL_CD2_JO_!W7,EL_DEL_CD2_SBI_1_4_!W7,EL_DEL_CD2_SBI_5_6_!W7,EL_DEL_CD2_SBI_7_8_!W7,EL_DEL_CD2_SBI_9_10_!W7,EL_DEL_CD2_STAB_!W7,EL_DEL_CD2_JO_L_!W7,EL_DEL_CD2_SBI_L_1_4_!W7,EL_DEL_CD2_SBI_L_5_6_!W7,EL_DEL_CD2_SBI_L_7_8_!W7,EL_DEL_CD2_SBI_L_9_10_!W7,EL_DEL_CD2_L_STAB_!W7)</f>
        <v>0</v>
      </c>
      <c r="X7" s="98">
        <f>+SUM(EL_DEL_CD2_JO_!X7,EL_DEL_CD2_SBI_1_4_!X7,EL_DEL_CD2_SBI_5_6_!X7,EL_DEL_CD2_SBI_7_8_!X7,EL_DEL_CD2_SBI_9_10_!X7,EL_DEL_CD2_STAB_!X7,EL_DEL_CD2_JO_L_!X7,EL_DEL_CD2_SBI_L_1_4_!X7,EL_DEL_CD2_SBI_L_5_6_!X7,EL_DEL_CD2_SBI_L_7_8_!X7,EL_DEL_CD2_SBI_L_9_10_!X7,EL_DEL_CD2_L_STAB_!X7)</f>
        <v>0</v>
      </c>
      <c r="Y7" s="98">
        <f>+SUM(EL_DEL_CD2_JO_!Y7,EL_DEL_CD2_SBI_1_4_!Y7,EL_DEL_CD2_SBI_5_6_!Y7,EL_DEL_CD2_SBI_7_8_!Y7,EL_DEL_CD2_SBI_9_10_!Y7,EL_DEL_CD2_STAB_!Y7,EL_DEL_CD2_JO_L_!Y7,EL_DEL_CD2_SBI_L_1_4_!Y7,EL_DEL_CD2_SBI_L_5_6_!Y7,EL_DEL_CD2_SBI_L_7_8_!Y7,EL_DEL_CD2_SBI_L_9_10_!Y7,EL_DEL_CD2_L_STAB_!Y7)</f>
        <v>0</v>
      </c>
      <c r="Z7" s="98">
        <f>+SUM(EL_DEL_CD2_JO_!Z7,EL_DEL_CD2_SBI_1_4_!Z7,EL_DEL_CD2_SBI_5_6_!Z7,EL_DEL_CD2_SBI_7_8_!Z7,EL_DEL_CD2_SBI_9_10_!Z7,EL_DEL_CD2_STAB_!Z7,EL_DEL_CD2_JO_L_!Z7,EL_DEL_CD2_SBI_L_1_4_!Z7,EL_DEL_CD2_SBI_L_5_6_!Z7,EL_DEL_CD2_SBI_L_7_8_!Z7,EL_DEL_CD2_SBI_L_9_10_!Z7,EL_DEL_CD2_L_STAB_!Z7)</f>
        <v>0</v>
      </c>
      <c r="AA7" s="98">
        <f>+SUM(EL_DEL_CD2_JO_!AA7,EL_DEL_CD2_SBI_1_4_!AA7,EL_DEL_CD2_SBI_5_6_!AA7,EL_DEL_CD2_SBI_7_8_!AA7,EL_DEL_CD2_SBI_9_10_!AA7,EL_DEL_CD2_STAB_!AA7,EL_DEL_CD2_JO_L_!AA7,EL_DEL_CD2_SBI_L_1_4_!AA7,EL_DEL_CD2_SBI_L_5_6_!AA7,EL_DEL_CD2_SBI_L_7_8_!AA7,EL_DEL_CD2_SBI_L_9_10_!AA7,EL_DEL_CD2_L_STAB_!AA7)</f>
        <v>0</v>
      </c>
      <c r="AB7" s="98">
        <f>+SUM(EL_DEL_CD2_JO_!AB7,EL_DEL_CD2_SBI_1_4_!AB7,EL_DEL_CD2_SBI_5_6_!AB7,EL_DEL_CD2_SBI_7_8_!AB7,EL_DEL_CD2_SBI_9_10_!AB7,EL_DEL_CD2_STAB_!AB7,EL_DEL_CD2_JO_L_!AB7,EL_DEL_CD2_SBI_L_1_4_!AB7,EL_DEL_CD2_SBI_L_5_6_!AB7,EL_DEL_CD2_SBI_L_7_8_!AB7,EL_DEL_CD2_SBI_L_9_10_!AB7,EL_DEL_CD2_L_STAB_!AB7)</f>
        <v>0</v>
      </c>
      <c r="AC7" s="98">
        <f>+SUM(EL_DEL_CD2_JO_!AC7,EL_DEL_CD2_SBI_1_4_!AC7,EL_DEL_CD2_SBI_5_6_!AC7,EL_DEL_CD2_SBI_7_8_!AC7,EL_DEL_CD2_SBI_9_10_!AC7,EL_DEL_CD2_STAB_!AC7,EL_DEL_CD2_JO_L_!AC7,EL_DEL_CD2_SBI_L_1_4_!AC7,EL_DEL_CD2_SBI_L_5_6_!AC7,EL_DEL_CD2_SBI_L_7_8_!AC7,EL_DEL_CD2_SBI_L_9_10_!AC7,EL_DEL_CD2_L_STAB_!AC7)</f>
        <v>0</v>
      </c>
      <c r="AD7" s="98">
        <f>+SUM(EL_DEL_CD2_JO_!AD7,EL_DEL_CD2_SBI_1_4_!AD7,EL_DEL_CD2_SBI_5_6_!AD7,EL_DEL_CD2_SBI_7_8_!AD7,EL_DEL_CD2_SBI_9_10_!AD7,EL_DEL_CD2_STAB_!AD7,EL_DEL_CD2_JO_L_!AD7,EL_DEL_CD2_SBI_L_1_4_!AD7,EL_DEL_CD2_SBI_L_5_6_!AD7,EL_DEL_CD2_SBI_L_7_8_!AD7,EL_DEL_CD2_SBI_L_9_10_!AD7,EL_DEL_CD2_L_STAB_!AD7)</f>
        <v>0</v>
      </c>
      <c r="AE7" s="98">
        <f>+SUM(EL_DEL_CD2_JO_!AE7,EL_DEL_CD2_SBI_1_4_!AE7,EL_DEL_CD2_SBI_5_6_!AE7,EL_DEL_CD2_SBI_7_8_!AE7,EL_DEL_CD2_SBI_9_10_!AE7,EL_DEL_CD2_STAB_!AE7,EL_DEL_CD2_JO_L_!AE7,EL_DEL_CD2_SBI_L_1_4_!AE7,EL_DEL_CD2_SBI_L_5_6_!AE7,EL_DEL_CD2_SBI_L_7_8_!AE7,EL_DEL_CD2_SBI_L_9_10_!AE7,EL_DEL_CD2_L_STAB_!AE7)</f>
        <v>0</v>
      </c>
      <c r="AF7" s="98">
        <f>+SUM(EL_DEL_CD2_JO_!AF7,EL_DEL_CD2_SBI_1_4_!AF7,EL_DEL_CD2_SBI_5_6_!AF7,EL_DEL_CD2_SBI_7_8_!AF7,EL_DEL_CD2_SBI_9_10_!AF7,EL_DEL_CD2_STAB_!AF7,EL_DEL_CD2_JO_L_!AF7,EL_DEL_CD2_SBI_L_1_4_!AF7,EL_DEL_CD2_SBI_L_5_6_!AF7,EL_DEL_CD2_SBI_L_7_8_!AF7,EL_DEL_CD2_SBI_L_9_10_!AF7,EL_DEL_CD2_L_STAB_!AF7)</f>
        <v>0</v>
      </c>
      <c r="AG7" s="98">
        <f>+SUM(EL_DEL_CD2_JO_!AG7,EL_DEL_CD2_SBI_1_4_!AG7,EL_DEL_CD2_SBI_5_6_!AG7,EL_DEL_CD2_SBI_7_8_!AG7,EL_DEL_CD2_SBI_9_10_!AG7,EL_DEL_CD2_STAB_!AG7,EL_DEL_CD2_JO_L_!AG7,EL_DEL_CD2_SBI_L_1_4_!AG7,EL_DEL_CD2_SBI_L_5_6_!AG7,EL_DEL_CD2_SBI_L_7_8_!AG7,EL_DEL_CD2_SBI_L_9_10_!AG7,EL_DEL_CD2_L_STAB_!AG7)</f>
        <v>0</v>
      </c>
      <c r="AH7" s="98">
        <f>+SUM(EL_DEL_CD2_JO_!AH7,EL_DEL_CD2_SBI_1_4_!AH7,EL_DEL_CD2_SBI_5_6_!AH7,EL_DEL_CD2_SBI_7_8_!AH7,EL_DEL_CD2_SBI_9_10_!AH7,EL_DEL_CD2_STAB_!AH7,EL_DEL_CD2_JO_L_!AH7,EL_DEL_CD2_SBI_L_1_4_!AH7,EL_DEL_CD2_SBI_L_5_6_!AH7,EL_DEL_CD2_SBI_L_7_8_!AH7,EL_DEL_CD2_SBI_L_9_10_!AH7,EL_DEL_CD2_L_STAB_!AH7)</f>
        <v>0</v>
      </c>
      <c r="AI7" s="98">
        <f>+SUM(EL_DEL_CD2_JO_!AI7,EL_DEL_CD2_SBI_1_4_!AI7,EL_DEL_CD2_SBI_5_6_!AI7,EL_DEL_CD2_SBI_7_8_!AI7,EL_DEL_CD2_SBI_9_10_!AI7,EL_DEL_CD2_STAB_!AI7,EL_DEL_CD2_JO_L_!AI7,EL_DEL_CD2_SBI_L_1_4_!AI7,EL_DEL_CD2_SBI_L_5_6_!AI7,EL_DEL_CD2_SBI_L_7_8_!AI7,EL_DEL_CD2_SBI_L_9_10_!AI7,EL_DEL_CD2_L_STAB_!AI7)</f>
        <v>0</v>
      </c>
      <c r="AJ7" s="98">
        <f>+SUM(EL_DEL_CD2_JO_!AJ7,EL_DEL_CD2_SBI_1_4_!AJ7,EL_DEL_CD2_SBI_5_6_!AJ7,EL_DEL_CD2_SBI_7_8_!AJ7,EL_DEL_CD2_SBI_9_10_!AJ7,EL_DEL_CD2_STAB_!AJ7,EL_DEL_CD2_JO_L_!AJ7,EL_DEL_CD2_SBI_L_1_4_!AJ7,EL_DEL_CD2_SBI_L_5_6_!AJ7,EL_DEL_CD2_SBI_L_7_8_!AJ7,EL_DEL_CD2_SBI_L_9_10_!AJ7,EL_DEL_CD2_L_STAB_!AJ7)</f>
        <v>0</v>
      </c>
      <c r="AK7" s="98">
        <f>+SUM(EL_DEL_CD2_JO_!AK7,EL_DEL_CD2_SBI_1_4_!AK7,EL_DEL_CD2_SBI_5_6_!AK7,EL_DEL_CD2_SBI_7_8_!AK7,EL_DEL_CD2_SBI_9_10_!AK7,EL_DEL_CD2_STAB_!AK7,EL_DEL_CD2_JO_L_!AK7,EL_DEL_CD2_SBI_L_1_4_!AK7,EL_DEL_CD2_SBI_L_5_6_!AK7,EL_DEL_CD2_SBI_L_7_8_!AK7,EL_DEL_CD2_SBI_L_9_10_!AK7,EL_DEL_CD2_L_STAB_!AK7)</f>
        <v>0</v>
      </c>
      <c r="AL7" s="152" t="str">
        <f>+IFERROR(AVERAGE(EL_DEL_CD2_JO_!AL7,EL_DEL_CD2_SBI_1_4_!AL7,EL_DEL_CD2_SBI_5_6_!AL7,EL_DEL_CD2_SBI_7_8_!AL7,EL_DEL_CD2_SBI_9_10_!AL7,EL_DEL_CD2_STAB_!AL7,EL_DEL_CD2_JO_L_!AL7,EL_DEL_CD2_SBI_L_1_4_!AL7,EL_DEL_CD2_SBI_L_5_6_!AL7,EL_DEL_CD2_SBI_L_7_8_!AL7,EL_DEL_CD2_SBI_L_9_10_!AL7,EL_DEL_CD2_L_STAB_!AL7),"0:00")</f>
        <v>0:00</v>
      </c>
      <c r="AM7" s="152" t="str">
        <f>+IFERROR(AVERAGE(EL_DEL_CD2_JO_!AM7,EL_DEL_CD2_SBI_1_4_!AM7,EL_DEL_CD2_SBI_5_6_!AM7,EL_DEL_CD2_SBI_7_8_!AM7,EL_DEL_CD2_SBI_9_10_!AM7,EL_DEL_CD2_STAB_!AM7,EL_DEL_CD2_JO_L_!AM7,EL_DEL_CD2_SBI_L_1_4_!AM7,EL_DEL_CD2_SBI_L_5_6_!AM7,EL_DEL_CD2_SBI_L_7_8_!AM7,EL_DEL_CD2_SBI_L_9_10_!AM7,EL_DEL_CD2_L_STAB_!AM7),"0:00")</f>
        <v>0:00</v>
      </c>
      <c r="AN7" s="152" t="str">
        <f>+IFERROR(AVERAGE(EL_DEL_CD2_JO_!AN7,EL_DEL_CD2_SBI_1_4_!AN7,EL_DEL_CD2_SBI_5_6_!AN7,EL_DEL_CD2_SBI_7_8_!AN7,EL_DEL_CD2_SBI_9_10_!AN7,EL_DEL_CD2_STAB_!AN7,EL_DEL_CD2_JO_L_!AN7,EL_DEL_CD2_SBI_L_1_4_!AN7,EL_DEL_CD2_SBI_L_5_6_!AN7,EL_DEL_CD2_SBI_L_7_8_!AN7,EL_DEL_CD2_SBI_L_9_10_!AN7,EL_DEL_CD2_L_STAB_!AN7),"0:00")</f>
        <v>0:00</v>
      </c>
      <c r="AO7" s="152" t="str">
        <f>+IFERROR(AVERAGE(EL_DEL_CD2_JO_!AO7,EL_DEL_CD2_SBI_1_4_!AO7,EL_DEL_CD2_SBI_5_6_!AO7,EL_DEL_CD2_SBI_7_8_!AO7,EL_DEL_CD2_SBI_9_10_!AO7,EL_DEL_CD2_STAB_!AO7,EL_DEL_CD2_JO_L_!AO7,EL_DEL_CD2_SBI_L_1_4_!AO7,EL_DEL_CD2_SBI_L_5_6_!AO7,EL_DEL_CD2_SBI_L_7_8_!AO7,EL_DEL_CD2_SBI_L_9_10_!AO7,EL_DEL_CD2_L_STAB_!AO7),"0:00")</f>
        <v>0:00</v>
      </c>
      <c r="AP7" s="98" t="str">
        <f>+IFERROR(AVERAGE(EL_DEL_CD2_JO_!AP7,EL_DEL_CD2_SBI_1_4_!AP7,EL_DEL_CD2_SBI_5_6_!AP7,EL_DEL_CD2_SBI_7_8_!AP7,EL_DEL_CD2_SBI_9_10_!AP7,EL_DEL_CD2_STAB_!AP7,EL_DEL_CD2_JO_L_!AP7,EL_DEL_CD2_SBI_L_1_4_!AP7,EL_DEL_CD2_SBI_L_5_6_!AP7,EL_DEL_CD2_SBI_L_7_8_!AP7,EL_DEL_CD2_SBI_L_9_10_!AP7,EL_DEL_CD2_L_STAB_!AP7),"0:00")</f>
        <v>0:00</v>
      </c>
      <c r="AQ7" s="152" t="str">
        <f>+IFERROR(AVERAGE(EL_DEL_CD2_JO_!AQ7,EL_DEL_CD2_SBI_1_4_!AQ7,EL_DEL_CD2_SBI_5_6_!AQ7,EL_DEL_CD2_SBI_7_8_!AQ7,EL_DEL_CD2_SBI_9_10_!AQ7,EL_DEL_CD2_STAB_!AQ7,EL_DEL_CD2_JO_L_!AQ7,EL_DEL_CD2_SBI_L_1_4_!AQ7,EL_DEL_CD2_SBI_L_5_6_!AQ7,EL_DEL_CD2_SBI_L_7_8_!AQ7,EL_DEL_CD2_SBI_L_9_10_!AQ7,EL_DEL_CD2_L_STAB_!AQ7),"0:00")</f>
        <v>0:00</v>
      </c>
      <c r="AR7" s="152" t="str">
        <f>+IFERROR(AVERAGE(EL_DEL_CD2_JO_!AR7,EL_DEL_CD2_SBI_1_4_!AR7,EL_DEL_CD2_SBI_5_6_!AR7,EL_DEL_CD2_SBI_7_8_!AR7,EL_DEL_CD2_SBI_9_10_!AR7,EL_DEL_CD2_STAB_!AR7,EL_DEL_CD2_JO_L_!AR7,EL_DEL_CD2_SBI_L_1_4_!AR7,EL_DEL_CD2_SBI_L_5_6_!AR7,EL_DEL_CD2_SBI_L_7_8_!AR7,EL_DEL_CD2_SBI_L_9_10_!AR7,EL_DEL_CD2_L_STAB_!AR7),"0:00")</f>
        <v>0:00</v>
      </c>
      <c r="AS7" s="152" t="str">
        <f>+IFERROR(AVERAGE(EL_DEL_CD2_JO_!AS7,EL_DEL_CD2_SBI_1_4_!AS7,EL_DEL_CD2_SBI_5_6_!AS7,EL_DEL_CD2_SBI_7_8_!AS7,EL_DEL_CD2_SBI_9_10_!AS7,EL_DEL_CD2_STAB_!AS7,EL_DEL_CD2_JO_L_!AS7,EL_DEL_CD2_SBI_L_1_4_!AS7,EL_DEL_CD2_SBI_L_5_6_!AS7,EL_DEL_CD2_SBI_L_7_8_!AS7,EL_DEL_CD2_SBI_L_9_10_!AS7,EL_DEL_CD2_L_STAB_!AS7),"0:00")</f>
        <v>0:00</v>
      </c>
      <c r="AT7" s="98">
        <f>+SUM(EL_DEL_CD2_JO_!AT7,EL_DEL_CD2_SBI_1_4_!AT7,EL_DEL_CD2_SBI_5_6_!AT7,EL_DEL_CD2_SBI_7_8_!AT7,EL_DEL_CD2_SBI_9_10_!AT7,EL_DEL_CD2_STAB_!AT7,EL_DEL_CD2_JO_L_!AT7,EL_DEL_CD2_SBI_L_1_4_!AT7,EL_DEL_CD2_SBI_L_5_6_!AT7,EL_DEL_CD2_SBI_L_7_8_!AT7,EL_DEL_CD2_SBI_L_9_10_!AT7,EL_DEL_CD2_L_STAB_!AT7)</f>
        <v>0</v>
      </c>
      <c r="AU7" s="98">
        <f>+SUM(EL_DEL_CD2_JO_!AU7,EL_DEL_CD2_SBI_1_4_!AU7,EL_DEL_CD2_SBI_5_6_!AU7,EL_DEL_CD2_SBI_7_8_!AU7,EL_DEL_CD2_SBI_9_10_!AU7,EL_DEL_CD2_STAB_!AU7,EL_DEL_CD2_JO_L_!AU7,EL_DEL_CD2_SBI_L_1_4_!AU7,EL_DEL_CD2_SBI_L_5_6_!AU7,EL_DEL_CD2_SBI_L_7_8_!AU7,EL_DEL_CD2_SBI_L_9_10_!AU7,EL_DEL_CD2_L_STAB_!AU7)</f>
        <v>0</v>
      </c>
      <c r="AV7" s="98">
        <f>+SUM(EL_DEL_CD2_JO_!AV7,EL_DEL_CD2_SBI_1_4_!AV7,EL_DEL_CD2_SBI_5_6_!AV7,EL_DEL_CD2_SBI_7_8_!AV7,EL_DEL_CD2_SBI_9_10_!AV7,EL_DEL_CD2_STAB_!AV7,EL_DEL_CD2_JO_L_!AV7,EL_DEL_CD2_SBI_L_1_4_!AV7,EL_DEL_CD2_SBI_L_5_6_!AV7,EL_DEL_CD2_SBI_L_7_8_!AV7,EL_DEL_CD2_SBI_L_9_10_!AV7,EL_DEL_CD2_L_STAB_!AV7)</f>
        <v>0</v>
      </c>
      <c r="AW7" s="167">
        <f>+SUM(EL_DEL_CD2_JO_!AW7,EL_DEL_CD2_SBI_1_4_!AW7,EL_DEL_CD2_SBI_5_6_!AW7,EL_DEL_CD2_SBI_7_8_!AW7,EL_DEL_CD2_SBI_9_10_!AW7,EL_DEL_CD2_STAB_!AW7,EL_DEL_CD2_JO_L_!AW7,EL_DEL_CD2_SBI_L_1_4_!AW7,EL_DEL_CD2_SBI_L_5_6_!AW7,EL_DEL_CD2_SBI_L_7_8_!AW7,EL_DEL_CD2_SBI_L_9_10_!AW7,EL_DEL_CD2_L_STAB_!AW7)</f>
        <v>0</v>
      </c>
      <c r="AX7" s="102" t="str">
        <f t="shared" si="24"/>
        <v>-</v>
      </c>
      <c r="AY7" s="151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51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7"/>
        <v/>
      </c>
      <c r="BH7" s="119" t="str">
        <f t="shared" si="8"/>
        <v/>
      </c>
      <c r="BI7" s="120" t="str">
        <f t="shared" si="25"/>
        <v/>
      </c>
      <c r="BJ7" s="151"/>
      <c r="BK7" s="121" t="str">
        <f t="shared" si="9"/>
        <v/>
      </c>
      <c r="BL7" s="122" t="str">
        <f t="shared" si="10"/>
        <v/>
      </c>
      <c r="BM7" s="122" t="str">
        <f t="shared" si="11"/>
        <v/>
      </c>
      <c r="BN7" s="123" t="str">
        <f t="shared" si="12"/>
        <v/>
      </c>
      <c r="BO7" s="151"/>
      <c r="BP7" s="124" t="str">
        <f t="shared" si="13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4"/>
        <v/>
      </c>
      <c r="BU7" s="151"/>
      <c r="BV7" s="127" t="e">
        <f t="shared" si="15"/>
        <v>#DIV/0!</v>
      </c>
      <c r="BW7" s="127" t="e">
        <f t="shared" si="16"/>
        <v>#DIV/0!</v>
      </c>
      <c r="BX7" s="127" t="e">
        <f t="shared" si="17"/>
        <v>#DIV/0!</v>
      </c>
      <c r="BY7" s="127" t="e">
        <f t="shared" si="18"/>
        <v>#DIV/0!</v>
      </c>
      <c r="BZ7" s="127" t="e">
        <f t="shared" si="28"/>
        <v>#DIV/0!</v>
      </c>
      <c r="CA7" s="128" t="e">
        <f t="shared" si="29"/>
        <v>#DIV/0!</v>
      </c>
      <c r="CB7" s="151"/>
      <c r="CC7" s="129" t="str">
        <f t="shared" si="19"/>
        <v>-</v>
      </c>
      <c r="CD7" s="130" t="str">
        <f t="shared" si="20"/>
        <v>-</v>
      </c>
      <c r="CE7" s="130" t="str">
        <f t="shared" si="21"/>
        <v>-</v>
      </c>
      <c r="CF7" s="130" t="str">
        <f t="shared" si="22"/>
        <v>-</v>
      </c>
      <c r="CG7" s="131" t="str">
        <f t="shared" si="23"/>
        <v>-</v>
      </c>
      <c r="CH7" s="151"/>
    </row>
    <row r="8" spans="1:86" s="115" customFormat="1" ht="12.4" customHeight="1" thickBot="1" x14ac:dyDescent="0.25">
      <c r="A8" s="96">
        <f t="shared" si="30"/>
        <v>46300</v>
      </c>
      <c r="B8" s="97" t="str">
        <f t="shared" si="0"/>
        <v>Mon</v>
      </c>
      <c r="C8" s="98">
        <f>+SUM(EL_DEL_CD2_JO_!C8,EL_DEL_CD2_SBI_1_4_!C8,EL_DEL_CD2_SBI_5_6_!C8,EL_DEL_CD2_SBI_7_8_!C8,EL_DEL_CD2_SBI_9_10_!C8,EL_DEL_CD2_STAB_!C8,EL_DEL_CD2_JO_L_!C8,EL_DEL_CD2_SBI_L_1_4_!C8,EL_DEL_CD2_SBI_L_5_6_!C8,EL_DEL_CD2_SBI_L_7_8_!C8,EL_DEL_CD2_SBI_L_9_10_!C8,EL_DEL_CD2_L_STAB_!C8)</f>
        <v>0</v>
      </c>
      <c r="D8" s="98">
        <f>+SUM(EL_DEL_CD2_JO_!D8,EL_DEL_CD2_SBI_1_4_!D8,EL_DEL_CD2_SBI_5_6_!D8,EL_DEL_CD2_SBI_7_8_!D8,EL_DEL_CD2_SBI_9_10_!D8,EL_DEL_CD2_STAB_!D8,EL_DEL_CD2_JO_L_!D8,EL_DEL_CD2_SBI_L_1_4_!D8,EL_DEL_CD2_SBI_L_5_6_!D8,EL_DEL_CD2_SBI_L_7_8_!D8,EL_DEL_CD2_SBI_L_9_10_!D8,EL_DEL_CD2_L_STAB_!D8)</f>
        <v>0</v>
      </c>
      <c r="E8" s="98">
        <f>+SUM(EL_DEL_CD2_JO_!E8,EL_DEL_CD2_SBI_1_4_!E8,EL_DEL_CD2_SBI_5_6_!E8,EL_DEL_CD2_SBI_7_8_!E8,EL_DEL_CD2_SBI_9_10_!E8,EL_DEL_CD2_STAB_!E8,EL_DEL_CD2_JO_L_!E8,EL_DEL_CD2_SBI_L_1_4_!E8,EL_DEL_CD2_SBI_L_5_6_!E8,EL_DEL_CD2_SBI_L_7_8_!E8,EL_DEL_CD2_SBI_L_9_10_!E8,EL_DEL_CD2_L_STAB_!E8)</f>
        <v>0</v>
      </c>
      <c r="F8" s="98">
        <f>+SUM(EL_DEL_CD2_JO_!F8,EL_DEL_CD2_SBI_1_4_!F8,EL_DEL_CD2_SBI_5_6_!F8,EL_DEL_CD2_SBI_7_8_!F8,EL_DEL_CD2_SBI_9_10_!F8,EL_DEL_CD2_STAB_!F8,EL_DEL_CD2_JO_L_!F8,EL_DEL_CD2_SBI_L_1_4_!F8,EL_DEL_CD2_SBI_L_5_6_!F8,EL_DEL_CD2_SBI_L_7_8_!F8,EL_DEL_CD2_SBI_L_9_10_!F8,EL_DEL_CD2_L_STAB_!F8)</f>
        <v>0</v>
      </c>
      <c r="G8" s="98">
        <f>+SUM(EL_DEL_CD2_JO_!G8,EL_DEL_CD2_SBI_1_4_!G8,EL_DEL_CD2_SBI_5_6_!G8,EL_DEL_CD2_SBI_7_8_!G8,EL_DEL_CD2_SBI_9_10_!G8,EL_DEL_CD2_STAB_!G8,EL_DEL_CD2_JO_L_!G8,EL_DEL_CD2_SBI_L_1_4_!G8,EL_DEL_CD2_SBI_L_5_6_!G8,EL_DEL_CD2_SBI_L_7_8_!G8,EL_DEL_CD2_SBI_L_9_10_!G8,EL_DEL_CD2_L_STAB_!G8)</f>
        <v>0</v>
      </c>
      <c r="H8" s="98">
        <f>+SUM(EL_DEL_CD2_JO_!H8,EL_DEL_CD2_SBI_1_4_!H8,EL_DEL_CD2_SBI_5_6_!H8,EL_DEL_CD2_SBI_7_8_!H8,EL_DEL_CD2_SBI_9_10_!H8,EL_DEL_CD2_STAB_!H8,EL_DEL_CD2_JO_L_!H8,EL_DEL_CD2_SBI_L_1_4_!H8,EL_DEL_CD2_SBI_L_5_6_!H8,EL_DEL_CD2_SBI_L_7_8_!H8,EL_DEL_CD2_SBI_L_9_10_!H8,EL_DEL_CD2_L_STAB_!H8)</f>
        <v>0</v>
      </c>
      <c r="I8" s="98">
        <f>+SUM(EL_DEL_CD2_JO_!I8,EL_DEL_CD2_SBI_1_4_!I8,EL_DEL_CD2_SBI_5_6_!I8,EL_DEL_CD2_SBI_7_8_!I8,EL_DEL_CD2_SBI_9_10_!I8,EL_DEL_CD2_STAB_!I8,EL_DEL_CD2_JO_L_!I8,EL_DEL_CD2_SBI_L_1_4_!I8,EL_DEL_CD2_SBI_L_5_6_!I8,EL_DEL_CD2_SBI_L_7_8_!I8,EL_DEL_CD2_SBI_L_9_10_!I8,EL_DEL_CD2_L_STAB_!I8)</f>
        <v>0</v>
      </c>
      <c r="J8" s="98">
        <f>+SUM(EL_DEL_CD2_JO_!J8,EL_DEL_CD2_SBI_1_4_!J8,EL_DEL_CD2_SBI_5_6_!J8,EL_DEL_CD2_SBI_7_8_!J8,EL_DEL_CD2_SBI_9_10_!J8,EL_DEL_CD2_STAB_!J8,EL_DEL_CD2_JO_L_!J8,EL_DEL_CD2_SBI_L_1_4_!J8,EL_DEL_CD2_SBI_L_5_6_!J8,EL_DEL_CD2_SBI_L_7_8_!J8,EL_DEL_CD2_SBI_L_9_10_!J8,EL_DEL_CD2_L_STAB_!J8)</f>
        <v>0</v>
      </c>
      <c r="K8" s="98">
        <f>+SUM(EL_DEL_CD2_JO_!K8,EL_DEL_CD2_SBI_1_4_!K8,EL_DEL_CD2_SBI_5_6_!K8,EL_DEL_CD2_SBI_7_8_!K8,EL_DEL_CD2_SBI_9_10_!K8,EL_DEL_CD2_STAB_!K8,EL_DEL_CD2_JO_L_!K8,EL_DEL_CD2_SBI_L_1_4_!K8,EL_DEL_CD2_SBI_L_5_6_!K8,EL_DEL_CD2_SBI_L_7_8_!K8,EL_DEL_CD2_SBI_L_9_10_!K8,EL_DEL_CD2_L_STAB_!K8)</f>
        <v>0</v>
      </c>
      <c r="L8" s="98">
        <f>+SUM(EL_DEL_CD2_JO_!L8,EL_DEL_CD2_SBI_1_4_!L8,EL_DEL_CD2_SBI_5_6_!L8,EL_DEL_CD2_SBI_7_8_!L8,EL_DEL_CD2_SBI_9_10_!L8,EL_DEL_CD2_STAB_!L8,EL_DEL_CD2_JO_L_!L8,EL_DEL_CD2_SBI_L_1_4_!L8,EL_DEL_CD2_SBI_L_5_6_!L8,EL_DEL_CD2_SBI_L_7_8_!L8,EL_DEL_CD2_SBI_L_9_10_!L8,EL_DEL_CD2_L_STAB_!L8)</f>
        <v>0</v>
      </c>
      <c r="M8" s="98">
        <f>+SUM(EL_DEL_CD2_JO_!M8,EL_DEL_CD2_SBI_1_4_!M8,EL_DEL_CD2_SBI_5_6_!M8,EL_DEL_CD2_SBI_7_8_!M8,EL_DEL_CD2_SBI_9_10_!M8,EL_DEL_CD2_STAB_!M8,EL_DEL_CD2_JO_L_!M8,EL_DEL_CD2_SBI_L_1_4_!M8,EL_DEL_CD2_SBI_L_5_6_!M8,EL_DEL_CD2_SBI_L_7_8_!M8,EL_DEL_CD2_SBI_L_9_10_!M8,EL_DEL_CD2_L_STAB_!M8)</f>
        <v>0</v>
      </c>
      <c r="N8" s="98">
        <f>+SUM(EL_DEL_CD2_JO_!N8,EL_DEL_CD2_SBI_1_4_!N8,EL_DEL_CD2_SBI_5_6_!N8,EL_DEL_CD2_SBI_7_8_!N8,EL_DEL_CD2_SBI_9_10_!N8,EL_DEL_CD2_STAB_!N8,EL_DEL_CD2_JO_L_!N8,EL_DEL_CD2_SBI_L_1_4_!N8,EL_DEL_CD2_SBI_L_5_6_!N8,EL_DEL_CD2_SBI_L_7_8_!N8,EL_DEL_CD2_SBI_L_9_10_!N8,EL_DEL_CD2_L_STAB_!N8)</f>
        <v>0</v>
      </c>
      <c r="O8" s="98">
        <f>+SUM(EL_DEL_CD2_JO_!O8,EL_DEL_CD2_SBI_1_4_!O8,EL_DEL_CD2_SBI_5_6_!O8,EL_DEL_CD2_SBI_7_8_!O8,EL_DEL_CD2_SBI_9_10_!O8,EL_DEL_CD2_STAB_!O8,EL_DEL_CD2_JO_L_!O8,EL_DEL_CD2_SBI_L_1_4_!O8,EL_DEL_CD2_SBI_L_5_6_!O8,EL_DEL_CD2_SBI_L_7_8_!O8,EL_DEL_CD2_SBI_L_9_10_!O8,EL_DEL_CD2_L_STAB_!O8)</f>
        <v>0</v>
      </c>
      <c r="P8" s="98">
        <f>+SUM(EL_DEL_CD2_JO_!P8,EL_DEL_CD2_SBI_1_4_!P8,EL_DEL_CD2_SBI_5_6_!P8,EL_DEL_CD2_SBI_7_8_!P8,EL_DEL_CD2_SBI_9_10_!P8,EL_DEL_CD2_STAB_!P8,EL_DEL_CD2_JO_L_!P8,EL_DEL_CD2_SBI_L_1_4_!P8,EL_DEL_CD2_SBI_L_5_6_!P8,EL_DEL_CD2_SBI_L_7_8_!P8,EL_DEL_CD2_SBI_L_9_10_!P8,EL_DEL_CD2_L_STAB_!P8)</f>
        <v>0</v>
      </c>
      <c r="Q8" s="98">
        <f>+SUM(EL_DEL_CD2_JO_!Q8,EL_DEL_CD2_SBI_1_4_!Q8,EL_DEL_CD2_SBI_5_6_!Q8,EL_DEL_CD2_SBI_7_8_!Q8,EL_DEL_CD2_SBI_9_10_!Q8,EL_DEL_CD2_STAB_!Q8,EL_DEL_CD2_JO_L_!Q8,EL_DEL_CD2_SBI_L_1_4_!Q8,EL_DEL_CD2_SBI_L_5_6_!Q8,EL_DEL_CD2_SBI_L_7_8_!Q8,EL_DEL_CD2_SBI_L_9_10_!Q8,EL_DEL_CD2_L_STAB_!Q8)</f>
        <v>0</v>
      </c>
      <c r="R8" s="98">
        <f>+SUM(EL_DEL_CD2_JO_!R8,EL_DEL_CD2_SBI_1_4_!R8,EL_DEL_CD2_SBI_5_6_!R8,EL_DEL_CD2_SBI_7_8_!R8,EL_DEL_CD2_SBI_9_10_!R8,EL_DEL_CD2_STAB_!R8,EL_DEL_CD2_JO_L_!R8,EL_DEL_CD2_SBI_L_1_4_!R8,EL_DEL_CD2_SBI_L_5_6_!R8,EL_DEL_CD2_SBI_L_7_8_!R8,EL_DEL_CD2_SBI_L_9_10_!R8,EL_DEL_CD2_L_STAB_!R8)</f>
        <v>0</v>
      </c>
      <c r="S8" s="98">
        <f>+SUM(EL_DEL_CD2_JO_!S8,EL_DEL_CD2_SBI_1_4_!S8,EL_DEL_CD2_SBI_5_6_!S8,EL_DEL_CD2_SBI_7_8_!S8,EL_DEL_CD2_SBI_9_10_!S8,EL_DEL_CD2_STAB_!S8,EL_DEL_CD2_JO_L_!S8,EL_DEL_CD2_SBI_L_1_4_!S8,EL_DEL_CD2_SBI_L_5_6_!S8,EL_DEL_CD2_SBI_L_7_8_!S8,EL_DEL_CD2_SBI_L_9_10_!S8,EL_DEL_CD2_L_STAB_!S8)</f>
        <v>0</v>
      </c>
      <c r="T8" s="98">
        <f>+SUM(EL_DEL_CD2_JO_!T8,EL_DEL_CD2_SBI_1_4_!T8,EL_DEL_CD2_SBI_5_6_!T8,EL_DEL_CD2_SBI_7_8_!T8,EL_DEL_CD2_SBI_9_10_!T8,EL_DEL_CD2_STAB_!T8,EL_DEL_CD2_JO_L_!T8,EL_DEL_CD2_SBI_L_1_4_!T8,EL_DEL_CD2_SBI_L_5_6_!T8,EL_DEL_CD2_SBI_L_7_8_!T8,EL_DEL_CD2_SBI_L_9_10_!T8,EL_DEL_CD2_L_STAB_!T8)</f>
        <v>0</v>
      </c>
      <c r="U8" s="98">
        <f>+SUM(EL_DEL_CD2_JO_!U8,EL_DEL_CD2_SBI_1_4_!U8,EL_DEL_CD2_SBI_5_6_!U8,EL_DEL_CD2_SBI_7_8_!U8,EL_DEL_CD2_SBI_9_10_!U8,EL_DEL_CD2_STAB_!U8,EL_DEL_CD2_JO_L_!U8,EL_DEL_CD2_SBI_L_1_4_!U8,EL_DEL_CD2_SBI_L_5_6_!U8,EL_DEL_CD2_SBI_L_7_8_!U8,EL_DEL_CD2_SBI_L_9_10_!U8,EL_DEL_CD2_L_STAB_!U8)</f>
        <v>0</v>
      </c>
      <c r="V8" s="98">
        <f>+SUM(EL_DEL_CD2_JO_!V8,EL_DEL_CD2_SBI_1_4_!V8,EL_DEL_CD2_SBI_5_6_!V8,EL_DEL_CD2_SBI_7_8_!V8,EL_DEL_CD2_SBI_9_10_!V8,EL_DEL_CD2_STAB_!V8,EL_DEL_CD2_JO_L_!V8,EL_DEL_CD2_SBI_L_1_4_!V8,EL_DEL_CD2_SBI_L_5_6_!V8,EL_DEL_CD2_SBI_L_7_8_!V8,EL_DEL_CD2_SBI_L_9_10_!V8,EL_DEL_CD2_L_STAB_!V8)</f>
        <v>0</v>
      </c>
      <c r="W8" s="98">
        <f>+SUM(EL_DEL_CD2_JO_!W8,EL_DEL_CD2_SBI_1_4_!W8,EL_DEL_CD2_SBI_5_6_!W8,EL_DEL_CD2_SBI_7_8_!W8,EL_DEL_CD2_SBI_9_10_!W8,EL_DEL_CD2_STAB_!W8,EL_DEL_CD2_JO_L_!W8,EL_DEL_CD2_SBI_L_1_4_!W8,EL_DEL_CD2_SBI_L_5_6_!W8,EL_DEL_CD2_SBI_L_7_8_!W8,EL_DEL_CD2_SBI_L_9_10_!W8,EL_DEL_CD2_L_STAB_!W8)</f>
        <v>0</v>
      </c>
      <c r="X8" s="98">
        <f>+SUM(EL_DEL_CD2_JO_!X8,EL_DEL_CD2_SBI_1_4_!X8,EL_DEL_CD2_SBI_5_6_!X8,EL_DEL_CD2_SBI_7_8_!X8,EL_DEL_CD2_SBI_9_10_!X8,EL_DEL_CD2_STAB_!X8,EL_DEL_CD2_JO_L_!X8,EL_DEL_CD2_SBI_L_1_4_!X8,EL_DEL_CD2_SBI_L_5_6_!X8,EL_DEL_CD2_SBI_L_7_8_!X8,EL_DEL_CD2_SBI_L_9_10_!X8,EL_DEL_CD2_L_STAB_!X8)</f>
        <v>0</v>
      </c>
      <c r="Y8" s="98">
        <f>+SUM(EL_DEL_CD2_JO_!Y8,EL_DEL_CD2_SBI_1_4_!Y8,EL_DEL_CD2_SBI_5_6_!Y8,EL_DEL_CD2_SBI_7_8_!Y8,EL_DEL_CD2_SBI_9_10_!Y8,EL_DEL_CD2_STAB_!Y8,EL_DEL_CD2_JO_L_!Y8,EL_DEL_CD2_SBI_L_1_4_!Y8,EL_DEL_CD2_SBI_L_5_6_!Y8,EL_DEL_CD2_SBI_L_7_8_!Y8,EL_DEL_CD2_SBI_L_9_10_!Y8,EL_DEL_CD2_L_STAB_!Y8)</f>
        <v>0</v>
      </c>
      <c r="Z8" s="98">
        <f>+SUM(EL_DEL_CD2_JO_!Z8,EL_DEL_CD2_SBI_1_4_!Z8,EL_DEL_CD2_SBI_5_6_!Z8,EL_DEL_CD2_SBI_7_8_!Z8,EL_DEL_CD2_SBI_9_10_!Z8,EL_DEL_CD2_STAB_!Z8,EL_DEL_CD2_JO_L_!Z8,EL_DEL_CD2_SBI_L_1_4_!Z8,EL_DEL_CD2_SBI_L_5_6_!Z8,EL_DEL_CD2_SBI_L_7_8_!Z8,EL_DEL_CD2_SBI_L_9_10_!Z8,EL_DEL_CD2_L_STAB_!Z8)</f>
        <v>0</v>
      </c>
      <c r="AA8" s="98">
        <f>+SUM(EL_DEL_CD2_JO_!AA8,EL_DEL_CD2_SBI_1_4_!AA8,EL_DEL_CD2_SBI_5_6_!AA8,EL_DEL_CD2_SBI_7_8_!AA8,EL_DEL_CD2_SBI_9_10_!AA8,EL_DEL_CD2_STAB_!AA8,EL_DEL_CD2_JO_L_!AA8,EL_DEL_CD2_SBI_L_1_4_!AA8,EL_DEL_CD2_SBI_L_5_6_!AA8,EL_DEL_CD2_SBI_L_7_8_!AA8,EL_DEL_CD2_SBI_L_9_10_!AA8,EL_DEL_CD2_L_STAB_!AA8)</f>
        <v>0</v>
      </c>
      <c r="AB8" s="98">
        <f>+SUM(EL_DEL_CD2_JO_!AB8,EL_DEL_CD2_SBI_1_4_!AB8,EL_DEL_CD2_SBI_5_6_!AB8,EL_DEL_CD2_SBI_7_8_!AB8,EL_DEL_CD2_SBI_9_10_!AB8,EL_DEL_CD2_STAB_!AB8,EL_DEL_CD2_JO_L_!AB8,EL_DEL_CD2_SBI_L_1_4_!AB8,EL_DEL_CD2_SBI_L_5_6_!AB8,EL_DEL_CD2_SBI_L_7_8_!AB8,EL_DEL_CD2_SBI_L_9_10_!AB8,EL_DEL_CD2_L_STAB_!AB8)</f>
        <v>0</v>
      </c>
      <c r="AC8" s="98">
        <f>+SUM(EL_DEL_CD2_JO_!AC8,EL_DEL_CD2_SBI_1_4_!AC8,EL_DEL_CD2_SBI_5_6_!AC8,EL_DEL_CD2_SBI_7_8_!AC8,EL_DEL_CD2_SBI_9_10_!AC8,EL_DEL_CD2_STAB_!AC8,EL_DEL_CD2_JO_L_!AC8,EL_DEL_CD2_SBI_L_1_4_!AC8,EL_DEL_CD2_SBI_L_5_6_!AC8,EL_DEL_CD2_SBI_L_7_8_!AC8,EL_DEL_CD2_SBI_L_9_10_!AC8,EL_DEL_CD2_L_STAB_!AC8)</f>
        <v>0</v>
      </c>
      <c r="AD8" s="98">
        <f>+SUM(EL_DEL_CD2_JO_!AD8,EL_DEL_CD2_SBI_1_4_!AD8,EL_DEL_CD2_SBI_5_6_!AD8,EL_DEL_CD2_SBI_7_8_!AD8,EL_DEL_CD2_SBI_9_10_!AD8,EL_DEL_CD2_STAB_!AD8,EL_DEL_CD2_JO_L_!AD8,EL_DEL_CD2_SBI_L_1_4_!AD8,EL_DEL_CD2_SBI_L_5_6_!AD8,EL_DEL_CD2_SBI_L_7_8_!AD8,EL_DEL_CD2_SBI_L_9_10_!AD8,EL_DEL_CD2_L_STAB_!AD8)</f>
        <v>0</v>
      </c>
      <c r="AE8" s="98">
        <f>+SUM(EL_DEL_CD2_JO_!AE8,EL_DEL_CD2_SBI_1_4_!AE8,EL_DEL_CD2_SBI_5_6_!AE8,EL_DEL_CD2_SBI_7_8_!AE8,EL_DEL_CD2_SBI_9_10_!AE8,EL_DEL_CD2_STAB_!AE8,EL_DEL_CD2_JO_L_!AE8,EL_DEL_CD2_SBI_L_1_4_!AE8,EL_DEL_CD2_SBI_L_5_6_!AE8,EL_DEL_CD2_SBI_L_7_8_!AE8,EL_DEL_CD2_SBI_L_9_10_!AE8,EL_DEL_CD2_L_STAB_!AE8)</f>
        <v>0</v>
      </c>
      <c r="AF8" s="98">
        <f>+SUM(EL_DEL_CD2_JO_!AF8,EL_DEL_CD2_SBI_1_4_!AF8,EL_DEL_CD2_SBI_5_6_!AF8,EL_DEL_CD2_SBI_7_8_!AF8,EL_DEL_CD2_SBI_9_10_!AF8,EL_DEL_CD2_STAB_!AF8,EL_DEL_CD2_JO_L_!AF8,EL_DEL_CD2_SBI_L_1_4_!AF8,EL_DEL_CD2_SBI_L_5_6_!AF8,EL_DEL_CD2_SBI_L_7_8_!AF8,EL_DEL_CD2_SBI_L_9_10_!AF8,EL_DEL_CD2_L_STAB_!AF8)</f>
        <v>0</v>
      </c>
      <c r="AG8" s="98">
        <f>+SUM(EL_DEL_CD2_JO_!AG8,EL_DEL_CD2_SBI_1_4_!AG8,EL_DEL_CD2_SBI_5_6_!AG8,EL_DEL_CD2_SBI_7_8_!AG8,EL_DEL_CD2_SBI_9_10_!AG8,EL_DEL_CD2_STAB_!AG8,EL_DEL_CD2_JO_L_!AG8,EL_DEL_CD2_SBI_L_1_4_!AG8,EL_DEL_CD2_SBI_L_5_6_!AG8,EL_DEL_CD2_SBI_L_7_8_!AG8,EL_DEL_CD2_SBI_L_9_10_!AG8,EL_DEL_CD2_L_STAB_!AG8)</f>
        <v>0</v>
      </c>
      <c r="AH8" s="98">
        <f>+SUM(EL_DEL_CD2_JO_!AH8,EL_DEL_CD2_SBI_1_4_!AH8,EL_DEL_CD2_SBI_5_6_!AH8,EL_DEL_CD2_SBI_7_8_!AH8,EL_DEL_CD2_SBI_9_10_!AH8,EL_DEL_CD2_STAB_!AH8,EL_DEL_CD2_JO_L_!AH8,EL_DEL_CD2_SBI_L_1_4_!AH8,EL_DEL_CD2_SBI_L_5_6_!AH8,EL_DEL_CD2_SBI_L_7_8_!AH8,EL_DEL_CD2_SBI_L_9_10_!AH8,EL_DEL_CD2_L_STAB_!AH8)</f>
        <v>0</v>
      </c>
      <c r="AI8" s="98">
        <f>+SUM(EL_DEL_CD2_JO_!AI8,EL_DEL_CD2_SBI_1_4_!AI8,EL_DEL_CD2_SBI_5_6_!AI8,EL_DEL_CD2_SBI_7_8_!AI8,EL_DEL_CD2_SBI_9_10_!AI8,EL_DEL_CD2_STAB_!AI8,EL_DEL_CD2_JO_L_!AI8,EL_DEL_CD2_SBI_L_1_4_!AI8,EL_DEL_CD2_SBI_L_5_6_!AI8,EL_DEL_CD2_SBI_L_7_8_!AI8,EL_DEL_CD2_SBI_L_9_10_!AI8,EL_DEL_CD2_L_STAB_!AI8)</f>
        <v>0</v>
      </c>
      <c r="AJ8" s="98">
        <f>+SUM(EL_DEL_CD2_JO_!AJ8,EL_DEL_CD2_SBI_1_4_!AJ8,EL_DEL_CD2_SBI_5_6_!AJ8,EL_DEL_CD2_SBI_7_8_!AJ8,EL_DEL_CD2_SBI_9_10_!AJ8,EL_DEL_CD2_STAB_!AJ8,EL_DEL_CD2_JO_L_!AJ8,EL_DEL_CD2_SBI_L_1_4_!AJ8,EL_DEL_CD2_SBI_L_5_6_!AJ8,EL_DEL_CD2_SBI_L_7_8_!AJ8,EL_DEL_CD2_SBI_L_9_10_!AJ8,EL_DEL_CD2_L_STAB_!AJ8)</f>
        <v>0</v>
      </c>
      <c r="AK8" s="98">
        <f>+SUM(EL_DEL_CD2_JO_!AK8,EL_DEL_CD2_SBI_1_4_!AK8,EL_DEL_CD2_SBI_5_6_!AK8,EL_DEL_CD2_SBI_7_8_!AK8,EL_DEL_CD2_SBI_9_10_!AK8,EL_DEL_CD2_STAB_!AK8,EL_DEL_CD2_JO_L_!AK8,EL_DEL_CD2_SBI_L_1_4_!AK8,EL_DEL_CD2_SBI_L_5_6_!AK8,EL_DEL_CD2_SBI_L_7_8_!AK8,EL_DEL_CD2_SBI_L_9_10_!AK8,EL_DEL_CD2_L_STAB_!AK8)</f>
        <v>0</v>
      </c>
      <c r="AL8" s="152" t="str">
        <f>+IFERROR(AVERAGE(EL_DEL_CD2_JO_!AL8,EL_DEL_CD2_SBI_1_4_!AL8,EL_DEL_CD2_SBI_5_6_!AL8,EL_DEL_CD2_SBI_7_8_!AL8,EL_DEL_CD2_SBI_9_10_!AL8,EL_DEL_CD2_STAB_!AL8,EL_DEL_CD2_JO_L_!AL8,EL_DEL_CD2_SBI_L_1_4_!AL8,EL_DEL_CD2_SBI_L_5_6_!AL8,EL_DEL_CD2_SBI_L_7_8_!AL8,EL_DEL_CD2_SBI_L_9_10_!AL8,EL_DEL_CD2_L_STAB_!AL8),"0:00")</f>
        <v>0:00</v>
      </c>
      <c r="AM8" s="152" t="str">
        <f>+IFERROR(AVERAGE(EL_DEL_CD2_JO_!AM8,EL_DEL_CD2_SBI_1_4_!AM8,EL_DEL_CD2_SBI_5_6_!AM8,EL_DEL_CD2_SBI_7_8_!AM8,EL_DEL_CD2_SBI_9_10_!AM8,EL_DEL_CD2_STAB_!AM8,EL_DEL_CD2_JO_L_!AM8,EL_DEL_CD2_SBI_L_1_4_!AM8,EL_DEL_CD2_SBI_L_5_6_!AM8,EL_DEL_CD2_SBI_L_7_8_!AM8,EL_DEL_CD2_SBI_L_9_10_!AM8,EL_DEL_CD2_L_STAB_!AM8),"0:00")</f>
        <v>0:00</v>
      </c>
      <c r="AN8" s="152" t="str">
        <f>+IFERROR(AVERAGE(EL_DEL_CD2_JO_!AN8,EL_DEL_CD2_SBI_1_4_!AN8,EL_DEL_CD2_SBI_5_6_!AN8,EL_DEL_CD2_SBI_7_8_!AN8,EL_DEL_CD2_SBI_9_10_!AN8,EL_DEL_CD2_STAB_!AN8,EL_DEL_CD2_JO_L_!AN8,EL_DEL_CD2_SBI_L_1_4_!AN8,EL_DEL_CD2_SBI_L_5_6_!AN8,EL_DEL_CD2_SBI_L_7_8_!AN8,EL_DEL_CD2_SBI_L_9_10_!AN8,EL_DEL_CD2_L_STAB_!AN8),"0:00")</f>
        <v>0:00</v>
      </c>
      <c r="AO8" s="152" t="str">
        <f>+IFERROR(AVERAGE(EL_DEL_CD2_JO_!AO8,EL_DEL_CD2_SBI_1_4_!AO8,EL_DEL_CD2_SBI_5_6_!AO8,EL_DEL_CD2_SBI_7_8_!AO8,EL_DEL_CD2_SBI_9_10_!AO8,EL_DEL_CD2_STAB_!AO8,EL_DEL_CD2_JO_L_!AO8,EL_DEL_CD2_SBI_L_1_4_!AO8,EL_DEL_CD2_SBI_L_5_6_!AO8,EL_DEL_CD2_SBI_L_7_8_!AO8,EL_DEL_CD2_SBI_L_9_10_!AO8,EL_DEL_CD2_L_STAB_!AO8),"0:00")</f>
        <v>0:00</v>
      </c>
      <c r="AP8" s="98" t="str">
        <f>+IFERROR(AVERAGE(EL_DEL_CD2_JO_!AP8,EL_DEL_CD2_SBI_1_4_!AP8,EL_DEL_CD2_SBI_5_6_!AP8,EL_DEL_CD2_SBI_7_8_!AP8,EL_DEL_CD2_SBI_9_10_!AP8,EL_DEL_CD2_STAB_!AP8,EL_DEL_CD2_JO_L_!AP8,EL_DEL_CD2_SBI_L_1_4_!AP8,EL_DEL_CD2_SBI_L_5_6_!AP8,EL_DEL_CD2_SBI_L_7_8_!AP8,EL_DEL_CD2_SBI_L_9_10_!AP8,EL_DEL_CD2_L_STAB_!AP8),"0:00")</f>
        <v>0:00</v>
      </c>
      <c r="AQ8" s="152" t="str">
        <f>+IFERROR(AVERAGE(EL_DEL_CD2_JO_!AQ8,EL_DEL_CD2_SBI_1_4_!AQ8,EL_DEL_CD2_SBI_5_6_!AQ8,EL_DEL_CD2_SBI_7_8_!AQ8,EL_DEL_CD2_SBI_9_10_!AQ8,EL_DEL_CD2_STAB_!AQ8,EL_DEL_CD2_JO_L_!AQ8,EL_DEL_CD2_SBI_L_1_4_!AQ8,EL_DEL_CD2_SBI_L_5_6_!AQ8,EL_DEL_CD2_SBI_L_7_8_!AQ8,EL_DEL_CD2_SBI_L_9_10_!AQ8,EL_DEL_CD2_L_STAB_!AQ8),"0:00")</f>
        <v>0:00</v>
      </c>
      <c r="AR8" s="152" t="str">
        <f>+IFERROR(AVERAGE(EL_DEL_CD2_JO_!AR8,EL_DEL_CD2_SBI_1_4_!AR8,EL_DEL_CD2_SBI_5_6_!AR8,EL_DEL_CD2_SBI_7_8_!AR8,EL_DEL_CD2_SBI_9_10_!AR8,EL_DEL_CD2_STAB_!AR8,EL_DEL_CD2_JO_L_!AR8,EL_DEL_CD2_SBI_L_1_4_!AR8,EL_DEL_CD2_SBI_L_5_6_!AR8,EL_DEL_CD2_SBI_L_7_8_!AR8,EL_DEL_CD2_SBI_L_9_10_!AR8,EL_DEL_CD2_L_STAB_!AR8),"0:00")</f>
        <v>0:00</v>
      </c>
      <c r="AS8" s="152" t="str">
        <f>+IFERROR(AVERAGE(EL_DEL_CD2_JO_!AS8,EL_DEL_CD2_SBI_1_4_!AS8,EL_DEL_CD2_SBI_5_6_!AS8,EL_DEL_CD2_SBI_7_8_!AS8,EL_DEL_CD2_SBI_9_10_!AS8,EL_DEL_CD2_STAB_!AS8,EL_DEL_CD2_JO_L_!AS8,EL_DEL_CD2_SBI_L_1_4_!AS8,EL_DEL_CD2_SBI_L_5_6_!AS8,EL_DEL_CD2_SBI_L_7_8_!AS8,EL_DEL_CD2_SBI_L_9_10_!AS8,EL_DEL_CD2_L_STAB_!AS8),"0:00")</f>
        <v>0:00</v>
      </c>
      <c r="AT8" s="98">
        <f>+SUM(EL_DEL_CD2_JO_!AT8,EL_DEL_CD2_SBI_1_4_!AT8,EL_DEL_CD2_SBI_5_6_!AT8,EL_DEL_CD2_SBI_7_8_!AT8,EL_DEL_CD2_SBI_9_10_!AT8,EL_DEL_CD2_STAB_!AT8,EL_DEL_CD2_JO_L_!AT8,EL_DEL_CD2_SBI_L_1_4_!AT8,EL_DEL_CD2_SBI_L_5_6_!AT8,EL_DEL_CD2_SBI_L_7_8_!AT8,EL_DEL_CD2_SBI_L_9_10_!AT8,EL_DEL_CD2_L_STAB_!AT8)</f>
        <v>0</v>
      </c>
      <c r="AU8" s="98">
        <f>+SUM(EL_DEL_CD2_JO_!AU8,EL_DEL_CD2_SBI_1_4_!AU8,EL_DEL_CD2_SBI_5_6_!AU8,EL_DEL_CD2_SBI_7_8_!AU8,EL_DEL_CD2_SBI_9_10_!AU8,EL_DEL_CD2_STAB_!AU8,EL_DEL_CD2_JO_L_!AU8,EL_DEL_CD2_SBI_L_1_4_!AU8,EL_DEL_CD2_SBI_L_5_6_!AU8,EL_DEL_CD2_SBI_L_7_8_!AU8,EL_DEL_CD2_SBI_L_9_10_!AU8,EL_DEL_CD2_L_STAB_!AU8)</f>
        <v>0</v>
      </c>
      <c r="AV8" s="98">
        <f>+SUM(EL_DEL_CD2_JO_!AV8,EL_DEL_CD2_SBI_1_4_!AV8,EL_DEL_CD2_SBI_5_6_!AV8,EL_DEL_CD2_SBI_7_8_!AV8,EL_DEL_CD2_SBI_9_10_!AV8,EL_DEL_CD2_STAB_!AV8,EL_DEL_CD2_JO_L_!AV8,EL_DEL_CD2_SBI_L_1_4_!AV8,EL_DEL_CD2_SBI_L_5_6_!AV8,EL_DEL_CD2_SBI_L_7_8_!AV8,EL_DEL_CD2_SBI_L_9_10_!AV8,EL_DEL_CD2_L_STAB_!AV8)</f>
        <v>0</v>
      </c>
      <c r="AW8" s="167">
        <f>+SUM(EL_DEL_CD2_JO_!AW8,EL_DEL_CD2_SBI_1_4_!AW8,EL_DEL_CD2_SBI_5_6_!AW8,EL_DEL_CD2_SBI_7_8_!AW8,EL_DEL_CD2_SBI_9_10_!AW8,EL_DEL_CD2_STAB_!AW8,EL_DEL_CD2_JO_L_!AW8,EL_DEL_CD2_SBI_L_1_4_!AW8,EL_DEL_CD2_SBI_L_5_6_!AW8,EL_DEL_CD2_SBI_L_7_8_!AW8,EL_DEL_CD2_SBI_L_9_10_!AW8,EL_DEL_CD2_L_STAB_!AW8)</f>
        <v>0</v>
      </c>
      <c r="AX8" s="102" t="str">
        <f t="shared" si="24"/>
        <v>-</v>
      </c>
      <c r="AY8" s="151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51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7"/>
        <v/>
      </c>
      <c r="BH8" s="119" t="str">
        <f t="shared" si="8"/>
        <v/>
      </c>
      <c r="BI8" s="120" t="str">
        <f t="shared" si="25"/>
        <v/>
      </c>
      <c r="BJ8" s="151"/>
      <c r="BK8" s="121" t="str">
        <f t="shared" si="9"/>
        <v/>
      </c>
      <c r="BL8" s="122" t="str">
        <f t="shared" si="10"/>
        <v/>
      </c>
      <c r="BM8" s="122" t="str">
        <f t="shared" si="11"/>
        <v/>
      </c>
      <c r="BN8" s="123" t="str">
        <f t="shared" si="12"/>
        <v/>
      </c>
      <c r="BO8" s="151"/>
      <c r="BP8" s="124" t="str">
        <f t="shared" si="13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4"/>
        <v/>
      </c>
      <c r="BU8" s="151"/>
      <c r="BV8" s="127" t="e">
        <f t="shared" si="15"/>
        <v>#DIV/0!</v>
      </c>
      <c r="BW8" s="127" t="e">
        <f t="shared" si="16"/>
        <v>#DIV/0!</v>
      </c>
      <c r="BX8" s="127" t="e">
        <f t="shared" si="17"/>
        <v>#DIV/0!</v>
      </c>
      <c r="BY8" s="127" t="e">
        <f t="shared" si="18"/>
        <v>#DIV/0!</v>
      </c>
      <c r="BZ8" s="127" t="e">
        <f t="shared" si="28"/>
        <v>#DIV/0!</v>
      </c>
      <c r="CA8" s="128" t="e">
        <f t="shared" si="29"/>
        <v>#DIV/0!</v>
      </c>
      <c r="CB8" s="151"/>
      <c r="CC8" s="129" t="str">
        <f t="shared" si="19"/>
        <v>-</v>
      </c>
      <c r="CD8" s="130" t="str">
        <f t="shared" si="20"/>
        <v>-</v>
      </c>
      <c r="CE8" s="130" t="str">
        <f t="shared" si="21"/>
        <v>-</v>
      </c>
      <c r="CF8" s="130" t="str">
        <f t="shared" si="22"/>
        <v>-</v>
      </c>
      <c r="CG8" s="131" t="str">
        <f t="shared" si="23"/>
        <v>-</v>
      </c>
      <c r="CH8" s="151"/>
    </row>
    <row r="9" spans="1:86" s="115" customFormat="1" ht="12.4" customHeight="1" thickBot="1" x14ac:dyDescent="0.25">
      <c r="A9" s="96">
        <f t="shared" si="30"/>
        <v>46301</v>
      </c>
      <c r="B9" s="97" t="str">
        <f t="shared" si="0"/>
        <v>Tue</v>
      </c>
      <c r="C9" s="98">
        <f>+SUM(EL_DEL_CD2_JO_!C9,EL_DEL_CD2_SBI_1_4_!C9,EL_DEL_CD2_SBI_5_6_!C9,EL_DEL_CD2_SBI_7_8_!C9,EL_DEL_CD2_SBI_9_10_!C9,EL_DEL_CD2_STAB_!C9,EL_DEL_CD2_JO_L_!C9,EL_DEL_CD2_SBI_L_1_4_!C9,EL_DEL_CD2_SBI_L_5_6_!C9,EL_DEL_CD2_SBI_L_7_8_!C9,EL_DEL_CD2_SBI_L_9_10_!C9,EL_DEL_CD2_L_STAB_!C9)</f>
        <v>0</v>
      </c>
      <c r="D9" s="98">
        <f>+SUM(EL_DEL_CD2_JO_!D9,EL_DEL_CD2_SBI_1_4_!D9,EL_DEL_CD2_SBI_5_6_!D9,EL_DEL_CD2_SBI_7_8_!D9,EL_DEL_CD2_SBI_9_10_!D9,EL_DEL_CD2_STAB_!D9,EL_DEL_CD2_JO_L_!D9,EL_DEL_CD2_SBI_L_1_4_!D9,EL_DEL_CD2_SBI_L_5_6_!D9,EL_DEL_CD2_SBI_L_7_8_!D9,EL_DEL_CD2_SBI_L_9_10_!D9,EL_DEL_CD2_L_STAB_!D9)</f>
        <v>0</v>
      </c>
      <c r="E9" s="98">
        <f>+SUM(EL_DEL_CD2_JO_!E9,EL_DEL_CD2_SBI_1_4_!E9,EL_DEL_CD2_SBI_5_6_!E9,EL_DEL_CD2_SBI_7_8_!E9,EL_DEL_CD2_SBI_9_10_!E9,EL_DEL_CD2_STAB_!E9,EL_DEL_CD2_JO_L_!E9,EL_DEL_CD2_SBI_L_1_4_!E9,EL_DEL_CD2_SBI_L_5_6_!E9,EL_DEL_CD2_SBI_L_7_8_!E9,EL_DEL_CD2_SBI_L_9_10_!E9,EL_DEL_CD2_L_STAB_!E9)</f>
        <v>0</v>
      </c>
      <c r="F9" s="98">
        <f>+SUM(EL_DEL_CD2_JO_!F9,EL_DEL_CD2_SBI_1_4_!F9,EL_DEL_CD2_SBI_5_6_!F9,EL_DEL_CD2_SBI_7_8_!F9,EL_DEL_CD2_SBI_9_10_!F9,EL_DEL_CD2_STAB_!F9,EL_DEL_CD2_JO_L_!F9,EL_DEL_CD2_SBI_L_1_4_!F9,EL_DEL_CD2_SBI_L_5_6_!F9,EL_DEL_CD2_SBI_L_7_8_!F9,EL_DEL_CD2_SBI_L_9_10_!F9,EL_DEL_CD2_L_STAB_!F9)</f>
        <v>0</v>
      </c>
      <c r="G9" s="98">
        <f>+SUM(EL_DEL_CD2_JO_!G9,EL_DEL_CD2_SBI_1_4_!G9,EL_DEL_CD2_SBI_5_6_!G9,EL_DEL_CD2_SBI_7_8_!G9,EL_DEL_CD2_SBI_9_10_!G9,EL_DEL_CD2_STAB_!G9,EL_DEL_CD2_JO_L_!G9,EL_DEL_CD2_SBI_L_1_4_!G9,EL_DEL_CD2_SBI_L_5_6_!G9,EL_DEL_CD2_SBI_L_7_8_!G9,EL_DEL_CD2_SBI_L_9_10_!G9,EL_DEL_CD2_L_STAB_!G9)</f>
        <v>0</v>
      </c>
      <c r="H9" s="98">
        <f>+SUM(EL_DEL_CD2_JO_!H9,EL_DEL_CD2_SBI_1_4_!H9,EL_DEL_CD2_SBI_5_6_!H9,EL_DEL_CD2_SBI_7_8_!H9,EL_DEL_CD2_SBI_9_10_!H9,EL_DEL_CD2_STAB_!H9,EL_DEL_CD2_JO_L_!H9,EL_DEL_CD2_SBI_L_1_4_!H9,EL_DEL_CD2_SBI_L_5_6_!H9,EL_DEL_CD2_SBI_L_7_8_!H9,EL_DEL_CD2_SBI_L_9_10_!H9,EL_DEL_CD2_L_STAB_!H9)</f>
        <v>0</v>
      </c>
      <c r="I9" s="98">
        <f>+SUM(EL_DEL_CD2_JO_!I9,EL_DEL_CD2_SBI_1_4_!I9,EL_DEL_CD2_SBI_5_6_!I9,EL_DEL_CD2_SBI_7_8_!I9,EL_DEL_CD2_SBI_9_10_!I9,EL_DEL_CD2_STAB_!I9,EL_DEL_CD2_JO_L_!I9,EL_DEL_CD2_SBI_L_1_4_!I9,EL_DEL_CD2_SBI_L_5_6_!I9,EL_DEL_CD2_SBI_L_7_8_!I9,EL_DEL_CD2_SBI_L_9_10_!I9,EL_DEL_CD2_L_STAB_!I9)</f>
        <v>0</v>
      </c>
      <c r="J9" s="98">
        <f>+SUM(EL_DEL_CD2_JO_!J9,EL_DEL_CD2_SBI_1_4_!J9,EL_DEL_CD2_SBI_5_6_!J9,EL_DEL_CD2_SBI_7_8_!J9,EL_DEL_CD2_SBI_9_10_!J9,EL_DEL_CD2_STAB_!J9,EL_DEL_CD2_JO_L_!J9,EL_DEL_CD2_SBI_L_1_4_!J9,EL_DEL_CD2_SBI_L_5_6_!J9,EL_DEL_CD2_SBI_L_7_8_!J9,EL_DEL_CD2_SBI_L_9_10_!J9,EL_DEL_CD2_L_STAB_!J9)</f>
        <v>0</v>
      </c>
      <c r="K9" s="98">
        <f>+SUM(EL_DEL_CD2_JO_!K9,EL_DEL_CD2_SBI_1_4_!K9,EL_DEL_CD2_SBI_5_6_!K9,EL_DEL_CD2_SBI_7_8_!K9,EL_DEL_CD2_SBI_9_10_!K9,EL_DEL_CD2_STAB_!K9,EL_DEL_CD2_JO_L_!K9,EL_DEL_CD2_SBI_L_1_4_!K9,EL_DEL_CD2_SBI_L_5_6_!K9,EL_DEL_CD2_SBI_L_7_8_!K9,EL_DEL_CD2_SBI_L_9_10_!K9,EL_DEL_CD2_L_STAB_!K9)</f>
        <v>0</v>
      </c>
      <c r="L9" s="98">
        <f>+SUM(EL_DEL_CD2_JO_!L9,EL_DEL_CD2_SBI_1_4_!L9,EL_DEL_CD2_SBI_5_6_!L9,EL_DEL_CD2_SBI_7_8_!L9,EL_DEL_CD2_SBI_9_10_!L9,EL_DEL_CD2_STAB_!L9,EL_DEL_CD2_JO_L_!L9,EL_DEL_CD2_SBI_L_1_4_!L9,EL_DEL_CD2_SBI_L_5_6_!L9,EL_DEL_CD2_SBI_L_7_8_!L9,EL_DEL_CD2_SBI_L_9_10_!L9,EL_DEL_CD2_L_STAB_!L9)</f>
        <v>0</v>
      </c>
      <c r="M9" s="98">
        <f>+SUM(EL_DEL_CD2_JO_!M9,EL_DEL_CD2_SBI_1_4_!M9,EL_DEL_CD2_SBI_5_6_!M9,EL_DEL_CD2_SBI_7_8_!M9,EL_DEL_CD2_SBI_9_10_!M9,EL_DEL_CD2_STAB_!M9,EL_DEL_CD2_JO_L_!M9,EL_DEL_CD2_SBI_L_1_4_!M9,EL_DEL_CD2_SBI_L_5_6_!M9,EL_DEL_CD2_SBI_L_7_8_!M9,EL_DEL_CD2_SBI_L_9_10_!M9,EL_DEL_CD2_L_STAB_!M9)</f>
        <v>0</v>
      </c>
      <c r="N9" s="98">
        <f>+SUM(EL_DEL_CD2_JO_!N9,EL_DEL_CD2_SBI_1_4_!N9,EL_DEL_CD2_SBI_5_6_!N9,EL_DEL_CD2_SBI_7_8_!N9,EL_DEL_CD2_SBI_9_10_!N9,EL_DEL_CD2_STAB_!N9,EL_DEL_CD2_JO_L_!N9,EL_DEL_CD2_SBI_L_1_4_!N9,EL_DEL_CD2_SBI_L_5_6_!N9,EL_DEL_CD2_SBI_L_7_8_!N9,EL_DEL_CD2_SBI_L_9_10_!N9,EL_DEL_CD2_L_STAB_!N9)</f>
        <v>0</v>
      </c>
      <c r="O9" s="98">
        <f>+SUM(EL_DEL_CD2_JO_!O9,EL_DEL_CD2_SBI_1_4_!O9,EL_DEL_CD2_SBI_5_6_!O9,EL_DEL_CD2_SBI_7_8_!O9,EL_DEL_CD2_SBI_9_10_!O9,EL_DEL_CD2_STAB_!O9,EL_DEL_CD2_JO_L_!O9,EL_DEL_CD2_SBI_L_1_4_!O9,EL_DEL_CD2_SBI_L_5_6_!O9,EL_DEL_CD2_SBI_L_7_8_!O9,EL_DEL_CD2_SBI_L_9_10_!O9,EL_DEL_CD2_L_STAB_!O9)</f>
        <v>0</v>
      </c>
      <c r="P9" s="98">
        <f>+SUM(EL_DEL_CD2_JO_!P9,EL_DEL_CD2_SBI_1_4_!P9,EL_DEL_CD2_SBI_5_6_!P9,EL_DEL_CD2_SBI_7_8_!P9,EL_DEL_CD2_SBI_9_10_!P9,EL_DEL_CD2_STAB_!P9,EL_DEL_CD2_JO_L_!P9,EL_DEL_CD2_SBI_L_1_4_!P9,EL_DEL_CD2_SBI_L_5_6_!P9,EL_DEL_CD2_SBI_L_7_8_!P9,EL_DEL_CD2_SBI_L_9_10_!P9,EL_DEL_CD2_L_STAB_!P9)</f>
        <v>0</v>
      </c>
      <c r="Q9" s="98">
        <f>+SUM(EL_DEL_CD2_JO_!Q9,EL_DEL_CD2_SBI_1_4_!Q9,EL_DEL_CD2_SBI_5_6_!Q9,EL_DEL_CD2_SBI_7_8_!Q9,EL_DEL_CD2_SBI_9_10_!Q9,EL_DEL_CD2_STAB_!Q9,EL_DEL_CD2_JO_L_!Q9,EL_DEL_CD2_SBI_L_1_4_!Q9,EL_DEL_CD2_SBI_L_5_6_!Q9,EL_DEL_CD2_SBI_L_7_8_!Q9,EL_DEL_CD2_SBI_L_9_10_!Q9,EL_DEL_CD2_L_STAB_!Q9)</f>
        <v>0</v>
      </c>
      <c r="R9" s="98">
        <f>+SUM(EL_DEL_CD2_JO_!R9,EL_DEL_CD2_SBI_1_4_!R9,EL_DEL_CD2_SBI_5_6_!R9,EL_DEL_CD2_SBI_7_8_!R9,EL_DEL_CD2_SBI_9_10_!R9,EL_DEL_CD2_STAB_!R9,EL_DEL_CD2_JO_L_!R9,EL_DEL_CD2_SBI_L_1_4_!R9,EL_DEL_CD2_SBI_L_5_6_!R9,EL_DEL_CD2_SBI_L_7_8_!R9,EL_DEL_CD2_SBI_L_9_10_!R9,EL_DEL_CD2_L_STAB_!R9)</f>
        <v>0</v>
      </c>
      <c r="S9" s="98">
        <f>+SUM(EL_DEL_CD2_JO_!S9,EL_DEL_CD2_SBI_1_4_!S9,EL_DEL_CD2_SBI_5_6_!S9,EL_DEL_CD2_SBI_7_8_!S9,EL_DEL_CD2_SBI_9_10_!S9,EL_DEL_CD2_STAB_!S9,EL_DEL_CD2_JO_L_!S9,EL_DEL_CD2_SBI_L_1_4_!S9,EL_DEL_CD2_SBI_L_5_6_!S9,EL_DEL_CD2_SBI_L_7_8_!S9,EL_DEL_CD2_SBI_L_9_10_!S9,EL_DEL_CD2_L_STAB_!S9)</f>
        <v>0</v>
      </c>
      <c r="T9" s="98">
        <f>+SUM(EL_DEL_CD2_JO_!T9,EL_DEL_CD2_SBI_1_4_!T9,EL_DEL_CD2_SBI_5_6_!T9,EL_DEL_CD2_SBI_7_8_!T9,EL_DEL_CD2_SBI_9_10_!T9,EL_DEL_CD2_STAB_!T9,EL_DEL_CD2_JO_L_!T9,EL_DEL_CD2_SBI_L_1_4_!T9,EL_DEL_CD2_SBI_L_5_6_!T9,EL_DEL_CD2_SBI_L_7_8_!T9,EL_DEL_CD2_SBI_L_9_10_!T9,EL_DEL_CD2_L_STAB_!T9)</f>
        <v>0</v>
      </c>
      <c r="U9" s="98">
        <f>+SUM(EL_DEL_CD2_JO_!U9,EL_DEL_CD2_SBI_1_4_!U9,EL_DEL_CD2_SBI_5_6_!U9,EL_DEL_CD2_SBI_7_8_!U9,EL_DEL_CD2_SBI_9_10_!U9,EL_DEL_CD2_STAB_!U9,EL_DEL_CD2_JO_L_!U9,EL_DEL_CD2_SBI_L_1_4_!U9,EL_DEL_CD2_SBI_L_5_6_!U9,EL_DEL_CD2_SBI_L_7_8_!U9,EL_DEL_CD2_SBI_L_9_10_!U9,EL_DEL_CD2_L_STAB_!U9)</f>
        <v>0</v>
      </c>
      <c r="V9" s="98">
        <f>+SUM(EL_DEL_CD2_JO_!V9,EL_DEL_CD2_SBI_1_4_!V9,EL_DEL_CD2_SBI_5_6_!V9,EL_DEL_CD2_SBI_7_8_!V9,EL_DEL_CD2_SBI_9_10_!V9,EL_DEL_CD2_STAB_!V9,EL_DEL_CD2_JO_L_!V9,EL_DEL_CD2_SBI_L_1_4_!V9,EL_DEL_CD2_SBI_L_5_6_!V9,EL_DEL_CD2_SBI_L_7_8_!V9,EL_DEL_CD2_SBI_L_9_10_!V9,EL_DEL_CD2_L_STAB_!V9)</f>
        <v>0</v>
      </c>
      <c r="W9" s="98">
        <f>+SUM(EL_DEL_CD2_JO_!W9,EL_DEL_CD2_SBI_1_4_!W9,EL_DEL_CD2_SBI_5_6_!W9,EL_DEL_CD2_SBI_7_8_!W9,EL_DEL_CD2_SBI_9_10_!W9,EL_DEL_CD2_STAB_!W9,EL_DEL_CD2_JO_L_!W9,EL_DEL_CD2_SBI_L_1_4_!W9,EL_DEL_CD2_SBI_L_5_6_!W9,EL_DEL_CD2_SBI_L_7_8_!W9,EL_DEL_CD2_SBI_L_9_10_!W9,EL_DEL_CD2_L_STAB_!W9)</f>
        <v>0</v>
      </c>
      <c r="X9" s="98">
        <f>+SUM(EL_DEL_CD2_JO_!X9,EL_DEL_CD2_SBI_1_4_!X9,EL_DEL_CD2_SBI_5_6_!X9,EL_DEL_CD2_SBI_7_8_!X9,EL_DEL_CD2_SBI_9_10_!X9,EL_DEL_CD2_STAB_!X9,EL_DEL_CD2_JO_L_!X9,EL_DEL_CD2_SBI_L_1_4_!X9,EL_DEL_CD2_SBI_L_5_6_!X9,EL_DEL_CD2_SBI_L_7_8_!X9,EL_DEL_CD2_SBI_L_9_10_!X9,EL_DEL_CD2_L_STAB_!X9)</f>
        <v>0</v>
      </c>
      <c r="Y9" s="98">
        <f>+SUM(EL_DEL_CD2_JO_!Y9,EL_DEL_CD2_SBI_1_4_!Y9,EL_DEL_CD2_SBI_5_6_!Y9,EL_DEL_CD2_SBI_7_8_!Y9,EL_DEL_CD2_SBI_9_10_!Y9,EL_DEL_CD2_STAB_!Y9,EL_DEL_CD2_JO_L_!Y9,EL_DEL_CD2_SBI_L_1_4_!Y9,EL_DEL_CD2_SBI_L_5_6_!Y9,EL_DEL_CD2_SBI_L_7_8_!Y9,EL_DEL_CD2_SBI_L_9_10_!Y9,EL_DEL_CD2_L_STAB_!Y9)</f>
        <v>0</v>
      </c>
      <c r="Z9" s="98">
        <f>+SUM(EL_DEL_CD2_JO_!Z9,EL_DEL_CD2_SBI_1_4_!Z9,EL_DEL_CD2_SBI_5_6_!Z9,EL_DEL_CD2_SBI_7_8_!Z9,EL_DEL_CD2_SBI_9_10_!Z9,EL_DEL_CD2_STAB_!Z9,EL_DEL_CD2_JO_L_!Z9,EL_DEL_CD2_SBI_L_1_4_!Z9,EL_DEL_CD2_SBI_L_5_6_!Z9,EL_DEL_CD2_SBI_L_7_8_!Z9,EL_DEL_CD2_SBI_L_9_10_!Z9,EL_DEL_CD2_L_STAB_!Z9)</f>
        <v>0</v>
      </c>
      <c r="AA9" s="98">
        <f>+SUM(EL_DEL_CD2_JO_!AA9,EL_DEL_CD2_SBI_1_4_!AA9,EL_DEL_CD2_SBI_5_6_!AA9,EL_DEL_CD2_SBI_7_8_!AA9,EL_DEL_CD2_SBI_9_10_!AA9,EL_DEL_CD2_STAB_!AA9,EL_DEL_CD2_JO_L_!AA9,EL_DEL_CD2_SBI_L_1_4_!AA9,EL_DEL_CD2_SBI_L_5_6_!AA9,EL_DEL_CD2_SBI_L_7_8_!AA9,EL_DEL_CD2_SBI_L_9_10_!AA9,EL_DEL_CD2_L_STAB_!AA9)</f>
        <v>0</v>
      </c>
      <c r="AB9" s="98">
        <f>+SUM(EL_DEL_CD2_JO_!AB9,EL_DEL_CD2_SBI_1_4_!AB9,EL_DEL_CD2_SBI_5_6_!AB9,EL_DEL_CD2_SBI_7_8_!AB9,EL_DEL_CD2_SBI_9_10_!AB9,EL_DEL_CD2_STAB_!AB9,EL_DEL_CD2_JO_L_!AB9,EL_DEL_CD2_SBI_L_1_4_!AB9,EL_DEL_CD2_SBI_L_5_6_!AB9,EL_DEL_CD2_SBI_L_7_8_!AB9,EL_DEL_CD2_SBI_L_9_10_!AB9,EL_DEL_CD2_L_STAB_!AB9)</f>
        <v>0</v>
      </c>
      <c r="AC9" s="98">
        <f>+SUM(EL_DEL_CD2_JO_!AC9,EL_DEL_CD2_SBI_1_4_!AC9,EL_DEL_CD2_SBI_5_6_!AC9,EL_DEL_CD2_SBI_7_8_!AC9,EL_DEL_CD2_SBI_9_10_!AC9,EL_DEL_CD2_STAB_!AC9,EL_DEL_CD2_JO_L_!AC9,EL_DEL_CD2_SBI_L_1_4_!AC9,EL_DEL_CD2_SBI_L_5_6_!AC9,EL_DEL_CD2_SBI_L_7_8_!AC9,EL_DEL_CD2_SBI_L_9_10_!AC9,EL_DEL_CD2_L_STAB_!AC9)</f>
        <v>0</v>
      </c>
      <c r="AD9" s="98">
        <f>+SUM(EL_DEL_CD2_JO_!AD9,EL_DEL_CD2_SBI_1_4_!AD9,EL_DEL_CD2_SBI_5_6_!AD9,EL_DEL_CD2_SBI_7_8_!AD9,EL_DEL_CD2_SBI_9_10_!AD9,EL_DEL_CD2_STAB_!AD9,EL_DEL_CD2_JO_L_!AD9,EL_DEL_CD2_SBI_L_1_4_!AD9,EL_DEL_CD2_SBI_L_5_6_!AD9,EL_DEL_CD2_SBI_L_7_8_!AD9,EL_DEL_CD2_SBI_L_9_10_!AD9,EL_DEL_CD2_L_STAB_!AD9)</f>
        <v>0</v>
      </c>
      <c r="AE9" s="98">
        <f>+SUM(EL_DEL_CD2_JO_!AE9,EL_DEL_CD2_SBI_1_4_!AE9,EL_DEL_CD2_SBI_5_6_!AE9,EL_DEL_CD2_SBI_7_8_!AE9,EL_DEL_CD2_SBI_9_10_!AE9,EL_DEL_CD2_STAB_!AE9,EL_DEL_CD2_JO_L_!AE9,EL_DEL_CD2_SBI_L_1_4_!AE9,EL_DEL_CD2_SBI_L_5_6_!AE9,EL_DEL_CD2_SBI_L_7_8_!AE9,EL_DEL_CD2_SBI_L_9_10_!AE9,EL_DEL_CD2_L_STAB_!AE9)</f>
        <v>0</v>
      </c>
      <c r="AF9" s="98">
        <f>+SUM(EL_DEL_CD2_JO_!AF9,EL_DEL_CD2_SBI_1_4_!AF9,EL_DEL_CD2_SBI_5_6_!AF9,EL_DEL_CD2_SBI_7_8_!AF9,EL_DEL_CD2_SBI_9_10_!AF9,EL_DEL_CD2_STAB_!AF9,EL_DEL_CD2_JO_L_!AF9,EL_DEL_CD2_SBI_L_1_4_!AF9,EL_DEL_CD2_SBI_L_5_6_!AF9,EL_DEL_CD2_SBI_L_7_8_!AF9,EL_DEL_CD2_SBI_L_9_10_!AF9,EL_DEL_CD2_L_STAB_!AF9)</f>
        <v>0</v>
      </c>
      <c r="AG9" s="98">
        <f>+SUM(EL_DEL_CD2_JO_!AG9,EL_DEL_CD2_SBI_1_4_!AG9,EL_DEL_CD2_SBI_5_6_!AG9,EL_DEL_CD2_SBI_7_8_!AG9,EL_DEL_CD2_SBI_9_10_!AG9,EL_DEL_CD2_STAB_!AG9,EL_DEL_CD2_JO_L_!AG9,EL_DEL_CD2_SBI_L_1_4_!AG9,EL_DEL_CD2_SBI_L_5_6_!AG9,EL_DEL_CD2_SBI_L_7_8_!AG9,EL_DEL_CD2_SBI_L_9_10_!AG9,EL_DEL_CD2_L_STAB_!AG9)</f>
        <v>0</v>
      </c>
      <c r="AH9" s="98">
        <f>+SUM(EL_DEL_CD2_JO_!AH9,EL_DEL_CD2_SBI_1_4_!AH9,EL_DEL_CD2_SBI_5_6_!AH9,EL_DEL_CD2_SBI_7_8_!AH9,EL_DEL_CD2_SBI_9_10_!AH9,EL_DEL_CD2_STAB_!AH9,EL_DEL_CD2_JO_L_!AH9,EL_DEL_CD2_SBI_L_1_4_!AH9,EL_DEL_CD2_SBI_L_5_6_!AH9,EL_DEL_CD2_SBI_L_7_8_!AH9,EL_DEL_CD2_SBI_L_9_10_!AH9,EL_DEL_CD2_L_STAB_!AH9)</f>
        <v>0</v>
      </c>
      <c r="AI9" s="98">
        <f>+SUM(EL_DEL_CD2_JO_!AI9,EL_DEL_CD2_SBI_1_4_!AI9,EL_DEL_CD2_SBI_5_6_!AI9,EL_DEL_CD2_SBI_7_8_!AI9,EL_DEL_CD2_SBI_9_10_!AI9,EL_DEL_CD2_STAB_!AI9,EL_DEL_CD2_JO_L_!AI9,EL_DEL_CD2_SBI_L_1_4_!AI9,EL_DEL_CD2_SBI_L_5_6_!AI9,EL_DEL_CD2_SBI_L_7_8_!AI9,EL_DEL_CD2_SBI_L_9_10_!AI9,EL_DEL_CD2_L_STAB_!AI9)</f>
        <v>0</v>
      </c>
      <c r="AJ9" s="98">
        <f>+SUM(EL_DEL_CD2_JO_!AJ9,EL_DEL_CD2_SBI_1_4_!AJ9,EL_DEL_CD2_SBI_5_6_!AJ9,EL_DEL_CD2_SBI_7_8_!AJ9,EL_DEL_CD2_SBI_9_10_!AJ9,EL_DEL_CD2_STAB_!AJ9,EL_DEL_CD2_JO_L_!AJ9,EL_DEL_CD2_SBI_L_1_4_!AJ9,EL_DEL_CD2_SBI_L_5_6_!AJ9,EL_DEL_CD2_SBI_L_7_8_!AJ9,EL_DEL_CD2_SBI_L_9_10_!AJ9,EL_DEL_CD2_L_STAB_!AJ9)</f>
        <v>0</v>
      </c>
      <c r="AK9" s="98">
        <f>+SUM(EL_DEL_CD2_JO_!AK9,EL_DEL_CD2_SBI_1_4_!AK9,EL_DEL_CD2_SBI_5_6_!AK9,EL_DEL_CD2_SBI_7_8_!AK9,EL_DEL_CD2_SBI_9_10_!AK9,EL_DEL_CD2_STAB_!AK9,EL_DEL_CD2_JO_L_!AK9,EL_DEL_CD2_SBI_L_1_4_!AK9,EL_DEL_CD2_SBI_L_5_6_!AK9,EL_DEL_CD2_SBI_L_7_8_!AK9,EL_DEL_CD2_SBI_L_9_10_!AK9,EL_DEL_CD2_L_STAB_!AK9)</f>
        <v>0</v>
      </c>
      <c r="AL9" s="152" t="str">
        <f>+IFERROR(AVERAGE(EL_DEL_CD2_JO_!AL9,EL_DEL_CD2_SBI_1_4_!AL9,EL_DEL_CD2_SBI_5_6_!AL9,EL_DEL_CD2_SBI_7_8_!AL9,EL_DEL_CD2_SBI_9_10_!AL9,EL_DEL_CD2_STAB_!AL9,EL_DEL_CD2_JO_L_!AL9,EL_DEL_CD2_SBI_L_1_4_!AL9,EL_DEL_CD2_SBI_L_5_6_!AL9,EL_DEL_CD2_SBI_L_7_8_!AL9,EL_DEL_CD2_SBI_L_9_10_!AL9,EL_DEL_CD2_L_STAB_!AL9),"0:00")</f>
        <v>0:00</v>
      </c>
      <c r="AM9" s="152" t="str">
        <f>+IFERROR(AVERAGE(EL_DEL_CD2_JO_!AM9,EL_DEL_CD2_SBI_1_4_!AM9,EL_DEL_CD2_SBI_5_6_!AM9,EL_DEL_CD2_SBI_7_8_!AM9,EL_DEL_CD2_SBI_9_10_!AM9,EL_DEL_CD2_STAB_!AM9,EL_DEL_CD2_JO_L_!AM9,EL_DEL_CD2_SBI_L_1_4_!AM9,EL_DEL_CD2_SBI_L_5_6_!AM9,EL_DEL_CD2_SBI_L_7_8_!AM9,EL_DEL_CD2_SBI_L_9_10_!AM9,EL_DEL_CD2_L_STAB_!AM9),"0:00")</f>
        <v>0:00</v>
      </c>
      <c r="AN9" s="152" t="str">
        <f>+IFERROR(AVERAGE(EL_DEL_CD2_JO_!AN9,EL_DEL_CD2_SBI_1_4_!AN9,EL_DEL_CD2_SBI_5_6_!AN9,EL_DEL_CD2_SBI_7_8_!AN9,EL_DEL_CD2_SBI_9_10_!AN9,EL_DEL_CD2_STAB_!AN9,EL_DEL_CD2_JO_L_!AN9,EL_DEL_CD2_SBI_L_1_4_!AN9,EL_DEL_CD2_SBI_L_5_6_!AN9,EL_DEL_CD2_SBI_L_7_8_!AN9,EL_DEL_CD2_SBI_L_9_10_!AN9,EL_DEL_CD2_L_STAB_!AN9),"0:00")</f>
        <v>0:00</v>
      </c>
      <c r="AO9" s="152" t="str">
        <f>+IFERROR(AVERAGE(EL_DEL_CD2_JO_!AO9,EL_DEL_CD2_SBI_1_4_!AO9,EL_DEL_CD2_SBI_5_6_!AO9,EL_DEL_CD2_SBI_7_8_!AO9,EL_DEL_CD2_SBI_9_10_!AO9,EL_DEL_CD2_STAB_!AO9,EL_DEL_CD2_JO_L_!AO9,EL_DEL_CD2_SBI_L_1_4_!AO9,EL_DEL_CD2_SBI_L_5_6_!AO9,EL_DEL_CD2_SBI_L_7_8_!AO9,EL_DEL_CD2_SBI_L_9_10_!AO9,EL_DEL_CD2_L_STAB_!AO9),"0:00")</f>
        <v>0:00</v>
      </c>
      <c r="AP9" s="98" t="str">
        <f>+IFERROR(AVERAGE(EL_DEL_CD2_JO_!AP9,EL_DEL_CD2_SBI_1_4_!AP9,EL_DEL_CD2_SBI_5_6_!AP9,EL_DEL_CD2_SBI_7_8_!AP9,EL_DEL_CD2_SBI_9_10_!AP9,EL_DEL_CD2_STAB_!AP9,EL_DEL_CD2_JO_L_!AP9,EL_DEL_CD2_SBI_L_1_4_!AP9,EL_DEL_CD2_SBI_L_5_6_!AP9,EL_DEL_CD2_SBI_L_7_8_!AP9,EL_DEL_CD2_SBI_L_9_10_!AP9,EL_DEL_CD2_L_STAB_!AP9),"0:00")</f>
        <v>0:00</v>
      </c>
      <c r="AQ9" s="152" t="str">
        <f>+IFERROR(AVERAGE(EL_DEL_CD2_JO_!AQ9,EL_DEL_CD2_SBI_1_4_!AQ9,EL_DEL_CD2_SBI_5_6_!AQ9,EL_DEL_CD2_SBI_7_8_!AQ9,EL_DEL_CD2_SBI_9_10_!AQ9,EL_DEL_CD2_STAB_!AQ9,EL_DEL_CD2_JO_L_!AQ9,EL_DEL_CD2_SBI_L_1_4_!AQ9,EL_DEL_CD2_SBI_L_5_6_!AQ9,EL_DEL_CD2_SBI_L_7_8_!AQ9,EL_DEL_CD2_SBI_L_9_10_!AQ9,EL_DEL_CD2_L_STAB_!AQ9),"0:00")</f>
        <v>0:00</v>
      </c>
      <c r="AR9" s="152" t="str">
        <f>+IFERROR(AVERAGE(EL_DEL_CD2_JO_!AR9,EL_DEL_CD2_SBI_1_4_!AR9,EL_DEL_CD2_SBI_5_6_!AR9,EL_DEL_CD2_SBI_7_8_!AR9,EL_DEL_CD2_SBI_9_10_!AR9,EL_DEL_CD2_STAB_!AR9,EL_DEL_CD2_JO_L_!AR9,EL_DEL_CD2_SBI_L_1_4_!AR9,EL_DEL_CD2_SBI_L_5_6_!AR9,EL_DEL_CD2_SBI_L_7_8_!AR9,EL_DEL_CD2_SBI_L_9_10_!AR9,EL_DEL_CD2_L_STAB_!AR9),"0:00")</f>
        <v>0:00</v>
      </c>
      <c r="AS9" s="152" t="str">
        <f>+IFERROR(AVERAGE(EL_DEL_CD2_JO_!AS9,EL_DEL_CD2_SBI_1_4_!AS9,EL_DEL_CD2_SBI_5_6_!AS9,EL_DEL_CD2_SBI_7_8_!AS9,EL_DEL_CD2_SBI_9_10_!AS9,EL_DEL_CD2_STAB_!AS9,EL_DEL_CD2_JO_L_!AS9,EL_DEL_CD2_SBI_L_1_4_!AS9,EL_DEL_CD2_SBI_L_5_6_!AS9,EL_DEL_CD2_SBI_L_7_8_!AS9,EL_DEL_CD2_SBI_L_9_10_!AS9,EL_DEL_CD2_L_STAB_!AS9),"0:00")</f>
        <v>0:00</v>
      </c>
      <c r="AT9" s="98">
        <f>+SUM(EL_DEL_CD2_JO_!AT9,EL_DEL_CD2_SBI_1_4_!AT9,EL_DEL_CD2_SBI_5_6_!AT9,EL_DEL_CD2_SBI_7_8_!AT9,EL_DEL_CD2_SBI_9_10_!AT9,EL_DEL_CD2_STAB_!AT9,EL_DEL_CD2_JO_L_!AT9,EL_DEL_CD2_SBI_L_1_4_!AT9,EL_DEL_CD2_SBI_L_5_6_!AT9,EL_DEL_CD2_SBI_L_7_8_!AT9,EL_DEL_CD2_SBI_L_9_10_!AT9,EL_DEL_CD2_L_STAB_!AT9)</f>
        <v>0</v>
      </c>
      <c r="AU9" s="98">
        <f>+SUM(EL_DEL_CD2_JO_!AU9,EL_DEL_CD2_SBI_1_4_!AU9,EL_DEL_CD2_SBI_5_6_!AU9,EL_DEL_CD2_SBI_7_8_!AU9,EL_DEL_CD2_SBI_9_10_!AU9,EL_DEL_CD2_STAB_!AU9,EL_DEL_CD2_JO_L_!AU9,EL_DEL_CD2_SBI_L_1_4_!AU9,EL_DEL_CD2_SBI_L_5_6_!AU9,EL_DEL_CD2_SBI_L_7_8_!AU9,EL_DEL_CD2_SBI_L_9_10_!AU9,EL_DEL_CD2_L_STAB_!AU9)</f>
        <v>0</v>
      </c>
      <c r="AV9" s="98">
        <f>+SUM(EL_DEL_CD2_JO_!AV9,EL_DEL_CD2_SBI_1_4_!AV9,EL_DEL_CD2_SBI_5_6_!AV9,EL_DEL_CD2_SBI_7_8_!AV9,EL_DEL_CD2_SBI_9_10_!AV9,EL_DEL_CD2_STAB_!AV9,EL_DEL_CD2_JO_L_!AV9,EL_DEL_CD2_SBI_L_1_4_!AV9,EL_DEL_CD2_SBI_L_5_6_!AV9,EL_DEL_CD2_SBI_L_7_8_!AV9,EL_DEL_CD2_SBI_L_9_10_!AV9,EL_DEL_CD2_L_STAB_!AV9)</f>
        <v>0</v>
      </c>
      <c r="AW9" s="167">
        <f>+SUM(EL_DEL_CD2_JO_!AW9,EL_DEL_CD2_SBI_1_4_!AW9,EL_DEL_CD2_SBI_5_6_!AW9,EL_DEL_CD2_SBI_7_8_!AW9,EL_DEL_CD2_SBI_9_10_!AW9,EL_DEL_CD2_STAB_!AW9,EL_DEL_CD2_JO_L_!AW9,EL_DEL_CD2_SBI_L_1_4_!AW9,EL_DEL_CD2_SBI_L_5_6_!AW9,EL_DEL_CD2_SBI_L_7_8_!AW9,EL_DEL_CD2_SBI_L_9_10_!AW9,EL_DEL_CD2_L_STAB_!AW9)</f>
        <v>0</v>
      </c>
      <c r="AX9" s="102" t="str">
        <f t="shared" si="24"/>
        <v>-</v>
      </c>
      <c r="AY9" s="151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51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7"/>
        <v/>
      </c>
      <c r="BH9" s="119" t="str">
        <f t="shared" si="8"/>
        <v/>
      </c>
      <c r="BI9" s="120" t="str">
        <f t="shared" si="25"/>
        <v/>
      </c>
      <c r="BJ9" s="151"/>
      <c r="BK9" s="121" t="str">
        <f t="shared" si="9"/>
        <v/>
      </c>
      <c r="BL9" s="122" t="str">
        <f t="shared" si="10"/>
        <v/>
      </c>
      <c r="BM9" s="122" t="str">
        <f t="shared" si="11"/>
        <v/>
      </c>
      <c r="BN9" s="123" t="str">
        <f t="shared" si="12"/>
        <v/>
      </c>
      <c r="BO9" s="151"/>
      <c r="BP9" s="124" t="str">
        <f t="shared" si="13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4"/>
        <v/>
      </c>
      <c r="BU9" s="151"/>
      <c r="BV9" s="127" t="e">
        <f t="shared" si="15"/>
        <v>#DIV/0!</v>
      </c>
      <c r="BW9" s="127" t="e">
        <f t="shared" si="16"/>
        <v>#DIV/0!</v>
      </c>
      <c r="BX9" s="127" t="e">
        <f t="shared" si="17"/>
        <v>#DIV/0!</v>
      </c>
      <c r="BY9" s="127" t="e">
        <f t="shared" si="18"/>
        <v>#DIV/0!</v>
      </c>
      <c r="BZ9" s="127" t="e">
        <f t="shared" si="28"/>
        <v>#DIV/0!</v>
      </c>
      <c r="CA9" s="128" t="e">
        <f t="shared" si="29"/>
        <v>#DIV/0!</v>
      </c>
      <c r="CB9" s="151"/>
      <c r="CC9" s="129" t="str">
        <f t="shared" si="19"/>
        <v>-</v>
      </c>
      <c r="CD9" s="130" t="str">
        <f t="shared" si="20"/>
        <v>-</v>
      </c>
      <c r="CE9" s="130" t="str">
        <f t="shared" si="21"/>
        <v>-</v>
      </c>
      <c r="CF9" s="130" t="str">
        <f t="shared" si="22"/>
        <v>-</v>
      </c>
      <c r="CG9" s="131" t="str">
        <f t="shared" si="23"/>
        <v>-</v>
      </c>
      <c r="CH9" s="151"/>
    </row>
    <row r="10" spans="1:86" s="115" customFormat="1" ht="12.4" customHeight="1" thickBot="1" x14ac:dyDescent="0.25">
      <c r="A10" s="96">
        <f t="shared" si="30"/>
        <v>46302</v>
      </c>
      <c r="B10" s="97" t="str">
        <f t="shared" si="0"/>
        <v>Wed</v>
      </c>
      <c r="C10" s="98">
        <f>+SUM(EL_DEL_CD2_JO_!C10,EL_DEL_CD2_SBI_1_4_!C10,EL_DEL_CD2_SBI_5_6_!C10,EL_DEL_CD2_SBI_7_8_!C10,EL_DEL_CD2_SBI_9_10_!C10,EL_DEL_CD2_STAB_!C10,EL_DEL_CD2_JO_L_!C10,EL_DEL_CD2_SBI_L_1_4_!C10,EL_DEL_CD2_SBI_L_5_6_!C10,EL_DEL_CD2_SBI_L_7_8_!C10,EL_DEL_CD2_SBI_L_9_10_!C10,EL_DEL_CD2_L_STAB_!C10)</f>
        <v>0</v>
      </c>
      <c r="D10" s="98">
        <f>+SUM(EL_DEL_CD2_JO_!D10,EL_DEL_CD2_SBI_1_4_!D10,EL_DEL_CD2_SBI_5_6_!D10,EL_DEL_CD2_SBI_7_8_!D10,EL_DEL_CD2_SBI_9_10_!D10,EL_DEL_CD2_STAB_!D10,EL_DEL_CD2_JO_L_!D10,EL_DEL_CD2_SBI_L_1_4_!D10,EL_DEL_CD2_SBI_L_5_6_!D10,EL_DEL_CD2_SBI_L_7_8_!D10,EL_DEL_CD2_SBI_L_9_10_!D10,EL_DEL_CD2_L_STAB_!D10)</f>
        <v>0</v>
      </c>
      <c r="E10" s="98">
        <f>+SUM(EL_DEL_CD2_JO_!E10,EL_DEL_CD2_SBI_1_4_!E10,EL_DEL_CD2_SBI_5_6_!E10,EL_DEL_CD2_SBI_7_8_!E10,EL_DEL_CD2_SBI_9_10_!E10,EL_DEL_CD2_STAB_!E10,EL_DEL_CD2_JO_L_!E10,EL_DEL_CD2_SBI_L_1_4_!E10,EL_DEL_CD2_SBI_L_5_6_!E10,EL_DEL_CD2_SBI_L_7_8_!E10,EL_DEL_CD2_SBI_L_9_10_!E10,EL_DEL_CD2_L_STAB_!E10)</f>
        <v>0</v>
      </c>
      <c r="F10" s="98">
        <f>+SUM(EL_DEL_CD2_JO_!F10,EL_DEL_CD2_SBI_1_4_!F10,EL_DEL_CD2_SBI_5_6_!F10,EL_DEL_CD2_SBI_7_8_!F10,EL_DEL_CD2_SBI_9_10_!F10,EL_DEL_CD2_STAB_!F10,EL_DEL_CD2_JO_L_!F10,EL_DEL_CD2_SBI_L_1_4_!F10,EL_DEL_CD2_SBI_L_5_6_!F10,EL_DEL_CD2_SBI_L_7_8_!F10,EL_DEL_CD2_SBI_L_9_10_!F10,EL_DEL_CD2_L_STAB_!F10)</f>
        <v>0</v>
      </c>
      <c r="G10" s="98">
        <f>+SUM(EL_DEL_CD2_JO_!G10,EL_DEL_CD2_SBI_1_4_!G10,EL_DEL_CD2_SBI_5_6_!G10,EL_DEL_CD2_SBI_7_8_!G10,EL_DEL_CD2_SBI_9_10_!G10,EL_DEL_CD2_STAB_!G10,EL_DEL_CD2_JO_L_!G10,EL_DEL_CD2_SBI_L_1_4_!G10,EL_DEL_CD2_SBI_L_5_6_!G10,EL_DEL_CD2_SBI_L_7_8_!G10,EL_DEL_CD2_SBI_L_9_10_!G10,EL_DEL_CD2_L_STAB_!G10)</f>
        <v>0</v>
      </c>
      <c r="H10" s="98">
        <f>+SUM(EL_DEL_CD2_JO_!H10,EL_DEL_CD2_SBI_1_4_!H10,EL_DEL_CD2_SBI_5_6_!H10,EL_DEL_CD2_SBI_7_8_!H10,EL_DEL_CD2_SBI_9_10_!H10,EL_DEL_CD2_STAB_!H10,EL_DEL_CD2_JO_L_!H10,EL_DEL_CD2_SBI_L_1_4_!H10,EL_DEL_CD2_SBI_L_5_6_!H10,EL_DEL_CD2_SBI_L_7_8_!H10,EL_DEL_CD2_SBI_L_9_10_!H10,EL_DEL_CD2_L_STAB_!H10)</f>
        <v>0</v>
      </c>
      <c r="I10" s="98">
        <f>+SUM(EL_DEL_CD2_JO_!I10,EL_DEL_CD2_SBI_1_4_!I10,EL_DEL_CD2_SBI_5_6_!I10,EL_DEL_CD2_SBI_7_8_!I10,EL_DEL_CD2_SBI_9_10_!I10,EL_DEL_CD2_STAB_!I10,EL_DEL_CD2_JO_L_!I10,EL_DEL_CD2_SBI_L_1_4_!I10,EL_DEL_CD2_SBI_L_5_6_!I10,EL_DEL_CD2_SBI_L_7_8_!I10,EL_DEL_CD2_SBI_L_9_10_!I10,EL_DEL_CD2_L_STAB_!I10)</f>
        <v>0</v>
      </c>
      <c r="J10" s="98">
        <f>+SUM(EL_DEL_CD2_JO_!J10,EL_DEL_CD2_SBI_1_4_!J10,EL_DEL_CD2_SBI_5_6_!J10,EL_DEL_CD2_SBI_7_8_!J10,EL_DEL_CD2_SBI_9_10_!J10,EL_DEL_CD2_STAB_!J10,EL_DEL_CD2_JO_L_!J10,EL_DEL_CD2_SBI_L_1_4_!J10,EL_DEL_CD2_SBI_L_5_6_!J10,EL_DEL_CD2_SBI_L_7_8_!J10,EL_DEL_CD2_SBI_L_9_10_!J10,EL_DEL_CD2_L_STAB_!J10)</f>
        <v>0</v>
      </c>
      <c r="K10" s="98">
        <f>+SUM(EL_DEL_CD2_JO_!K10,EL_DEL_CD2_SBI_1_4_!K10,EL_DEL_CD2_SBI_5_6_!K10,EL_DEL_CD2_SBI_7_8_!K10,EL_DEL_CD2_SBI_9_10_!K10,EL_DEL_CD2_STAB_!K10,EL_DEL_CD2_JO_L_!K10,EL_DEL_CD2_SBI_L_1_4_!K10,EL_DEL_CD2_SBI_L_5_6_!K10,EL_DEL_CD2_SBI_L_7_8_!K10,EL_DEL_CD2_SBI_L_9_10_!K10,EL_DEL_CD2_L_STAB_!K10)</f>
        <v>0</v>
      </c>
      <c r="L10" s="98">
        <f>+SUM(EL_DEL_CD2_JO_!L10,EL_DEL_CD2_SBI_1_4_!L10,EL_DEL_CD2_SBI_5_6_!L10,EL_DEL_CD2_SBI_7_8_!L10,EL_DEL_CD2_SBI_9_10_!L10,EL_DEL_CD2_STAB_!L10,EL_DEL_CD2_JO_L_!L10,EL_DEL_CD2_SBI_L_1_4_!L10,EL_DEL_CD2_SBI_L_5_6_!L10,EL_DEL_CD2_SBI_L_7_8_!L10,EL_DEL_CD2_SBI_L_9_10_!L10,EL_DEL_CD2_L_STAB_!L10)</f>
        <v>0</v>
      </c>
      <c r="M10" s="98">
        <f>+SUM(EL_DEL_CD2_JO_!M10,EL_DEL_CD2_SBI_1_4_!M10,EL_DEL_CD2_SBI_5_6_!M10,EL_DEL_CD2_SBI_7_8_!M10,EL_DEL_CD2_SBI_9_10_!M10,EL_DEL_CD2_STAB_!M10,EL_DEL_CD2_JO_L_!M10,EL_DEL_CD2_SBI_L_1_4_!M10,EL_DEL_CD2_SBI_L_5_6_!M10,EL_DEL_CD2_SBI_L_7_8_!M10,EL_DEL_CD2_SBI_L_9_10_!M10,EL_DEL_CD2_L_STAB_!M10)</f>
        <v>0</v>
      </c>
      <c r="N10" s="98">
        <f>+SUM(EL_DEL_CD2_JO_!N10,EL_DEL_CD2_SBI_1_4_!N10,EL_DEL_CD2_SBI_5_6_!N10,EL_DEL_CD2_SBI_7_8_!N10,EL_DEL_CD2_SBI_9_10_!N10,EL_DEL_CD2_STAB_!N10,EL_DEL_CD2_JO_L_!N10,EL_DEL_CD2_SBI_L_1_4_!N10,EL_DEL_CD2_SBI_L_5_6_!N10,EL_DEL_CD2_SBI_L_7_8_!N10,EL_DEL_CD2_SBI_L_9_10_!N10,EL_DEL_CD2_L_STAB_!N10)</f>
        <v>0</v>
      </c>
      <c r="O10" s="98">
        <f>+SUM(EL_DEL_CD2_JO_!O10,EL_DEL_CD2_SBI_1_4_!O10,EL_DEL_CD2_SBI_5_6_!O10,EL_DEL_CD2_SBI_7_8_!O10,EL_DEL_CD2_SBI_9_10_!O10,EL_DEL_CD2_STAB_!O10,EL_DEL_CD2_JO_L_!O10,EL_DEL_CD2_SBI_L_1_4_!O10,EL_DEL_CD2_SBI_L_5_6_!O10,EL_DEL_CD2_SBI_L_7_8_!O10,EL_DEL_CD2_SBI_L_9_10_!O10,EL_DEL_CD2_L_STAB_!O10)</f>
        <v>0</v>
      </c>
      <c r="P10" s="98">
        <f>+SUM(EL_DEL_CD2_JO_!P10,EL_DEL_CD2_SBI_1_4_!P10,EL_DEL_CD2_SBI_5_6_!P10,EL_DEL_CD2_SBI_7_8_!P10,EL_DEL_CD2_SBI_9_10_!P10,EL_DEL_CD2_STAB_!P10,EL_DEL_CD2_JO_L_!P10,EL_DEL_CD2_SBI_L_1_4_!P10,EL_DEL_CD2_SBI_L_5_6_!P10,EL_DEL_CD2_SBI_L_7_8_!P10,EL_DEL_CD2_SBI_L_9_10_!P10,EL_DEL_CD2_L_STAB_!P10)</f>
        <v>0</v>
      </c>
      <c r="Q10" s="98">
        <f>+SUM(EL_DEL_CD2_JO_!Q10,EL_DEL_CD2_SBI_1_4_!Q10,EL_DEL_CD2_SBI_5_6_!Q10,EL_DEL_CD2_SBI_7_8_!Q10,EL_DEL_CD2_SBI_9_10_!Q10,EL_DEL_CD2_STAB_!Q10,EL_DEL_CD2_JO_L_!Q10,EL_DEL_CD2_SBI_L_1_4_!Q10,EL_DEL_CD2_SBI_L_5_6_!Q10,EL_DEL_CD2_SBI_L_7_8_!Q10,EL_DEL_CD2_SBI_L_9_10_!Q10,EL_DEL_CD2_L_STAB_!Q10)</f>
        <v>0</v>
      </c>
      <c r="R10" s="98">
        <f>+SUM(EL_DEL_CD2_JO_!R10,EL_DEL_CD2_SBI_1_4_!R10,EL_DEL_CD2_SBI_5_6_!R10,EL_DEL_CD2_SBI_7_8_!R10,EL_DEL_CD2_SBI_9_10_!R10,EL_DEL_CD2_STAB_!R10,EL_DEL_CD2_JO_L_!R10,EL_DEL_CD2_SBI_L_1_4_!R10,EL_DEL_CD2_SBI_L_5_6_!R10,EL_DEL_CD2_SBI_L_7_8_!R10,EL_DEL_CD2_SBI_L_9_10_!R10,EL_DEL_CD2_L_STAB_!R10)</f>
        <v>0</v>
      </c>
      <c r="S10" s="98">
        <f>+SUM(EL_DEL_CD2_JO_!S10,EL_DEL_CD2_SBI_1_4_!S10,EL_DEL_CD2_SBI_5_6_!S10,EL_DEL_CD2_SBI_7_8_!S10,EL_DEL_CD2_SBI_9_10_!S10,EL_DEL_CD2_STAB_!S10,EL_DEL_CD2_JO_L_!S10,EL_DEL_CD2_SBI_L_1_4_!S10,EL_DEL_CD2_SBI_L_5_6_!S10,EL_DEL_CD2_SBI_L_7_8_!S10,EL_DEL_CD2_SBI_L_9_10_!S10,EL_DEL_CD2_L_STAB_!S10)</f>
        <v>0</v>
      </c>
      <c r="T10" s="98">
        <f>+SUM(EL_DEL_CD2_JO_!T10,EL_DEL_CD2_SBI_1_4_!T10,EL_DEL_CD2_SBI_5_6_!T10,EL_DEL_CD2_SBI_7_8_!T10,EL_DEL_CD2_SBI_9_10_!T10,EL_DEL_CD2_STAB_!T10,EL_DEL_CD2_JO_L_!T10,EL_DEL_CD2_SBI_L_1_4_!T10,EL_DEL_CD2_SBI_L_5_6_!T10,EL_DEL_CD2_SBI_L_7_8_!T10,EL_DEL_CD2_SBI_L_9_10_!T10,EL_DEL_CD2_L_STAB_!T10)</f>
        <v>0</v>
      </c>
      <c r="U10" s="98">
        <f>+SUM(EL_DEL_CD2_JO_!U10,EL_DEL_CD2_SBI_1_4_!U10,EL_DEL_CD2_SBI_5_6_!U10,EL_DEL_CD2_SBI_7_8_!U10,EL_DEL_CD2_SBI_9_10_!U10,EL_DEL_CD2_STAB_!U10,EL_DEL_CD2_JO_L_!U10,EL_DEL_CD2_SBI_L_1_4_!U10,EL_DEL_CD2_SBI_L_5_6_!U10,EL_DEL_CD2_SBI_L_7_8_!U10,EL_DEL_CD2_SBI_L_9_10_!U10,EL_DEL_CD2_L_STAB_!U10)</f>
        <v>0</v>
      </c>
      <c r="V10" s="98">
        <f>+SUM(EL_DEL_CD2_JO_!V10,EL_DEL_CD2_SBI_1_4_!V10,EL_DEL_CD2_SBI_5_6_!V10,EL_DEL_CD2_SBI_7_8_!V10,EL_DEL_CD2_SBI_9_10_!V10,EL_DEL_CD2_STAB_!V10,EL_DEL_CD2_JO_L_!V10,EL_DEL_CD2_SBI_L_1_4_!V10,EL_DEL_CD2_SBI_L_5_6_!V10,EL_DEL_CD2_SBI_L_7_8_!V10,EL_DEL_CD2_SBI_L_9_10_!V10,EL_DEL_CD2_L_STAB_!V10)</f>
        <v>0</v>
      </c>
      <c r="W10" s="98">
        <f>+SUM(EL_DEL_CD2_JO_!W10,EL_DEL_CD2_SBI_1_4_!W10,EL_DEL_CD2_SBI_5_6_!W10,EL_DEL_CD2_SBI_7_8_!W10,EL_DEL_CD2_SBI_9_10_!W10,EL_DEL_CD2_STAB_!W10,EL_DEL_CD2_JO_L_!W10,EL_DEL_CD2_SBI_L_1_4_!W10,EL_DEL_CD2_SBI_L_5_6_!W10,EL_DEL_CD2_SBI_L_7_8_!W10,EL_DEL_CD2_SBI_L_9_10_!W10,EL_DEL_CD2_L_STAB_!W10)</f>
        <v>0</v>
      </c>
      <c r="X10" s="98">
        <f>+SUM(EL_DEL_CD2_JO_!X10,EL_DEL_CD2_SBI_1_4_!X10,EL_DEL_CD2_SBI_5_6_!X10,EL_DEL_CD2_SBI_7_8_!X10,EL_DEL_CD2_SBI_9_10_!X10,EL_DEL_CD2_STAB_!X10,EL_DEL_CD2_JO_L_!X10,EL_DEL_CD2_SBI_L_1_4_!X10,EL_DEL_CD2_SBI_L_5_6_!X10,EL_DEL_CD2_SBI_L_7_8_!X10,EL_DEL_CD2_SBI_L_9_10_!X10,EL_DEL_CD2_L_STAB_!X10)</f>
        <v>0</v>
      </c>
      <c r="Y10" s="98">
        <f>+SUM(EL_DEL_CD2_JO_!Y10,EL_DEL_CD2_SBI_1_4_!Y10,EL_DEL_CD2_SBI_5_6_!Y10,EL_DEL_CD2_SBI_7_8_!Y10,EL_DEL_CD2_SBI_9_10_!Y10,EL_DEL_CD2_STAB_!Y10,EL_DEL_CD2_JO_L_!Y10,EL_DEL_CD2_SBI_L_1_4_!Y10,EL_DEL_CD2_SBI_L_5_6_!Y10,EL_DEL_CD2_SBI_L_7_8_!Y10,EL_DEL_CD2_SBI_L_9_10_!Y10,EL_DEL_CD2_L_STAB_!Y10)</f>
        <v>0</v>
      </c>
      <c r="Z10" s="98">
        <f>+SUM(EL_DEL_CD2_JO_!Z10,EL_DEL_CD2_SBI_1_4_!Z10,EL_DEL_CD2_SBI_5_6_!Z10,EL_DEL_CD2_SBI_7_8_!Z10,EL_DEL_CD2_SBI_9_10_!Z10,EL_DEL_CD2_STAB_!Z10,EL_DEL_CD2_JO_L_!Z10,EL_DEL_CD2_SBI_L_1_4_!Z10,EL_DEL_CD2_SBI_L_5_6_!Z10,EL_DEL_CD2_SBI_L_7_8_!Z10,EL_DEL_CD2_SBI_L_9_10_!Z10,EL_DEL_CD2_L_STAB_!Z10)</f>
        <v>0</v>
      </c>
      <c r="AA10" s="98">
        <f>+SUM(EL_DEL_CD2_JO_!AA10,EL_DEL_CD2_SBI_1_4_!AA10,EL_DEL_CD2_SBI_5_6_!AA10,EL_DEL_CD2_SBI_7_8_!AA10,EL_DEL_CD2_SBI_9_10_!AA10,EL_DEL_CD2_STAB_!AA10,EL_DEL_CD2_JO_L_!AA10,EL_DEL_CD2_SBI_L_1_4_!AA10,EL_DEL_CD2_SBI_L_5_6_!AA10,EL_DEL_CD2_SBI_L_7_8_!AA10,EL_DEL_CD2_SBI_L_9_10_!AA10,EL_DEL_CD2_L_STAB_!AA10)</f>
        <v>0</v>
      </c>
      <c r="AB10" s="98">
        <f>+SUM(EL_DEL_CD2_JO_!AB10,EL_DEL_CD2_SBI_1_4_!AB10,EL_DEL_CD2_SBI_5_6_!AB10,EL_DEL_CD2_SBI_7_8_!AB10,EL_DEL_CD2_SBI_9_10_!AB10,EL_DEL_CD2_STAB_!AB10,EL_DEL_CD2_JO_L_!AB10,EL_DEL_CD2_SBI_L_1_4_!AB10,EL_DEL_CD2_SBI_L_5_6_!AB10,EL_DEL_CD2_SBI_L_7_8_!AB10,EL_DEL_CD2_SBI_L_9_10_!AB10,EL_DEL_CD2_L_STAB_!AB10)</f>
        <v>0</v>
      </c>
      <c r="AC10" s="98">
        <f>+SUM(EL_DEL_CD2_JO_!AC10,EL_DEL_CD2_SBI_1_4_!AC10,EL_DEL_CD2_SBI_5_6_!AC10,EL_DEL_CD2_SBI_7_8_!AC10,EL_DEL_CD2_SBI_9_10_!AC10,EL_DEL_CD2_STAB_!AC10,EL_DEL_CD2_JO_L_!AC10,EL_DEL_CD2_SBI_L_1_4_!AC10,EL_DEL_CD2_SBI_L_5_6_!AC10,EL_DEL_CD2_SBI_L_7_8_!AC10,EL_DEL_CD2_SBI_L_9_10_!AC10,EL_DEL_CD2_L_STAB_!AC10)</f>
        <v>0</v>
      </c>
      <c r="AD10" s="98">
        <f>+SUM(EL_DEL_CD2_JO_!AD10,EL_DEL_CD2_SBI_1_4_!AD10,EL_DEL_CD2_SBI_5_6_!AD10,EL_DEL_CD2_SBI_7_8_!AD10,EL_DEL_CD2_SBI_9_10_!AD10,EL_DEL_CD2_STAB_!AD10,EL_DEL_CD2_JO_L_!AD10,EL_DEL_CD2_SBI_L_1_4_!AD10,EL_DEL_CD2_SBI_L_5_6_!AD10,EL_DEL_CD2_SBI_L_7_8_!AD10,EL_DEL_CD2_SBI_L_9_10_!AD10,EL_DEL_CD2_L_STAB_!AD10)</f>
        <v>0</v>
      </c>
      <c r="AE10" s="98">
        <f>+SUM(EL_DEL_CD2_JO_!AE10,EL_DEL_CD2_SBI_1_4_!AE10,EL_DEL_CD2_SBI_5_6_!AE10,EL_DEL_CD2_SBI_7_8_!AE10,EL_DEL_CD2_SBI_9_10_!AE10,EL_DEL_CD2_STAB_!AE10,EL_DEL_CD2_JO_L_!AE10,EL_DEL_CD2_SBI_L_1_4_!AE10,EL_DEL_CD2_SBI_L_5_6_!AE10,EL_DEL_CD2_SBI_L_7_8_!AE10,EL_DEL_CD2_SBI_L_9_10_!AE10,EL_DEL_CD2_L_STAB_!AE10)</f>
        <v>0</v>
      </c>
      <c r="AF10" s="98">
        <f>+SUM(EL_DEL_CD2_JO_!AF10,EL_DEL_CD2_SBI_1_4_!AF10,EL_DEL_CD2_SBI_5_6_!AF10,EL_DEL_CD2_SBI_7_8_!AF10,EL_DEL_CD2_SBI_9_10_!AF10,EL_DEL_CD2_STAB_!AF10,EL_DEL_CD2_JO_L_!AF10,EL_DEL_CD2_SBI_L_1_4_!AF10,EL_DEL_CD2_SBI_L_5_6_!AF10,EL_DEL_CD2_SBI_L_7_8_!AF10,EL_DEL_CD2_SBI_L_9_10_!AF10,EL_DEL_CD2_L_STAB_!AF10)</f>
        <v>0</v>
      </c>
      <c r="AG10" s="98">
        <f>+SUM(EL_DEL_CD2_JO_!AG10,EL_DEL_CD2_SBI_1_4_!AG10,EL_DEL_CD2_SBI_5_6_!AG10,EL_DEL_CD2_SBI_7_8_!AG10,EL_DEL_CD2_SBI_9_10_!AG10,EL_DEL_CD2_STAB_!AG10,EL_DEL_CD2_JO_L_!AG10,EL_DEL_CD2_SBI_L_1_4_!AG10,EL_DEL_CD2_SBI_L_5_6_!AG10,EL_DEL_CD2_SBI_L_7_8_!AG10,EL_DEL_CD2_SBI_L_9_10_!AG10,EL_DEL_CD2_L_STAB_!AG10)</f>
        <v>0</v>
      </c>
      <c r="AH10" s="98">
        <f>+SUM(EL_DEL_CD2_JO_!AH10,EL_DEL_CD2_SBI_1_4_!AH10,EL_DEL_CD2_SBI_5_6_!AH10,EL_DEL_CD2_SBI_7_8_!AH10,EL_DEL_CD2_SBI_9_10_!AH10,EL_DEL_CD2_STAB_!AH10,EL_DEL_CD2_JO_L_!AH10,EL_DEL_CD2_SBI_L_1_4_!AH10,EL_DEL_CD2_SBI_L_5_6_!AH10,EL_DEL_CD2_SBI_L_7_8_!AH10,EL_DEL_CD2_SBI_L_9_10_!AH10,EL_DEL_CD2_L_STAB_!AH10)</f>
        <v>0</v>
      </c>
      <c r="AI10" s="98">
        <f>+SUM(EL_DEL_CD2_JO_!AI10,EL_DEL_CD2_SBI_1_4_!AI10,EL_DEL_CD2_SBI_5_6_!AI10,EL_DEL_CD2_SBI_7_8_!AI10,EL_DEL_CD2_SBI_9_10_!AI10,EL_DEL_CD2_STAB_!AI10,EL_DEL_CD2_JO_L_!AI10,EL_DEL_CD2_SBI_L_1_4_!AI10,EL_DEL_CD2_SBI_L_5_6_!AI10,EL_DEL_CD2_SBI_L_7_8_!AI10,EL_DEL_CD2_SBI_L_9_10_!AI10,EL_DEL_CD2_L_STAB_!AI10)</f>
        <v>0</v>
      </c>
      <c r="AJ10" s="98">
        <f>+SUM(EL_DEL_CD2_JO_!AJ10,EL_DEL_CD2_SBI_1_4_!AJ10,EL_DEL_CD2_SBI_5_6_!AJ10,EL_DEL_CD2_SBI_7_8_!AJ10,EL_DEL_CD2_SBI_9_10_!AJ10,EL_DEL_CD2_STAB_!AJ10,EL_DEL_CD2_JO_L_!AJ10,EL_DEL_CD2_SBI_L_1_4_!AJ10,EL_DEL_CD2_SBI_L_5_6_!AJ10,EL_DEL_CD2_SBI_L_7_8_!AJ10,EL_DEL_CD2_SBI_L_9_10_!AJ10,EL_DEL_CD2_L_STAB_!AJ10)</f>
        <v>0</v>
      </c>
      <c r="AK10" s="98">
        <f>+SUM(EL_DEL_CD2_JO_!AK10,EL_DEL_CD2_SBI_1_4_!AK10,EL_DEL_CD2_SBI_5_6_!AK10,EL_DEL_CD2_SBI_7_8_!AK10,EL_DEL_CD2_SBI_9_10_!AK10,EL_DEL_CD2_STAB_!AK10,EL_DEL_CD2_JO_L_!AK10,EL_DEL_CD2_SBI_L_1_4_!AK10,EL_DEL_CD2_SBI_L_5_6_!AK10,EL_DEL_CD2_SBI_L_7_8_!AK10,EL_DEL_CD2_SBI_L_9_10_!AK10,EL_DEL_CD2_L_STAB_!AK10)</f>
        <v>0</v>
      </c>
      <c r="AL10" s="152" t="str">
        <f>+IFERROR(AVERAGE(EL_DEL_CD2_JO_!AL10,EL_DEL_CD2_SBI_1_4_!AL10,EL_DEL_CD2_SBI_5_6_!AL10,EL_DEL_CD2_SBI_7_8_!AL10,EL_DEL_CD2_SBI_9_10_!AL10,EL_DEL_CD2_STAB_!AL10,EL_DEL_CD2_JO_L_!AL10,EL_DEL_CD2_SBI_L_1_4_!AL10,EL_DEL_CD2_SBI_L_5_6_!AL10,EL_DEL_CD2_SBI_L_7_8_!AL10,EL_DEL_CD2_SBI_L_9_10_!AL10,EL_DEL_CD2_L_STAB_!AL10),"0:00")</f>
        <v>0:00</v>
      </c>
      <c r="AM10" s="152" t="str">
        <f>+IFERROR(AVERAGE(EL_DEL_CD2_JO_!AM10,EL_DEL_CD2_SBI_1_4_!AM10,EL_DEL_CD2_SBI_5_6_!AM10,EL_DEL_CD2_SBI_7_8_!AM10,EL_DEL_CD2_SBI_9_10_!AM10,EL_DEL_CD2_STAB_!AM10,EL_DEL_CD2_JO_L_!AM10,EL_DEL_CD2_SBI_L_1_4_!AM10,EL_DEL_CD2_SBI_L_5_6_!AM10,EL_DEL_CD2_SBI_L_7_8_!AM10,EL_DEL_CD2_SBI_L_9_10_!AM10,EL_DEL_CD2_L_STAB_!AM10),"0:00")</f>
        <v>0:00</v>
      </c>
      <c r="AN10" s="152" t="str">
        <f>+IFERROR(AVERAGE(EL_DEL_CD2_JO_!AN10,EL_DEL_CD2_SBI_1_4_!AN10,EL_DEL_CD2_SBI_5_6_!AN10,EL_DEL_CD2_SBI_7_8_!AN10,EL_DEL_CD2_SBI_9_10_!AN10,EL_DEL_CD2_STAB_!AN10,EL_DEL_CD2_JO_L_!AN10,EL_DEL_CD2_SBI_L_1_4_!AN10,EL_DEL_CD2_SBI_L_5_6_!AN10,EL_DEL_CD2_SBI_L_7_8_!AN10,EL_DEL_CD2_SBI_L_9_10_!AN10,EL_DEL_CD2_L_STAB_!AN10),"0:00")</f>
        <v>0:00</v>
      </c>
      <c r="AO10" s="152" t="str">
        <f>+IFERROR(AVERAGE(EL_DEL_CD2_JO_!AO10,EL_DEL_CD2_SBI_1_4_!AO10,EL_DEL_CD2_SBI_5_6_!AO10,EL_DEL_CD2_SBI_7_8_!AO10,EL_DEL_CD2_SBI_9_10_!AO10,EL_DEL_CD2_STAB_!AO10,EL_DEL_CD2_JO_L_!AO10,EL_DEL_CD2_SBI_L_1_4_!AO10,EL_DEL_CD2_SBI_L_5_6_!AO10,EL_DEL_CD2_SBI_L_7_8_!AO10,EL_DEL_CD2_SBI_L_9_10_!AO10,EL_DEL_CD2_L_STAB_!AO10),"0:00")</f>
        <v>0:00</v>
      </c>
      <c r="AP10" s="98" t="str">
        <f>+IFERROR(AVERAGE(EL_DEL_CD2_JO_!AP10,EL_DEL_CD2_SBI_1_4_!AP10,EL_DEL_CD2_SBI_5_6_!AP10,EL_DEL_CD2_SBI_7_8_!AP10,EL_DEL_CD2_SBI_9_10_!AP10,EL_DEL_CD2_STAB_!AP10,EL_DEL_CD2_JO_L_!AP10,EL_DEL_CD2_SBI_L_1_4_!AP10,EL_DEL_CD2_SBI_L_5_6_!AP10,EL_DEL_CD2_SBI_L_7_8_!AP10,EL_DEL_CD2_SBI_L_9_10_!AP10,EL_DEL_CD2_L_STAB_!AP10),"0:00")</f>
        <v>0:00</v>
      </c>
      <c r="AQ10" s="152" t="str">
        <f>+IFERROR(AVERAGE(EL_DEL_CD2_JO_!AQ10,EL_DEL_CD2_SBI_1_4_!AQ10,EL_DEL_CD2_SBI_5_6_!AQ10,EL_DEL_CD2_SBI_7_8_!AQ10,EL_DEL_CD2_SBI_9_10_!AQ10,EL_DEL_CD2_STAB_!AQ10,EL_DEL_CD2_JO_L_!AQ10,EL_DEL_CD2_SBI_L_1_4_!AQ10,EL_DEL_CD2_SBI_L_5_6_!AQ10,EL_DEL_CD2_SBI_L_7_8_!AQ10,EL_DEL_CD2_SBI_L_9_10_!AQ10,EL_DEL_CD2_L_STAB_!AQ10),"0:00")</f>
        <v>0:00</v>
      </c>
      <c r="AR10" s="152" t="str">
        <f>+IFERROR(AVERAGE(EL_DEL_CD2_JO_!AR10,EL_DEL_CD2_SBI_1_4_!AR10,EL_DEL_CD2_SBI_5_6_!AR10,EL_DEL_CD2_SBI_7_8_!AR10,EL_DEL_CD2_SBI_9_10_!AR10,EL_DEL_CD2_STAB_!AR10,EL_DEL_CD2_JO_L_!AR10,EL_DEL_CD2_SBI_L_1_4_!AR10,EL_DEL_CD2_SBI_L_5_6_!AR10,EL_DEL_CD2_SBI_L_7_8_!AR10,EL_DEL_CD2_SBI_L_9_10_!AR10,EL_DEL_CD2_L_STAB_!AR10),"0:00")</f>
        <v>0:00</v>
      </c>
      <c r="AS10" s="152" t="str">
        <f>+IFERROR(AVERAGE(EL_DEL_CD2_JO_!AS10,EL_DEL_CD2_SBI_1_4_!AS10,EL_DEL_CD2_SBI_5_6_!AS10,EL_DEL_CD2_SBI_7_8_!AS10,EL_DEL_CD2_SBI_9_10_!AS10,EL_DEL_CD2_STAB_!AS10,EL_DEL_CD2_JO_L_!AS10,EL_DEL_CD2_SBI_L_1_4_!AS10,EL_DEL_CD2_SBI_L_5_6_!AS10,EL_DEL_CD2_SBI_L_7_8_!AS10,EL_DEL_CD2_SBI_L_9_10_!AS10,EL_DEL_CD2_L_STAB_!AS10),"0:00")</f>
        <v>0:00</v>
      </c>
      <c r="AT10" s="98">
        <f>+SUM(EL_DEL_CD2_JO_!AT10,EL_DEL_CD2_SBI_1_4_!AT10,EL_DEL_CD2_SBI_5_6_!AT10,EL_DEL_CD2_SBI_7_8_!AT10,EL_DEL_CD2_SBI_9_10_!AT10,EL_DEL_CD2_STAB_!AT10,EL_DEL_CD2_JO_L_!AT10,EL_DEL_CD2_SBI_L_1_4_!AT10,EL_DEL_CD2_SBI_L_5_6_!AT10,EL_DEL_CD2_SBI_L_7_8_!AT10,EL_DEL_CD2_SBI_L_9_10_!AT10,EL_DEL_CD2_L_STAB_!AT10)</f>
        <v>0</v>
      </c>
      <c r="AU10" s="98">
        <f>+SUM(EL_DEL_CD2_JO_!AU10,EL_DEL_CD2_SBI_1_4_!AU10,EL_DEL_CD2_SBI_5_6_!AU10,EL_DEL_CD2_SBI_7_8_!AU10,EL_DEL_CD2_SBI_9_10_!AU10,EL_DEL_CD2_STAB_!AU10,EL_DEL_CD2_JO_L_!AU10,EL_DEL_CD2_SBI_L_1_4_!AU10,EL_DEL_CD2_SBI_L_5_6_!AU10,EL_DEL_CD2_SBI_L_7_8_!AU10,EL_DEL_CD2_SBI_L_9_10_!AU10,EL_DEL_CD2_L_STAB_!AU10)</f>
        <v>0</v>
      </c>
      <c r="AV10" s="98">
        <f>+SUM(EL_DEL_CD2_JO_!AV10,EL_DEL_CD2_SBI_1_4_!AV10,EL_DEL_CD2_SBI_5_6_!AV10,EL_DEL_CD2_SBI_7_8_!AV10,EL_DEL_CD2_SBI_9_10_!AV10,EL_DEL_CD2_STAB_!AV10,EL_DEL_CD2_JO_L_!AV10,EL_DEL_CD2_SBI_L_1_4_!AV10,EL_DEL_CD2_SBI_L_5_6_!AV10,EL_DEL_CD2_SBI_L_7_8_!AV10,EL_DEL_CD2_SBI_L_9_10_!AV10,EL_DEL_CD2_L_STAB_!AV10)</f>
        <v>0</v>
      </c>
      <c r="AW10" s="167">
        <f>+SUM(EL_DEL_CD2_JO_!AW10,EL_DEL_CD2_SBI_1_4_!AW10,EL_DEL_CD2_SBI_5_6_!AW10,EL_DEL_CD2_SBI_7_8_!AW10,EL_DEL_CD2_SBI_9_10_!AW10,EL_DEL_CD2_STAB_!AW10,EL_DEL_CD2_JO_L_!AW10,EL_DEL_CD2_SBI_L_1_4_!AW10,EL_DEL_CD2_SBI_L_5_6_!AW10,EL_DEL_CD2_SBI_L_7_8_!AW10,EL_DEL_CD2_SBI_L_9_10_!AW10,EL_DEL_CD2_L_STAB_!AW10)</f>
        <v>0</v>
      </c>
      <c r="AX10" s="102" t="str">
        <f t="shared" si="24"/>
        <v>-</v>
      </c>
      <c r="AY10" s="151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51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ref="BG10:BG31" si="31">+IF(SUM(AO10:AR10)&gt;0,AO10/AN10,"")</f>
        <v/>
      </c>
      <c r="BH10" s="119" t="str">
        <f t="shared" si="8"/>
        <v/>
      </c>
      <c r="BI10" s="120" t="str">
        <f t="shared" si="25"/>
        <v/>
      </c>
      <c r="BJ10" s="151"/>
      <c r="BK10" s="121" t="str">
        <f t="shared" si="9"/>
        <v/>
      </c>
      <c r="BL10" s="122" t="str">
        <f t="shared" si="10"/>
        <v/>
      </c>
      <c r="BM10" s="122" t="str">
        <f t="shared" si="11"/>
        <v/>
      </c>
      <c r="BN10" s="123" t="str">
        <f t="shared" si="12"/>
        <v/>
      </c>
      <c r="BO10" s="151"/>
      <c r="BP10" s="124" t="str">
        <f t="shared" si="13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4"/>
        <v/>
      </c>
      <c r="BU10" s="151"/>
      <c r="BV10" s="127" t="e">
        <f t="shared" si="15"/>
        <v>#DIV/0!</v>
      </c>
      <c r="BW10" s="127" t="e">
        <f t="shared" si="16"/>
        <v>#DIV/0!</v>
      </c>
      <c r="BX10" s="127" t="e">
        <f t="shared" si="17"/>
        <v>#DIV/0!</v>
      </c>
      <c r="BY10" s="127" t="e">
        <f t="shared" si="18"/>
        <v>#DIV/0!</v>
      </c>
      <c r="BZ10" s="127" t="e">
        <f t="shared" si="28"/>
        <v>#DIV/0!</v>
      </c>
      <c r="CA10" s="128" t="e">
        <f t="shared" si="29"/>
        <v>#DIV/0!</v>
      </c>
      <c r="CB10" s="151"/>
      <c r="CC10" s="129" t="str">
        <f t="shared" si="19"/>
        <v>-</v>
      </c>
      <c r="CD10" s="130" t="str">
        <f t="shared" si="20"/>
        <v>-</v>
      </c>
      <c r="CE10" s="130" t="str">
        <f t="shared" si="21"/>
        <v>-</v>
      </c>
      <c r="CF10" s="130" t="str">
        <f t="shared" si="22"/>
        <v>-</v>
      </c>
      <c r="CG10" s="131" t="str">
        <f t="shared" si="23"/>
        <v>-</v>
      </c>
      <c r="CH10" s="151"/>
    </row>
    <row r="11" spans="1:86" s="115" customFormat="1" ht="12.4" customHeight="1" thickBot="1" x14ac:dyDescent="0.25">
      <c r="A11" s="96">
        <f t="shared" si="30"/>
        <v>46303</v>
      </c>
      <c r="B11" s="97" t="str">
        <f t="shared" si="0"/>
        <v>Thu</v>
      </c>
      <c r="C11" s="98">
        <f>+SUM(EL_DEL_CD2_JO_!C11,EL_DEL_CD2_SBI_1_4_!C11,EL_DEL_CD2_SBI_5_6_!C11,EL_DEL_CD2_SBI_7_8_!C11,EL_DEL_CD2_SBI_9_10_!C11,EL_DEL_CD2_STAB_!C11,EL_DEL_CD2_JO_L_!C11,EL_DEL_CD2_SBI_L_1_4_!C11,EL_DEL_CD2_SBI_L_5_6_!C11,EL_DEL_CD2_SBI_L_7_8_!C11,EL_DEL_CD2_SBI_L_9_10_!C11,EL_DEL_CD2_L_STAB_!C11)</f>
        <v>0</v>
      </c>
      <c r="D11" s="98">
        <f>+SUM(EL_DEL_CD2_JO_!D11,EL_DEL_CD2_SBI_1_4_!D11,EL_DEL_CD2_SBI_5_6_!D11,EL_DEL_CD2_SBI_7_8_!D11,EL_DEL_CD2_SBI_9_10_!D11,EL_DEL_CD2_STAB_!D11,EL_DEL_CD2_JO_L_!D11,EL_DEL_CD2_SBI_L_1_4_!D11,EL_DEL_CD2_SBI_L_5_6_!D11,EL_DEL_CD2_SBI_L_7_8_!D11,EL_DEL_CD2_SBI_L_9_10_!D11,EL_DEL_CD2_L_STAB_!D11)</f>
        <v>0</v>
      </c>
      <c r="E11" s="98">
        <f>+SUM(EL_DEL_CD2_JO_!E11,EL_DEL_CD2_SBI_1_4_!E11,EL_DEL_CD2_SBI_5_6_!E11,EL_DEL_CD2_SBI_7_8_!E11,EL_DEL_CD2_SBI_9_10_!E11,EL_DEL_CD2_STAB_!E11,EL_DEL_CD2_JO_L_!E11,EL_DEL_CD2_SBI_L_1_4_!E11,EL_DEL_CD2_SBI_L_5_6_!E11,EL_DEL_CD2_SBI_L_7_8_!E11,EL_DEL_CD2_SBI_L_9_10_!E11,EL_DEL_CD2_L_STAB_!E11)</f>
        <v>0</v>
      </c>
      <c r="F11" s="98">
        <f>+SUM(EL_DEL_CD2_JO_!F11,EL_DEL_CD2_SBI_1_4_!F11,EL_DEL_CD2_SBI_5_6_!F11,EL_DEL_CD2_SBI_7_8_!F11,EL_DEL_CD2_SBI_9_10_!F11,EL_DEL_CD2_STAB_!F11,EL_DEL_CD2_JO_L_!F11,EL_DEL_CD2_SBI_L_1_4_!F11,EL_DEL_CD2_SBI_L_5_6_!F11,EL_DEL_CD2_SBI_L_7_8_!F11,EL_DEL_CD2_SBI_L_9_10_!F11,EL_DEL_CD2_L_STAB_!F11)</f>
        <v>0</v>
      </c>
      <c r="G11" s="98">
        <f>+SUM(EL_DEL_CD2_JO_!G11,EL_DEL_CD2_SBI_1_4_!G11,EL_DEL_CD2_SBI_5_6_!G11,EL_DEL_CD2_SBI_7_8_!G11,EL_DEL_CD2_SBI_9_10_!G11,EL_DEL_CD2_STAB_!G11,EL_DEL_CD2_JO_L_!G11,EL_DEL_CD2_SBI_L_1_4_!G11,EL_DEL_CD2_SBI_L_5_6_!G11,EL_DEL_CD2_SBI_L_7_8_!G11,EL_DEL_CD2_SBI_L_9_10_!G11,EL_DEL_CD2_L_STAB_!G11)</f>
        <v>0</v>
      </c>
      <c r="H11" s="98">
        <f>+SUM(EL_DEL_CD2_JO_!H11,EL_DEL_CD2_SBI_1_4_!H11,EL_DEL_CD2_SBI_5_6_!H11,EL_DEL_CD2_SBI_7_8_!H11,EL_DEL_CD2_SBI_9_10_!H11,EL_DEL_CD2_STAB_!H11,EL_DEL_CD2_JO_L_!H11,EL_DEL_CD2_SBI_L_1_4_!H11,EL_DEL_CD2_SBI_L_5_6_!H11,EL_DEL_CD2_SBI_L_7_8_!H11,EL_DEL_CD2_SBI_L_9_10_!H11,EL_DEL_CD2_L_STAB_!H11)</f>
        <v>0</v>
      </c>
      <c r="I11" s="98">
        <f>+SUM(EL_DEL_CD2_JO_!I11,EL_DEL_CD2_SBI_1_4_!I11,EL_DEL_CD2_SBI_5_6_!I11,EL_DEL_CD2_SBI_7_8_!I11,EL_DEL_CD2_SBI_9_10_!I11,EL_DEL_CD2_STAB_!I11,EL_DEL_CD2_JO_L_!I11,EL_DEL_CD2_SBI_L_1_4_!I11,EL_DEL_CD2_SBI_L_5_6_!I11,EL_DEL_CD2_SBI_L_7_8_!I11,EL_DEL_CD2_SBI_L_9_10_!I11,EL_DEL_CD2_L_STAB_!I11)</f>
        <v>0</v>
      </c>
      <c r="J11" s="98">
        <f>+SUM(EL_DEL_CD2_JO_!J11,EL_DEL_CD2_SBI_1_4_!J11,EL_DEL_CD2_SBI_5_6_!J11,EL_DEL_CD2_SBI_7_8_!J11,EL_DEL_CD2_SBI_9_10_!J11,EL_DEL_CD2_STAB_!J11,EL_DEL_CD2_JO_L_!J11,EL_DEL_CD2_SBI_L_1_4_!J11,EL_DEL_CD2_SBI_L_5_6_!J11,EL_DEL_CD2_SBI_L_7_8_!J11,EL_DEL_CD2_SBI_L_9_10_!J11,EL_DEL_CD2_L_STAB_!J11)</f>
        <v>0</v>
      </c>
      <c r="K11" s="98">
        <f>+SUM(EL_DEL_CD2_JO_!K11,EL_DEL_CD2_SBI_1_4_!K11,EL_DEL_CD2_SBI_5_6_!K11,EL_DEL_CD2_SBI_7_8_!K11,EL_DEL_CD2_SBI_9_10_!K11,EL_DEL_CD2_STAB_!K11,EL_DEL_CD2_JO_L_!K11,EL_DEL_CD2_SBI_L_1_4_!K11,EL_DEL_CD2_SBI_L_5_6_!K11,EL_DEL_CD2_SBI_L_7_8_!K11,EL_DEL_CD2_SBI_L_9_10_!K11,EL_DEL_CD2_L_STAB_!K11)</f>
        <v>0</v>
      </c>
      <c r="L11" s="98">
        <f>+SUM(EL_DEL_CD2_JO_!L11,EL_DEL_CD2_SBI_1_4_!L11,EL_DEL_CD2_SBI_5_6_!L11,EL_DEL_CD2_SBI_7_8_!L11,EL_DEL_CD2_SBI_9_10_!L11,EL_DEL_CD2_STAB_!L11,EL_DEL_CD2_JO_L_!L11,EL_DEL_CD2_SBI_L_1_4_!L11,EL_DEL_CD2_SBI_L_5_6_!L11,EL_DEL_CD2_SBI_L_7_8_!L11,EL_DEL_CD2_SBI_L_9_10_!L11,EL_DEL_CD2_L_STAB_!L11)</f>
        <v>0</v>
      </c>
      <c r="M11" s="98">
        <f>+SUM(EL_DEL_CD2_JO_!M11,EL_DEL_CD2_SBI_1_4_!M11,EL_DEL_CD2_SBI_5_6_!M11,EL_DEL_CD2_SBI_7_8_!M11,EL_DEL_CD2_SBI_9_10_!M11,EL_DEL_CD2_STAB_!M11,EL_DEL_CD2_JO_L_!M11,EL_DEL_CD2_SBI_L_1_4_!M11,EL_DEL_CD2_SBI_L_5_6_!M11,EL_DEL_CD2_SBI_L_7_8_!M11,EL_DEL_CD2_SBI_L_9_10_!M11,EL_DEL_CD2_L_STAB_!M11)</f>
        <v>0</v>
      </c>
      <c r="N11" s="98">
        <f>+SUM(EL_DEL_CD2_JO_!N11,EL_DEL_CD2_SBI_1_4_!N11,EL_DEL_CD2_SBI_5_6_!N11,EL_DEL_CD2_SBI_7_8_!N11,EL_DEL_CD2_SBI_9_10_!N11,EL_DEL_CD2_STAB_!N11,EL_DEL_CD2_JO_L_!N11,EL_DEL_CD2_SBI_L_1_4_!N11,EL_DEL_CD2_SBI_L_5_6_!N11,EL_DEL_CD2_SBI_L_7_8_!N11,EL_DEL_CD2_SBI_L_9_10_!N11,EL_DEL_CD2_L_STAB_!N11)</f>
        <v>0</v>
      </c>
      <c r="O11" s="98">
        <f>+SUM(EL_DEL_CD2_JO_!O11,EL_DEL_CD2_SBI_1_4_!O11,EL_DEL_CD2_SBI_5_6_!O11,EL_DEL_CD2_SBI_7_8_!O11,EL_DEL_CD2_SBI_9_10_!O11,EL_DEL_CD2_STAB_!O11,EL_DEL_CD2_JO_L_!O11,EL_DEL_CD2_SBI_L_1_4_!O11,EL_DEL_CD2_SBI_L_5_6_!O11,EL_DEL_CD2_SBI_L_7_8_!O11,EL_DEL_CD2_SBI_L_9_10_!O11,EL_DEL_CD2_L_STAB_!O11)</f>
        <v>0</v>
      </c>
      <c r="P11" s="98">
        <f>+SUM(EL_DEL_CD2_JO_!P11,EL_DEL_CD2_SBI_1_4_!P11,EL_DEL_CD2_SBI_5_6_!P11,EL_DEL_CD2_SBI_7_8_!P11,EL_DEL_CD2_SBI_9_10_!P11,EL_DEL_CD2_STAB_!P11,EL_DEL_CD2_JO_L_!P11,EL_DEL_CD2_SBI_L_1_4_!P11,EL_DEL_CD2_SBI_L_5_6_!P11,EL_DEL_CD2_SBI_L_7_8_!P11,EL_DEL_CD2_SBI_L_9_10_!P11,EL_DEL_CD2_L_STAB_!P11)</f>
        <v>0</v>
      </c>
      <c r="Q11" s="98">
        <f>+SUM(EL_DEL_CD2_JO_!Q11,EL_DEL_CD2_SBI_1_4_!Q11,EL_DEL_CD2_SBI_5_6_!Q11,EL_DEL_CD2_SBI_7_8_!Q11,EL_DEL_CD2_SBI_9_10_!Q11,EL_DEL_CD2_STAB_!Q11,EL_DEL_CD2_JO_L_!Q11,EL_DEL_CD2_SBI_L_1_4_!Q11,EL_DEL_CD2_SBI_L_5_6_!Q11,EL_DEL_CD2_SBI_L_7_8_!Q11,EL_DEL_CD2_SBI_L_9_10_!Q11,EL_DEL_CD2_L_STAB_!Q11)</f>
        <v>0</v>
      </c>
      <c r="R11" s="98">
        <f>+SUM(EL_DEL_CD2_JO_!R11,EL_DEL_CD2_SBI_1_4_!R11,EL_DEL_CD2_SBI_5_6_!R11,EL_DEL_CD2_SBI_7_8_!R11,EL_DEL_CD2_SBI_9_10_!R11,EL_DEL_CD2_STAB_!R11,EL_DEL_CD2_JO_L_!R11,EL_DEL_CD2_SBI_L_1_4_!R11,EL_DEL_CD2_SBI_L_5_6_!R11,EL_DEL_CD2_SBI_L_7_8_!R11,EL_DEL_CD2_SBI_L_9_10_!R11,EL_DEL_CD2_L_STAB_!R11)</f>
        <v>0</v>
      </c>
      <c r="S11" s="98">
        <f>+SUM(EL_DEL_CD2_JO_!S11,EL_DEL_CD2_SBI_1_4_!S11,EL_DEL_CD2_SBI_5_6_!S11,EL_DEL_CD2_SBI_7_8_!S11,EL_DEL_CD2_SBI_9_10_!S11,EL_DEL_CD2_STAB_!S11,EL_DEL_CD2_JO_L_!S11,EL_DEL_CD2_SBI_L_1_4_!S11,EL_DEL_CD2_SBI_L_5_6_!S11,EL_DEL_CD2_SBI_L_7_8_!S11,EL_DEL_CD2_SBI_L_9_10_!S11,EL_DEL_CD2_L_STAB_!S11)</f>
        <v>0</v>
      </c>
      <c r="T11" s="98">
        <f>+SUM(EL_DEL_CD2_JO_!T11,EL_DEL_CD2_SBI_1_4_!T11,EL_DEL_CD2_SBI_5_6_!T11,EL_DEL_CD2_SBI_7_8_!T11,EL_DEL_CD2_SBI_9_10_!T11,EL_DEL_CD2_STAB_!T11,EL_DEL_CD2_JO_L_!T11,EL_DEL_CD2_SBI_L_1_4_!T11,EL_DEL_CD2_SBI_L_5_6_!T11,EL_DEL_CD2_SBI_L_7_8_!T11,EL_DEL_CD2_SBI_L_9_10_!T11,EL_DEL_CD2_L_STAB_!T11)</f>
        <v>0</v>
      </c>
      <c r="U11" s="98">
        <f>+SUM(EL_DEL_CD2_JO_!U11,EL_DEL_CD2_SBI_1_4_!U11,EL_DEL_CD2_SBI_5_6_!U11,EL_DEL_CD2_SBI_7_8_!U11,EL_DEL_CD2_SBI_9_10_!U11,EL_DEL_CD2_STAB_!U11,EL_DEL_CD2_JO_L_!U11,EL_DEL_CD2_SBI_L_1_4_!U11,EL_DEL_CD2_SBI_L_5_6_!U11,EL_DEL_CD2_SBI_L_7_8_!U11,EL_DEL_CD2_SBI_L_9_10_!U11,EL_DEL_CD2_L_STAB_!U11)</f>
        <v>0</v>
      </c>
      <c r="V11" s="98">
        <f>+SUM(EL_DEL_CD2_JO_!V11,EL_DEL_CD2_SBI_1_4_!V11,EL_DEL_CD2_SBI_5_6_!V11,EL_DEL_CD2_SBI_7_8_!V11,EL_DEL_CD2_SBI_9_10_!V11,EL_DEL_CD2_STAB_!V11,EL_DEL_CD2_JO_L_!V11,EL_DEL_CD2_SBI_L_1_4_!V11,EL_DEL_CD2_SBI_L_5_6_!V11,EL_DEL_CD2_SBI_L_7_8_!V11,EL_DEL_CD2_SBI_L_9_10_!V11,EL_DEL_CD2_L_STAB_!V11)</f>
        <v>0</v>
      </c>
      <c r="W11" s="98">
        <f>+SUM(EL_DEL_CD2_JO_!W11,EL_DEL_CD2_SBI_1_4_!W11,EL_DEL_CD2_SBI_5_6_!W11,EL_DEL_CD2_SBI_7_8_!W11,EL_DEL_CD2_SBI_9_10_!W11,EL_DEL_CD2_STAB_!W11,EL_DEL_CD2_JO_L_!W11,EL_DEL_CD2_SBI_L_1_4_!W11,EL_DEL_CD2_SBI_L_5_6_!W11,EL_DEL_CD2_SBI_L_7_8_!W11,EL_DEL_CD2_SBI_L_9_10_!W11,EL_DEL_CD2_L_STAB_!W11)</f>
        <v>0</v>
      </c>
      <c r="X11" s="98">
        <f>+SUM(EL_DEL_CD2_JO_!X11,EL_DEL_CD2_SBI_1_4_!X11,EL_DEL_CD2_SBI_5_6_!X11,EL_DEL_CD2_SBI_7_8_!X11,EL_DEL_CD2_SBI_9_10_!X11,EL_DEL_CD2_STAB_!X11,EL_DEL_CD2_JO_L_!X11,EL_DEL_CD2_SBI_L_1_4_!X11,EL_DEL_CD2_SBI_L_5_6_!X11,EL_DEL_CD2_SBI_L_7_8_!X11,EL_DEL_CD2_SBI_L_9_10_!X11,EL_DEL_CD2_L_STAB_!X11)</f>
        <v>0</v>
      </c>
      <c r="Y11" s="98">
        <f>+SUM(EL_DEL_CD2_JO_!Y11,EL_DEL_CD2_SBI_1_4_!Y11,EL_DEL_CD2_SBI_5_6_!Y11,EL_DEL_CD2_SBI_7_8_!Y11,EL_DEL_CD2_SBI_9_10_!Y11,EL_DEL_CD2_STAB_!Y11,EL_DEL_CD2_JO_L_!Y11,EL_DEL_CD2_SBI_L_1_4_!Y11,EL_DEL_CD2_SBI_L_5_6_!Y11,EL_DEL_CD2_SBI_L_7_8_!Y11,EL_DEL_CD2_SBI_L_9_10_!Y11,EL_DEL_CD2_L_STAB_!Y11)</f>
        <v>0</v>
      </c>
      <c r="Z11" s="98">
        <f>+SUM(EL_DEL_CD2_JO_!Z11,EL_DEL_CD2_SBI_1_4_!Z11,EL_DEL_CD2_SBI_5_6_!Z11,EL_DEL_CD2_SBI_7_8_!Z11,EL_DEL_CD2_SBI_9_10_!Z11,EL_DEL_CD2_STAB_!Z11,EL_DEL_CD2_JO_L_!Z11,EL_DEL_CD2_SBI_L_1_4_!Z11,EL_DEL_CD2_SBI_L_5_6_!Z11,EL_DEL_CD2_SBI_L_7_8_!Z11,EL_DEL_CD2_SBI_L_9_10_!Z11,EL_DEL_CD2_L_STAB_!Z11)</f>
        <v>0</v>
      </c>
      <c r="AA11" s="98">
        <f>+SUM(EL_DEL_CD2_JO_!AA11,EL_DEL_CD2_SBI_1_4_!AA11,EL_DEL_CD2_SBI_5_6_!AA11,EL_DEL_CD2_SBI_7_8_!AA11,EL_DEL_CD2_SBI_9_10_!AA11,EL_DEL_CD2_STAB_!AA11,EL_DEL_CD2_JO_L_!AA11,EL_DEL_CD2_SBI_L_1_4_!AA11,EL_DEL_CD2_SBI_L_5_6_!AA11,EL_DEL_CD2_SBI_L_7_8_!AA11,EL_DEL_CD2_SBI_L_9_10_!AA11,EL_DEL_CD2_L_STAB_!AA11)</f>
        <v>0</v>
      </c>
      <c r="AB11" s="98">
        <f>+SUM(EL_DEL_CD2_JO_!AB11,EL_DEL_CD2_SBI_1_4_!AB11,EL_DEL_CD2_SBI_5_6_!AB11,EL_DEL_CD2_SBI_7_8_!AB11,EL_DEL_CD2_SBI_9_10_!AB11,EL_DEL_CD2_STAB_!AB11,EL_DEL_CD2_JO_L_!AB11,EL_DEL_CD2_SBI_L_1_4_!AB11,EL_DEL_CD2_SBI_L_5_6_!AB11,EL_DEL_CD2_SBI_L_7_8_!AB11,EL_DEL_CD2_SBI_L_9_10_!AB11,EL_DEL_CD2_L_STAB_!AB11)</f>
        <v>0</v>
      </c>
      <c r="AC11" s="98">
        <f>+SUM(EL_DEL_CD2_JO_!AC11,EL_DEL_CD2_SBI_1_4_!AC11,EL_DEL_CD2_SBI_5_6_!AC11,EL_DEL_CD2_SBI_7_8_!AC11,EL_DEL_CD2_SBI_9_10_!AC11,EL_DEL_CD2_STAB_!AC11,EL_DEL_CD2_JO_L_!AC11,EL_DEL_CD2_SBI_L_1_4_!AC11,EL_DEL_CD2_SBI_L_5_6_!AC11,EL_DEL_CD2_SBI_L_7_8_!AC11,EL_DEL_CD2_SBI_L_9_10_!AC11,EL_DEL_CD2_L_STAB_!AC11)</f>
        <v>0</v>
      </c>
      <c r="AD11" s="98">
        <f>+SUM(EL_DEL_CD2_JO_!AD11,EL_DEL_CD2_SBI_1_4_!AD11,EL_DEL_CD2_SBI_5_6_!AD11,EL_DEL_CD2_SBI_7_8_!AD11,EL_DEL_CD2_SBI_9_10_!AD11,EL_DEL_CD2_STAB_!AD11,EL_DEL_CD2_JO_L_!AD11,EL_DEL_CD2_SBI_L_1_4_!AD11,EL_DEL_CD2_SBI_L_5_6_!AD11,EL_DEL_CD2_SBI_L_7_8_!AD11,EL_DEL_CD2_SBI_L_9_10_!AD11,EL_DEL_CD2_L_STAB_!AD11)</f>
        <v>0</v>
      </c>
      <c r="AE11" s="98">
        <f>+SUM(EL_DEL_CD2_JO_!AE11,EL_DEL_CD2_SBI_1_4_!AE11,EL_DEL_CD2_SBI_5_6_!AE11,EL_DEL_CD2_SBI_7_8_!AE11,EL_DEL_CD2_SBI_9_10_!AE11,EL_DEL_CD2_STAB_!AE11,EL_DEL_CD2_JO_L_!AE11,EL_DEL_CD2_SBI_L_1_4_!AE11,EL_DEL_CD2_SBI_L_5_6_!AE11,EL_DEL_CD2_SBI_L_7_8_!AE11,EL_DEL_CD2_SBI_L_9_10_!AE11,EL_DEL_CD2_L_STAB_!AE11)</f>
        <v>0</v>
      </c>
      <c r="AF11" s="98">
        <f>+SUM(EL_DEL_CD2_JO_!AF11,EL_DEL_CD2_SBI_1_4_!AF11,EL_DEL_CD2_SBI_5_6_!AF11,EL_DEL_CD2_SBI_7_8_!AF11,EL_DEL_CD2_SBI_9_10_!AF11,EL_DEL_CD2_STAB_!AF11,EL_DEL_CD2_JO_L_!AF11,EL_DEL_CD2_SBI_L_1_4_!AF11,EL_DEL_CD2_SBI_L_5_6_!AF11,EL_DEL_CD2_SBI_L_7_8_!AF11,EL_DEL_CD2_SBI_L_9_10_!AF11,EL_DEL_CD2_L_STAB_!AF11)</f>
        <v>0</v>
      </c>
      <c r="AG11" s="98">
        <f>+SUM(EL_DEL_CD2_JO_!AG11,EL_DEL_CD2_SBI_1_4_!AG11,EL_DEL_CD2_SBI_5_6_!AG11,EL_DEL_CD2_SBI_7_8_!AG11,EL_DEL_CD2_SBI_9_10_!AG11,EL_DEL_CD2_STAB_!AG11,EL_DEL_CD2_JO_L_!AG11,EL_DEL_CD2_SBI_L_1_4_!AG11,EL_DEL_CD2_SBI_L_5_6_!AG11,EL_DEL_CD2_SBI_L_7_8_!AG11,EL_DEL_CD2_SBI_L_9_10_!AG11,EL_DEL_CD2_L_STAB_!AG11)</f>
        <v>0</v>
      </c>
      <c r="AH11" s="98">
        <f>+SUM(EL_DEL_CD2_JO_!AH11,EL_DEL_CD2_SBI_1_4_!AH11,EL_DEL_CD2_SBI_5_6_!AH11,EL_DEL_CD2_SBI_7_8_!AH11,EL_DEL_CD2_SBI_9_10_!AH11,EL_DEL_CD2_STAB_!AH11,EL_DEL_CD2_JO_L_!AH11,EL_DEL_CD2_SBI_L_1_4_!AH11,EL_DEL_CD2_SBI_L_5_6_!AH11,EL_DEL_CD2_SBI_L_7_8_!AH11,EL_DEL_CD2_SBI_L_9_10_!AH11,EL_DEL_CD2_L_STAB_!AH11)</f>
        <v>0</v>
      </c>
      <c r="AI11" s="98">
        <f>+SUM(EL_DEL_CD2_JO_!AI11,EL_DEL_CD2_SBI_1_4_!AI11,EL_DEL_CD2_SBI_5_6_!AI11,EL_DEL_CD2_SBI_7_8_!AI11,EL_DEL_CD2_SBI_9_10_!AI11,EL_DEL_CD2_STAB_!AI11,EL_DEL_CD2_JO_L_!AI11,EL_DEL_CD2_SBI_L_1_4_!AI11,EL_DEL_CD2_SBI_L_5_6_!AI11,EL_DEL_CD2_SBI_L_7_8_!AI11,EL_DEL_CD2_SBI_L_9_10_!AI11,EL_DEL_CD2_L_STAB_!AI11)</f>
        <v>0</v>
      </c>
      <c r="AJ11" s="98">
        <f>+SUM(EL_DEL_CD2_JO_!AJ11,EL_DEL_CD2_SBI_1_4_!AJ11,EL_DEL_CD2_SBI_5_6_!AJ11,EL_DEL_CD2_SBI_7_8_!AJ11,EL_DEL_CD2_SBI_9_10_!AJ11,EL_DEL_CD2_STAB_!AJ11,EL_DEL_CD2_JO_L_!AJ11,EL_DEL_CD2_SBI_L_1_4_!AJ11,EL_DEL_CD2_SBI_L_5_6_!AJ11,EL_DEL_CD2_SBI_L_7_8_!AJ11,EL_DEL_CD2_SBI_L_9_10_!AJ11,EL_DEL_CD2_L_STAB_!AJ11)</f>
        <v>0</v>
      </c>
      <c r="AK11" s="98">
        <f>+SUM(EL_DEL_CD2_JO_!AK11,EL_DEL_CD2_SBI_1_4_!AK11,EL_DEL_CD2_SBI_5_6_!AK11,EL_DEL_CD2_SBI_7_8_!AK11,EL_DEL_CD2_SBI_9_10_!AK11,EL_DEL_CD2_STAB_!AK11,EL_DEL_CD2_JO_L_!AK11,EL_DEL_CD2_SBI_L_1_4_!AK11,EL_DEL_CD2_SBI_L_5_6_!AK11,EL_DEL_CD2_SBI_L_7_8_!AK11,EL_DEL_CD2_SBI_L_9_10_!AK11,EL_DEL_CD2_L_STAB_!AK11)</f>
        <v>0</v>
      </c>
      <c r="AL11" s="152" t="str">
        <f>+IFERROR(AVERAGE(EL_DEL_CD2_JO_!AL11,EL_DEL_CD2_SBI_1_4_!AL11,EL_DEL_CD2_SBI_5_6_!AL11,EL_DEL_CD2_SBI_7_8_!AL11,EL_DEL_CD2_SBI_9_10_!AL11,EL_DEL_CD2_STAB_!AL11,EL_DEL_CD2_JO_L_!AL11,EL_DEL_CD2_SBI_L_1_4_!AL11,EL_DEL_CD2_SBI_L_5_6_!AL11,EL_DEL_CD2_SBI_L_7_8_!AL11,EL_DEL_CD2_SBI_L_9_10_!AL11,EL_DEL_CD2_L_STAB_!AL11),"0:00")</f>
        <v>0:00</v>
      </c>
      <c r="AM11" s="152" t="str">
        <f>+IFERROR(AVERAGE(EL_DEL_CD2_JO_!AM11,EL_DEL_CD2_SBI_1_4_!AM11,EL_DEL_CD2_SBI_5_6_!AM11,EL_DEL_CD2_SBI_7_8_!AM11,EL_DEL_CD2_SBI_9_10_!AM11,EL_DEL_CD2_STAB_!AM11,EL_DEL_CD2_JO_L_!AM11,EL_DEL_CD2_SBI_L_1_4_!AM11,EL_DEL_CD2_SBI_L_5_6_!AM11,EL_DEL_CD2_SBI_L_7_8_!AM11,EL_DEL_CD2_SBI_L_9_10_!AM11,EL_DEL_CD2_L_STAB_!AM11),"0:00")</f>
        <v>0:00</v>
      </c>
      <c r="AN11" s="152" t="str">
        <f>+IFERROR(AVERAGE(EL_DEL_CD2_JO_!AN11,EL_DEL_CD2_SBI_1_4_!AN11,EL_DEL_CD2_SBI_5_6_!AN11,EL_DEL_CD2_SBI_7_8_!AN11,EL_DEL_CD2_SBI_9_10_!AN11,EL_DEL_CD2_STAB_!AN11,EL_DEL_CD2_JO_L_!AN11,EL_DEL_CD2_SBI_L_1_4_!AN11,EL_DEL_CD2_SBI_L_5_6_!AN11,EL_DEL_CD2_SBI_L_7_8_!AN11,EL_DEL_CD2_SBI_L_9_10_!AN11,EL_DEL_CD2_L_STAB_!AN11),"0:00")</f>
        <v>0:00</v>
      </c>
      <c r="AO11" s="152" t="str">
        <f>+IFERROR(AVERAGE(EL_DEL_CD2_JO_!AO11,EL_DEL_CD2_SBI_1_4_!AO11,EL_DEL_CD2_SBI_5_6_!AO11,EL_DEL_CD2_SBI_7_8_!AO11,EL_DEL_CD2_SBI_9_10_!AO11,EL_DEL_CD2_STAB_!AO11,EL_DEL_CD2_JO_L_!AO11,EL_DEL_CD2_SBI_L_1_4_!AO11,EL_DEL_CD2_SBI_L_5_6_!AO11,EL_DEL_CD2_SBI_L_7_8_!AO11,EL_DEL_CD2_SBI_L_9_10_!AO11,EL_DEL_CD2_L_STAB_!AO11),"0:00")</f>
        <v>0:00</v>
      </c>
      <c r="AP11" s="98" t="str">
        <f>+IFERROR(AVERAGE(EL_DEL_CD2_JO_!AP11,EL_DEL_CD2_SBI_1_4_!AP11,EL_DEL_CD2_SBI_5_6_!AP11,EL_DEL_CD2_SBI_7_8_!AP11,EL_DEL_CD2_SBI_9_10_!AP11,EL_DEL_CD2_STAB_!AP11,EL_DEL_CD2_JO_L_!AP11,EL_DEL_CD2_SBI_L_1_4_!AP11,EL_DEL_CD2_SBI_L_5_6_!AP11,EL_DEL_CD2_SBI_L_7_8_!AP11,EL_DEL_CD2_SBI_L_9_10_!AP11,EL_DEL_CD2_L_STAB_!AP11),"0:00")</f>
        <v>0:00</v>
      </c>
      <c r="AQ11" s="152" t="str">
        <f>+IFERROR(AVERAGE(EL_DEL_CD2_JO_!AQ11,EL_DEL_CD2_SBI_1_4_!AQ11,EL_DEL_CD2_SBI_5_6_!AQ11,EL_DEL_CD2_SBI_7_8_!AQ11,EL_DEL_CD2_SBI_9_10_!AQ11,EL_DEL_CD2_STAB_!AQ11,EL_DEL_CD2_JO_L_!AQ11,EL_DEL_CD2_SBI_L_1_4_!AQ11,EL_DEL_CD2_SBI_L_5_6_!AQ11,EL_DEL_CD2_SBI_L_7_8_!AQ11,EL_DEL_CD2_SBI_L_9_10_!AQ11,EL_DEL_CD2_L_STAB_!AQ11),"0:00")</f>
        <v>0:00</v>
      </c>
      <c r="AR11" s="152" t="str">
        <f>+IFERROR(AVERAGE(EL_DEL_CD2_JO_!AR11,EL_DEL_CD2_SBI_1_4_!AR11,EL_DEL_CD2_SBI_5_6_!AR11,EL_DEL_CD2_SBI_7_8_!AR11,EL_DEL_CD2_SBI_9_10_!AR11,EL_DEL_CD2_STAB_!AR11,EL_DEL_CD2_JO_L_!AR11,EL_DEL_CD2_SBI_L_1_4_!AR11,EL_DEL_CD2_SBI_L_5_6_!AR11,EL_DEL_CD2_SBI_L_7_8_!AR11,EL_DEL_CD2_SBI_L_9_10_!AR11,EL_DEL_CD2_L_STAB_!AR11),"0:00")</f>
        <v>0:00</v>
      </c>
      <c r="AS11" s="152" t="str">
        <f>+IFERROR(AVERAGE(EL_DEL_CD2_JO_!AS11,EL_DEL_CD2_SBI_1_4_!AS11,EL_DEL_CD2_SBI_5_6_!AS11,EL_DEL_CD2_SBI_7_8_!AS11,EL_DEL_CD2_SBI_9_10_!AS11,EL_DEL_CD2_STAB_!AS11,EL_DEL_CD2_JO_L_!AS11,EL_DEL_CD2_SBI_L_1_4_!AS11,EL_DEL_CD2_SBI_L_5_6_!AS11,EL_DEL_CD2_SBI_L_7_8_!AS11,EL_DEL_CD2_SBI_L_9_10_!AS11,EL_DEL_CD2_L_STAB_!AS11),"0:00")</f>
        <v>0:00</v>
      </c>
      <c r="AT11" s="98">
        <f>+SUM(EL_DEL_CD2_JO_!AT11,EL_DEL_CD2_SBI_1_4_!AT11,EL_DEL_CD2_SBI_5_6_!AT11,EL_DEL_CD2_SBI_7_8_!AT11,EL_DEL_CD2_SBI_9_10_!AT11,EL_DEL_CD2_STAB_!AT11,EL_DEL_CD2_JO_L_!AT11,EL_DEL_CD2_SBI_L_1_4_!AT11,EL_DEL_CD2_SBI_L_5_6_!AT11,EL_DEL_CD2_SBI_L_7_8_!AT11,EL_DEL_CD2_SBI_L_9_10_!AT11,EL_DEL_CD2_L_STAB_!AT11)</f>
        <v>0</v>
      </c>
      <c r="AU11" s="98">
        <f>+SUM(EL_DEL_CD2_JO_!AU11,EL_DEL_CD2_SBI_1_4_!AU11,EL_DEL_CD2_SBI_5_6_!AU11,EL_DEL_CD2_SBI_7_8_!AU11,EL_DEL_CD2_SBI_9_10_!AU11,EL_DEL_CD2_STAB_!AU11,EL_DEL_CD2_JO_L_!AU11,EL_DEL_CD2_SBI_L_1_4_!AU11,EL_DEL_CD2_SBI_L_5_6_!AU11,EL_DEL_CD2_SBI_L_7_8_!AU11,EL_DEL_CD2_SBI_L_9_10_!AU11,EL_DEL_CD2_L_STAB_!AU11)</f>
        <v>0</v>
      </c>
      <c r="AV11" s="98">
        <f>+SUM(EL_DEL_CD2_JO_!AV11,EL_DEL_CD2_SBI_1_4_!AV11,EL_DEL_CD2_SBI_5_6_!AV11,EL_DEL_CD2_SBI_7_8_!AV11,EL_DEL_CD2_SBI_9_10_!AV11,EL_DEL_CD2_STAB_!AV11,EL_DEL_CD2_JO_L_!AV11,EL_DEL_CD2_SBI_L_1_4_!AV11,EL_DEL_CD2_SBI_L_5_6_!AV11,EL_DEL_CD2_SBI_L_7_8_!AV11,EL_DEL_CD2_SBI_L_9_10_!AV11,EL_DEL_CD2_L_STAB_!AV11)</f>
        <v>0</v>
      </c>
      <c r="AW11" s="167">
        <f>+SUM(EL_DEL_CD2_JO_!AW11,EL_DEL_CD2_SBI_1_4_!AW11,EL_DEL_CD2_SBI_5_6_!AW11,EL_DEL_CD2_SBI_7_8_!AW11,EL_DEL_CD2_SBI_9_10_!AW11,EL_DEL_CD2_STAB_!AW11,EL_DEL_CD2_JO_L_!AW11,EL_DEL_CD2_SBI_L_1_4_!AW11,EL_DEL_CD2_SBI_L_5_6_!AW11,EL_DEL_CD2_SBI_L_7_8_!AW11,EL_DEL_CD2_SBI_L_9_10_!AW11,EL_DEL_CD2_L_STAB_!AW11)</f>
        <v>0</v>
      </c>
      <c r="AX11" s="102" t="str">
        <f t="shared" si="24"/>
        <v>-</v>
      </c>
      <c r="AY11" s="151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51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31"/>
        <v/>
      </c>
      <c r="BH11" s="119" t="str">
        <f t="shared" si="8"/>
        <v/>
      </c>
      <c r="BI11" s="120" t="str">
        <f t="shared" si="25"/>
        <v/>
      </c>
      <c r="BJ11" s="151"/>
      <c r="BK11" s="121" t="str">
        <f t="shared" si="9"/>
        <v/>
      </c>
      <c r="BL11" s="122" t="str">
        <f t="shared" si="10"/>
        <v/>
      </c>
      <c r="BM11" s="122" t="str">
        <f t="shared" si="11"/>
        <v/>
      </c>
      <c r="BN11" s="123" t="str">
        <f t="shared" si="12"/>
        <v/>
      </c>
      <c r="BO11" s="151"/>
      <c r="BP11" s="124" t="str">
        <f t="shared" si="13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4"/>
        <v/>
      </c>
      <c r="BU11" s="151"/>
      <c r="BV11" s="127" t="e">
        <f t="shared" si="15"/>
        <v>#DIV/0!</v>
      </c>
      <c r="BW11" s="127" t="e">
        <f t="shared" si="16"/>
        <v>#DIV/0!</v>
      </c>
      <c r="BX11" s="127" t="e">
        <f t="shared" si="17"/>
        <v>#DIV/0!</v>
      </c>
      <c r="BY11" s="127" t="e">
        <f t="shared" si="18"/>
        <v>#DIV/0!</v>
      </c>
      <c r="BZ11" s="127" t="e">
        <f t="shared" si="28"/>
        <v>#DIV/0!</v>
      </c>
      <c r="CA11" s="128" t="e">
        <f t="shared" si="29"/>
        <v>#DIV/0!</v>
      </c>
      <c r="CB11" s="151"/>
      <c r="CC11" s="129" t="str">
        <f t="shared" si="19"/>
        <v>-</v>
      </c>
      <c r="CD11" s="130" t="str">
        <f t="shared" si="20"/>
        <v>-</v>
      </c>
      <c r="CE11" s="130" t="str">
        <f t="shared" si="21"/>
        <v>-</v>
      </c>
      <c r="CF11" s="130" t="str">
        <f t="shared" si="22"/>
        <v>-</v>
      </c>
      <c r="CG11" s="131" t="str">
        <f t="shared" si="23"/>
        <v>-</v>
      </c>
      <c r="CH11" s="151"/>
    </row>
    <row r="12" spans="1:86" s="115" customFormat="1" ht="12.4" customHeight="1" thickBot="1" x14ac:dyDescent="0.25">
      <c r="A12" s="96">
        <f t="shared" si="30"/>
        <v>46304</v>
      </c>
      <c r="B12" s="97" t="str">
        <f t="shared" si="0"/>
        <v>Fri</v>
      </c>
      <c r="C12" s="98">
        <f>+SUM(EL_DEL_CD2_JO_!C12,EL_DEL_CD2_SBI_1_4_!C12,EL_DEL_CD2_SBI_5_6_!C12,EL_DEL_CD2_SBI_7_8_!C12,EL_DEL_CD2_SBI_9_10_!C12,EL_DEL_CD2_STAB_!C12,EL_DEL_CD2_JO_L_!C12,EL_DEL_CD2_SBI_L_1_4_!C12,EL_DEL_CD2_SBI_L_5_6_!C12,EL_DEL_CD2_SBI_L_7_8_!C12,EL_DEL_CD2_SBI_L_9_10_!C12,EL_DEL_CD2_L_STAB_!C12)</f>
        <v>0</v>
      </c>
      <c r="D12" s="98">
        <f>+SUM(EL_DEL_CD2_JO_!D12,EL_DEL_CD2_SBI_1_4_!D12,EL_DEL_CD2_SBI_5_6_!D12,EL_DEL_CD2_SBI_7_8_!D12,EL_DEL_CD2_SBI_9_10_!D12,EL_DEL_CD2_STAB_!D12,EL_DEL_CD2_JO_L_!D12,EL_DEL_CD2_SBI_L_1_4_!D12,EL_DEL_CD2_SBI_L_5_6_!D12,EL_DEL_CD2_SBI_L_7_8_!D12,EL_DEL_CD2_SBI_L_9_10_!D12,EL_DEL_CD2_L_STAB_!D12)</f>
        <v>0</v>
      </c>
      <c r="E12" s="98">
        <f>+SUM(EL_DEL_CD2_JO_!E12,EL_DEL_CD2_SBI_1_4_!E12,EL_DEL_CD2_SBI_5_6_!E12,EL_DEL_CD2_SBI_7_8_!E12,EL_DEL_CD2_SBI_9_10_!E12,EL_DEL_CD2_STAB_!E12,EL_DEL_CD2_JO_L_!E12,EL_DEL_CD2_SBI_L_1_4_!E12,EL_DEL_CD2_SBI_L_5_6_!E12,EL_DEL_CD2_SBI_L_7_8_!E12,EL_DEL_CD2_SBI_L_9_10_!E12,EL_DEL_CD2_L_STAB_!E12)</f>
        <v>0</v>
      </c>
      <c r="F12" s="98">
        <f>+SUM(EL_DEL_CD2_JO_!F12,EL_DEL_CD2_SBI_1_4_!F12,EL_DEL_CD2_SBI_5_6_!F12,EL_DEL_CD2_SBI_7_8_!F12,EL_DEL_CD2_SBI_9_10_!F12,EL_DEL_CD2_STAB_!F12,EL_DEL_CD2_JO_L_!F12,EL_DEL_CD2_SBI_L_1_4_!F12,EL_DEL_CD2_SBI_L_5_6_!F12,EL_DEL_CD2_SBI_L_7_8_!F12,EL_DEL_CD2_SBI_L_9_10_!F12,EL_DEL_CD2_L_STAB_!F12)</f>
        <v>0</v>
      </c>
      <c r="G12" s="98">
        <f>+SUM(EL_DEL_CD2_JO_!G12,EL_DEL_CD2_SBI_1_4_!G12,EL_DEL_CD2_SBI_5_6_!G12,EL_DEL_CD2_SBI_7_8_!G12,EL_DEL_CD2_SBI_9_10_!G12,EL_DEL_CD2_STAB_!G12,EL_DEL_CD2_JO_L_!G12,EL_DEL_CD2_SBI_L_1_4_!G12,EL_DEL_CD2_SBI_L_5_6_!G12,EL_DEL_CD2_SBI_L_7_8_!G12,EL_DEL_CD2_SBI_L_9_10_!G12,EL_DEL_CD2_L_STAB_!G12)</f>
        <v>0</v>
      </c>
      <c r="H12" s="98">
        <f>+SUM(EL_DEL_CD2_JO_!H12,EL_DEL_CD2_SBI_1_4_!H12,EL_DEL_CD2_SBI_5_6_!H12,EL_DEL_CD2_SBI_7_8_!H12,EL_DEL_CD2_SBI_9_10_!H12,EL_DEL_CD2_STAB_!H12,EL_DEL_CD2_JO_L_!H12,EL_DEL_CD2_SBI_L_1_4_!H12,EL_DEL_CD2_SBI_L_5_6_!H12,EL_DEL_CD2_SBI_L_7_8_!H12,EL_DEL_CD2_SBI_L_9_10_!H12,EL_DEL_CD2_L_STAB_!H12)</f>
        <v>0</v>
      </c>
      <c r="I12" s="98">
        <f>+SUM(EL_DEL_CD2_JO_!I12,EL_DEL_CD2_SBI_1_4_!I12,EL_DEL_CD2_SBI_5_6_!I12,EL_DEL_CD2_SBI_7_8_!I12,EL_DEL_CD2_SBI_9_10_!I12,EL_DEL_CD2_STAB_!I12,EL_DEL_CD2_JO_L_!I12,EL_DEL_CD2_SBI_L_1_4_!I12,EL_DEL_CD2_SBI_L_5_6_!I12,EL_DEL_CD2_SBI_L_7_8_!I12,EL_DEL_CD2_SBI_L_9_10_!I12,EL_DEL_CD2_L_STAB_!I12)</f>
        <v>0</v>
      </c>
      <c r="J12" s="98">
        <f>+SUM(EL_DEL_CD2_JO_!J12,EL_DEL_CD2_SBI_1_4_!J12,EL_DEL_CD2_SBI_5_6_!J12,EL_DEL_CD2_SBI_7_8_!J12,EL_DEL_CD2_SBI_9_10_!J12,EL_DEL_CD2_STAB_!J12,EL_DEL_CD2_JO_L_!J12,EL_DEL_CD2_SBI_L_1_4_!J12,EL_DEL_CD2_SBI_L_5_6_!J12,EL_DEL_CD2_SBI_L_7_8_!J12,EL_DEL_CD2_SBI_L_9_10_!J12,EL_DEL_CD2_L_STAB_!J12)</f>
        <v>0</v>
      </c>
      <c r="K12" s="98">
        <f>+SUM(EL_DEL_CD2_JO_!K12,EL_DEL_CD2_SBI_1_4_!K12,EL_DEL_CD2_SBI_5_6_!K12,EL_DEL_CD2_SBI_7_8_!K12,EL_DEL_CD2_SBI_9_10_!K12,EL_DEL_CD2_STAB_!K12,EL_DEL_CD2_JO_L_!K12,EL_DEL_CD2_SBI_L_1_4_!K12,EL_DEL_CD2_SBI_L_5_6_!K12,EL_DEL_CD2_SBI_L_7_8_!K12,EL_DEL_CD2_SBI_L_9_10_!K12,EL_DEL_CD2_L_STAB_!K12)</f>
        <v>0</v>
      </c>
      <c r="L12" s="98">
        <f>+SUM(EL_DEL_CD2_JO_!L12,EL_DEL_CD2_SBI_1_4_!L12,EL_DEL_CD2_SBI_5_6_!L12,EL_DEL_CD2_SBI_7_8_!L12,EL_DEL_CD2_SBI_9_10_!L12,EL_DEL_CD2_STAB_!L12,EL_DEL_CD2_JO_L_!L12,EL_DEL_CD2_SBI_L_1_4_!L12,EL_DEL_CD2_SBI_L_5_6_!L12,EL_DEL_CD2_SBI_L_7_8_!L12,EL_DEL_CD2_SBI_L_9_10_!L12,EL_DEL_CD2_L_STAB_!L12)</f>
        <v>0</v>
      </c>
      <c r="M12" s="98">
        <f>+SUM(EL_DEL_CD2_JO_!M12,EL_DEL_CD2_SBI_1_4_!M12,EL_DEL_CD2_SBI_5_6_!M12,EL_DEL_CD2_SBI_7_8_!M12,EL_DEL_CD2_SBI_9_10_!M12,EL_DEL_CD2_STAB_!M12,EL_DEL_CD2_JO_L_!M12,EL_DEL_CD2_SBI_L_1_4_!M12,EL_DEL_CD2_SBI_L_5_6_!M12,EL_DEL_CD2_SBI_L_7_8_!M12,EL_DEL_CD2_SBI_L_9_10_!M12,EL_DEL_CD2_L_STAB_!M12)</f>
        <v>0</v>
      </c>
      <c r="N12" s="98">
        <f>+SUM(EL_DEL_CD2_JO_!N12,EL_DEL_CD2_SBI_1_4_!N12,EL_DEL_CD2_SBI_5_6_!N12,EL_DEL_CD2_SBI_7_8_!N12,EL_DEL_CD2_SBI_9_10_!N12,EL_DEL_CD2_STAB_!N12,EL_DEL_CD2_JO_L_!N12,EL_DEL_CD2_SBI_L_1_4_!N12,EL_DEL_CD2_SBI_L_5_6_!N12,EL_DEL_CD2_SBI_L_7_8_!N12,EL_DEL_CD2_SBI_L_9_10_!N12,EL_DEL_CD2_L_STAB_!N12)</f>
        <v>0</v>
      </c>
      <c r="O12" s="98">
        <f>+SUM(EL_DEL_CD2_JO_!O12,EL_DEL_CD2_SBI_1_4_!O12,EL_DEL_CD2_SBI_5_6_!O12,EL_DEL_CD2_SBI_7_8_!O12,EL_DEL_CD2_SBI_9_10_!O12,EL_DEL_CD2_STAB_!O12,EL_DEL_CD2_JO_L_!O12,EL_DEL_CD2_SBI_L_1_4_!O12,EL_DEL_CD2_SBI_L_5_6_!O12,EL_DEL_CD2_SBI_L_7_8_!O12,EL_DEL_CD2_SBI_L_9_10_!O12,EL_DEL_CD2_L_STAB_!O12)</f>
        <v>0</v>
      </c>
      <c r="P12" s="98">
        <f>+SUM(EL_DEL_CD2_JO_!P12,EL_DEL_CD2_SBI_1_4_!P12,EL_DEL_CD2_SBI_5_6_!P12,EL_DEL_CD2_SBI_7_8_!P12,EL_DEL_CD2_SBI_9_10_!P12,EL_DEL_CD2_STAB_!P12,EL_DEL_CD2_JO_L_!P12,EL_DEL_CD2_SBI_L_1_4_!P12,EL_DEL_CD2_SBI_L_5_6_!P12,EL_DEL_CD2_SBI_L_7_8_!P12,EL_DEL_CD2_SBI_L_9_10_!P12,EL_DEL_CD2_L_STAB_!P12)</f>
        <v>0</v>
      </c>
      <c r="Q12" s="98">
        <f>+SUM(EL_DEL_CD2_JO_!Q12,EL_DEL_CD2_SBI_1_4_!Q12,EL_DEL_CD2_SBI_5_6_!Q12,EL_DEL_CD2_SBI_7_8_!Q12,EL_DEL_CD2_SBI_9_10_!Q12,EL_DEL_CD2_STAB_!Q12,EL_DEL_CD2_JO_L_!Q12,EL_DEL_CD2_SBI_L_1_4_!Q12,EL_DEL_CD2_SBI_L_5_6_!Q12,EL_DEL_CD2_SBI_L_7_8_!Q12,EL_DEL_CD2_SBI_L_9_10_!Q12,EL_DEL_CD2_L_STAB_!Q12)</f>
        <v>0</v>
      </c>
      <c r="R12" s="98">
        <f>+SUM(EL_DEL_CD2_JO_!R12,EL_DEL_CD2_SBI_1_4_!R12,EL_DEL_CD2_SBI_5_6_!R12,EL_DEL_CD2_SBI_7_8_!R12,EL_DEL_CD2_SBI_9_10_!R12,EL_DEL_CD2_STAB_!R12,EL_DEL_CD2_JO_L_!R12,EL_DEL_CD2_SBI_L_1_4_!R12,EL_DEL_CD2_SBI_L_5_6_!R12,EL_DEL_CD2_SBI_L_7_8_!R12,EL_DEL_CD2_SBI_L_9_10_!R12,EL_DEL_CD2_L_STAB_!R12)</f>
        <v>0</v>
      </c>
      <c r="S12" s="98">
        <f>+SUM(EL_DEL_CD2_JO_!S12,EL_DEL_CD2_SBI_1_4_!S12,EL_DEL_CD2_SBI_5_6_!S12,EL_DEL_CD2_SBI_7_8_!S12,EL_DEL_CD2_SBI_9_10_!S12,EL_DEL_CD2_STAB_!S12,EL_DEL_CD2_JO_L_!S12,EL_DEL_CD2_SBI_L_1_4_!S12,EL_DEL_CD2_SBI_L_5_6_!S12,EL_DEL_CD2_SBI_L_7_8_!S12,EL_DEL_CD2_SBI_L_9_10_!S12,EL_DEL_CD2_L_STAB_!S12)</f>
        <v>0</v>
      </c>
      <c r="T12" s="98">
        <f>+SUM(EL_DEL_CD2_JO_!T12,EL_DEL_CD2_SBI_1_4_!T12,EL_DEL_CD2_SBI_5_6_!T12,EL_DEL_CD2_SBI_7_8_!T12,EL_DEL_CD2_SBI_9_10_!T12,EL_DEL_CD2_STAB_!T12,EL_DEL_CD2_JO_L_!T12,EL_DEL_CD2_SBI_L_1_4_!T12,EL_DEL_CD2_SBI_L_5_6_!T12,EL_DEL_CD2_SBI_L_7_8_!T12,EL_DEL_CD2_SBI_L_9_10_!T12,EL_DEL_CD2_L_STAB_!T12)</f>
        <v>0</v>
      </c>
      <c r="U12" s="98">
        <f>+SUM(EL_DEL_CD2_JO_!U12,EL_DEL_CD2_SBI_1_4_!U12,EL_DEL_CD2_SBI_5_6_!U12,EL_DEL_CD2_SBI_7_8_!U12,EL_DEL_CD2_SBI_9_10_!U12,EL_DEL_CD2_STAB_!U12,EL_DEL_CD2_JO_L_!U12,EL_DEL_CD2_SBI_L_1_4_!U12,EL_DEL_CD2_SBI_L_5_6_!U12,EL_DEL_CD2_SBI_L_7_8_!U12,EL_DEL_CD2_SBI_L_9_10_!U12,EL_DEL_CD2_L_STAB_!U12)</f>
        <v>0</v>
      </c>
      <c r="V12" s="98">
        <f>+SUM(EL_DEL_CD2_JO_!V12,EL_DEL_CD2_SBI_1_4_!V12,EL_DEL_CD2_SBI_5_6_!V12,EL_DEL_CD2_SBI_7_8_!V12,EL_DEL_CD2_SBI_9_10_!V12,EL_DEL_CD2_STAB_!V12,EL_DEL_CD2_JO_L_!V12,EL_DEL_CD2_SBI_L_1_4_!V12,EL_DEL_CD2_SBI_L_5_6_!V12,EL_DEL_CD2_SBI_L_7_8_!V12,EL_DEL_CD2_SBI_L_9_10_!V12,EL_DEL_CD2_L_STAB_!V12)</f>
        <v>0</v>
      </c>
      <c r="W12" s="98">
        <f>+SUM(EL_DEL_CD2_JO_!W12,EL_DEL_CD2_SBI_1_4_!W12,EL_DEL_CD2_SBI_5_6_!W12,EL_DEL_CD2_SBI_7_8_!W12,EL_DEL_CD2_SBI_9_10_!W12,EL_DEL_CD2_STAB_!W12,EL_DEL_CD2_JO_L_!W12,EL_DEL_CD2_SBI_L_1_4_!W12,EL_DEL_CD2_SBI_L_5_6_!W12,EL_DEL_CD2_SBI_L_7_8_!W12,EL_DEL_CD2_SBI_L_9_10_!W12,EL_DEL_CD2_L_STAB_!W12)</f>
        <v>0</v>
      </c>
      <c r="X12" s="98">
        <f>+SUM(EL_DEL_CD2_JO_!X12,EL_DEL_CD2_SBI_1_4_!X12,EL_DEL_CD2_SBI_5_6_!X12,EL_DEL_CD2_SBI_7_8_!X12,EL_DEL_CD2_SBI_9_10_!X12,EL_DEL_CD2_STAB_!X12,EL_DEL_CD2_JO_L_!X12,EL_DEL_CD2_SBI_L_1_4_!X12,EL_DEL_CD2_SBI_L_5_6_!X12,EL_DEL_CD2_SBI_L_7_8_!X12,EL_DEL_CD2_SBI_L_9_10_!X12,EL_DEL_CD2_L_STAB_!X12)</f>
        <v>0</v>
      </c>
      <c r="Y12" s="98">
        <f>+SUM(EL_DEL_CD2_JO_!Y12,EL_DEL_CD2_SBI_1_4_!Y12,EL_DEL_CD2_SBI_5_6_!Y12,EL_DEL_CD2_SBI_7_8_!Y12,EL_DEL_CD2_SBI_9_10_!Y12,EL_DEL_CD2_STAB_!Y12,EL_DEL_CD2_JO_L_!Y12,EL_DEL_CD2_SBI_L_1_4_!Y12,EL_DEL_CD2_SBI_L_5_6_!Y12,EL_DEL_CD2_SBI_L_7_8_!Y12,EL_DEL_CD2_SBI_L_9_10_!Y12,EL_DEL_CD2_L_STAB_!Y12)</f>
        <v>0</v>
      </c>
      <c r="Z12" s="98">
        <f>+SUM(EL_DEL_CD2_JO_!Z12,EL_DEL_CD2_SBI_1_4_!Z12,EL_DEL_CD2_SBI_5_6_!Z12,EL_DEL_CD2_SBI_7_8_!Z12,EL_DEL_CD2_SBI_9_10_!Z12,EL_DEL_CD2_STAB_!Z12,EL_DEL_CD2_JO_L_!Z12,EL_DEL_CD2_SBI_L_1_4_!Z12,EL_DEL_CD2_SBI_L_5_6_!Z12,EL_DEL_CD2_SBI_L_7_8_!Z12,EL_DEL_CD2_SBI_L_9_10_!Z12,EL_DEL_CD2_L_STAB_!Z12)</f>
        <v>0</v>
      </c>
      <c r="AA12" s="98">
        <f>+SUM(EL_DEL_CD2_JO_!AA12,EL_DEL_CD2_SBI_1_4_!AA12,EL_DEL_CD2_SBI_5_6_!AA12,EL_DEL_CD2_SBI_7_8_!AA12,EL_DEL_CD2_SBI_9_10_!AA12,EL_DEL_CD2_STAB_!AA12,EL_DEL_CD2_JO_L_!AA12,EL_DEL_CD2_SBI_L_1_4_!AA12,EL_DEL_CD2_SBI_L_5_6_!AA12,EL_DEL_CD2_SBI_L_7_8_!AA12,EL_DEL_CD2_SBI_L_9_10_!AA12,EL_DEL_CD2_L_STAB_!AA12)</f>
        <v>0</v>
      </c>
      <c r="AB12" s="98">
        <f>+SUM(EL_DEL_CD2_JO_!AB12,EL_DEL_CD2_SBI_1_4_!AB12,EL_DEL_CD2_SBI_5_6_!AB12,EL_DEL_CD2_SBI_7_8_!AB12,EL_DEL_CD2_SBI_9_10_!AB12,EL_DEL_CD2_STAB_!AB12,EL_DEL_CD2_JO_L_!AB12,EL_DEL_CD2_SBI_L_1_4_!AB12,EL_DEL_CD2_SBI_L_5_6_!AB12,EL_DEL_CD2_SBI_L_7_8_!AB12,EL_DEL_CD2_SBI_L_9_10_!AB12,EL_DEL_CD2_L_STAB_!AB12)</f>
        <v>0</v>
      </c>
      <c r="AC12" s="98">
        <f>+SUM(EL_DEL_CD2_JO_!AC12,EL_DEL_CD2_SBI_1_4_!AC12,EL_DEL_CD2_SBI_5_6_!AC12,EL_DEL_CD2_SBI_7_8_!AC12,EL_DEL_CD2_SBI_9_10_!AC12,EL_DEL_CD2_STAB_!AC12,EL_DEL_CD2_JO_L_!AC12,EL_DEL_CD2_SBI_L_1_4_!AC12,EL_DEL_CD2_SBI_L_5_6_!AC12,EL_DEL_CD2_SBI_L_7_8_!AC12,EL_DEL_CD2_SBI_L_9_10_!AC12,EL_DEL_CD2_L_STAB_!AC12)</f>
        <v>0</v>
      </c>
      <c r="AD12" s="98">
        <f>+SUM(EL_DEL_CD2_JO_!AD12,EL_DEL_CD2_SBI_1_4_!AD12,EL_DEL_CD2_SBI_5_6_!AD12,EL_DEL_CD2_SBI_7_8_!AD12,EL_DEL_CD2_SBI_9_10_!AD12,EL_DEL_CD2_STAB_!AD12,EL_DEL_CD2_JO_L_!AD12,EL_DEL_CD2_SBI_L_1_4_!AD12,EL_DEL_CD2_SBI_L_5_6_!AD12,EL_DEL_CD2_SBI_L_7_8_!AD12,EL_DEL_CD2_SBI_L_9_10_!AD12,EL_DEL_CD2_L_STAB_!AD12)</f>
        <v>0</v>
      </c>
      <c r="AE12" s="98">
        <f>+SUM(EL_DEL_CD2_JO_!AE12,EL_DEL_CD2_SBI_1_4_!AE12,EL_DEL_CD2_SBI_5_6_!AE12,EL_DEL_CD2_SBI_7_8_!AE12,EL_DEL_CD2_SBI_9_10_!AE12,EL_DEL_CD2_STAB_!AE12,EL_DEL_CD2_JO_L_!AE12,EL_DEL_CD2_SBI_L_1_4_!AE12,EL_DEL_CD2_SBI_L_5_6_!AE12,EL_DEL_CD2_SBI_L_7_8_!AE12,EL_DEL_CD2_SBI_L_9_10_!AE12,EL_DEL_CD2_L_STAB_!AE12)</f>
        <v>0</v>
      </c>
      <c r="AF12" s="98">
        <f>+SUM(EL_DEL_CD2_JO_!AF12,EL_DEL_CD2_SBI_1_4_!AF12,EL_DEL_CD2_SBI_5_6_!AF12,EL_DEL_CD2_SBI_7_8_!AF12,EL_DEL_CD2_SBI_9_10_!AF12,EL_DEL_CD2_STAB_!AF12,EL_DEL_CD2_JO_L_!AF12,EL_DEL_CD2_SBI_L_1_4_!AF12,EL_DEL_CD2_SBI_L_5_6_!AF12,EL_DEL_CD2_SBI_L_7_8_!AF12,EL_DEL_CD2_SBI_L_9_10_!AF12,EL_DEL_CD2_L_STAB_!AF12)</f>
        <v>0</v>
      </c>
      <c r="AG12" s="98">
        <f>+SUM(EL_DEL_CD2_JO_!AG12,EL_DEL_CD2_SBI_1_4_!AG12,EL_DEL_CD2_SBI_5_6_!AG12,EL_DEL_CD2_SBI_7_8_!AG12,EL_DEL_CD2_SBI_9_10_!AG12,EL_DEL_CD2_STAB_!AG12,EL_DEL_CD2_JO_L_!AG12,EL_DEL_CD2_SBI_L_1_4_!AG12,EL_DEL_CD2_SBI_L_5_6_!AG12,EL_DEL_CD2_SBI_L_7_8_!AG12,EL_DEL_CD2_SBI_L_9_10_!AG12,EL_DEL_CD2_L_STAB_!AG12)</f>
        <v>0</v>
      </c>
      <c r="AH12" s="98">
        <f>+SUM(EL_DEL_CD2_JO_!AH12,EL_DEL_CD2_SBI_1_4_!AH12,EL_DEL_CD2_SBI_5_6_!AH12,EL_DEL_CD2_SBI_7_8_!AH12,EL_DEL_CD2_SBI_9_10_!AH12,EL_DEL_CD2_STAB_!AH12,EL_DEL_CD2_JO_L_!AH12,EL_DEL_CD2_SBI_L_1_4_!AH12,EL_DEL_CD2_SBI_L_5_6_!AH12,EL_DEL_CD2_SBI_L_7_8_!AH12,EL_DEL_CD2_SBI_L_9_10_!AH12,EL_DEL_CD2_L_STAB_!AH12)</f>
        <v>0</v>
      </c>
      <c r="AI12" s="98">
        <f>+SUM(EL_DEL_CD2_JO_!AI12,EL_DEL_CD2_SBI_1_4_!AI12,EL_DEL_CD2_SBI_5_6_!AI12,EL_DEL_CD2_SBI_7_8_!AI12,EL_DEL_CD2_SBI_9_10_!AI12,EL_DEL_CD2_STAB_!AI12,EL_DEL_CD2_JO_L_!AI12,EL_DEL_CD2_SBI_L_1_4_!AI12,EL_DEL_CD2_SBI_L_5_6_!AI12,EL_DEL_CD2_SBI_L_7_8_!AI12,EL_DEL_CD2_SBI_L_9_10_!AI12,EL_DEL_CD2_L_STAB_!AI12)</f>
        <v>0</v>
      </c>
      <c r="AJ12" s="98">
        <f>+SUM(EL_DEL_CD2_JO_!AJ12,EL_DEL_CD2_SBI_1_4_!AJ12,EL_DEL_CD2_SBI_5_6_!AJ12,EL_DEL_CD2_SBI_7_8_!AJ12,EL_DEL_CD2_SBI_9_10_!AJ12,EL_DEL_CD2_STAB_!AJ12,EL_DEL_CD2_JO_L_!AJ12,EL_DEL_CD2_SBI_L_1_4_!AJ12,EL_DEL_CD2_SBI_L_5_6_!AJ12,EL_DEL_CD2_SBI_L_7_8_!AJ12,EL_DEL_CD2_SBI_L_9_10_!AJ12,EL_DEL_CD2_L_STAB_!AJ12)</f>
        <v>0</v>
      </c>
      <c r="AK12" s="98">
        <f>+SUM(EL_DEL_CD2_JO_!AK12,EL_DEL_CD2_SBI_1_4_!AK12,EL_DEL_CD2_SBI_5_6_!AK12,EL_DEL_CD2_SBI_7_8_!AK12,EL_DEL_CD2_SBI_9_10_!AK12,EL_DEL_CD2_STAB_!AK12,EL_DEL_CD2_JO_L_!AK12,EL_DEL_CD2_SBI_L_1_4_!AK12,EL_DEL_CD2_SBI_L_5_6_!AK12,EL_DEL_CD2_SBI_L_7_8_!AK12,EL_DEL_CD2_SBI_L_9_10_!AK12,EL_DEL_CD2_L_STAB_!AK12)</f>
        <v>0</v>
      </c>
      <c r="AL12" s="152" t="str">
        <f>+IFERROR(AVERAGE(EL_DEL_CD2_JO_!AL12,EL_DEL_CD2_SBI_1_4_!AL12,EL_DEL_CD2_SBI_5_6_!AL12,EL_DEL_CD2_SBI_7_8_!AL12,EL_DEL_CD2_SBI_9_10_!AL12,EL_DEL_CD2_STAB_!AL12,EL_DEL_CD2_JO_L_!AL12,EL_DEL_CD2_SBI_L_1_4_!AL12,EL_DEL_CD2_SBI_L_5_6_!AL12,EL_DEL_CD2_SBI_L_7_8_!AL12,EL_DEL_CD2_SBI_L_9_10_!AL12,EL_DEL_CD2_L_STAB_!AL12),"0:00")</f>
        <v>0:00</v>
      </c>
      <c r="AM12" s="152" t="str">
        <f>+IFERROR(AVERAGE(EL_DEL_CD2_JO_!AM12,EL_DEL_CD2_SBI_1_4_!AM12,EL_DEL_CD2_SBI_5_6_!AM12,EL_DEL_CD2_SBI_7_8_!AM12,EL_DEL_CD2_SBI_9_10_!AM12,EL_DEL_CD2_STAB_!AM12,EL_DEL_CD2_JO_L_!AM12,EL_DEL_CD2_SBI_L_1_4_!AM12,EL_DEL_CD2_SBI_L_5_6_!AM12,EL_DEL_CD2_SBI_L_7_8_!AM12,EL_DEL_CD2_SBI_L_9_10_!AM12,EL_DEL_CD2_L_STAB_!AM12),"0:00")</f>
        <v>0:00</v>
      </c>
      <c r="AN12" s="152" t="str">
        <f>+IFERROR(AVERAGE(EL_DEL_CD2_JO_!AN12,EL_DEL_CD2_SBI_1_4_!AN12,EL_DEL_CD2_SBI_5_6_!AN12,EL_DEL_CD2_SBI_7_8_!AN12,EL_DEL_CD2_SBI_9_10_!AN12,EL_DEL_CD2_STAB_!AN12,EL_DEL_CD2_JO_L_!AN12,EL_DEL_CD2_SBI_L_1_4_!AN12,EL_DEL_CD2_SBI_L_5_6_!AN12,EL_DEL_CD2_SBI_L_7_8_!AN12,EL_DEL_CD2_SBI_L_9_10_!AN12,EL_DEL_CD2_L_STAB_!AN12),"0:00")</f>
        <v>0:00</v>
      </c>
      <c r="AO12" s="152" t="str">
        <f>+IFERROR(AVERAGE(EL_DEL_CD2_JO_!AO12,EL_DEL_CD2_SBI_1_4_!AO12,EL_DEL_CD2_SBI_5_6_!AO12,EL_DEL_CD2_SBI_7_8_!AO12,EL_DEL_CD2_SBI_9_10_!AO12,EL_DEL_CD2_STAB_!AO12,EL_DEL_CD2_JO_L_!AO12,EL_DEL_CD2_SBI_L_1_4_!AO12,EL_DEL_CD2_SBI_L_5_6_!AO12,EL_DEL_CD2_SBI_L_7_8_!AO12,EL_DEL_CD2_SBI_L_9_10_!AO12,EL_DEL_CD2_L_STAB_!AO12),"0:00")</f>
        <v>0:00</v>
      </c>
      <c r="AP12" s="98" t="str">
        <f>+IFERROR(AVERAGE(EL_DEL_CD2_JO_!AP12,EL_DEL_CD2_SBI_1_4_!AP12,EL_DEL_CD2_SBI_5_6_!AP12,EL_DEL_CD2_SBI_7_8_!AP12,EL_DEL_CD2_SBI_9_10_!AP12,EL_DEL_CD2_STAB_!AP12,EL_DEL_CD2_JO_L_!AP12,EL_DEL_CD2_SBI_L_1_4_!AP12,EL_DEL_CD2_SBI_L_5_6_!AP12,EL_DEL_CD2_SBI_L_7_8_!AP12,EL_DEL_CD2_SBI_L_9_10_!AP12,EL_DEL_CD2_L_STAB_!AP12),"0:00")</f>
        <v>0:00</v>
      </c>
      <c r="AQ12" s="152" t="str">
        <f>+IFERROR(AVERAGE(EL_DEL_CD2_JO_!AQ12,EL_DEL_CD2_SBI_1_4_!AQ12,EL_DEL_CD2_SBI_5_6_!AQ12,EL_DEL_CD2_SBI_7_8_!AQ12,EL_DEL_CD2_SBI_9_10_!AQ12,EL_DEL_CD2_STAB_!AQ12,EL_DEL_CD2_JO_L_!AQ12,EL_DEL_CD2_SBI_L_1_4_!AQ12,EL_DEL_CD2_SBI_L_5_6_!AQ12,EL_DEL_CD2_SBI_L_7_8_!AQ12,EL_DEL_CD2_SBI_L_9_10_!AQ12,EL_DEL_CD2_L_STAB_!AQ12),"0:00")</f>
        <v>0:00</v>
      </c>
      <c r="AR12" s="152" t="str">
        <f>+IFERROR(AVERAGE(EL_DEL_CD2_JO_!AR12,EL_DEL_CD2_SBI_1_4_!AR12,EL_DEL_CD2_SBI_5_6_!AR12,EL_DEL_CD2_SBI_7_8_!AR12,EL_DEL_CD2_SBI_9_10_!AR12,EL_DEL_CD2_STAB_!AR12,EL_DEL_CD2_JO_L_!AR12,EL_DEL_CD2_SBI_L_1_4_!AR12,EL_DEL_CD2_SBI_L_5_6_!AR12,EL_DEL_CD2_SBI_L_7_8_!AR12,EL_DEL_CD2_SBI_L_9_10_!AR12,EL_DEL_CD2_L_STAB_!AR12),"0:00")</f>
        <v>0:00</v>
      </c>
      <c r="AS12" s="152" t="str">
        <f>+IFERROR(AVERAGE(EL_DEL_CD2_JO_!AS12,EL_DEL_CD2_SBI_1_4_!AS12,EL_DEL_CD2_SBI_5_6_!AS12,EL_DEL_CD2_SBI_7_8_!AS12,EL_DEL_CD2_SBI_9_10_!AS12,EL_DEL_CD2_STAB_!AS12,EL_DEL_CD2_JO_L_!AS12,EL_DEL_CD2_SBI_L_1_4_!AS12,EL_DEL_CD2_SBI_L_5_6_!AS12,EL_DEL_CD2_SBI_L_7_8_!AS12,EL_DEL_CD2_SBI_L_9_10_!AS12,EL_DEL_CD2_L_STAB_!AS12),"0:00")</f>
        <v>0:00</v>
      </c>
      <c r="AT12" s="98">
        <f>+SUM(EL_DEL_CD2_JO_!AT12,EL_DEL_CD2_SBI_1_4_!AT12,EL_DEL_CD2_SBI_5_6_!AT12,EL_DEL_CD2_SBI_7_8_!AT12,EL_DEL_CD2_SBI_9_10_!AT12,EL_DEL_CD2_STAB_!AT12,EL_DEL_CD2_JO_L_!AT12,EL_DEL_CD2_SBI_L_1_4_!AT12,EL_DEL_CD2_SBI_L_5_6_!AT12,EL_DEL_CD2_SBI_L_7_8_!AT12,EL_DEL_CD2_SBI_L_9_10_!AT12,EL_DEL_CD2_L_STAB_!AT12)</f>
        <v>0</v>
      </c>
      <c r="AU12" s="98">
        <f>+SUM(EL_DEL_CD2_JO_!AU12,EL_DEL_CD2_SBI_1_4_!AU12,EL_DEL_CD2_SBI_5_6_!AU12,EL_DEL_CD2_SBI_7_8_!AU12,EL_DEL_CD2_SBI_9_10_!AU12,EL_DEL_CD2_STAB_!AU12,EL_DEL_CD2_JO_L_!AU12,EL_DEL_CD2_SBI_L_1_4_!AU12,EL_DEL_CD2_SBI_L_5_6_!AU12,EL_DEL_CD2_SBI_L_7_8_!AU12,EL_DEL_CD2_SBI_L_9_10_!AU12,EL_DEL_CD2_L_STAB_!AU12)</f>
        <v>0</v>
      </c>
      <c r="AV12" s="98">
        <f>+SUM(EL_DEL_CD2_JO_!AV12,EL_DEL_CD2_SBI_1_4_!AV12,EL_DEL_CD2_SBI_5_6_!AV12,EL_DEL_CD2_SBI_7_8_!AV12,EL_DEL_CD2_SBI_9_10_!AV12,EL_DEL_CD2_STAB_!AV12,EL_DEL_CD2_JO_L_!AV12,EL_DEL_CD2_SBI_L_1_4_!AV12,EL_DEL_CD2_SBI_L_5_6_!AV12,EL_DEL_CD2_SBI_L_7_8_!AV12,EL_DEL_CD2_SBI_L_9_10_!AV12,EL_DEL_CD2_L_STAB_!AV12)</f>
        <v>0</v>
      </c>
      <c r="AW12" s="167">
        <f>+SUM(EL_DEL_CD2_JO_!AW12,EL_DEL_CD2_SBI_1_4_!AW12,EL_DEL_CD2_SBI_5_6_!AW12,EL_DEL_CD2_SBI_7_8_!AW12,EL_DEL_CD2_SBI_9_10_!AW12,EL_DEL_CD2_STAB_!AW12,EL_DEL_CD2_JO_L_!AW12,EL_DEL_CD2_SBI_L_1_4_!AW12,EL_DEL_CD2_SBI_L_5_6_!AW12,EL_DEL_CD2_SBI_L_7_8_!AW12,EL_DEL_CD2_SBI_L_9_10_!AW12,EL_DEL_CD2_L_STAB_!AW12)</f>
        <v>0</v>
      </c>
      <c r="AX12" s="102" t="str">
        <f t="shared" si="24"/>
        <v>-</v>
      </c>
      <c r="AY12" s="151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51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31"/>
        <v/>
      </c>
      <c r="BH12" s="119" t="str">
        <f t="shared" si="8"/>
        <v/>
      </c>
      <c r="BI12" s="120" t="str">
        <f t="shared" si="25"/>
        <v/>
      </c>
      <c r="BJ12" s="151"/>
      <c r="BK12" s="121" t="str">
        <f t="shared" si="9"/>
        <v/>
      </c>
      <c r="BL12" s="122" t="str">
        <f t="shared" si="10"/>
        <v/>
      </c>
      <c r="BM12" s="122" t="str">
        <f t="shared" si="11"/>
        <v/>
      </c>
      <c r="BN12" s="123" t="str">
        <f t="shared" si="12"/>
        <v/>
      </c>
      <c r="BO12" s="151"/>
      <c r="BP12" s="124" t="str">
        <f t="shared" si="13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4"/>
        <v/>
      </c>
      <c r="BU12" s="151"/>
      <c r="BV12" s="127" t="e">
        <f t="shared" si="15"/>
        <v>#DIV/0!</v>
      </c>
      <c r="BW12" s="127" t="e">
        <f t="shared" si="16"/>
        <v>#DIV/0!</v>
      </c>
      <c r="BX12" s="127" t="e">
        <f t="shared" si="17"/>
        <v>#DIV/0!</v>
      </c>
      <c r="BY12" s="127" t="e">
        <f t="shared" si="18"/>
        <v>#DIV/0!</v>
      </c>
      <c r="BZ12" s="127" t="e">
        <f t="shared" si="28"/>
        <v>#DIV/0!</v>
      </c>
      <c r="CA12" s="128" t="e">
        <f t="shared" si="29"/>
        <v>#DIV/0!</v>
      </c>
      <c r="CB12" s="151"/>
      <c r="CC12" s="129" t="str">
        <f t="shared" si="19"/>
        <v>-</v>
      </c>
      <c r="CD12" s="130" t="str">
        <f t="shared" si="20"/>
        <v>-</v>
      </c>
      <c r="CE12" s="130" t="str">
        <f t="shared" si="21"/>
        <v>-</v>
      </c>
      <c r="CF12" s="130" t="str">
        <f t="shared" si="22"/>
        <v>-</v>
      </c>
      <c r="CG12" s="131" t="str">
        <f t="shared" si="23"/>
        <v>-</v>
      </c>
      <c r="CH12" s="151"/>
    </row>
    <row r="13" spans="1:86" s="115" customFormat="1" ht="12.4" customHeight="1" thickBot="1" x14ac:dyDescent="0.25">
      <c r="A13" s="96">
        <f t="shared" si="30"/>
        <v>46305</v>
      </c>
      <c r="B13" s="97" t="str">
        <f>+TEXT(A13,"DDD")</f>
        <v>Sat</v>
      </c>
      <c r="C13" s="98">
        <f>+SUM(EL_DEL_CD2_JO_!C13,EL_DEL_CD2_SBI_1_4_!C13,EL_DEL_CD2_SBI_5_6_!C13,EL_DEL_CD2_SBI_7_8_!C13,EL_DEL_CD2_SBI_9_10_!C13,EL_DEL_CD2_STAB_!C13,EL_DEL_CD2_JO_L_!C13,EL_DEL_CD2_SBI_L_1_4_!C13,EL_DEL_CD2_SBI_L_5_6_!C13,EL_DEL_CD2_SBI_L_7_8_!C13,EL_DEL_CD2_SBI_L_9_10_!C13,EL_DEL_CD2_L_STAB_!C13)</f>
        <v>0</v>
      </c>
      <c r="D13" s="98">
        <f>+SUM(EL_DEL_CD2_JO_!D13,EL_DEL_CD2_SBI_1_4_!D13,EL_DEL_CD2_SBI_5_6_!D13,EL_DEL_CD2_SBI_7_8_!D13,EL_DEL_CD2_SBI_9_10_!D13,EL_DEL_CD2_STAB_!D13,EL_DEL_CD2_JO_L_!D13,EL_DEL_CD2_SBI_L_1_4_!D13,EL_DEL_CD2_SBI_L_5_6_!D13,EL_DEL_CD2_SBI_L_7_8_!D13,EL_DEL_CD2_SBI_L_9_10_!D13,EL_DEL_CD2_L_STAB_!D13)</f>
        <v>0</v>
      </c>
      <c r="E13" s="98">
        <f>+SUM(EL_DEL_CD2_JO_!E13,EL_DEL_CD2_SBI_1_4_!E13,EL_DEL_CD2_SBI_5_6_!E13,EL_DEL_CD2_SBI_7_8_!E13,EL_DEL_CD2_SBI_9_10_!E13,EL_DEL_CD2_STAB_!E13,EL_DEL_CD2_JO_L_!E13,EL_DEL_CD2_SBI_L_1_4_!E13,EL_DEL_CD2_SBI_L_5_6_!E13,EL_DEL_CD2_SBI_L_7_8_!E13,EL_DEL_CD2_SBI_L_9_10_!E13,EL_DEL_CD2_L_STAB_!E13)</f>
        <v>0</v>
      </c>
      <c r="F13" s="98">
        <f>+SUM(EL_DEL_CD2_JO_!F13,EL_DEL_CD2_SBI_1_4_!F13,EL_DEL_CD2_SBI_5_6_!F13,EL_DEL_CD2_SBI_7_8_!F13,EL_DEL_CD2_SBI_9_10_!F13,EL_DEL_CD2_STAB_!F13,EL_DEL_CD2_JO_L_!F13,EL_DEL_CD2_SBI_L_1_4_!F13,EL_DEL_CD2_SBI_L_5_6_!F13,EL_DEL_CD2_SBI_L_7_8_!F13,EL_DEL_CD2_SBI_L_9_10_!F13,EL_DEL_CD2_L_STAB_!F13)</f>
        <v>0</v>
      </c>
      <c r="G13" s="98">
        <f>+SUM(EL_DEL_CD2_JO_!G13,EL_DEL_CD2_SBI_1_4_!G13,EL_DEL_CD2_SBI_5_6_!G13,EL_DEL_CD2_SBI_7_8_!G13,EL_DEL_CD2_SBI_9_10_!G13,EL_DEL_CD2_STAB_!G13,EL_DEL_CD2_JO_L_!G13,EL_DEL_CD2_SBI_L_1_4_!G13,EL_DEL_CD2_SBI_L_5_6_!G13,EL_DEL_CD2_SBI_L_7_8_!G13,EL_DEL_CD2_SBI_L_9_10_!G13,EL_DEL_CD2_L_STAB_!G13)</f>
        <v>0</v>
      </c>
      <c r="H13" s="98">
        <f>+SUM(EL_DEL_CD2_JO_!H13,EL_DEL_CD2_SBI_1_4_!H13,EL_DEL_CD2_SBI_5_6_!H13,EL_DEL_CD2_SBI_7_8_!H13,EL_DEL_CD2_SBI_9_10_!H13,EL_DEL_CD2_STAB_!H13,EL_DEL_CD2_JO_L_!H13,EL_DEL_CD2_SBI_L_1_4_!H13,EL_DEL_CD2_SBI_L_5_6_!H13,EL_DEL_CD2_SBI_L_7_8_!H13,EL_DEL_CD2_SBI_L_9_10_!H13,EL_DEL_CD2_L_STAB_!H13)</f>
        <v>0</v>
      </c>
      <c r="I13" s="98">
        <f>+SUM(EL_DEL_CD2_JO_!I13,EL_DEL_CD2_SBI_1_4_!I13,EL_DEL_CD2_SBI_5_6_!I13,EL_DEL_CD2_SBI_7_8_!I13,EL_DEL_CD2_SBI_9_10_!I13,EL_DEL_CD2_STAB_!I13,EL_DEL_CD2_JO_L_!I13,EL_DEL_CD2_SBI_L_1_4_!I13,EL_DEL_CD2_SBI_L_5_6_!I13,EL_DEL_CD2_SBI_L_7_8_!I13,EL_DEL_CD2_SBI_L_9_10_!I13,EL_DEL_CD2_L_STAB_!I13)</f>
        <v>0</v>
      </c>
      <c r="J13" s="98">
        <f>+SUM(EL_DEL_CD2_JO_!J13,EL_DEL_CD2_SBI_1_4_!J13,EL_DEL_CD2_SBI_5_6_!J13,EL_DEL_CD2_SBI_7_8_!J13,EL_DEL_CD2_SBI_9_10_!J13,EL_DEL_CD2_STAB_!J13,EL_DEL_CD2_JO_L_!J13,EL_DEL_CD2_SBI_L_1_4_!J13,EL_DEL_CD2_SBI_L_5_6_!J13,EL_DEL_CD2_SBI_L_7_8_!J13,EL_DEL_CD2_SBI_L_9_10_!J13,EL_DEL_CD2_L_STAB_!J13)</f>
        <v>0</v>
      </c>
      <c r="K13" s="98">
        <f>+SUM(EL_DEL_CD2_JO_!K13,EL_DEL_CD2_SBI_1_4_!K13,EL_DEL_CD2_SBI_5_6_!K13,EL_DEL_CD2_SBI_7_8_!K13,EL_DEL_CD2_SBI_9_10_!K13,EL_DEL_CD2_STAB_!K13,EL_DEL_CD2_JO_L_!K13,EL_DEL_CD2_SBI_L_1_4_!K13,EL_DEL_CD2_SBI_L_5_6_!K13,EL_DEL_CD2_SBI_L_7_8_!K13,EL_DEL_CD2_SBI_L_9_10_!K13,EL_DEL_CD2_L_STAB_!K13)</f>
        <v>0</v>
      </c>
      <c r="L13" s="98">
        <f>+SUM(EL_DEL_CD2_JO_!L13,EL_DEL_CD2_SBI_1_4_!L13,EL_DEL_CD2_SBI_5_6_!L13,EL_DEL_CD2_SBI_7_8_!L13,EL_DEL_CD2_SBI_9_10_!L13,EL_DEL_CD2_STAB_!L13,EL_DEL_CD2_JO_L_!L13,EL_DEL_CD2_SBI_L_1_4_!L13,EL_DEL_CD2_SBI_L_5_6_!L13,EL_DEL_CD2_SBI_L_7_8_!L13,EL_DEL_CD2_SBI_L_9_10_!L13,EL_DEL_CD2_L_STAB_!L13)</f>
        <v>0</v>
      </c>
      <c r="M13" s="98">
        <f>+SUM(EL_DEL_CD2_JO_!M13,EL_DEL_CD2_SBI_1_4_!M13,EL_DEL_CD2_SBI_5_6_!M13,EL_DEL_CD2_SBI_7_8_!M13,EL_DEL_CD2_SBI_9_10_!M13,EL_DEL_CD2_STAB_!M13,EL_DEL_CD2_JO_L_!M13,EL_DEL_CD2_SBI_L_1_4_!M13,EL_DEL_CD2_SBI_L_5_6_!M13,EL_DEL_CD2_SBI_L_7_8_!M13,EL_DEL_CD2_SBI_L_9_10_!M13,EL_DEL_CD2_L_STAB_!M13)</f>
        <v>0</v>
      </c>
      <c r="N13" s="98">
        <f>+SUM(EL_DEL_CD2_JO_!N13,EL_DEL_CD2_SBI_1_4_!N13,EL_DEL_CD2_SBI_5_6_!N13,EL_DEL_CD2_SBI_7_8_!N13,EL_DEL_CD2_SBI_9_10_!N13,EL_DEL_CD2_STAB_!N13,EL_DEL_CD2_JO_L_!N13,EL_DEL_CD2_SBI_L_1_4_!N13,EL_DEL_CD2_SBI_L_5_6_!N13,EL_DEL_CD2_SBI_L_7_8_!N13,EL_DEL_CD2_SBI_L_9_10_!N13,EL_DEL_CD2_L_STAB_!N13)</f>
        <v>0</v>
      </c>
      <c r="O13" s="98">
        <f>+SUM(EL_DEL_CD2_JO_!O13,EL_DEL_CD2_SBI_1_4_!O13,EL_DEL_CD2_SBI_5_6_!O13,EL_DEL_CD2_SBI_7_8_!O13,EL_DEL_CD2_SBI_9_10_!O13,EL_DEL_CD2_STAB_!O13,EL_DEL_CD2_JO_L_!O13,EL_DEL_CD2_SBI_L_1_4_!O13,EL_DEL_CD2_SBI_L_5_6_!O13,EL_DEL_CD2_SBI_L_7_8_!O13,EL_DEL_CD2_SBI_L_9_10_!O13,EL_DEL_CD2_L_STAB_!O13)</f>
        <v>0</v>
      </c>
      <c r="P13" s="98">
        <f>+SUM(EL_DEL_CD2_JO_!P13,EL_DEL_CD2_SBI_1_4_!P13,EL_DEL_CD2_SBI_5_6_!P13,EL_DEL_CD2_SBI_7_8_!P13,EL_DEL_CD2_SBI_9_10_!P13,EL_DEL_CD2_STAB_!P13,EL_DEL_CD2_JO_L_!P13,EL_DEL_CD2_SBI_L_1_4_!P13,EL_DEL_CD2_SBI_L_5_6_!P13,EL_DEL_CD2_SBI_L_7_8_!P13,EL_DEL_CD2_SBI_L_9_10_!P13,EL_DEL_CD2_L_STAB_!P13)</f>
        <v>0</v>
      </c>
      <c r="Q13" s="98">
        <f>+SUM(EL_DEL_CD2_JO_!Q13,EL_DEL_CD2_SBI_1_4_!Q13,EL_DEL_CD2_SBI_5_6_!Q13,EL_DEL_CD2_SBI_7_8_!Q13,EL_DEL_CD2_SBI_9_10_!Q13,EL_DEL_CD2_STAB_!Q13,EL_DEL_CD2_JO_L_!Q13,EL_DEL_CD2_SBI_L_1_4_!Q13,EL_DEL_CD2_SBI_L_5_6_!Q13,EL_DEL_CD2_SBI_L_7_8_!Q13,EL_DEL_CD2_SBI_L_9_10_!Q13,EL_DEL_CD2_L_STAB_!Q13)</f>
        <v>0</v>
      </c>
      <c r="R13" s="98">
        <f>+SUM(EL_DEL_CD2_JO_!R13,EL_DEL_CD2_SBI_1_4_!R13,EL_DEL_CD2_SBI_5_6_!R13,EL_DEL_CD2_SBI_7_8_!R13,EL_DEL_CD2_SBI_9_10_!R13,EL_DEL_CD2_STAB_!R13,EL_DEL_CD2_JO_L_!R13,EL_DEL_CD2_SBI_L_1_4_!R13,EL_DEL_CD2_SBI_L_5_6_!R13,EL_DEL_CD2_SBI_L_7_8_!R13,EL_DEL_CD2_SBI_L_9_10_!R13,EL_DEL_CD2_L_STAB_!R13)</f>
        <v>0</v>
      </c>
      <c r="S13" s="98">
        <f>+SUM(EL_DEL_CD2_JO_!S13,EL_DEL_CD2_SBI_1_4_!S13,EL_DEL_CD2_SBI_5_6_!S13,EL_DEL_CD2_SBI_7_8_!S13,EL_DEL_CD2_SBI_9_10_!S13,EL_DEL_CD2_STAB_!S13,EL_DEL_CD2_JO_L_!S13,EL_DEL_CD2_SBI_L_1_4_!S13,EL_DEL_CD2_SBI_L_5_6_!S13,EL_DEL_CD2_SBI_L_7_8_!S13,EL_DEL_CD2_SBI_L_9_10_!S13,EL_DEL_CD2_L_STAB_!S13)</f>
        <v>0</v>
      </c>
      <c r="T13" s="98">
        <f>+SUM(EL_DEL_CD2_JO_!T13,EL_DEL_CD2_SBI_1_4_!T13,EL_DEL_CD2_SBI_5_6_!T13,EL_DEL_CD2_SBI_7_8_!T13,EL_DEL_CD2_SBI_9_10_!T13,EL_DEL_CD2_STAB_!T13,EL_DEL_CD2_JO_L_!T13,EL_DEL_CD2_SBI_L_1_4_!T13,EL_DEL_CD2_SBI_L_5_6_!T13,EL_DEL_CD2_SBI_L_7_8_!T13,EL_DEL_CD2_SBI_L_9_10_!T13,EL_DEL_CD2_L_STAB_!T13)</f>
        <v>0</v>
      </c>
      <c r="U13" s="98">
        <f>+SUM(EL_DEL_CD2_JO_!U13,EL_DEL_CD2_SBI_1_4_!U13,EL_DEL_CD2_SBI_5_6_!U13,EL_DEL_CD2_SBI_7_8_!U13,EL_DEL_CD2_SBI_9_10_!U13,EL_DEL_CD2_STAB_!U13,EL_DEL_CD2_JO_L_!U13,EL_DEL_CD2_SBI_L_1_4_!U13,EL_DEL_CD2_SBI_L_5_6_!U13,EL_DEL_CD2_SBI_L_7_8_!U13,EL_DEL_CD2_SBI_L_9_10_!U13,EL_DEL_CD2_L_STAB_!U13)</f>
        <v>0</v>
      </c>
      <c r="V13" s="98">
        <f>+SUM(EL_DEL_CD2_JO_!V13,EL_DEL_CD2_SBI_1_4_!V13,EL_DEL_CD2_SBI_5_6_!V13,EL_DEL_CD2_SBI_7_8_!V13,EL_DEL_CD2_SBI_9_10_!V13,EL_DEL_CD2_STAB_!V13,EL_DEL_CD2_JO_L_!V13,EL_DEL_CD2_SBI_L_1_4_!V13,EL_DEL_CD2_SBI_L_5_6_!V13,EL_DEL_CD2_SBI_L_7_8_!V13,EL_DEL_CD2_SBI_L_9_10_!V13,EL_DEL_CD2_L_STAB_!V13)</f>
        <v>0</v>
      </c>
      <c r="W13" s="98">
        <f>+SUM(EL_DEL_CD2_JO_!W13,EL_DEL_CD2_SBI_1_4_!W13,EL_DEL_CD2_SBI_5_6_!W13,EL_DEL_CD2_SBI_7_8_!W13,EL_DEL_CD2_SBI_9_10_!W13,EL_DEL_CD2_STAB_!W13,EL_DEL_CD2_JO_L_!W13,EL_DEL_CD2_SBI_L_1_4_!W13,EL_DEL_CD2_SBI_L_5_6_!W13,EL_DEL_CD2_SBI_L_7_8_!W13,EL_DEL_CD2_SBI_L_9_10_!W13,EL_DEL_CD2_L_STAB_!W13)</f>
        <v>0</v>
      </c>
      <c r="X13" s="98">
        <f>+SUM(EL_DEL_CD2_JO_!X13,EL_DEL_CD2_SBI_1_4_!X13,EL_DEL_CD2_SBI_5_6_!X13,EL_DEL_CD2_SBI_7_8_!X13,EL_DEL_CD2_SBI_9_10_!X13,EL_DEL_CD2_STAB_!X13,EL_DEL_CD2_JO_L_!X13,EL_DEL_CD2_SBI_L_1_4_!X13,EL_DEL_CD2_SBI_L_5_6_!X13,EL_DEL_CD2_SBI_L_7_8_!X13,EL_DEL_CD2_SBI_L_9_10_!X13,EL_DEL_CD2_L_STAB_!X13)</f>
        <v>0</v>
      </c>
      <c r="Y13" s="98">
        <f>+SUM(EL_DEL_CD2_JO_!Y13,EL_DEL_CD2_SBI_1_4_!Y13,EL_DEL_CD2_SBI_5_6_!Y13,EL_DEL_CD2_SBI_7_8_!Y13,EL_DEL_CD2_SBI_9_10_!Y13,EL_DEL_CD2_STAB_!Y13,EL_DEL_CD2_JO_L_!Y13,EL_DEL_CD2_SBI_L_1_4_!Y13,EL_DEL_CD2_SBI_L_5_6_!Y13,EL_DEL_CD2_SBI_L_7_8_!Y13,EL_DEL_CD2_SBI_L_9_10_!Y13,EL_DEL_CD2_L_STAB_!Y13)</f>
        <v>0</v>
      </c>
      <c r="Z13" s="98">
        <f>+SUM(EL_DEL_CD2_JO_!Z13,EL_DEL_CD2_SBI_1_4_!Z13,EL_DEL_CD2_SBI_5_6_!Z13,EL_DEL_CD2_SBI_7_8_!Z13,EL_DEL_CD2_SBI_9_10_!Z13,EL_DEL_CD2_STAB_!Z13,EL_DEL_CD2_JO_L_!Z13,EL_DEL_CD2_SBI_L_1_4_!Z13,EL_DEL_CD2_SBI_L_5_6_!Z13,EL_DEL_CD2_SBI_L_7_8_!Z13,EL_DEL_CD2_SBI_L_9_10_!Z13,EL_DEL_CD2_L_STAB_!Z13)</f>
        <v>0</v>
      </c>
      <c r="AA13" s="98">
        <f>+SUM(EL_DEL_CD2_JO_!AA13,EL_DEL_CD2_SBI_1_4_!AA13,EL_DEL_CD2_SBI_5_6_!AA13,EL_DEL_CD2_SBI_7_8_!AA13,EL_DEL_CD2_SBI_9_10_!AA13,EL_DEL_CD2_STAB_!AA13,EL_DEL_CD2_JO_L_!AA13,EL_DEL_CD2_SBI_L_1_4_!AA13,EL_DEL_CD2_SBI_L_5_6_!AA13,EL_DEL_CD2_SBI_L_7_8_!AA13,EL_DEL_CD2_SBI_L_9_10_!AA13,EL_DEL_CD2_L_STAB_!AA13)</f>
        <v>0</v>
      </c>
      <c r="AB13" s="98">
        <f>+SUM(EL_DEL_CD2_JO_!AB13,EL_DEL_CD2_SBI_1_4_!AB13,EL_DEL_CD2_SBI_5_6_!AB13,EL_DEL_CD2_SBI_7_8_!AB13,EL_DEL_CD2_SBI_9_10_!AB13,EL_DEL_CD2_STAB_!AB13,EL_DEL_CD2_JO_L_!AB13,EL_DEL_CD2_SBI_L_1_4_!AB13,EL_DEL_CD2_SBI_L_5_6_!AB13,EL_DEL_CD2_SBI_L_7_8_!AB13,EL_DEL_CD2_SBI_L_9_10_!AB13,EL_DEL_CD2_L_STAB_!AB13)</f>
        <v>0</v>
      </c>
      <c r="AC13" s="98">
        <f>+SUM(EL_DEL_CD2_JO_!AC13,EL_DEL_CD2_SBI_1_4_!AC13,EL_DEL_CD2_SBI_5_6_!AC13,EL_DEL_CD2_SBI_7_8_!AC13,EL_DEL_CD2_SBI_9_10_!AC13,EL_DEL_CD2_STAB_!AC13,EL_DEL_CD2_JO_L_!AC13,EL_DEL_CD2_SBI_L_1_4_!AC13,EL_DEL_CD2_SBI_L_5_6_!AC13,EL_DEL_CD2_SBI_L_7_8_!AC13,EL_DEL_CD2_SBI_L_9_10_!AC13,EL_DEL_CD2_L_STAB_!AC13)</f>
        <v>0</v>
      </c>
      <c r="AD13" s="98">
        <f>+SUM(EL_DEL_CD2_JO_!AD13,EL_DEL_CD2_SBI_1_4_!AD13,EL_DEL_CD2_SBI_5_6_!AD13,EL_DEL_CD2_SBI_7_8_!AD13,EL_DEL_CD2_SBI_9_10_!AD13,EL_DEL_CD2_STAB_!AD13,EL_DEL_CD2_JO_L_!AD13,EL_DEL_CD2_SBI_L_1_4_!AD13,EL_DEL_CD2_SBI_L_5_6_!AD13,EL_DEL_CD2_SBI_L_7_8_!AD13,EL_DEL_CD2_SBI_L_9_10_!AD13,EL_DEL_CD2_L_STAB_!AD13)</f>
        <v>0</v>
      </c>
      <c r="AE13" s="98">
        <f>+SUM(EL_DEL_CD2_JO_!AE13,EL_DEL_CD2_SBI_1_4_!AE13,EL_DEL_CD2_SBI_5_6_!AE13,EL_DEL_CD2_SBI_7_8_!AE13,EL_DEL_CD2_SBI_9_10_!AE13,EL_DEL_CD2_STAB_!AE13,EL_DEL_CD2_JO_L_!AE13,EL_DEL_CD2_SBI_L_1_4_!AE13,EL_DEL_CD2_SBI_L_5_6_!AE13,EL_DEL_CD2_SBI_L_7_8_!AE13,EL_DEL_CD2_SBI_L_9_10_!AE13,EL_DEL_CD2_L_STAB_!AE13)</f>
        <v>0</v>
      </c>
      <c r="AF13" s="98">
        <f>+SUM(EL_DEL_CD2_JO_!AF13,EL_DEL_CD2_SBI_1_4_!AF13,EL_DEL_CD2_SBI_5_6_!AF13,EL_DEL_CD2_SBI_7_8_!AF13,EL_DEL_CD2_SBI_9_10_!AF13,EL_DEL_CD2_STAB_!AF13,EL_DEL_CD2_JO_L_!AF13,EL_DEL_CD2_SBI_L_1_4_!AF13,EL_DEL_CD2_SBI_L_5_6_!AF13,EL_DEL_CD2_SBI_L_7_8_!AF13,EL_DEL_CD2_SBI_L_9_10_!AF13,EL_DEL_CD2_L_STAB_!AF13)</f>
        <v>0</v>
      </c>
      <c r="AG13" s="98">
        <f>+SUM(EL_DEL_CD2_JO_!AG13,EL_DEL_CD2_SBI_1_4_!AG13,EL_DEL_CD2_SBI_5_6_!AG13,EL_DEL_CD2_SBI_7_8_!AG13,EL_DEL_CD2_SBI_9_10_!AG13,EL_DEL_CD2_STAB_!AG13,EL_DEL_CD2_JO_L_!AG13,EL_DEL_CD2_SBI_L_1_4_!AG13,EL_DEL_CD2_SBI_L_5_6_!AG13,EL_DEL_CD2_SBI_L_7_8_!AG13,EL_DEL_CD2_SBI_L_9_10_!AG13,EL_DEL_CD2_L_STAB_!AG13)</f>
        <v>0</v>
      </c>
      <c r="AH13" s="98">
        <f>+SUM(EL_DEL_CD2_JO_!AH13,EL_DEL_CD2_SBI_1_4_!AH13,EL_DEL_CD2_SBI_5_6_!AH13,EL_DEL_CD2_SBI_7_8_!AH13,EL_DEL_CD2_SBI_9_10_!AH13,EL_DEL_CD2_STAB_!AH13,EL_DEL_CD2_JO_L_!AH13,EL_DEL_CD2_SBI_L_1_4_!AH13,EL_DEL_CD2_SBI_L_5_6_!AH13,EL_DEL_CD2_SBI_L_7_8_!AH13,EL_DEL_CD2_SBI_L_9_10_!AH13,EL_DEL_CD2_L_STAB_!AH13)</f>
        <v>0</v>
      </c>
      <c r="AI13" s="98">
        <f>+SUM(EL_DEL_CD2_JO_!AI13,EL_DEL_CD2_SBI_1_4_!AI13,EL_DEL_CD2_SBI_5_6_!AI13,EL_DEL_CD2_SBI_7_8_!AI13,EL_DEL_CD2_SBI_9_10_!AI13,EL_DEL_CD2_STAB_!AI13,EL_DEL_CD2_JO_L_!AI13,EL_DEL_CD2_SBI_L_1_4_!AI13,EL_DEL_CD2_SBI_L_5_6_!AI13,EL_DEL_CD2_SBI_L_7_8_!AI13,EL_DEL_CD2_SBI_L_9_10_!AI13,EL_DEL_CD2_L_STAB_!AI13)</f>
        <v>0</v>
      </c>
      <c r="AJ13" s="98">
        <f>+SUM(EL_DEL_CD2_JO_!AJ13,EL_DEL_CD2_SBI_1_4_!AJ13,EL_DEL_CD2_SBI_5_6_!AJ13,EL_DEL_CD2_SBI_7_8_!AJ13,EL_DEL_CD2_SBI_9_10_!AJ13,EL_DEL_CD2_STAB_!AJ13,EL_DEL_CD2_JO_L_!AJ13,EL_DEL_CD2_SBI_L_1_4_!AJ13,EL_DEL_CD2_SBI_L_5_6_!AJ13,EL_DEL_CD2_SBI_L_7_8_!AJ13,EL_DEL_CD2_SBI_L_9_10_!AJ13,EL_DEL_CD2_L_STAB_!AJ13)</f>
        <v>0</v>
      </c>
      <c r="AK13" s="98">
        <f>+SUM(EL_DEL_CD2_JO_!AK13,EL_DEL_CD2_SBI_1_4_!AK13,EL_DEL_CD2_SBI_5_6_!AK13,EL_DEL_CD2_SBI_7_8_!AK13,EL_DEL_CD2_SBI_9_10_!AK13,EL_DEL_CD2_STAB_!AK13,EL_DEL_CD2_JO_L_!AK13,EL_DEL_CD2_SBI_L_1_4_!AK13,EL_DEL_CD2_SBI_L_5_6_!AK13,EL_DEL_CD2_SBI_L_7_8_!AK13,EL_DEL_CD2_SBI_L_9_10_!AK13,EL_DEL_CD2_L_STAB_!AK13)</f>
        <v>0</v>
      </c>
      <c r="AL13" s="152" t="str">
        <f>+IFERROR(AVERAGE(EL_DEL_CD2_JO_!AL13,EL_DEL_CD2_SBI_1_4_!AL13,EL_DEL_CD2_SBI_5_6_!AL13,EL_DEL_CD2_SBI_7_8_!AL13,EL_DEL_CD2_SBI_9_10_!AL13,EL_DEL_CD2_STAB_!AL13,EL_DEL_CD2_JO_L_!AL13,EL_DEL_CD2_SBI_L_1_4_!AL13,EL_DEL_CD2_SBI_L_5_6_!AL13,EL_DEL_CD2_SBI_L_7_8_!AL13,EL_DEL_CD2_SBI_L_9_10_!AL13,EL_DEL_CD2_L_STAB_!AL13),"0:00")</f>
        <v>0:00</v>
      </c>
      <c r="AM13" s="152" t="str">
        <f>+IFERROR(AVERAGE(EL_DEL_CD2_JO_!AM13,EL_DEL_CD2_SBI_1_4_!AM13,EL_DEL_CD2_SBI_5_6_!AM13,EL_DEL_CD2_SBI_7_8_!AM13,EL_DEL_CD2_SBI_9_10_!AM13,EL_DEL_CD2_STAB_!AM13,EL_DEL_CD2_JO_L_!AM13,EL_DEL_CD2_SBI_L_1_4_!AM13,EL_DEL_CD2_SBI_L_5_6_!AM13,EL_DEL_CD2_SBI_L_7_8_!AM13,EL_DEL_CD2_SBI_L_9_10_!AM13,EL_DEL_CD2_L_STAB_!AM13),"0:00")</f>
        <v>0:00</v>
      </c>
      <c r="AN13" s="152" t="str">
        <f>+IFERROR(AVERAGE(EL_DEL_CD2_JO_!AN13,EL_DEL_CD2_SBI_1_4_!AN13,EL_DEL_CD2_SBI_5_6_!AN13,EL_DEL_CD2_SBI_7_8_!AN13,EL_DEL_CD2_SBI_9_10_!AN13,EL_DEL_CD2_STAB_!AN13,EL_DEL_CD2_JO_L_!AN13,EL_DEL_CD2_SBI_L_1_4_!AN13,EL_DEL_CD2_SBI_L_5_6_!AN13,EL_DEL_CD2_SBI_L_7_8_!AN13,EL_DEL_CD2_SBI_L_9_10_!AN13,EL_DEL_CD2_L_STAB_!AN13),"0:00")</f>
        <v>0:00</v>
      </c>
      <c r="AO13" s="152" t="str">
        <f>+IFERROR(AVERAGE(EL_DEL_CD2_JO_!AO13,EL_DEL_CD2_SBI_1_4_!AO13,EL_DEL_CD2_SBI_5_6_!AO13,EL_DEL_CD2_SBI_7_8_!AO13,EL_DEL_CD2_SBI_9_10_!AO13,EL_DEL_CD2_STAB_!AO13,EL_DEL_CD2_JO_L_!AO13,EL_DEL_CD2_SBI_L_1_4_!AO13,EL_DEL_CD2_SBI_L_5_6_!AO13,EL_DEL_CD2_SBI_L_7_8_!AO13,EL_DEL_CD2_SBI_L_9_10_!AO13,EL_DEL_CD2_L_STAB_!AO13),"0:00")</f>
        <v>0:00</v>
      </c>
      <c r="AP13" s="98" t="str">
        <f>+IFERROR(AVERAGE(EL_DEL_CD2_JO_!AP13,EL_DEL_CD2_SBI_1_4_!AP13,EL_DEL_CD2_SBI_5_6_!AP13,EL_DEL_CD2_SBI_7_8_!AP13,EL_DEL_CD2_SBI_9_10_!AP13,EL_DEL_CD2_STAB_!AP13,EL_DEL_CD2_JO_L_!AP13,EL_DEL_CD2_SBI_L_1_4_!AP13,EL_DEL_CD2_SBI_L_5_6_!AP13,EL_DEL_CD2_SBI_L_7_8_!AP13,EL_DEL_CD2_SBI_L_9_10_!AP13,EL_DEL_CD2_L_STAB_!AP13),"0:00")</f>
        <v>0:00</v>
      </c>
      <c r="AQ13" s="152" t="str">
        <f>+IFERROR(AVERAGE(EL_DEL_CD2_JO_!AQ13,EL_DEL_CD2_SBI_1_4_!AQ13,EL_DEL_CD2_SBI_5_6_!AQ13,EL_DEL_CD2_SBI_7_8_!AQ13,EL_DEL_CD2_SBI_9_10_!AQ13,EL_DEL_CD2_STAB_!AQ13,EL_DEL_CD2_JO_L_!AQ13,EL_DEL_CD2_SBI_L_1_4_!AQ13,EL_DEL_CD2_SBI_L_5_6_!AQ13,EL_DEL_CD2_SBI_L_7_8_!AQ13,EL_DEL_CD2_SBI_L_9_10_!AQ13,EL_DEL_CD2_L_STAB_!AQ13),"0:00")</f>
        <v>0:00</v>
      </c>
      <c r="AR13" s="152" t="str">
        <f>+IFERROR(AVERAGE(EL_DEL_CD2_JO_!AR13,EL_DEL_CD2_SBI_1_4_!AR13,EL_DEL_CD2_SBI_5_6_!AR13,EL_DEL_CD2_SBI_7_8_!AR13,EL_DEL_CD2_SBI_9_10_!AR13,EL_DEL_CD2_STAB_!AR13,EL_DEL_CD2_JO_L_!AR13,EL_DEL_CD2_SBI_L_1_4_!AR13,EL_DEL_CD2_SBI_L_5_6_!AR13,EL_DEL_CD2_SBI_L_7_8_!AR13,EL_DEL_CD2_SBI_L_9_10_!AR13,EL_DEL_CD2_L_STAB_!AR13),"0:00")</f>
        <v>0:00</v>
      </c>
      <c r="AS13" s="152" t="str">
        <f>+IFERROR(AVERAGE(EL_DEL_CD2_JO_!AS13,EL_DEL_CD2_SBI_1_4_!AS13,EL_DEL_CD2_SBI_5_6_!AS13,EL_DEL_CD2_SBI_7_8_!AS13,EL_DEL_CD2_SBI_9_10_!AS13,EL_DEL_CD2_STAB_!AS13,EL_DEL_CD2_JO_L_!AS13,EL_DEL_CD2_SBI_L_1_4_!AS13,EL_DEL_CD2_SBI_L_5_6_!AS13,EL_DEL_CD2_SBI_L_7_8_!AS13,EL_DEL_CD2_SBI_L_9_10_!AS13,EL_DEL_CD2_L_STAB_!AS13),"0:00")</f>
        <v>0:00</v>
      </c>
      <c r="AT13" s="98">
        <f>+SUM(EL_DEL_CD2_JO_!AT13,EL_DEL_CD2_SBI_1_4_!AT13,EL_DEL_CD2_SBI_5_6_!AT13,EL_DEL_CD2_SBI_7_8_!AT13,EL_DEL_CD2_SBI_9_10_!AT13,EL_DEL_CD2_STAB_!AT13,EL_DEL_CD2_JO_L_!AT13,EL_DEL_CD2_SBI_L_1_4_!AT13,EL_DEL_CD2_SBI_L_5_6_!AT13,EL_DEL_CD2_SBI_L_7_8_!AT13,EL_DEL_CD2_SBI_L_9_10_!AT13,EL_DEL_CD2_L_STAB_!AT13)</f>
        <v>0</v>
      </c>
      <c r="AU13" s="98">
        <f>+SUM(EL_DEL_CD2_JO_!AU13,EL_DEL_CD2_SBI_1_4_!AU13,EL_DEL_CD2_SBI_5_6_!AU13,EL_DEL_CD2_SBI_7_8_!AU13,EL_DEL_CD2_SBI_9_10_!AU13,EL_DEL_CD2_STAB_!AU13,EL_DEL_CD2_JO_L_!AU13,EL_DEL_CD2_SBI_L_1_4_!AU13,EL_DEL_CD2_SBI_L_5_6_!AU13,EL_DEL_CD2_SBI_L_7_8_!AU13,EL_DEL_CD2_SBI_L_9_10_!AU13,EL_DEL_CD2_L_STAB_!AU13)</f>
        <v>0</v>
      </c>
      <c r="AV13" s="98">
        <f>+SUM(EL_DEL_CD2_JO_!AV13,EL_DEL_CD2_SBI_1_4_!AV13,EL_DEL_CD2_SBI_5_6_!AV13,EL_DEL_CD2_SBI_7_8_!AV13,EL_DEL_CD2_SBI_9_10_!AV13,EL_DEL_CD2_STAB_!AV13,EL_DEL_CD2_JO_L_!AV13,EL_DEL_CD2_SBI_L_1_4_!AV13,EL_DEL_CD2_SBI_L_5_6_!AV13,EL_DEL_CD2_SBI_L_7_8_!AV13,EL_DEL_CD2_SBI_L_9_10_!AV13,EL_DEL_CD2_L_STAB_!AV13)</f>
        <v>0</v>
      </c>
      <c r="AW13" s="167">
        <f>+SUM(EL_DEL_CD2_JO_!AW13,EL_DEL_CD2_SBI_1_4_!AW13,EL_DEL_CD2_SBI_5_6_!AW13,EL_DEL_CD2_SBI_7_8_!AW13,EL_DEL_CD2_SBI_9_10_!AW13,EL_DEL_CD2_STAB_!AW13,EL_DEL_CD2_JO_L_!AW13,EL_DEL_CD2_SBI_L_1_4_!AW13,EL_DEL_CD2_SBI_L_5_6_!AW13,EL_DEL_CD2_SBI_L_7_8_!AW13,EL_DEL_CD2_SBI_L_9_10_!AW13,EL_DEL_CD2_L_STAB_!AW13)</f>
        <v>0</v>
      </c>
      <c r="AX13" s="102" t="str">
        <f t="shared" si="24"/>
        <v>-</v>
      </c>
      <c r="AY13" s="151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51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31"/>
        <v/>
      </c>
      <c r="BH13" s="119" t="str">
        <f t="shared" si="8"/>
        <v/>
      </c>
      <c r="BI13" s="120" t="str">
        <f t="shared" si="25"/>
        <v/>
      </c>
      <c r="BJ13" s="151"/>
      <c r="BK13" s="121" t="str">
        <f t="shared" si="9"/>
        <v/>
      </c>
      <c r="BL13" s="122" t="str">
        <f t="shared" si="10"/>
        <v/>
      </c>
      <c r="BM13" s="122" t="str">
        <f t="shared" si="11"/>
        <v/>
      </c>
      <c r="BN13" s="123" t="str">
        <f t="shared" si="12"/>
        <v/>
      </c>
      <c r="BO13" s="151"/>
      <c r="BP13" s="124" t="str">
        <f t="shared" si="13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4"/>
        <v/>
      </c>
      <c r="BU13" s="151"/>
      <c r="BV13" s="127" t="e">
        <f t="shared" si="15"/>
        <v>#DIV/0!</v>
      </c>
      <c r="BW13" s="127" t="e">
        <f t="shared" si="16"/>
        <v>#DIV/0!</v>
      </c>
      <c r="BX13" s="127" t="e">
        <f t="shared" si="17"/>
        <v>#DIV/0!</v>
      </c>
      <c r="BY13" s="127" t="e">
        <f t="shared" si="18"/>
        <v>#DIV/0!</v>
      </c>
      <c r="BZ13" s="127" t="e">
        <f t="shared" si="28"/>
        <v>#DIV/0!</v>
      </c>
      <c r="CA13" s="128" t="e">
        <f t="shared" si="29"/>
        <v>#DIV/0!</v>
      </c>
      <c r="CB13" s="151"/>
      <c r="CC13" s="129" t="str">
        <f t="shared" si="19"/>
        <v>-</v>
      </c>
      <c r="CD13" s="130" t="str">
        <f t="shared" si="20"/>
        <v>-</v>
      </c>
      <c r="CE13" s="130" t="str">
        <f t="shared" si="21"/>
        <v>-</v>
      </c>
      <c r="CF13" s="130" t="str">
        <f t="shared" si="22"/>
        <v>-</v>
      </c>
      <c r="CG13" s="131" t="str">
        <f t="shared" si="23"/>
        <v>-</v>
      </c>
      <c r="CH13" s="151"/>
    </row>
    <row r="14" spans="1:86" s="115" customFormat="1" ht="12.4" customHeight="1" thickBot="1" x14ac:dyDescent="0.25">
      <c r="A14" s="96">
        <f t="shared" si="30"/>
        <v>46306</v>
      </c>
      <c r="B14" s="97" t="str">
        <f>+TEXT(A14,"DDD")</f>
        <v>Sun</v>
      </c>
      <c r="C14" s="98">
        <f>+SUM(EL_DEL_CD2_JO_!C14,EL_DEL_CD2_SBI_1_4_!C14,EL_DEL_CD2_SBI_5_6_!C14,EL_DEL_CD2_SBI_7_8_!C14,EL_DEL_CD2_SBI_9_10_!C14,EL_DEL_CD2_STAB_!C14,EL_DEL_CD2_JO_L_!C14,EL_DEL_CD2_SBI_L_1_4_!C14,EL_DEL_CD2_SBI_L_5_6_!C14,EL_DEL_CD2_SBI_L_7_8_!C14,EL_DEL_CD2_SBI_L_9_10_!C14,EL_DEL_CD2_L_STAB_!C14)</f>
        <v>0</v>
      </c>
      <c r="D14" s="98">
        <f>+SUM(EL_DEL_CD2_JO_!D14,EL_DEL_CD2_SBI_1_4_!D14,EL_DEL_CD2_SBI_5_6_!D14,EL_DEL_CD2_SBI_7_8_!D14,EL_DEL_CD2_SBI_9_10_!D14,EL_DEL_CD2_STAB_!D14,EL_DEL_CD2_JO_L_!D14,EL_DEL_CD2_SBI_L_1_4_!D14,EL_DEL_CD2_SBI_L_5_6_!D14,EL_DEL_CD2_SBI_L_7_8_!D14,EL_DEL_CD2_SBI_L_9_10_!D14,EL_DEL_CD2_L_STAB_!D14)</f>
        <v>0</v>
      </c>
      <c r="E14" s="98">
        <f>+SUM(EL_DEL_CD2_JO_!E14,EL_DEL_CD2_SBI_1_4_!E14,EL_DEL_CD2_SBI_5_6_!E14,EL_DEL_CD2_SBI_7_8_!E14,EL_DEL_CD2_SBI_9_10_!E14,EL_DEL_CD2_STAB_!E14,EL_DEL_CD2_JO_L_!E14,EL_DEL_CD2_SBI_L_1_4_!E14,EL_DEL_CD2_SBI_L_5_6_!E14,EL_DEL_CD2_SBI_L_7_8_!E14,EL_DEL_CD2_SBI_L_9_10_!E14,EL_DEL_CD2_L_STAB_!E14)</f>
        <v>0</v>
      </c>
      <c r="F14" s="98">
        <f>+SUM(EL_DEL_CD2_JO_!F14,EL_DEL_CD2_SBI_1_4_!F14,EL_DEL_CD2_SBI_5_6_!F14,EL_DEL_CD2_SBI_7_8_!F14,EL_DEL_CD2_SBI_9_10_!F14,EL_DEL_CD2_STAB_!F14,EL_DEL_CD2_JO_L_!F14,EL_DEL_CD2_SBI_L_1_4_!F14,EL_DEL_CD2_SBI_L_5_6_!F14,EL_DEL_CD2_SBI_L_7_8_!F14,EL_DEL_CD2_SBI_L_9_10_!F14,EL_DEL_CD2_L_STAB_!F14)</f>
        <v>0</v>
      </c>
      <c r="G14" s="98">
        <f>+SUM(EL_DEL_CD2_JO_!G14,EL_DEL_CD2_SBI_1_4_!G14,EL_DEL_CD2_SBI_5_6_!G14,EL_DEL_CD2_SBI_7_8_!G14,EL_DEL_CD2_SBI_9_10_!G14,EL_DEL_CD2_STAB_!G14,EL_DEL_CD2_JO_L_!G14,EL_DEL_CD2_SBI_L_1_4_!G14,EL_DEL_CD2_SBI_L_5_6_!G14,EL_DEL_CD2_SBI_L_7_8_!G14,EL_DEL_CD2_SBI_L_9_10_!G14,EL_DEL_CD2_L_STAB_!G14)</f>
        <v>0</v>
      </c>
      <c r="H14" s="98">
        <f>+SUM(EL_DEL_CD2_JO_!H14,EL_DEL_CD2_SBI_1_4_!H14,EL_DEL_CD2_SBI_5_6_!H14,EL_DEL_CD2_SBI_7_8_!H14,EL_DEL_CD2_SBI_9_10_!H14,EL_DEL_CD2_STAB_!H14,EL_DEL_CD2_JO_L_!H14,EL_DEL_CD2_SBI_L_1_4_!H14,EL_DEL_CD2_SBI_L_5_6_!H14,EL_DEL_CD2_SBI_L_7_8_!H14,EL_DEL_CD2_SBI_L_9_10_!H14,EL_DEL_CD2_L_STAB_!H14)</f>
        <v>0</v>
      </c>
      <c r="I14" s="98">
        <f>+SUM(EL_DEL_CD2_JO_!I14,EL_DEL_CD2_SBI_1_4_!I14,EL_DEL_CD2_SBI_5_6_!I14,EL_DEL_CD2_SBI_7_8_!I14,EL_DEL_CD2_SBI_9_10_!I14,EL_DEL_CD2_STAB_!I14,EL_DEL_CD2_JO_L_!I14,EL_DEL_CD2_SBI_L_1_4_!I14,EL_DEL_CD2_SBI_L_5_6_!I14,EL_DEL_CD2_SBI_L_7_8_!I14,EL_DEL_CD2_SBI_L_9_10_!I14,EL_DEL_CD2_L_STAB_!I14)</f>
        <v>0</v>
      </c>
      <c r="J14" s="98">
        <f>+SUM(EL_DEL_CD2_JO_!J14,EL_DEL_CD2_SBI_1_4_!J14,EL_DEL_CD2_SBI_5_6_!J14,EL_DEL_CD2_SBI_7_8_!J14,EL_DEL_CD2_SBI_9_10_!J14,EL_DEL_CD2_STAB_!J14,EL_DEL_CD2_JO_L_!J14,EL_DEL_CD2_SBI_L_1_4_!J14,EL_DEL_CD2_SBI_L_5_6_!J14,EL_DEL_CD2_SBI_L_7_8_!J14,EL_DEL_CD2_SBI_L_9_10_!J14,EL_DEL_CD2_L_STAB_!J14)</f>
        <v>0</v>
      </c>
      <c r="K14" s="98">
        <f>+SUM(EL_DEL_CD2_JO_!K14,EL_DEL_CD2_SBI_1_4_!K14,EL_DEL_CD2_SBI_5_6_!K14,EL_DEL_CD2_SBI_7_8_!K14,EL_DEL_CD2_SBI_9_10_!K14,EL_DEL_CD2_STAB_!K14,EL_DEL_CD2_JO_L_!K14,EL_DEL_CD2_SBI_L_1_4_!K14,EL_DEL_CD2_SBI_L_5_6_!K14,EL_DEL_CD2_SBI_L_7_8_!K14,EL_DEL_CD2_SBI_L_9_10_!K14,EL_DEL_CD2_L_STAB_!K14)</f>
        <v>0</v>
      </c>
      <c r="L14" s="98">
        <f>+SUM(EL_DEL_CD2_JO_!L14,EL_DEL_CD2_SBI_1_4_!L14,EL_DEL_CD2_SBI_5_6_!L14,EL_DEL_CD2_SBI_7_8_!L14,EL_DEL_CD2_SBI_9_10_!L14,EL_DEL_CD2_STAB_!L14,EL_DEL_CD2_JO_L_!L14,EL_DEL_CD2_SBI_L_1_4_!L14,EL_DEL_CD2_SBI_L_5_6_!L14,EL_DEL_CD2_SBI_L_7_8_!L14,EL_DEL_CD2_SBI_L_9_10_!L14,EL_DEL_CD2_L_STAB_!L14)</f>
        <v>0</v>
      </c>
      <c r="M14" s="98">
        <f>+SUM(EL_DEL_CD2_JO_!M14,EL_DEL_CD2_SBI_1_4_!M14,EL_DEL_CD2_SBI_5_6_!M14,EL_DEL_CD2_SBI_7_8_!M14,EL_DEL_CD2_SBI_9_10_!M14,EL_DEL_CD2_STAB_!M14,EL_DEL_CD2_JO_L_!M14,EL_DEL_CD2_SBI_L_1_4_!M14,EL_DEL_CD2_SBI_L_5_6_!M14,EL_DEL_CD2_SBI_L_7_8_!M14,EL_DEL_CD2_SBI_L_9_10_!M14,EL_DEL_CD2_L_STAB_!M14)</f>
        <v>0</v>
      </c>
      <c r="N14" s="98">
        <f>+SUM(EL_DEL_CD2_JO_!N14,EL_DEL_CD2_SBI_1_4_!N14,EL_DEL_CD2_SBI_5_6_!N14,EL_DEL_CD2_SBI_7_8_!N14,EL_DEL_CD2_SBI_9_10_!N14,EL_DEL_CD2_STAB_!N14,EL_DEL_CD2_JO_L_!N14,EL_DEL_CD2_SBI_L_1_4_!N14,EL_DEL_CD2_SBI_L_5_6_!N14,EL_DEL_CD2_SBI_L_7_8_!N14,EL_DEL_CD2_SBI_L_9_10_!N14,EL_DEL_CD2_L_STAB_!N14)</f>
        <v>0</v>
      </c>
      <c r="O14" s="98">
        <f>+SUM(EL_DEL_CD2_JO_!O14,EL_DEL_CD2_SBI_1_4_!O14,EL_DEL_CD2_SBI_5_6_!O14,EL_DEL_CD2_SBI_7_8_!O14,EL_DEL_CD2_SBI_9_10_!O14,EL_DEL_CD2_STAB_!O14,EL_DEL_CD2_JO_L_!O14,EL_DEL_CD2_SBI_L_1_4_!O14,EL_DEL_CD2_SBI_L_5_6_!O14,EL_DEL_CD2_SBI_L_7_8_!O14,EL_DEL_CD2_SBI_L_9_10_!O14,EL_DEL_CD2_L_STAB_!O14)</f>
        <v>0</v>
      </c>
      <c r="P14" s="98">
        <f>+SUM(EL_DEL_CD2_JO_!P14,EL_DEL_CD2_SBI_1_4_!P14,EL_DEL_CD2_SBI_5_6_!P14,EL_DEL_CD2_SBI_7_8_!P14,EL_DEL_CD2_SBI_9_10_!P14,EL_DEL_CD2_STAB_!P14,EL_DEL_CD2_JO_L_!P14,EL_DEL_CD2_SBI_L_1_4_!P14,EL_DEL_CD2_SBI_L_5_6_!P14,EL_DEL_CD2_SBI_L_7_8_!P14,EL_DEL_CD2_SBI_L_9_10_!P14,EL_DEL_CD2_L_STAB_!P14)</f>
        <v>0</v>
      </c>
      <c r="Q14" s="98">
        <f>+SUM(EL_DEL_CD2_JO_!Q14,EL_DEL_CD2_SBI_1_4_!Q14,EL_DEL_CD2_SBI_5_6_!Q14,EL_DEL_CD2_SBI_7_8_!Q14,EL_DEL_CD2_SBI_9_10_!Q14,EL_DEL_CD2_STAB_!Q14,EL_DEL_CD2_JO_L_!Q14,EL_DEL_CD2_SBI_L_1_4_!Q14,EL_DEL_CD2_SBI_L_5_6_!Q14,EL_DEL_CD2_SBI_L_7_8_!Q14,EL_DEL_CD2_SBI_L_9_10_!Q14,EL_DEL_CD2_L_STAB_!Q14)</f>
        <v>0</v>
      </c>
      <c r="R14" s="98">
        <f>+SUM(EL_DEL_CD2_JO_!R14,EL_DEL_CD2_SBI_1_4_!R14,EL_DEL_CD2_SBI_5_6_!R14,EL_DEL_CD2_SBI_7_8_!R14,EL_DEL_CD2_SBI_9_10_!R14,EL_DEL_CD2_STAB_!R14,EL_DEL_CD2_JO_L_!R14,EL_DEL_CD2_SBI_L_1_4_!R14,EL_DEL_CD2_SBI_L_5_6_!R14,EL_DEL_CD2_SBI_L_7_8_!R14,EL_DEL_CD2_SBI_L_9_10_!R14,EL_DEL_CD2_L_STAB_!R14)</f>
        <v>0</v>
      </c>
      <c r="S14" s="98">
        <f>+SUM(EL_DEL_CD2_JO_!S14,EL_DEL_CD2_SBI_1_4_!S14,EL_DEL_CD2_SBI_5_6_!S14,EL_DEL_CD2_SBI_7_8_!S14,EL_DEL_CD2_SBI_9_10_!S14,EL_DEL_CD2_STAB_!S14,EL_DEL_CD2_JO_L_!S14,EL_DEL_CD2_SBI_L_1_4_!S14,EL_DEL_CD2_SBI_L_5_6_!S14,EL_DEL_CD2_SBI_L_7_8_!S14,EL_DEL_CD2_SBI_L_9_10_!S14,EL_DEL_CD2_L_STAB_!S14)</f>
        <v>0</v>
      </c>
      <c r="T14" s="98">
        <f>+SUM(EL_DEL_CD2_JO_!T14,EL_DEL_CD2_SBI_1_4_!T14,EL_DEL_CD2_SBI_5_6_!T14,EL_DEL_CD2_SBI_7_8_!T14,EL_DEL_CD2_SBI_9_10_!T14,EL_DEL_CD2_STAB_!T14,EL_DEL_CD2_JO_L_!T14,EL_DEL_CD2_SBI_L_1_4_!T14,EL_DEL_CD2_SBI_L_5_6_!T14,EL_DEL_CD2_SBI_L_7_8_!T14,EL_DEL_CD2_SBI_L_9_10_!T14,EL_DEL_CD2_L_STAB_!T14)</f>
        <v>0</v>
      </c>
      <c r="U14" s="60">
        <f>+SUM(EL_DEL_CD2_JO_!U14,EL_DEL_CD2_SBI_1_4_!U14,EL_DEL_CD2_SBI_5_6_!U14,EL_DEL_CD2_SBI_7_8_!U14,EL_DEL_CD2_SBI_9_10_!U14,EL_DEL_CD2_STAB_!U14,EL_DEL_CD2_JO_L_!U14,EL_DEL_CD2_SBI_L_1_4_!U14,EL_DEL_CD2_SBI_L_5_6_!U14,EL_DEL_CD2_SBI_L_7_8_!U14,EL_DEL_CD2_SBI_L_9_10_!U14,EL_DEL_CD2_L_STAB_!U14)</f>
        <v>0</v>
      </c>
      <c r="V14" s="98">
        <f>+SUM(EL_DEL_CD2_JO_!V14,EL_DEL_CD2_SBI_1_4_!V14,EL_DEL_CD2_SBI_5_6_!V14,EL_DEL_CD2_SBI_7_8_!V14,EL_DEL_CD2_SBI_9_10_!V14,EL_DEL_CD2_STAB_!V14,EL_DEL_CD2_JO_L_!V14,EL_DEL_CD2_SBI_L_1_4_!V14,EL_DEL_CD2_SBI_L_5_6_!V14,EL_DEL_CD2_SBI_L_7_8_!V14,EL_DEL_CD2_SBI_L_9_10_!V14,EL_DEL_CD2_L_STAB_!V14)</f>
        <v>0</v>
      </c>
      <c r="W14" s="98">
        <f>+SUM(EL_DEL_CD2_JO_!W14,EL_DEL_CD2_SBI_1_4_!W14,EL_DEL_CD2_SBI_5_6_!W14,EL_DEL_CD2_SBI_7_8_!W14,EL_DEL_CD2_SBI_9_10_!W14,EL_DEL_CD2_STAB_!W14,EL_DEL_CD2_JO_L_!W14,EL_DEL_CD2_SBI_L_1_4_!W14,EL_DEL_CD2_SBI_L_5_6_!W14,EL_DEL_CD2_SBI_L_7_8_!W14,EL_DEL_CD2_SBI_L_9_10_!W14,EL_DEL_CD2_L_STAB_!W14)</f>
        <v>0</v>
      </c>
      <c r="X14" s="98">
        <f>+SUM(EL_DEL_CD2_JO_!X14,EL_DEL_CD2_SBI_1_4_!X14,EL_DEL_CD2_SBI_5_6_!X14,EL_DEL_CD2_SBI_7_8_!X14,EL_DEL_CD2_SBI_9_10_!X14,EL_DEL_CD2_STAB_!X14,EL_DEL_CD2_JO_L_!X14,EL_DEL_CD2_SBI_L_1_4_!X14,EL_DEL_CD2_SBI_L_5_6_!X14,EL_DEL_CD2_SBI_L_7_8_!X14,EL_DEL_CD2_SBI_L_9_10_!X14,EL_DEL_CD2_L_STAB_!X14)</f>
        <v>0</v>
      </c>
      <c r="Y14" s="98">
        <f>+SUM(EL_DEL_CD2_JO_!Y14,EL_DEL_CD2_SBI_1_4_!Y14,EL_DEL_CD2_SBI_5_6_!Y14,EL_DEL_CD2_SBI_7_8_!Y14,EL_DEL_CD2_SBI_9_10_!Y14,EL_DEL_CD2_STAB_!Y14,EL_DEL_CD2_JO_L_!Y14,EL_DEL_CD2_SBI_L_1_4_!Y14,EL_DEL_CD2_SBI_L_5_6_!Y14,EL_DEL_CD2_SBI_L_7_8_!Y14,EL_DEL_CD2_SBI_L_9_10_!Y14,EL_DEL_CD2_L_STAB_!Y14)</f>
        <v>0</v>
      </c>
      <c r="Z14" s="98">
        <f>+SUM(EL_DEL_CD2_JO_!Z14,EL_DEL_CD2_SBI_1_4_!Z14,EL_DEL_CD2_SBI_5_6_!Z14,EL_DEL_CD2_SBI_7_8_!Z14,EL_DEL_CD2_SBI_9_10_!Z14,EL_DEL_CD2_STAB_!Z14,EL_DEL_CD2_JO_L_!Z14,EL_DEL_CD2_SBI_L_1_4_!Z14,EL_DEL_CD2_SBI_L_5_6_!Z14,EL_DEL_CD2_SBI_L_7_8_!Z14,EL_DEL_CD2_SBI_L_9_10_!Z14,EL_DEL_CD2_L_STAB_!Z14)</f>
        <v>0</v>
      </c>
      <c r="AA14" s="98">
        <f>+SUM(EL_DEL_CD2_JO_!AA14,EL_DEL_CD2_SBI_1_4_!AA14,EL_DEL_CD2_SBI_5_6_!AA14,EL_DEL_CD2_SBI_7_8_!AA14,EL_DEL_CD2_SBI_9_10_!AA14,EL_DEL_CD2_STAB_!AA14,EL_DEL_CD2_JO_L_!AA14,EL_DEL_CD2_SBI_L_1_4_!AA14,EL_DEL_CD2_SBI_L_5_6_!AA14,EL_DEL_CD2_SBI_L_7_8_!AA14,EL_DEL_CD2_SBI_L_9_10_!AA14,EL_DEL_CD2_L_STAB_!AA14)</f>
        <v>0</v>
      </c>
      <c r="AB14" s="98">
        <f>+SUM(EL_DEL_CD2_JO_!AB14,EL_DEL_CD2_SBI_1_4_!AB14,EL_DEL_CD2_SBI_5_6_!AB14,EL_DEL_CD2_SBI_7_8_!AB14,EL_DEL_CD2_SBI_9_10_!AB14,EL_DEL_CD2_STAB_!AB14,EL_DEL_CD2_JO_L_!AB14,EL_DEL_CD2_SBI_L_1_4_!AB14,EL_DEL_CD2_SBI_L_5_6_!AB14,EL_DEL_CD2_SBI_L_7_8_!AB14,EL_DEL_CD2_SBI_L_9_10_!AB14,EL_DEL_CD2_L_STAB_!AB14)</f>
        <v>0</v>
      </c>
      <c r="AC14" s="98">
        <f>+SUM(EL_DEL_CD2_JO_!AC14,EL_DEL_CD2_SBI_1_4_!AC14,EL_DEL_CD2_SBI_5_6_!AC14,EL_DEL_CD2_SBI_7_8_!AC14,EL_DEL_CD2_SBI_9_10_!AC14,EL_DEL_CD2_STAB_!AC14,EL_DEL_CD2_JO_L_!AC14,EL_DEL_CD2_SBI_L_1_4_!AC14,EL_DEL_CD2_SBI_L_5_6_!AC14,EL_DEL_CD2_SBI_L_7_8_!AC14,EL_DEL_CD2_SBI_L_9_10_!AC14,EL_DEL_CD2_L_STAB_!AC14)</f>
        <v>0</v>
      </c>
      <c r="AD14" s="98">
        <f>+SUM(EL_DEL_CD2_JO_!AD14,EL_DEL_CD2_SBI_1_4_!AD14,EL_DEL_CD2_SBI_5_6_!AD14,EL_DEL_CD2_SBI_7_8_!AD14,EL_DEL_CD2_SBI_9_10_!AD14,EL_DEL_CD2_STAB_!AD14,EL_DEL_CD2_JO_L_!AD14,EL_DEL_CD2_SBI_L_1_4_!AD14,EL_DEL_CD2_SBI_L_5_6_!AD14,EL_DEL_CD2_SBI_L_7_8_!AD14,EL_DEL_CD2_SBI_L_9_10_!AD14,EL_DEL_CD2_L_STAB_!AD14)</f>
        <v>0</v>
      </c>
      <c r="AE14" s="98">
        <f>+SUM(EL_DEL_CD2_JO_!AE14,EL_DEL_CD2_SBI_1_4_!AE14,EL_DEL_CD2_SBI_5_6_!AE14,EL_DEL_CD2_SBI_7_8_!AE14,EL_DEL_CD2_SBI_9_10_!AE14,EL_DEL_CD2_STAB_!AE14,EL_DEL_CD2_JO_L_!AE14,EL_DEL_CD2_SBI_L_1_4_!AE14,EL_DEL_CD2_SBI_L_5_6_!AE14,EL_DEL_CD2_SBI_L_7_8_!AE14,EL_DEL_CD2_SBI_L_9_10_!AE14,EL_DEL_CD2_L_STAB_!AE14)</f>
        <v>0</v>
      </c>
      <c r="AF14" s="98">
        <f>+SUM(EL_DEL_CD2_JO_!AF14,EL_DEL_CD2_SBI_1_4_!AF14,EL_DEL_CD2_SBI_5_6_!AF14,EL_DEL_CD2_SBI_7_8_!AF14,EL_DEL_CD2_SBI_9_10_!AF14,EL_DEL_CD2_STAB_!AF14,EL_DEL_CD2_JO_L_!AF14,EL_DEL_CD2_SBI_L_1_4_!AF14,EL_DEL_CD2_SBI_L_5_6_!AF14,EL_DEL_CD2_SBI_L_7_8_!AF14,EL_DEL_CD2_SBI_L_9_10_!AF14,EL_DEL_CD2_L_STAB_!AF14)</f>
        <v>0</v>
      </c>
      <c r="AG14" s="98">
        <f>+SUM(EL_DEL_CD2_JO_!AG14,EL_DEL_CD2_SBI_1_4_!AG14,EL_DEL_CD2_SBI_5_6_!AG14,EL_DEL_CD2_SBI_7_8_!AG14,EL_DEL_CD2_SBI_9_10_!AG14,EL_DEL_CD2_STAB_!AG14,EL_DEL_CD2_JO_L_!AG14,EL_DEL_CD2_SBI_L_1_4_!AG14,EL_DEL_CD2_SBI_L_5_6_!AG14,EL_DEL_CD2_SBI_L_7_8_!AG14,EL_DEL_CD2_SBI_L_9_10_!AG14,EL_DEL_CD2_L_STAB_!AG14)</f>
        <v>0</v>
      </c>
      <c r="AH14" s="98">
        <f>+SUM(EL_DEL_CD2_JO_!AH14,EL_DEL_CD2_SBI_1_4_!AH14,EL_DEL_CD2_SBI_5_6_!AH14,EL_DEL_CD2_SBI_7_8_!AH14,EL_DEL_CD2_SBI_9_10_!AH14,EL_DEL_CD2_STAB_!AH14,EL_DEL_CD2_JO_L_!AH14,EL_DEL_CD2_SBI_L_1_4_!AH14,EL_DEL_CD2_SBI_L_5_6_!AH14,EL_DEL_CD2_SBI_L_7_8_!AH14,EL_DEL_CD2_SBI_L_9_10_!AH14,EL_DEL_CD2_L_STAB_!AH14)</f>
        <v>0</v>
      </c>
      <c r="AI14" s="98">
        <f>+SUM(EL_DEL_CD2_JO_!AI14,EL_DEL_CD2_SBI_1_4_!AI14,EL_DEL_CD2_SBI_5_6_!AI14,EL_DEL_CD2_SBI_7_8_!AI14,EL_DEL_CD2_SBI_9_10_!AI14,EL_DEL_CD2_STAB_!AI14,EL_DEL_CD2_JO_L_!AI14,EL_DEL_CD2_SBI_L_1_4_!AI14,EL_DEL_CD2_SBI_L_5_6_!AI14,EL_DEL_CD2_SBI_L_7_8_!AI14,EL_DEL_CD2_SBI_L_9_10_!AI14,EL_DEL_CD2_L_STAB_!AI14)</f>
        <v>0</v>
      </c>
      <c r="AJ14" s="98">
        <f>+SUM(EL_DEL_CD2_JO_!AJ14,EL_DEL_CD2_SBI_1_4_!AJ14,EL_DEL_CD2_SBI_5_6_!AJ14,EL_DEL_CD2_SBI_7_8_!AJ14,EL_DEL_CD2_SBI_9_10_!AJ14,EL_DEL_CD2_STAB_!AJ14,EL_DEL_CD2_JO_L_!AJ14,EL_DEL_CD2_SBI_L_1_4_!AJ14,EL_DEL_CD2_SBI_L_5_6_!AJ14,EL_DEL_CD2_SBI_L_7_8_!AJ14,EL_DEL_CD2_SBI_L_9_10_!AJ14,EL_DEL_CD2_L_STAB_!AJ14)</f>
        <v>0</v>
      </c>
      <c r="AK14" s="98">
        <f>+SUM(EL_DEL_CD2_JO_!AK14,EL_DEL_CD2_SBI_1_4_!AK14,EL_DEL_CD2_SBI_5_6_!AK14,EL_DEL_CD2_SBI_7_8_!AK14,EL_DEL_CD2_SBI_9_10_!AK14,EL_DEL_CD2_STAB_!AK14,EL_DEL_CD2_JO_L_!AK14,EL_DEL_CD2_SBI_L_1_4_!AK14,EL_DEL_CD2_SBI_L_5_6_!AK14,EL_DEL_CD2_SBI_L_7_8_!AK14,EL_DEL_CD2_SBI_L_9_10_!AK14,EL_DEL_CD2_L_STAB_!AK14)</f>
        <v>0</v>
      </c>
      <c r="AL14" s="152" t="str">
        <f>+IFERROR(AVERAGE(EL_DEL_CD2_JO_!AL14,EL_DEL_CD2_SBI_1_4_!AL14,EL_DEL_CD2_SBI_5_6_!AL14,EL_DEL_CD2_SBI_7_8_!AL14,EL_DEL_CD2_SBI_9_10_!AL14,EL_DEL_CD2_STAB_!AL14,EL_DEL_CD2_JO_L_!AL14,EL_DEL_CD2_SBI_L_1_4_!AL14,EL_DEL_CD2_SBI_L_5_6_!AL14,EL_DEL_CD2_SBI_L_7_8_!AL14,EL_DEL_CD2_SBI_L_9_10_!AL14,EL_DEL_CD2_L_STAB_!AL14),"0:00")</f>
        <v>0:00</v>
      </c>
      <c r="AM14" s="152" t="str">
        <f>+IFERROR(AVERAGE(EL_DEL_CD2_JO_!AM14,EL_DEL_CD2_SBI_1_4_!AM14,EL_DEL_CD2_SBI_5_6_!AM14,EL_DEL_CD2_SBI_7_8_!AM14,EL_DEL_CD2_SBI_9_10_!AM14,EL_DEL_CD2_STAB_!AM14,EL_DEL_CD2_JO_L_!AM14,EL_DEL_CD2_SBI_L_1_4_!AM14,EL_DEL_CD2_SBI_L_5_6_!AM14,EL_DEL_CD2_SBI_L_7_8_!AM14,EL_DEL_CD2_SBI_L_9_10_!AM14,EL_DEL_CD2_L_STAB_!AM14),"0:00")</f>
        <v>0:00</v>
      </c>
      <c r="AN14" s="152" t="str">
        <f>+IFERROR(AVERAGE(EL_DEL_CD2_JO_!AN14,EL_DEL_CD2_SBI_1_4_!AN14,EL_DEL_CD2_SBI_5_6_!AN14,EL_DEL_CD2_SBI_7_8_!AN14,EL_DEL_CD2_SBI_9_10_!AN14,EL_DEL_CD2_STAB_!AN14,EL_DEL_CD2_JO_L_!AN14,EL_DEL_CD2_SBI_L_1_4_!AN14,EL_DEL_CD2_SBI_L_5_6_!AN14,EL_DEL_CD2_SBI_L_7_8_!AN14,EL_DEL_CD2_SBI_L_9_10_!AN14,EL_DEL_CD2_L_STAB_!AN14),"0:00")</f>
        <v>0:00</v>
      </c>
      <c r="AO14" s="152" t="str">
        <f>+IFERROR(AVERAGE(EL_DEL_CD2_JO_!AO14,EL_DEL_CD2_SBI_1_4_!AO14,EL_DEL_CD2_SBI_5_6_!AO14,EL_DEL_CD2_SBI_7_8_!AO14,EL_DEL_CD2_SBI_9_10_!AO14,EL_DEL_CD2_STAB_!AO14,EL_DEL_CD2_JO_L_!AO14,EL_DEL_CD2_SBI_L_1_4_!AO14,EL_DEL_CD2_SBI_L_5_6_!AO14,EL_DEL_CD2_SBI_L_7_8_!AO14,EL_DEL_CD2_SBI_L_9_10_!AO14,EL_DEL_CD2_L_STAB_!AO14),"0:00")</f>
        <v>0:00</v>
      </c>
      <c r="AP14" s="98" t="str">
        <f>+IFERROR(AVERAGE(EL_DEL_CD2_JO_!AP14,EL_DEL_CD2_SBI_1_4_!AP14,EL_DEL_CD2_SBI_5_6_!AP14,EL_DEL_CD2_SBI_7_8_!AP14,EL_DEL_CD2_SBI_9_10_!AP14,EL_DEL_CD2_STAB_!AP14,EL_DEL_CD2_JO_L_!AP14,EL_DEL_CD2_SBI_L_1_4_!AP14,EL_DEL_CD2_SBI_L_5_6_!AP14,EL_DEL_CD2_SBI_L_7_8_!AP14,EL_DEL_CD2_SBI_L_9_10_!AP14,EL_DEL_CD2_L_STAB_!AP14),"0:00")</f>
        <v>0:00</v>
      </c>
      <c r="AQ14" s="152" t="str">
        <f>+IFERROR(AVERAGE(EL_DEL_CD2_JO_!AQ14,EL_DEL_CD2_SBI_1_4_!AQ14,EL_DEL_CD2_SBI_5_6_!AQ14,EL_DEL_CD2_SBI_7_8_!AQ14,EL_DEL_CD2_SBI_9_10_!AQ14,EL_DEL_CD2_STAB_!AQ14,EL_DEL_CD2_JO_L_!AQ14,EL_DEL_CD2_SBI_L_1_4_!AQ14,EL_DEL_CD2_SBI_L_5_6_!AQ14,EL_DEL_CD2_SBI_L_7_8_!AQ14,EL_DEL_CD2_SBI_L_9_10_!AQ14,EL_DEL_CD2_L_STAB_!AQ14),"0:00")</f>
        <v>0:00</v>
      </c>
      <c r="AR14" s="152" t="str">
        <f>+IFERROR(AVERAGE(EL_DEL_CD2_JO_!AR14,EL_DEL_CD2_SBI_1_4_!AR14,EL_DEL_CD2_SBI_5_6_!AR14,EL_DEL_CD2_SBI_7_8_!AR14,EL_DEL_CD2_SBI_9_10_!AR14,EL_DEL_CD2_STAB_!AR14,EL_DEL_CD2_JO_L_!AR14,EL_DEL_CD2_SBI_L_1_4_!AR14,EL_DEL_CD2_SBI_L_5_6_!AR14,EL_DEL_CD2_SBI_L_7_8_!AR14,EL_DEL_CD2_SBI_L_9_10_!AR14,EL_DEL_CD2_L_STAB_!AR14),"0:00")</f>
        <v>0:00</v>
      </c>
      <c r="AS14" s="152" t="str">
        <f>+IFERROR(AVERAGE(EL_DEL_CD2_JO_!AS14,EL_DEL_CD2_SBI_1_4_!AS14,EL_DEL_CD2_SBI_5_6_!AS14,EL_DEL_CD2_SBI_7_8_!AS14,EL_DEL_CD2_SBI_9_10_!AS14,EL_DEL_CD2_STAB_!AS14,EL_DEL_CD2_JO_L_!AS14,EL_DEL_CD2_SBI_L_1_4_!AS14,EL_DEL_CD2_SBI_L_5_6_!AS14,EL_DEL_CD2_SBI_L_7_8_!AS14,EL_DEL_CD2_SBI_L_9_10_!AS14,EL_DEL_CD2_L_STAB_!AS14),"0:00")</f>
        <v>0:00</v>
      </c>
      <c r="AT14" s="98">
        <f>+SUM(EL_DEL_CD2_JO_!AT14,EL_DEL_CD2_SBI_1_4_!AT14,EL_DEL_CD2_SBI_5_6_!AT14,EL_DEL_CD2_SBI_7_8_!AT14,EL_DEL_CD2_SBI_9_10_!AT14,EL_DEL_CD2_STAB_!AT14,EL_DEL_CD2_JO_L_!AT14,EL_DEL_CD2_SBI_L_1_4_!AT14,EL_DEL_CD2_SBI_L_5_6_!AT14,EL_DEL_CD2_SBI_L_7_8_!AT14,EL_DEL_CD2_SBI_L_9_10_!AT14,EL_DEL_CD2_L_STAB_!AT14)</f>
        <v>0</v>
      </c>
      <c r="AU14" s="98">
        <f>+SUM(EL_DEL_CD2_JO_!AU14,EL_DEL_CD2_SBI_1_4_!AU14,EL_DEL_CD2_SBI_5_6_!AU14,EL_DEL_CD2_SBI_7_8_!AU14,EL_DEL_CD2_SBI_9_10_!AU14,EL_DEL_CD2_STAB_!AU14,EL_DEL_CD2_JO_L_!AU14,EL_DEL_CD2_SBI_L_1_4_!AU14,EL_DEL_CD2_SBI_L_5_6_!AU14,EL_DEL_CD2_SBI_L_7_8_!AU14,EL_DEL_CD2_SBI_L_9_10_!AU14,EL_DEL_CD2_L_STAB_!AU14)</f>
        <v>0</v>
      </c>
      <c r="AV14" s="98">
        <f>+SUM(EL_DEL_CD2_JO_!AV14,EL_DEL_CD2_SBI_1_4_!AV14,EL_DEL_CD2_SBI_5_6_!AV14,EL_DEL_CD2_SBI_7_8_!AV14,EL_DEL_CD2_SBI_9_10_!AV14,EL_DEL_CD2_STAB_!AV14,EL_DEL_CD2_JO_L_!AV14,EL_DEL_CD2_SBI_L_1_4_!AV14,EL_DEL_CD2_SBI_L_5_6_!AV14,EL_DEL_CD2_SBI_L_7_8_!AV14,EL_DEL_CD2_SBI_L_9_10_!AV14,EL_DEL_CD2_L_STAB_!AV14)</f>
        <v>0</v>
      </c>
      <c r="AW14" s="167">
        <f>+SUM(EL_DEL_CD2_JO_!AW14,EL_DEL_CD2_SBI_1_4_!AW14,EL_DEL_CD2_SBI_5_6_!AW14,EL_DEL_CD2_SBI_7_8_!AW14,EL_DEL_CD2_SBI_9_10_!AW14,EL_DEL_CD2_STAB_!AW14,EL_DEL_CD2_JO_L_!AW14,EL_DEL_CD2_SBI_L_1_4_!AW14,EL_DEL_CD2_SBI_L_5_6_!AW14,EL_DEL_CD2_SBI_L_7_8_!AW14,EL_DEL_CD2_SBI_L_9_10_!AW14,EL_DEL_CD2_L_STAB_!AW14)</f>
        <v>0</v>
      </c>
      <c r="AX14" s="102" t="str">
        <f t="shared" si="24"/>
        <v>-</v>
      </c>
      <c r="AY14" s="151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51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31"/>
        <v/>
      </c>
      <c r="BH14" s="119" t="str">
        <f t="shared" si="8"/>
        <v/>
      </c>
      <c r="BI14" s="120" t="str">
        <f t="shared" si="25"/>
        <v/>
      </c>
      <c r="BJ14" s="151"/>
      <c r="BK14" s="121" t="str">
        <f t="shared" si="9"/>
        <v/>
      </c>
      <c r="BL14" s="122" t="str">
        <f t="shared" si="10"/>
        <v/>
      </c>
      <c r="BM14" s="122" t="str">
        <f t="shared" si="11"/>
        <v/>
      </c>
      <c r="BN14" s="123" t="str">
        <f t="shared" si="12"/>
        <v/>
      </c>
      <c r="BO14" s="151"/>
      <c r="BP14" s="124" t="str">
        <f t="shared" si="13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4"/>
        <v/>
      </c>
      <c r="BU14" s="151"/>
      <c r="BV14" s="127" t="e">
        <f t="shared" si="15"/>
        <v>#DIV/0!</v>
      </c>
      <c r="BW14" s="127" t="e">
        <f t="shared" si="16"/>
        <v>#DIV/0!</v>
      </c>
      <c r="BX14" s="127" t="e">
        <f t="shared" si="17"/>
        <v>#DIV/0!</v>
      </c>
      <c r="BY14" s="127" t="e">
        <f t="shared" si="18"/>
        <v>#DIV/0!</v>
      </c>
      <c r="BZ14" s="127" t="e">
        <f t="shared" si="28"/>
        <v>#DIV/0!</v>
      </c>
      <c r="CA14" s="128" t="e">
        <f t="shared" si="29"/>
        <v>#DIV/0!</v>
      </c>
      <c r="CB14" s="151"/>
      <c r="CC14" s="129" t="str">
        <f t="shared" si="19"/>
        <v>-</v>
      </c>
      <c r="CD14" s="130" t="str">
        <f t="shared" si="20"/>
        <v>-</v>
      </c>
      <c r="CE14" s="130" t="str">
        <f t="shared" si="21"/>
        <v>-</v>
      </c>
      <c r="CF14" s="130" t="str">
        <f t="shared" si="22"/>
        <v>-</v>
      </c>
      <c r="CG14" s="131" t="str">
        <f t="shared" si="23"/>
        <v>-</v>
      </c>
      <c r="CH14" s="151"/>
    </row>
    <row r="15" spans="1:86" s="115" customFormat="1" ht="12.4" customHeight="1" thickBot="1" x14ac:dyDescent="0.25">
      <c r="A15" s="96">
        <f t="shared" si="30"/>
        <v>46307</v>
      </c>
      <c r="B15" s="97" t="str">
        <f>+TEXT(A15,"DDD")</f>
        <v>Mon</v>
      </c>
      <c r="C15" s="98">
        <f>+SUM(EL_DEL_CD2_JO_!C15,EL_DEL_CD2_SBI_1_4_!C15,EL_DEL_CD2_SBI_5_6_!C15,EL_DEL_CD2_SBI_7_8_!C15,EL_DEL_CD2_SBI_9_10_!C15,EL_DEL_CD2_STAB_!C15,EL_DEL_CD2_JO_L_!C15,EL_DEL_CD2_SBI_L_1_4_!C15,EL_DEL_CD2_SBI_L_5_6_!C15,EL_DEL_CD2_SBI_L_7_8_!C15,EL_DEL_CD2_SBI_L_9_10_!C15,EL_DEL_CD2_L_STAB_!C15)</f>
        <v>0</v>
      </c>
      <c r="D15" s="98">
        <f>+SUM(EL_DEL_CD2_JO_!D15,EL_DEL_CD2_SBI_1_4_!D15,EL_DEL_CD2_SBI_5_6_!D15,EL_DEL_CD2_SBI_7_8_!D15,EL_DEL_CD2_SBI_9_10_!D15,EL_DEL_CD2_STAB_!D15,EL_DEL_CD2_JO_L_!D15,EL_DEL_CD2_SBI_L_1_4_!D15,EL_DEL_CD2_SBI_L_5_6_!D15,EL_DEL_CD2_SBI_L_7_8_!D15,EL_DEL_CD2_SBI_L_9_10_!D15,EL_DEL_CD2_L_STAB_!D15)</f>
        <v>0</v>
      </c>
      <c r="E15" s="98">
        <f>+SUM(EL_DEL_CD2_JO_!E15,EL_DEL_CD2_SBI_1_4_!E15,EL_DEL_CD2_SBI_5_6_!E15,EL_DEL_CD2_SBI_7_8_!E15,EL_DEL_CD2_SBI_9_10_!E15,EL_DEL_CD2_STAB_!E15,EL_DEL_CD2_JO_L_!E15,EL_DEL_CD2_SBI_L_1_4_!E15,EL_DEL_CD2_SBI_L_5_6_!E15,EL_DEL_CD2_SBI_L_7_8_!E15,EL_DEL_CD2_SBI_L_9_10_!E15,EL_DEL_CD2_L_STAB_!E15)</f>
        <v>0</v>
      </c>
      <c r="F15" s="98">
        <f>+SUM(EL_DEL_CD2_JO_!F15,EL_DEL_CD2_SBI_1_4_!F15,EL_DEL_CD2_SBI_5_6_!F15,EL_DEL_CD2_SBI_7_8_!F15,EL_DEL_CD2_SBI_9_10_!F15,EL_DEL_CD2_STAB_!F15,EL_DEL_CD2_JO_L_!F15,EL_DEL_CD2_SBI_L_1_4_!F15,EL_DEL_CD2_SBI_L_5_6_!F15,EL_DEL_CD2_SBI_L_7_8_!F15,EL_DEL_CD2_SBI_L_9_10_!F15,EL_DEL_CD2_L_STAB_!F15)</f>
        <v>0</v>
      </c>
      <c r="G15" s="98">
        <f>+SUM(EL_DEL_CD2_JO_!G15,EL_DEL_CD2_SBI_1_4_!G15,EL_DEL_CD2_SBI_5_6_!G15,EL_DEL_CD2_SBI_7_8_!G15,EL_DEL_CD2_SBI_9_10_!G15,EL_DEL_CD2_STAB_!G15,EL_DEL_CD2_JO_L_!G15,EL_DEL_CD2_SBI_L_1_4_!G15,EL_DEL_CD2_SBI_L_5_6_!G15,EL_DEL_CD2_SBI_L_7_8_!G15,EL_DEL_CD2_SBI_L_9_10_!G15,EL_DEL_CD2_L_STAB_!G15)</f>
        <v>0</v>
      </c>
      <c r="H15" s="98">
        <f>+SUM(EL_DEL_CD2_JO_!H15,EL_DEL_CD2_SBI_1_4_!H15,EL_DEL_CD2_SBI_5_6_!H15,EL_DEL_CD2_SBI_7_8_!H15,EL_DEL_CD2_SBI_9_10_!H15,EL_DEL_CD2_STAB_!H15,EL_DEL_CD2_JO_L_!H15,EL_DEL_CD2_SBI_L_1_4_!H15,EL_DEL_CD2_SBI_L_5_6_!H15,EL_DEL_CD2_SBI_L_7_8_!H15,EL_DEL_CD2_SBI_L_9_10_!H15,EL_DEL_CD2_L_STAB_!H15)</f>
        <v>0</v>
      </c>
      <c r="I15" s="98">
        <f>+SUM(EL_DEL_CD2_JO_!I15,EL_DEL_CD2_SBI_1_4_!I15,EL_DEL_CD2_SBI_5_6_!I15,EL_DEL_CD2_SBI_7_8_!I15,EL_DEL_CD2_SBI_9_10_!I15,EL_DEL_CD2_STAB_!I15,EL_DEL_CD2_JO_L_!I15,EL_DEL_CD2_SBI_L_1_4_!I15,EL_DEL_CD2_SBI_L_5_6_!I15,EL_DEL_CD2_SBI_L_7_8_!I15,EL_DEL_CD2_SBI_L_9_10_!I15,EL_DEL_CD2_L_STAB_!I15)</f>
        <v>0</v>
      </c>
      <c r="J15" s="98">
        <f>+SUM(EL_DEL_CD2_JO_!J15,EL_DEL_CD2_SBI_1_4_!J15,EL_DEL_CD2_SBI_5_6_!J15,EL_DEL_CD2_SBI_7_8_!J15,EL_DEL_CD2_SBI_9_10_!J15,EL_DEL_CD2_STAB_!J15,EL_DEL_CD2_JO_L_!J15,EL_DEL_CD2_SBI_L_1_4_!J15,EL_DEL_CD2_SBI_L_5_6_!J15,EL_DEL_CD2_SBI_L_7_8_!J15,EL_DEL_CD2_SBI_L_9_10_!J15,EL_DEL_CD2_L_STAB_!J15)</f>
        <v>0</v>
      </c>
      <c r="K15" s="98">
        <f>+SUM(EL_DEL_CD2_JO_!K15,EL_DEL_CD2_SBI_1_4_!K15,EL_DEL_CD2_SBI_5_6_!K15,EL_DEL_CD2_SBI_7_8_!K15,EL_DEL_CD2_SBI_9_10_!K15,EL_DEL_CD2_STAB_!K15,EL_DEL_CD2_JO_L_!K15,EL_DEL_CD2_SBI_L_1_4_!K15,EL_DEL_CD2_SBI_L_5_6_!K15,EL_DEL_CD2_SBI_L_7_8_!K15,EL_DEL_CD2_SBI_L_9_10_!K15,EL_DEL_CD2_L_STAB_!K15)</f>
        <v>0</v>
      </c>
      <c r="L15" s="98">
        <f>+SUM(EL_DEL_CD2_JO_!L15,EL_DEL_CD2_SBI_1_4_!L15,EL_DEL_CD2_SBI_5_6_!L15,EL_DEL_CD2_SBI_7_8_!L15,EL_DEL_CD2_SBI_9_10_!L15,EL_DEL_CD2_STAB_!L15,EL_DEL_CD2_JO_L_!L15,EL_DEL_CD2_SBI_L_1_4_!L15,EL_DEL_CD2_SBI_L_5_6_!L15,EL_DEL_CD2_SBI_L_7_8_!L15,EL_DEL_CD2_SBI_L_9_10_!L15,EL_DEL_CD2_L_STAB_!L15)</f>
        <v>0</v>
      </c>
      <c r="M15" s="98">
        <f>+SUM(EL_DEL_CD2_JO_!M15,EL_DEL_CD2_SBI_1_4_!M15,EL_DEL_CD2_SBI_5_6_!M15,EL_DEL_CD2_SBI_7_8_!M15,EL_DEL_CD2_SBI_9_10_!M15,EL_DEL_CD2_STAB_!M15,EL_DEL_CD2_JO_L_!M15,EL_DEL_CD2_SBI_L_1_4_!M15,EL_DEL_CD2_SBI_L_5_6_!M15,EL_DEL_CD2_SBI_L_7_8_!M15,EL_DEL_CD2_SBI_L_9_10_!M15,EL_DEL_CD2_L_STAB_!M15)</f>
        <v>0</v>
      </c>
      <c r="N15" s="98">
        <f>+SUM(EL_DEL_CD2_JO_!N15,EL_DEL_CD2_SBI_1_4_!N15,EL_DEL_CD2_SBI_5_6_!N15,EL_DEL_CD2_SBI_7_8_!N15,EL_DEL_CD2_SBI_9_10_!N15,EL_DEL_CD2_STAB_!N15,EL_DEL_CD2_JO_L_!N15,EL_DEL_CD2_SBI_L_1_4_!N15,EL_DEL_CD2_SBI_L_5_6_!N15,EL_DEL_CD2_SBI_L_7_8_!N15,EL_DEL_CD2_SBI_L_9_10_!N15,EL_DEL_CD2_L_STAB_!N15)</f>
        <v>0</v>
      </c>
      <c r="O15" s="98">
        <f>+SUM(EL_DEL_CD2_JO_!O15,EL_DEL_CD2_SBI_1_4_!O15,EL_DEL_CD2_SBI_5_6_!O15,EL_DEL_CD2_SBI_7_8_!O15,EL_DEL_CD2_SBI_9_10_!O15,EL_DEL_CD2_STAB_!O15,EL_DEL_CD2_JO_L_!O15,EL_DEL_CD2_SBI_L_1_4_!O15,EL_DEL_CD2_SBI_L_5_6_!O15,EL_DEL_CD2_SBI_L_7_8_!O15,EL_DEL_CD2_SBI_L_9_10_!O15,EL_DEL_CD2_L_STAB_!O15)</f>
        <v>0</v>
      </c>
      <c r="P15" s="98">
        <f>+SUM(EL_DEL_CD2_JO_!P15,EL_DEL_CD2_SBI_1_4_!P15,EL_DEL_CD2_SBI_5_6_!P15,EL_DEL_CD2_SBI_7_8_!P15,EL_DEL_CD2_SBI_9_10_!P15,EL_DEL_CD2_STAB_!P15,EL_DEL_CD2_JO_L_!P15,EL_DEL_CD2_SBI_L_1_4_!P15,EL_DEL_CD2_SBI_L_5_6_!P15,EL_DEL_CD2_SBI_L_7_8_!P15,EL_DEL_CD2_SBI_L_9_10_!P15,EL_DEL_CD2_L_STAB_!P15)</f>
        <v>0</v>
      </c>
      <c r="Q15" s="98">
        <f>+SUM(EL_DEL_CD2_JO_!Q15,EL_DEL_CD2_SBI_1_4_!Q15,EL_DEL_CD2_SBI_5_6_!Q15,EL_DEL_CD2_SBI_7_8_!Q15,EL_DEL_CD2_SBI_9_10_!Q15,EL_DEL_CD2_STAB_!Q15,EL_DEL_CD2_JO_L_!Q15,EL_DEL_CD2_SBI_L_1_4_!Q15,EL_DEL_CD2_SBI_L_5_6_!Q15,EL_DEL_CD2_SBI_L_7_8_!Q15,EL_DEL_CD2_SBI_L_9_10_!Q15,EL_DEL_CD2_L_STAB_!Q15)</f>
        <v>0</v>
      </c>
      <c r="R15" s="98">
        <f>+SUM(EL_DEL_CD2_JO_!R15,EL_DEL_CD2_SBI_1_4_!R15,EL_DEL_CD2_SBI_5_6_!R15,EL_DEL_CD2_SBI_7_8_!R15,EL_DEL_CD2_SBI_9_10_!R15,EL_DEL_CD2_STAB_!R15,EL_DEL_CD2_JO_L_!R15,EL_DEL_CD2_SBI_L_1_4_!R15,EL_DEL_CD2_SBI_L_5_6_!R15,EL_DEL_CD2_SBI_L_7_8_!R15,EL_DEL_CD2_SBI_L_9_10_!R15,EL_DEL_CD2_L_STAB_!R15)</f>
        <v>0</v>
      </c>
      <c r="S15" s="98">
        <f>+SUM(EL_DEL_CD2_JO_!S15,EL_DEL_CD2_SBI_1_4_!S15,EL_DEL_CD2_SBI_5_6_!S15,EL_DEL_CD2_SBI_7_8_!S15,EL_DEL_CD2_SBI_9_10_!S15,EL_DEL_CD2_STAB_!S15,EL_DEL_CD2_JO_L_!S15,EL_DEL_CD2_SBI_L_1_4_!S15,EL_DEL_CD2_SBI_L_5_6_!S15,EL_DEL_CD2_SBI_L_7_8_!S15,EL_DEL_CD2_SBI_L_9_10_!S15,EL_DEL_CD2_L_STAB_!S15)</f>
        <v>0</v>
      </c>
      <c r="T15" s="98">
        <f>+SUM(EL_DEL_CD2_JO_!T15,EL_DEL_CD2_SBI_1_4_!T15,EL_DEL_CD2_SBI_5_6_!T15,EL_DEL_CD2_SBI_7_8_!T15,EL_DEL_CD2_SBI_9_10_!T15,EL_DEL_CD2_STAB_!T15,EL_DEL_CD2_JO_L_!T15,EL_DEL_CD2_SBI_L_1_4_!T15,EL_DEL_CD2_SBI_L_5_6_!T15,EL_DEL_CD2_SBI_L_7_8_!T15,EL_DEL_CD2_SBI_L_9_10_!T15,EL_DEL_CD2_L_STAB_!T15)</f>
        <v>0</v>
      </c>
      <c r="U15" s="60">
        <f>+SUM(EL_DEL_CD2_JO_!U15,EL_DEL_CD2_SBI_1_4_!U15,EL_DEL_CD2_SBI_5_6_!U15,EL_DEL_CD2_SBI_7_8_!U15,EL_DEL_CD2_SBI_9_10_!U15,EL_DEL_CD2_STAB_!U15,EL_DEL_CD2_JO_L_!U15,EL_DEL_CD2_SBI_L_1_4_!U15,EL_DEL_CD2_SBI_L_5_6_!U15,EL_DEL_CD2_SBI_L_7_8_!U15,EL_DEL_CD2_SBI_L_9_10_!U15,EL_DEL_CD2_L_STAB_!U15)</f>
        <v>0</v>
      </c>
      <c r="V15" s="98">
        <f>+SUM(EL_DEL_CD2_JO_!V15,EL_DEL_CD2_SBI_1_4_!V15,EL_DEL_CD2_SBI_5_6_!V15,EL_DEL_CD2_SBI_7_8_!V15,EL_DEL_CD2_SBI_9_10_!V15,EL_DEL_CD2_STAB_!V15,EL_DEL_CD2_JO_L_!V15,EL_DEL_CD2_SBI_L_1_4_!V15,EL_DEL_CD2_SBI_L_5_6_!V15,EL_DEL_CD2_SBI_L_7_8_!V15,EL_DEL_CD2_SBI_L_9_10_!V15,EL_DEL_CD2_L_STAB_!V15)</f>
        <v>0</v>
      </c>
      <c r="W15" s="98">
        <f>+SUM(EL_DEL_CD2_JO_!W15,EL_DEL_CD2_SBI_1_4_!W15,EL_DEL_CD2_SBI_5_6_!W15,EL_DEL_CD2_SBI_7_8_!W15,EL_DEL_CD2_SBI_9_10_!W15,EL_DEL_CD2_STAB_!W15,EL_DEL_CD2_JO_L_!W15,EL_DEL_CD2_SBI_L_1_4_!W15,EL_DEL_CD2_SBI_L_5_6_!W15,EL_DEL_CD2_SBI_L_7_8_!W15,EL_DEL_CD2_SBI_L_9_10_!W15,EL_DEL_CD2_L_STAB_!W15)</f>
        <v>0</v>
      </c>
      <c r="X15" s="98">
        <f>+SUM(EL_DEL_CD2_JO_!X15,EL_DEL_CD2_SBI_1_4_!X15,EL_DEL_CD2_SBI_5_6_!X15,EL_DEL_CD2_SBI_7_8_!X15,EL_DEL_CD2_SBI_9_10_!X15,EL_DEL_CD2_STAB_!X15,EL_DEL_CD2_JO_L_!X15,EL_DEL_CD2_SBI_L_1_4_!X15,EL_DEL_CD2_SBI_L_5_6_!X15,EL_DEL_CD2_SBI_L_7_8_!X15,EL_DEL_CD2_SBI_L_9_10_!X15,EL_DEL_CD2_L_STAB_!X15)</f>
        <v>0</v>
      </c>
      <c r="Y15" s="98">
        <f>+SUM(EL_DEL_CD2_JO_!Y15,EL_DEL_CD2_SBI_1_4_!Y15,EL_DEL_CD2_SBI_5_6_!Y15,EL_DEL_CD2_SBI_7_8_!Y15,EL_DEL_CD2_SBI_9_10_!Y15,EL_DEL_CD2_STAB_!Y15,EL_DEL_CD2_JO_L_!Y15,EL_DEL_CD2_SBI_L_1_4_!Y15,EL_DEL_CD2_SBI_L_5_6_!Y15,EL_DEL_CD2_SBI_L_7_8_!Y15,EL_DEL_CD2_SBI_L_9_10_!Y15,EL_DEL_CD2_L_STAB_!Y15)</f>
        <v>0</v>
      </c>
      <c r="Z15" s="98">
        <f>+SUM(EL_DEL_CD2_JO_!Z15,EL_DEL_CD2_SBI_1_4_!Z15,EL_DEL_CD2_SBI_5_6_!Z15,EL_DEL_CD2_SBI_7_8_!Z15,EL_DEL_CD2_SBI_9_10_!Z15,EL_DEL_CD2_STAB_!Z15,EL_DEL_CD2_JO_L_!Z15,EL_DEL_CD2_SBI_L_1_4_!Z15,EL_DEL_CD2_SBI_L_5_6_!Z15,EL_DEL_CD2_SBI_L_7_8_!Z15,EL_DEL_CD2_SBI_L_9_10_!Z15,EL_DEL_CD2_L_STAB_!Z15)</f>
        <v>0</v>
      </c>
      <c r="AA15" s="98">
        <f>+SUM(EL_DEL_CD2_JO_!AA15,EL_DEL_CD2_SBI_1_4_!AA15,EL_DEL_CD2_SBI_5_6_!AA15,EL_DEL_CD2_SBI_7_8_!AA15,EL_DEL_CD2_SBI_9_10_!AA15,EL_DEL_CD2_STAB_!AA15,EL_DEL_CD2_JO_L_!AA15,EL_DEL_CD2_SBI_L_1_4_!AA15,EL_DEL_CD2_SBI_L_5_6_!AA15,EL_DEL_CD2_SBI_L_7_8_!AA15,EL_DEL_CD2_SBI_L_9_10_!AA15,EL_DEL_CD2_L_STAB_!AA15)</f>
        <v>0</v>
      </c>
      <c r="AB15" s="98">
        <f>+SUM(EL_DEL_CD2_JO_!AB15,EL_DEL_CD2_SBI_1_4_!AB15,EL_DEL_CD2_SBI_5_6_!AB15,EL_DEL_CD2_SBI_7_8_!AB15,EL_DEL_CD2_SBI_9_10_!AB15,EL_DEL_CD2_STAB_!AB15,EL_DEL_CD2_JO_L_!AB15,EL_DEL_CD2_SBI_L_1_4_!AB15,EL_DEL_CD2_SBI_L_5_6_!AB15,EL_DEL_CD2_SBI_L_7_8_!AB15,EL_DEL_CD2_SBI_L_9_10_!AB15,EL_DEL_CD2_L_STAB_!AB15)</f>
        <v>0</v>
      </c>
      <c r="AC15" s="98">
        <f>+SUM(EL_DEL_CD2_JO_!AC15,EL_DEL_CD2_SBI_1_4_!AC15,EL_DEL_CD2_SBI_5_6_!AC15,EL_DEL_CD2_SBI_7_8_!AC15,EL_DEL_CD2_SBI_9_10_!AC15,EL_DEL_CD2_STAB_!AC15,EL_DEL_CD2_JO_L_!AC15,EL_DEL_CD2_SBI_L_1_4_!AC15,EL_DEL_CD2_SBI_L_5_6_!AC15,EL_DEL_CD2_SBI_L_7_8_!AC15,EL_DEL_CD2_SBI_L_9_10_!AC15,EL_DEL_CD2_L_STAB_!AC15)</f>
        <v>0</v>
      </c>
      <c r="AD15" s="98">
        <f>+SUM(EL_DEL_CD2_JO_!AD15,EL_DEL_CD2_SBI_1_4_!AD15,EL_DEL_CD2_SBI_5_6_!AD15,EL_DEL_CD2_SBI_7_8_!AD15,EL_DEL_CD2_SBI_9_10_!AD15,EL_DEL_CD2_STAB_!AD15,EL_DEL_CD2_JO_L_!AD15,EL_DEL_CD2_SBI_L_1_4_!AD15,EL_DEL_CD2_SBI_L_5_6_!AD15,EL_DEL_CD2_SBI_L_7_8_!AD15,EL_DEL_CD2_SBI_L_9_10_!AD15,EL_DEL_CD2_L_STAB_!AD15)</f>
        <v>0</v>
      </c>
      <c r="AE15" s="98">
        <f>+SUM(EL_DEL_CD2_JO_!AE15,EL_DEL_CD2_SBI_1_4_!AE15,EL_DEL_CD2_SBI_5_6_!AE15,EL_DEL_CD2_SBI_7_8_!AE15,EL_DEL_CD2_SBI_9_10_!AE15,EL_DEL_CD2_STAB_!AE15,EL_DEL_CD2_JO_L_!AE15,EL_DEL_CD2_SBI_L_1_4_!AE15,EL_DEL_CD2_SBI_L_5_6_!AE15,EL_DEL_CD2_SBI_L_7_8_!AE15,EL_DEL_CD2_SBI_L_9_10_!AE15,EL_DEL_CD2_L_STAB_!AE15)</f>
        <v>0</v>
      </c>
      <c r="AF15" s="98">
        <f>+SUM(EL_DEL_CD2_JO_!AF15,EL_DEL_CD2_SBI_1_4_!AF15,EL_DEL_CD2_SBI_5_6_!AF15,EL_DEL_CD2_SBI_7_8_!AF15,EL_DEL_CD2_SBI_9_10_!AF15,EL_DEL_CD2_STAB_!AF15,EL_DEL_CD2_JO_L_!AF15,EL_DEL_CD2_SBI_L_1_4_!AF15,EL_DEL_CD2_SBI_L_5_6_!AF15,EL_DEL_CD2_SBI_L_7_8_!AF15,EL_DEL_CD2_SBI_L_9_10_!AF15,EL_DEL_CD2_L_STAB_!AF15)</f>
        <v>0</v>
      </c>
      <c r="AG15" s="98">
        <f>+SUM(EL_DEL_CD2_JO_!AG15,EL_DEL_CD2_SBI_1_4_!AG15,EL_DEL_CD2_SBI_5_6_!AG15,EL_DEL_CD2_SBI_7_8_!AG15,EL_DEL_CD2_SBI_9_10_!AG15,EL_DEL_CD2_STAB_!AG15,EL_DEL_CD2_JO_L_!AG15,EL_DEL_CD2_SBI_L_1_4_!AG15,EL_DEL_CD2_SBI_L_5_6_!AG15,EL_DEL_CD2_SBI_L_7_8_!AG15,EL_DEL_CD2_SBI_L_9_10_!AG15,EL_DEL_CD2_L_STAB_!AG15)</f>
        <v>0</v>
      </c>
      <c r="AH15" s="98">
        <f>+SUM(EL_DEL_CD2_JO_!AH15,EL_DEL_CD2_SBI_1_4_!AH15,EL_DEL_CD2_SBI_5_6_!AH15,EL_DEL_CD2_SBI_7_8_!AH15,EL_DEL_CD2_SBI_9_10_!AH15,EL_DEL_CD2_STAB_!AH15,EL_DEL_CD2_JO_L_!AH15,EL_DEL_CD2_SBI_L_1_4_!AH15,EL_DEL_CD2_SBI_L_5_6_!AH15,EL_DEL_CD2_SBI_L_7_8_!AH15,EL_DEL_CD2_SBI_L_9_10_!AH15,EL_DEL_CD2_L_STAB_!AH15)</f>
        <v>0</v>
      </c>
      <c r="AI15" s="98">
        <f>+SUM(EL_DEL_CD2_JO_!AI15,EL_DEL_CD2_SBI_1_4_!AI15,EL_DEL_CD2_SBI_5_6_!AI15,EL_DEL_CD2_SBI_7_8_!AI15,EL_DEL_CD2_SBI_9_10_!AI15,EL_DEL_CD2_STAB_!AI15,EL_DEL_CD2_JO_L_!AI15,EL_DEL_CD2_SBI_L_1_4_!AI15,EL_DEL_CD2_SBI_L_5_6_!AI15,EL_DEL_CD2_SBI_L_7_8_!AI15,EL_DEL_CD2_SBI_L_9_10_!AI15,EL_DEL_CD2_L_STAB_!AI15)</f>
        <v>0</v>
      </c>
      <c r="AJ15" s="98">
        <f>+SUM(EL_DEL_CD2_JO_!AJ15,EL_DEL_CD2_SBI_1_4_!AJ15,EL_DEL_CD2_SBI_5_6_!AJ15,EL_DEL_CD2_SBI_7_8_!AJ15,EL_DEL_CD2_SBI_9_10_!AJ15,EL_DEL_CD2_STAB_!AJ15,EL_DEL_CD2_JO_L_!AJ15,EL_DEL_CD2_SBI_L_1_4_!AJ15,EL_DEL_CD2_SBI_L_5_6_!AJ15,EL_DEL_CD2_SBI_L_7_8_!AJ15,EL_DEL_CD2_SBI_L_9_10_!AJ15,EL_DEL_CD2_L_STAB_!AJ15)</f>
        <v>0</v>
      </c>
      <c r="AK15" s="98">
        <f>+SUM(EL_DEL_CD2_JO_!AK15,EL_DEL_CD2_SBI_1_4_!AK15,EL_DEL_CD2_SBI_5_6_!AK15,EL_DEL_CD2_SBI_7_8_!AK15,EL_DEL_CD2_SBI_9_10_!AK15,EL_DEL_CD2_STAB_!AK15,EL_DEL_CD2_JO_L_!AK15,EL_DEL_CD2_SBI_L_1_4_!AK15,EL_DEL_CD2_SBI_L_5_6_!AK15,EL_DEL_CD2_SBI_L_7_8_!AK15,EL_DEL_CD2_SBI_L_9_10_!AK15,EL_DEL_CD2_L_STAB_!AK15)</f>
        <v>0</v>
      </c>
      <c r="AL15" s="152" t="str">
        <f>+IFERROR(AVERAGE(EL_DEL_CD2_JO_!AL15,EL_DEL_CD2_SBI_1_4_!AL15,EL_DEL_CD2_SBI_5_6_!AL15,EL_DEL_CD2_SBI_7_8_!AL15,EL_DEL_CD2_SBI_9_10_!AL15,EL_DEL_CD2_STAB_!AL15,EL_DEL_CD2_JO_L_!AL15,EL_DEL_CD2_SBI_L_1_4_!AL15,EL_DEL_CD2_SBI_L_5_6_!AL15,EL_DEL_CD2_SBI_L_7_8_!AL15,EL_DEL_CD2_SBI_L_9_10_!AL15,EL_DEL_CD2_L_STAB_!AL15),"0:00")</f>
        <v>0:00</v>
      </c>
      <c r="AM15" s="152" t="str">
        <f>+IFERROR(AVERAGE(EL_DEL_CD2_JO_!AM15,EL_DEL_CD2_SBI_1_4_!AM15,EL_DEL_CD2_SBI_5_6_!AM15,EL_DEL_CD2_SBI_7_8_!AM15,EL_DEL_CD2_SBI_9_10_!AM15,EL_DEL_CD2_STAB_!AM15,EL_DEL_CD2_JO_L_!AM15,EL_DEL_CD2_SBI_L_1_4_!AM15,EL_DEL_CD2_SBI_L_5_6_!AM15,EL_DEL_CD2_SBI_L_7_8_!AM15,EL_DEL_CD2_SBI_L_9_10_!AM15,EL_DEL_CD2_L_STAB_!AM15),"0:00")</f>
        <v>0:00</v>
      </c>
      <c r="AN15" s="152" t="str">
        <f>+IFERROR(AVERAGE(EL_DEL_CD2_JO_!AN15,EL_DEL_CD2_SBI_1_4_!AN15,EL_DEL_CD2_SBI_5_6_!AN15,EL_DEL_CD2_SBI_7_8_!AN15,EL_DEL_CD2_SBI_9_10_!AN15,EL_DEL_CD2_STAB_!AN15,EL_DEL_CD2_JO_L_!AN15,EL_DEL_CD2_SBI_L_1_4_!AN15,EL_DEL_CD2_SBI_L_5_6_!AN15,EL_DEL_CD2_SBI_L_7_8_!AN15,EL_DEL_CD2_SBI_L_9_10_!AN15,EL_DEL_CD2_L_STAB_!AN15),"0:00")</f>
        <v>0:00</v>
      </c>
      <c r="AO15" s="152" t="str">
        <f>+IFERROR(AVERAGE(EL_DEL_CD2_JO_!AO15,EL_DEL_CD2_SBI_1_4_!AO15,EL_DEL_CD2_SBI_5_6_!AO15,EL_DEL_CD2_SBI_7_8_!AO15,EL_DEL_CD2_SBI_9_10_!AO15,EL_DEL_CD2_STAB_!AO15,EL_DEL_CD2_JO_L_!AO15,EL_DEL_CD2_SBI_L_1_4_!AO15,EL_DEL_CD2_SBI_L_5_6_!AO15,EL_DEL_CD2_SBI_L_7_8_!AO15,EL_DEL_CD2_SBI_L_9_10_!AO15,EL_DEL_CD2_L_STAB_!AO15),"0:00")</f>
        <v>0:00</v>
      </c>
      <c r="AP15" s="98" t="str">
        <f>+IFERROR(AVERAGE(EL_DEL_CD2_JO_!AP15,EL_DEL_CD2_SBI_1_4_!AP15,EL_DEL_CD2_SBI_5_6_!AP15,EL_DEL_CD2_SBI_7_8_!AP15,EL_DEL_CD2_SBI_9_10_!AP15,EL_DEL_CD2_STAB_!AP15,EL_DEL_CD2_JO_L_!AP15,EL_DEL_CD2_SBI_L_1_4_!AP15,EL_DEL_CD2_SBI_L_5_6_!AP15,EL_DEL_CD2_SBI_L_7_8_!AP15,EL_DEL_CD2_SBI_L_9_10_!AP15,EL_DEL_CD2_L_STAB_!AP15),"0:00")</f>
        <v>0:00</v>
      </c>
      <c r="AQ15" s="152" t="str">
        <f>+IFERROR(AVERAGE(EL_DEL_CD2_JO_!AQ15,EL_DEL_CD2_SBI_1_4_!AQ15,EL_DEL_CD2_SBI_5_6_!AQ15,EL_DEL_CD2_SBI_7_8_!AQ15,EL_DEL_CD2_SBI_9_10_!AQ15,EL_DEL_CD2_STAB_!AQ15,EL_DEL_CD2_JO_L_!AQ15,EL_DEL_CD2_SBI_L_1_4_!AQ15,EL_DEL_CD2_SBI_L_5_6_!AQ15,EL_DEL_CD2_SBI_L_7_8_!AQ15,EL_DEL_CD2_SBI_L_9_10_!AQ15,EL_DEL_CD2_L_STAB_!AQ15),"0:00")</f>
        <v>0:00</v>
      </c>
      <c r="AR15" s="152" t="str">
        <f>+IFERROR(AVERAGE(EL_DEL_CD2_JO_!AR15,EL_DEL_CD2_SBI_1_4_!AR15,EL_DEL_CD2_SBI_5_6_!AR15,EL_DEL_CD2_SBI_7_8_!AR15,EL_DEL_CD2_SBI_9_10_!AR15,EL_DEL_CD2_STAB_!AR15,EL_DEL_CD2_JO_L_!AR15,EL_DEL_CD2_SBI_L_1_4_!AR15,EL_DEL_CD2_SBI_L_5_6_!AR15,EL_DEL_CD2_SBI_L_7_8_!AR15,EL_DEL_CD2_SBI_L_9_10_!AR15,EL_DEL_CD2_L_STAB_!AR15),"0:00")</f>
        <v>0:00</v>
      </c>
      <c r="AS15" s="152" t="str">
        <f>+IFERROR(AVERAGE(EL_DEL_CD2_JO_!AS15,EL_DEL_CD2_SBI_1_4_!AS15,EL_DEL_CD2_SBI_5_6_!AS15,EL_DEL_CD2_SBI_7_8_!AS15,EL_DEL_CD2_SBI_9_10_!AS15,EL_DEL_CD2_STAB_!AS15,EL_DEL_CD2_JO_L_!AS15,EL_DEL_CD2_SBI_L_1_4_!AS15,EL_DEL_CD2_SBI_L_5_6_!AS15,EL_DEL_CD2_SBI_L_7_8_!AS15,EL_DEL_CD2_SBI_L_9_10_!AS15,EL_DEL_CD2_L_STAB_!AS15),"0:00")</f>
        <v>0:00</v>
      </c>
      <c r="AT15" s="98">
        <f>+SUM(EL_DEL_CD2_JO_!AT15,EL_DEL_CD2_SBI_1_4_!AT15,EL_DEL_CD2_SBI_5_6_!AT15,EL_DEL_CD2_SBI_7_8_!AT15,EL_DEL_CD2_SBI_9_10_!AT15,EL_DEL_CD2_STAB_!AT15,EL_DEL_CD2_JO_L_!AT15,EL_DEL_CD2_SBI_L_1_4_!AT15,EL_DEL_CD2_SBI_L_5_6_!AT15,EL_DEL_CD2_SBI_L_7_8_!AT15,EL_DEL_CD2_SBI_L_9_10_!AT15,EL_DEL_CD2_L_STAB_!AT15)</f>
        <v>0</v>
      </c>
      <c r="AU15" s="98">
        <f>+SUM(EL_DEL_CD2_JO_!AU15,EL_DEL_CD2_SBI_1_4_!AU15,EL_DEL_CD2_SBI_5_6_!AU15,EL_DEL_CD2_SBI_7_8_!AU15,EL_DEL_CD2_SBI_9_10_!AU15,EL_DEL_CD2_STAB_!AU15,EL_DEL_CD2_JO_L_!AU15,EL_DEL_CD2_SBI_L_1_4_!AU15,EL_DEL_CD2_SBI_L_5_6_!AU15,EL_DEL_CD2_SBI_L_7_8_!AU15,EL_DEL_CD2_SBI_L_9_10_!AU15,EL_DEL_CD2_L_STAB_!AU15)</f>
        <v>0</v>
      </c>
      <c r="AV15" s="98">
        <f>+SUM(EL_DEL_CD2_JO_!AV15,EL_DEL_CD2_SBI_1_4_!AV15,EL_DEL_CD2_SBI_5_6_!AV15,EL_DEL_CD2_SBI_7_8_!AV15,EL_DEL_CD2_SBI_9_10_!AV15,EL_DEL_CD2_STAB_!AV15,EL_DEL_CD2_JO_L_!AV15,EL_DEL_CD2_SBI_L_1_4_!AV15,EL_DEL_CD2_SBI_L_5_6_!AV15,EL_DEL_CD2_SBI_L_7_8_!AV15,EL_DEL_CD2_SBI_L_9_10_!AV15,EL_DEL_CD2_L_STAB_!AV15)</f>
        <v>0</v>
      </c>
      <c r="AW15" s="167">
        <f>+SUM(EL_DEL_CD2_JO_!AW15,EL_DEL_CD2_SBI_1_4_!AW15,EL_DEL_CD2_SBI_5_6_!AW15,EL_DEL_CD2_SBI_7_8_!AW15,EL_DEL_CD2_SBI_9_10_!AW15,EL_DEL_CD2_STAB_!AW15,EL_DEL_CD2_JO_L_!AW15,EL_DEL_CD2_SBI_L_1_4_!AW15,EL_DEL_CD2_SBI_L_5_6_!AW15,EL_DEL_CD2_SBI_L_7_8_!AW15,EL_DEL_CD2_SBI_L_9_10_!AW15,EL_DEL_CD2_L_STAB_!AW15)</f>
        <v>0</v>
      </c>
      <c r="AX15" s="102" t="str">
        <f t="shared" si="24"/>
        <v>-</v>
      </c>
      <c r="AY15" s="151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51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31"/>
        <v/>
      </c>
      <c r="BH15" s="119" t="str">
        <f t="shared" si="8"/>
        <v/>
      </c>
      <c r="BI15" s="120" t="str">
        <f t="shared" si="25"/>
        <v/>
      </c>
      <c r="BJ15" s="151"/>
      <c r="BK15" s="121" t="str">
        <f t="shared" si="9"/>
        <v/>
      </c>
      <c r="BL15" s="122" t="str">
        <f t="shared" si="10"/>
        <v/>
      </c>
      <c r="BM15" s="122" t="str">
        <f t="shared" si="11"/>
        <v/>
      </c>
      <c r="BN15" s="123" t="str">
        <f t="shared" si="12"/>
        <v/>
      </c>
      <c r="BO15" s="151"/>
      <c r="BP15" s="124" t="str">
        <f t="shared" si="13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4"/>
        <v/>
      </c>
      <c r="BU15" s="151"/>
      <c r="BV15" s="127" t="e">
        <f t="shared" si="15"/>
        <v>#DIV/0!</v>
      </c>
      <c r="BW15" s="127" t="e">
        <f t="shared" si="16"/>
        <v>#DIV/0!</v>
      </c>
      <c r="BX15" s="127" t="e">
        <f t="shared" si="17"/>
        <v>#DIV/0!</v>
      </c>
      <c r="BY15" s="127" t="e">
        <f t="shared" si="18"/>
        <v>#DIV/0!</v>
      </c>
      <c r="BZ15" s="127" t="e">
        <f t="shared" si="28"/>
        <v>#DIV/0!</v>
      </c>
      <c r="CA15" s="128" t="e">
        <f t="shared" si="29"/>
        <v>#DIV/0!</v>
      </c>
      <c r="CB15" s="151"/>
      <c r="CC15" s="129" t="str">
        <f t="shared" si="19"/>
        <v>-</v>
      </c>
      <c r="CD15" s="130" t="str">
        <f t="shared" si="20"/>
        <v>-</v>
      </c>
      <c r="CE15" s="130" t="str">
        <f t="shared" si="21"/>
        <v>-</v>
      </c>
      <c r="CF15" s="130" t="str">
        <f t="shared" si="22"/>
        <v>-</v>
      </c>
      <c r="CG15" s="131" t="str">
        <f t="shared" si="23"/>
        <v>-</v>
      </c>
      <c r="CH15" s="151"/>
    </row>
    <row r="16" spans="1:86" s="115" customFormat="1" ht="12.4" customHeight="1" thickBot="1" x14ac:dyDescent="0.25">
      <c r="A16" s="96">
        <f t="shared" si="30"/>
        <v>46308</v>
      </c>
      <c r="B16" s="97" t="str">
        <f>+TEXT(A16,"DDD")</f>
        <v>Tue</v>
      </c>
      <c r="C16" s="98">
        <f>+SUM(EL_DEL_CD2_JO_!C16,EL_DEL_CD2_SBI_1_4_!C16,EL_DEL_CD2_SBI_5_6_!C16,EL_DEL_CD2_SBI_7_8_!C16,EL_DEL_CD2_SBI_9_10_!C16,EL_DEL_CD2_STAB_!C16,EL_DEL_CD2_JO_L_!C16,EL_DEL_CD2_SBI_L_1_4_!C16,EL_DEL_CD2_SBI_L_5_6_!C16,EL_DEL_CD2_SBI_L_7_8_!C16,EL_DEL_CD2_SBI_L_9_10_!C16,EL_DEL_CD2_L_STAB_!C16)</f>
        <v>0</v>
      </c>
      <c r="D16" s="98">
        <f>+SUM(EL_DEL_CD2_JO_!D16,EL_DEL_CD2_SBI_1_4_!D16,EL_DEL_CD2_SBI_5_6_!D16,EL_DEL_CD2_SBI_7_8_!D16,EL_DEL_CD2_SBI_9_10_!D16,EL_DEL_CD2_STAB_!D16,EL_DEL_CD2_JO_L_!D16,EL_DEL_CD2_SBI_L_1_4_!D16,EL_DEL_CD2_SBI_L_5_6_!D16,EL_DEL_CD2_SBI_L_7_8_!D16,EL_DEL_CD2_SBI_L_9_10_!D16,EL_DEL_CD2_L_STAB_!D16)</f>
        <v>0</v>
      </c>
      <c r="E16" s="98">
        <f>+SUM(EL_DEL_CD2_JO_!E16,EL_DEL_CD2_SBI_1_4_!E16,EL_DEL_CD2_SBI_5_6_!E16,EL_DEL_CD2_SBI_7_8_!E16,EL_DEL_CD2_SBI_9_10_!E16,EL_DEL_CD2_STAB_!E16,EL_DEL_CD2_JO_L_!E16,EL_DEL_CD2_SBI_L_1_4_!E16,EL_DEL_CD2_SBI_L_5_6_!E16,EL_DEL_CD2_SBI_L_7_8_!E16,EL_DEL_CD2_SBI_L_9_10_!E16,EL_DEL_CD2_L_STAB_!E16)</f>
        <v>0</v>
      </c>
      <c r="F16" s="98">
        <f>+SUM(EL_DEL_CD2_JO_!F16,EL_DEL_CD2_SBI_1_4_!F16,EL_DEL_CD2_SBI_5_6_!F16,EL_DEL_CD2_SBI_7_8_!F16,EL_DEL_CD2_SBI_9_10_!F16,EL_DEL_CD2_STAB_!F16,EL_DEL_CD2_JO_L_!F16,EL_DEL_CD2_SBI_L_1_4_!F16,EL_DEL_CD2_SBI_L_5_6_!F16,EL_DEL_CD2_SBI_L_7_8_!F16,EL_DEL_CD2_SBI_L_9_10_!F16,EL_DEL_CD2_L_STAB_!F16)</f>
        <v>0</v>
      </c>
      <c r="G16" s="98">
        <f>+SUM(EL_DEL_CD2_JO_!G16,EL_DEL_CD2_SBI_1_4_!G16,EL_DEL_CD2_SBI_5_6_!G16,EL_DEL_CD2_SBI_7_8_!G16,EL_DEL_CD2_SBI_9_10_!G16,EL_DEL_CD2_STAB_!G16,EL_DEL_CD2_JO_L_!G16,EL_DEL_CD2_SBI_L_1_4_!G16,EL_DEL_CD2_SBI_L_5_6_!G16,EL_DEL_CD2_SBI_L_7_8_!G16,EL_DEL_CD2_SBI_L_9_10_!G16,EL_DEL_CD2_L_STAB_!G16)</f>
        <v>0</v>
      </c>
      <c r="H16" s="98">
        <f>+SUM(EL_DEL_CD2_JO_!H16,EL_DEL_CD2_SBI_1_4_!H16,EL_DEL_CD2_SBI_5_6_!H16,EL_DEL_CD2_SBI_7_8_!H16,EL_DEL_CD2_SBI_9_10_!H16,EL_DEL_CD2_STAB_!H16,EL_DEL_CD2_JO_L_!H16,EL_DEL_CD2_SBI_L_1_4_!H16,EL_DEL_CD2_SBI_L_5_6_!H16,EL_DEL_CD2_SBI_L_7_8_!H16,EL_DEL_CD2_SBI_L_9_10_!H16,EL_DEL_CD2_L_STAB_!H16)</f>
        <v>0</v>
      </c>
      <c r="I16" s="98">
        <f>+SUM(EL_DEL_CD2_JO_!I16,EL_DEL_CD2_SBI_1_4_!I16,EL_DEL_CD2_SBI_5_6_!I16,EL_DEL_CD2_SBI_7_8_!I16,EL_DEL_CD2_SBI_9_10_!I16,EL_DEL_CD2_STAB_!I16,EL_DEL_CD2_JO_L_!I16,EL_DEL_CD2_SBI_L_1_4_!I16,EL_DEL_CD2_SBI_L_5_6_!I16,EL_DEL_CD2_SBI_L_7_8_!I16,EL_DEL_CD2_SBI_L_9_10_!I16,EL_DEL_CD2_L_STAB_!I16)</f>
        <v>0</v>
      </c>
      <c r="J16" s="98">
        <f>+SUM(EL_DEL_CD2_JO_!J16,EL_DEL_CD2_SBI_1_4_!J16,EL_DEL_CD2_SBI_5_6_!J16,EL_DEL_CD2_SBI_7_8_!J16,EL_DEL_CD2_SBI_9_10_!J16,EL_DEL_CD2_STAB_!J16,EL_DEL_CD2_JO_L_!J16,EL_DEL_CD2_SBI_L_1_4_!J16,EL_DEL_CD2_SBI_L_5_6_!J16,EL_DEL_CD2_SBI_L_7_8_!J16,EL_DEL_CD2_SBI_L_9_10_!J16,EL_DEL_CD2_L_STAB_!J16)</f>
        <v>0</v>
      </c>
      <c r="K16" s="98">
        <f>+SUM(EL_DEL_CD2_JO_!K16,EL_DEL_CD2_SBI_1_4_!K16,EL_DEL_CD2_SBI_5_6_!K16,EL_DEL_CD2_SBI_7_8_!K16,EL_DEL_CD2_SBI_9_10_!K16,EL_DEL_CD2_STAB_!K16,EL_DEL_CD2_JO_L_!K16,EL_DEL_CD2_SBI_L_1_4_!K16,EL_DEL_CD2_SBI_L_5_6_!K16,EL_DEL_CD2_SBI_L_7_8_!K16,EL_DEL_CD2_SBI_L_9_10_!K16,EL_DEL_CD2_L_STAB_!K16)</f>
        <v>0</v>
      </c>
      <c r="L16" s="98">
        <f>+SUM(EL_DEL_CD2_JO_!L16,EL_DEL_CD2_SBI_1_4_!L16,EL_DEL_CD2_SBI_5_6_!L16,EL_DEL_CD2_SBI_7_8_!L16,EL_DEL_CD2_SBI_9_10_!L16,EL_DEL_CD2_STAB_!L16,EL_DEL_CD2_JO_L_!L16,EL_DEL_CD2_SBI_L_1_4_!L16,EL_DEL_CD2_SBI_L_5_6_!L16,EL_DEL_CD2_SBI_L_7_8_!L16,EL_DEL_CD2_SBI_L_9_10_!L16,EL_DEL_CD2_L_STAB_!L16)</f>
        <v>0</v>
      </c>
      <c r="M16" s="98">
        <f>+SUM(EL_DEL_CD2_JO_!M16,EL_DEL_CD2_SBI_1_4_!M16,EL_DEL_CD2_SBI_5_6_!M16,EL_DEL_CD2_SBI_7_8_!M16,EL_DEL_CD2_SBI_9_10_!M16,EL_DEL_CD2_STAB_!M16,EL_DEL_CD2_JO_L_!M16,EL_DEL_CD2_SBI_L_1_4_!M16,EL_DEL_CD2_SBI_L_5_6_!M16,EL_DEL_CD2_SBI_L_7_8_!M16,EL_DEL_CD2_SBI_L_9_10_!M16,EL_DEL_CD2_L_STAB_!M16)</f>
        <v>0</v>
      </c>
      <c r="N16" s="98">
        <f>+SUM(EL_DEL_CD2_JO_!N16,EL_DEL_CD2_SBI_1_4_!N16,EL_DEL_CD2_SBI_5_6_!N16,EL_DEL_CD2_SBI_7_8_!N16,EL_DEL_CD2_SBI_9_10_!N16,EL_DEL_CD2_STAB_!N16,EL_DEL_CD2_JO_L_!N16,EL_DEL_CD2_SBI_L_1_4_!N16,EL_DEL_CD2_SBI_L_5_6_!N16,EL_DEL_CD2_SBI_L_7_8_!N16,EL_DEL_CD2_SBI_L_9_10_!N16,EL_DEL_CD2_L_STAB_!N16)</f>
        <v>0</v>
      </c>
      <c r="O16" s="98">
        <f>+SUM(EL_DEL_CD2_JO_!O16,EL_DEL_CD2_SBI_1_4_!O16,EL_DEL_CD2_SBI_5_6_!O16,EL_DEL_CD2_SBI_7_8_!O16,EL_DEL_CD2_SBI_9_10_!O16,EL_DEL_CD2_STAB_!O16,EL_DEL_CD2_JO_L_!O16,EL_DEL_CD2_SBI_L_1_4_!O16,EL_DEL_CD2_SBI_L_5_6_!O16,EL_DEL_CD2_SBI_L_7_8_!O16,EL_DEL_CD2_SBI_L_9_10_!O16,EL_DEL_CD2_L_STAB_!O16)</f>
        <v>0</v>
      </c>
      <c r="P16" s="98">
        <f>+SUM(EL_DEL_CD2_JO_!P16,EL_DEL_CD2_SBI_1_4_!P16,EL_DEL_CD2_SBI_5_6_!P16,EL_DEL_CD2_SBI_7_8_!P16,EL_DEL_CD2_SBI_9_10_!P16,EL_DEL_CD2_STAB_!P16,EL_DEL_CD2_JO_L_!P16,EL_DEL_CD2_SBI_L_1_4_!P16,EL_DEL_CD2_SBI_L_5_6_!P16,EL_DEL_CD2_SBI_L_7_8_!P16,EL_DEL_CD2_SBI_L_9_10_!P16,EL_DEL_CD2_L_STAB_!P16)</f>
        <v>0</v>
      </c>
      <c r="Q16" s="98">
        <f>+SUM(EL_DEL_CD2_JO_!Q16,EL_DEL_CD2_SBI_1_4_!Q16,EL_DEL_CD2_SBI_5_6_!Q16,EL_DEL_CD2_SBI_7_8_!Q16,EL_DEL_CD2_SBI_9_10_!Q16,EL_DEL_CD2_STAB_!Q16,EL_DEL_CD2_JO_L_!Q16,EL_DEL_CD2_SBI_L_1_4_!Q16,EL_DEL_CD2_SBI_L_5_6_!Q16,EL_DEL_CD2_SBI_L_7_8_!Q16,EL_DEL_CD2_SBI_L_9_10_!Q16,EL_DEL_CD2_L_STAB_!Q16)</f>
        <v>0</v>
      </c>
      <c r="R16" s="98">
        <f>+SUM(EL_DEL_CD2_JO_!R16,EL_DEL_CD2_SBI_1_4_!R16,EL_DEL_CD2_SBI_5_6_!R16,EL_DEL_CD2_SBI_7_8_!R16,EL_DEL_CD2_SBI_9_10_!R16,EL_DEL_CD2_STAB_!R16,EL_DEL_CD2_JO_L_!R16,EL_DEL_CD2_SBI_L_1_4_!R16,EL_DEL_CD2_SBI_L_5_6_!R16,EL_DEL_CD2_SBI_L_7_8_!R16,EL_DEL_CD2_SBI_L_9_10_!R16,EL_DEL_CD2_L_STAB_!R16)</f>
        <v>0</v>
      </c>
      <c r="S16" s="98">
        <f>+SUM(EL_DEL_CD2_JO_!S16,EL_DEL_CD2_SBI_1_4_!S16,EL_DEL_CD2_SBI_5_6_!S16,EL_DEL_CD2_SBI_7_8_!S16,EL_DEL_CD2_SBI_9_10_!S16,EL_DEL_CD2_STAB_!S16,EL_DEL_CD2_JO_L_!S16,EL_DEL_CD2_SBI_L_1_4_!S16,EL_DEL_CD2_SBI_L_5_6_!S16,EL_DEL_CD2_SBI_L_7_8_!S16,EL_DEL_CD2_SBI_L_9_10_!S16,EL_DEL_CD2_L_STAB_!S16)</f>
        <v>0</v>
      </c>
      <c r="T16" s="98">
        <f>+SUM(EL_DEL_CD2_JO_!T16,EL_DEL_CD2_SBI_1_4_!T16,EL_DEL_CD2_SBI_5_6_!T16,EL_DEL_CD2_SBI_7_8_!T16,EL_DEL_CD2_SBI_9_10_!T16,EL_DEL_CD2_STAB_!T16,EL_DEL_CD2_JO_L_!T16,EL_DEL_CD2_SBI_L_1_4_!T16,EL_DEL_CD2_SBI_L_5_6_!T16,EL_DEL_CD2_SBI_L_7_8_!T16,EL_DEL_CD2_SBI_L_9_10_!T16,EL_DEL_CD2_L_STAB_!T16)</f>
        <v>0</v>
      </c>
      <c r="U16" s="98">
        <f>+SUM(EL_DEL_CD2_JO_!U16,EL_DEL_CD2_SBI_1_4_!U16,EL_DEL_CD2_SBI_5_6_!U16,EL_DEL_CD2_SBI_7_8_!U16,EL_DEL_CD2_SBI_9_10_!U16,EL_DEL_CD2_STAB_!U16,EL_DEL_CD2_JO_L_!U16,EL_DEL_CD2_SBI_L_1_4_!U16,EL_DEL_CD2_SBI_L_5_6_!U16,EL_DEL_CD2_SBI_L_7_8_!U16,EL_DEL_CD2_SBI_L_9_10_!U16,EL_DEL_CD2_L_STAB_!U16)</f>
        <v>0</v>
      </c>
      <c r="V16" s="98">
        <f>+SUM(EL_DEL_CD2_JO_!V16,EL_DEL_CD2_SBI_1_4_!V16,EL_DEL_CD2_SBI_5_6_!V16,EL_DEL_CD2_SBI_7_8_!V16,EL_DEL_CD2_SBI_9_10_!V16,EL_DEL_CD2_STAB_!V16,EL_DEL_CD2_JO_L_!V16,EL_DEL_CD2_SBI_L_1_4_!V16,EL_DEL_CD2_SBI_L_5_6_!V16,EL_DEL_CD2_SBI_L_7_8_!V16,EL_DEL_CD2_SBI_L_9_10_!V16,EL_DEL_CD2_L_STAB_!V16)</f>
        <v>0</v>
      </c>
      <c r="W16" s="98">
        <f>+SUM(EL_DEL_CD2_JO_!W16,EL_DEL_CD2_SBI_1_4_!W16,EL_DEL_CD2_SBI_5_6_!W16,EL_DEL_CD2_SBI_7_8_!W16,EL_DEL_CD2_SBI_9_10_!W16,EL_DEL_CD2_STAB_!W16,EL_DEL_CD2_JO_L_!W16,EL_DEL_CD2_SBI_L_1_4_!W16,EL_DEL_CD2_SBI_L_5_6_!W16,EL_DEL_CD2_SBI_L_7_8_!W16,EL_DEL_CD2_SBI_L_9_10_!W16,EL_DEL_CD2_L_STAB_!W16)</f>
        <v>0</v>
      </c>
      <c r="X16" s="98">
        <f>+SUM(EL_DEL_CD2_JO_!X16,EL_DEL_CD2_SBI_1_4_!X16,EL_DEL_CD2_SBI_5_6_!X16,EL_DEL_CD2_SBI_7_8_!X16,EL_DEL_CD2_SBI_9_10_!X16,EL_DEL_CD2_STAB_!X16,EL_DEL_CD2_JO_L_!X16,EL_DEL_CD2_SBI_L_1_4_!X16,EL_DEL_CD2_SBI_L_5_6_!X16,EL_DEL_CD2_SBI_L_7_8_!X16,EL_DEL_CD2_SBI_L_9_10_!X16,EL_DEL_CD2_L_STAB_!X16)</f>
        <v>0</v>
      </c>
      <c r="Y16" s="98">
        <f>+SUM(EL_DEL_CD2_JO_!Y16,EL_DEL_CD2_SBI_1_4_!Y16,EL_DEL_CD2_SBI_5_6_!Y16,EL_DEL_CD2_SBI_7_8_!Y16,EL_DEL_CD2_SBI_9_10_!Y16,EL_DEL_CD2_STAB_!Y16,EL_DEL_CD2_JO_L_!Y16,EL_DEL_CD2_SBI_L_1_4_!Y16,EL_DEL_CD2_SBI_L_5_6_!Y16,EL_DEL_CD2_SBI_L_7_8_!Y16,EL_DEL_CD2_SBI_L_9_10_!Y16,EL_DEL_CD2_L_STAB_!Y16)</f>
        <v>0</v>
      </c>
      <c r="Z16" s="98">
        <f>+SUM(EL_DEL_CD2_JO_!Z16,EL_DEL_CD2_SBI_1_4_!Z16,EL_DEL_CD2_SBI_5_6_!Z16,EL_DEL_CD2_SBI_7_8_!Z16,EL_DEL_CD2_SBI_9_10_!Z16,EL_DEL_CD2_STAB_!Z16,EL_DEL_CD2_JO_L_!Z16,EL_DEL_CD2_SBI_L_1_4_!Z16,EL_DEL_CD2_SBI_L_5_6_!Z16,EL_DEL_CD2_SBI_L_7_8_!Z16,EL_DEL_CD2_SBI_L_9_10_!Z16,EL_DEL_CD2_L_STAB_!Z16)</f>
        <v>0</v>
      </c>
      <c r="AA16" s="98">
        <f>+SUM(EL_DEL_CD2_JO_!AA16,EL_DEL_CD2_SBI_1_4_!AA16,EL_DEL_CD2_SBI_5_6_!AA16,EL_DEL_CD2_SBI_7_8_!AA16,EL_DEL_CD2_SBI_9_10_!AA16,EL_DEL_CD2_STAB_!AA16,EL_DEL_CD2_JO_L_!AA16,EL_DEL_CD2_SBI_L_1_4_!AA16,EL_DEL_CD2_SBI_L_5_6_!AA16,EL_DEL_CD2_SBI_L_7_8_!AA16,EL_DEL_CD2_SBI_L_9_10_!AA16,EL_DEL_CD2_L_STAB_!AA16)</f>
        <v>0</v>
      </c>
      <c r="AB16" s="98">
        <f>+SUM(EL_DEL_CD2_JO_!AB16,EL_DEL_CD2_SBI_1_4_!AB16,EL_DEL_CD2_SBI_5_6_!AB16,EL_DEL_CD2_SBI_7_8_!AB16,EL_DEL_CD2_SBI_9_10_!AB16,EL_DEL_CD2_STAB_!AB16,EL_DEL_CD2_JO_L_!AB16,EL_DEL_CD2_SBI_L_1_4_!AB16,EL_DEL_CD2_SBI_L_5_6_!AB16,EL_DEL_CD2_SBI_L_7_8_!AB16,EL_DEL_CD2_SBI_L_9_10_!AB16,EL_DEL_CD2_L_STAB_!AB16)</f>
        <v>0</v>
      </c>
      <c r="AC16" s="98">
        <f>+SUM(EL_DEL_CD2_JO_!AC16,EL_DEL_CD2_SBI_1_4_!AC16,EL_DEL_CD2_SBI_5_6_!AC16,EL_DEL_CD2_SBI_7_8_!AC16,EL_DEL_CD2_SBI_9_10_!AC16,EL_DEL_CD2_STAB_!AC16,EL_DEL_CD2_JO_L_!AC16,EL_DEL_CD2_SBI_L_1_4_!AC16,EL_DEL_CD2_SBI_L_5_6_!AC16,EL_DEL_CD2_SBI_L_7_8_!AC16,EL_DEL_CD2_SBI_L_9_10_!AC16,EL_DEL_CD2_L_STAB_!AC16)</f>
        <v>0</v>
      </c>
      <c r="AD16" s="98">
        <f>+SUM(EL_DEL_CD2_JO_!AD16,EL_DEL_CD2_SBI_1_4_!AD16,EL_DEL_CD2_SBI_5_6_!AD16,EL_DEL_CD2_SBI_7_8_!AD16,EL_DEL_CD2_SBI_9_10_!AD16,EL_DEL_CD2_STAB_!AD16,EL_DEL_CD2_JO_L_!AD16,EL_DEL_CD2_SBI_L_1_4_!AD16,EL_DEL_CD2_SBI_L_5_6_!AD16,EL_DEL_CD2_SBI_L_7_8_!AD16,EL_DEL_CD2_SBI_L_9_10_!AD16,EL_DEL_CD2_L_STAB_!AD16)</f>
        <v>0</v>
      </c>
      <c r="AE16" s="98">
        <f>+SUM(EL_DEL_CD2_JO_!AE16,EL_DEL_CD2_SBI_1_4_!AE16,EL_DEL_CD2_SBI_5_6_!AE16,EL_DEL_CD2_SBI_7_8_!AE16,EL_DEL_CD2_SBI_9_10_!AE16,EL_DEL_CD2_STAB_!AE16,EL_DEL_CD2_JO_L_!AE16,EL_DEL_CD2_SBI_L_1_4_!AE16,EL_DEL_CD2_SBI_L_5_6_!AE16,EL_DEL_CD2_SBI_L_7_8_!AE16,EL_DEL_CD2_SBI_L_9_10_!AE16,EL_DEL_CD2_L_STAB_!AE16)</f>
        <v>0</v>
      </c>
      <c r="AF16" s="98">
        <f>+SUM(EL_DEL_CD2_JO_!AF16,EL_DEL_CD2_SBI_1_4_!AF16,EL_DEL_CD2_SBI_5_6_!AF16,EL_DEL_CD2_SBI_7_8_!AF16,EL_DEL_CD2_SBI_9_10_!AF16,EL_DEL_CD2_STAB_!AF16,EL_DEL_CD2_JO_L_!AF16,EL_DEL_CD2_SBI_L_1_4_!AF16,EL_DEL_CD2_SBI_L_5_6_!AF16,EL_DEL_CD2_SBI_L_7_8_!AF16,EL_DEL_CD2_SBI_L_9_10_!AF16,EL_DEL_CD2_L_STAB_!AF16)</f>
        <v>0</v>
      </c>
      <c r="AG16" s="98">
        <f>+SUM(EL_DEL_CD2_JO_!AG16,EL_DEL_CD2_SBI_1_4_!AG16,EL_DEL_CD2_SBI_5_6_!AG16,EL_DEL_CD2_SBI_7_8_!AG16,EL_DEL_CD2_SBI_9_10_!AG16,EL_DEL_CD2_STAB_!AG16,EL_DEL_CD2_JO_L_!AG16,EL_DEL_CD2_SBI_L_1_4_!AG16,EL_DEL_CD2_SBI_L_5_6_!AG16,EL_DEL_CD2_SBI_L_7_8_!AG16,EL_DEL_CD2_SBI_L_9_10_!AG16,EL_DEL_CD2_L_STAB_!AG16)</f>
        <v>0</v>
      </c>
      <c r="AH16" s="98">
        <f>+SUM(EL_DEL_CD2_JO_!AH16,EL_DEL_CD2_SBI_1_4_!AH16,EL_DEL_CD2_SBI_5_6_!AH16,EL_DEL_CD2_SBI_7_8_!AH16,EL_DEL_CD2_SBI_9_10_!AH16,EL_DEL_CD2_STAB_!AH16,EL_DEL_CD2_JO_L_!AH16,EL_DEL_CD2_SBI_L_1_4_!AH16,EL_DEL_CD2_SBI_L_5_6_!AH16,EL_DEL_CD2_SBI_L_7_8_!AH16,EL_DEL_CD2_SBI_L_9_10_!AH16,EL_DEL_CD2_L_STAB_!AH16)</f>
        <v>0</v>
      </c>
      <c r="AI16" s="98">
        <f>+SUM(EL_DEL_CD2_JO_!AI16,EL_DEL_CD2_SBI_1_4_!AI16,EL_DEL_CD2_SBI_5_6_!AI16,EL_DEL_CD2_SBI_7_8_!AI16,EL_DEL_CD2_SBI_9_10_!AI16,EL_DEL_CD2_STAB_!AI16,EL_DEL_CD2_JO_L_!AI16,EL_DEL_CD2_SBI_L_1_4_!AI16,EL_DEL_CD2_SBI_L_5_6_!AI16,EL_DEL_CD2_SBI_L_7_8_!AI16,EL_DEL_CD2_SBI_L_9_10_!AI16,EL_DEL_CD2_L_STAB_!AI16)</f>
        <v>0</v>
      </c>
      <c r="AJ16" s="98">
        <f>+SUM(EL_DEL_CD2_JO_!AJ16,EL_DEL_CD2_SBI_1_4_!AJ16,EL_DEL_CD2_SBI_5_6_!AJ16,EL_DEL_CD2_SBI_7_8_!AJ16,EL_DEL_CD2_SBI_9_10_!AJ16,EL_DEL_CD2_STAB_!AJ16,EL_DEL_CD2_JO_L_!AJ16,EL_DEL_CD2_SBI_L_1_4_!AJ16,EL_DEL_CD2_SBI_L_5_6_!AJ16,EL_DEL_CD2_SBI_L_7_8_!AJ16,EL_DEL_CD2_SBI_L_9_10_!AJ16,EL_DEL_CD2_L_STAB_!AJ16)</f>
        <v>0</v>
      </c>
      <c r="AK16" s="98">
        <f>+SUM(EL_DEL_CD2_JO_!AK16,EL_DEL_CD2_SBI_1_4_!AK16,EL_DEL_CD2_SBI_5_6_!AK16,EL_DEL_CD2_SBI_7_8_!AK16,EL_DEL_CD2_SBI_9_10_!AK16,EL_DEL_CD2_STAB_!AK16,EL_DEL_CD2_JO_L_!AK16,EL_DEL_CD2_SBI_L_1_4_!AK16,EL_DEL_CD2_SBI_L_5_6_!AK16,EL_DEL_CD2_SBI_L_7_8_!AK16,EL_DEL_CD2_SBI_L_9_10_!AK16,EL_DEL_CD2_L_STAB_!AK16)</f>
        <v>0</v>
      </c>
      <c r="AL16" s="152" t="str">
        <f>+IFERROR(AVERAGE(EL_DEL_CD2_JO_!AL16,EL_DEL_CD2_SBI_1_4_!AL16,EL_DEL_CD2_SBI_5_6_!AL16,EL_DEL_CD2_SBI_7_8_!AL16,EL_DEL_CD2_SBI_9_10_!AL16,EL_DEL_CD2_STAB_!AL16,EL_DEL_CD2_JO_L_!AL16,EL_DEL_CD2_SBI_L_1_4_!AL16,EL_DEL_CD2_SBI_L_5_6_!AL16,EL_DEL_CD2_SBI_L_7_8_!AL16,EL_DEL_CD2_SBI_L_9_10_!AL16,EL_DEL_CD2_L_STAB_!AL16),"0:00")</f>
        <v>0:00</v>
      </c>
      <c r="AM16" s="152" t="str">
        <f>+IFERROR(AVERAGE(EL_DEL_CD2_JO_!AM16,EL_DEL_CD2_SBI_1_4_!AM16,EL_DEL_CD2_SBI_5_6_!AM16,EL_DEL_CD2_SBI_7_8_!AM16,EL_DEL_CD2_SBI_9_10_!AM16,EL_DEL_CD2_STAB_!AM16,EL_DEL_CD2_JO_L_!AM16,EL_DEL_CD2_SBI_L_1_4_!AM16,EL_DEL_CD2_SBI_L_5_6_!AM16,EL_DEL_CD2_SBI_L_7_8_!AM16,EL_DEL_CD2_SBI_L_9_10_!AM16,EL_DEL_CD2_L_STAB_!AM16),"0:00")</f>
        <v>0:00</v>
      </c>
      <c r="AN16" s="152" t="str">
        <f>+IFERROR(AVERAGE(EL_DEL_CD2_JO_!AN16,EL_DEL_CD2_SBI_1_4_!AN16,EL_DEL_CD2_SBI_5_6_!AN16,EL_DEL_CD2_SBI_7_8_!AN16,EL_DEL_CD2_SBI_9_10_!AN16,EL_DEL_CD2_STAB_!AN16,EL_DEL_CD2_JO_L_!AN16,EL_DEL_CD2_SBI_L_1_4_!AN16,EL_DEL_CD2_SBI_L_5_6_!AN16,EL_DEL_CD2_SBI_L_7_8_!AN16,EL_DEL_CD2_SBI_L_9_10_!AN16,EL_DEL_CD2_L_STAB_!AN16),"0:00")</f>
        <v>0:00</v>
      </c>
      <c r="AO16" s="152" t="str">
        <f>+IFERROR(AVERAGE(EL_DEL_CD2_JO_!AO16,EL_DEL_CD2_SBI_1_4_!AO16,EL_DEL_CD2_SBI_5_6_!AO16,EL_DEL_CD2_SBI_7_8_!AO16,EL_DEL_CD2_SBI_9_10_!AO16,EL_DEL_CD2_STAB_!AO16,EL_DEL_CD2_JO_L_!AO16,EL_DEL_CD2_SBI_L_1_4_!AO16,EL_DEL_CD2_SBI_L_5_6_!AO16,EL_DEL_CD2_SBI_L_7_8_!AO16,EL_DEL_CD2_SBI_L_9_10_!AO16,EL_DEL_CD2_L_STAB_!AO16),"0:00")</f>
        <v>0:00</v>
      </c>
      <c r="AP16" s="98" t="str">
        <f>+IFERROR(AVERAGE(EL_DEL_CD2_JO_!AP16,EL_DEL_CD2_SBI_1_4_!AP16,EL_DEL_CD2_SBI_5_6_!AP16,EL_DEL_CD2_SBI_7_8_!AP16,EL_DEL_CD2_SBI_9_10_!AP16,EL_DEL_CD2_STAB_!AP16,EL_DEL_CD2_JO_L_!AP16,EL_DEL_CD2_SBI_L_1_4_!AP16,EL_DEL_CD2_SBI_L_5_6_!AP16,EL_DEL_CD2_SBI_L_7_8_!AP16,EL_DEL_CD2_SBI_L_9_10_!AP16,EL_DEL_CD2_L_STAB_!AP16),"0:00")</f>
        <v>0:00</v>
      </c>
      <c r="AQ16" s="152" t="str">
        <f>+IFERROR(AVERAGE(EL_DEL_CD2_JO_!AQ16,EL_DEL_CD2_SBI_1_4_!AQ16,EL_DEL_CD2_SBI_5_6_!AQ16,EL_DEL_CD2_SBI_7_8_!AQ16,EL_DEL_CD2_SBI_9_10_!AQ16,EL_DEL_CD2_STAB_!AQ16,EL_DEL_CD2_JO_L_!AQ16,EL_DEL_CD2_SBI_L_1_4_!AQ16,EL_DEL_CD2_SBI_L_5_6_!AQ16,EL_DEL_CD2_SBI_L_7_8_!AQ16,EL_DEL_CD2_SBI_L_9_10_!AQ16,EL_DEL_CD2_L_STAB_!AQ16),"0:00")</f>
        <v>0:00</v>
      </c>
      <c r="AR16" s="152" t="str">
        <f>+IFERROR(AVERAGE(EL_DEL_CD2_JO_!AR16,EL_DEL_CD2_SBI_1_4_!AR16,EL_DEL_CD2_SBI_5_6_!AR16,EL_DEL_CD2_SBI_7_8_!AR16,EL_DEL_CD2_SBI_9_10_!AR16,EL_DEL_CD2_STAB_!AR16,EL_DEL_CD2_JO_L_!AR16,EL_DEL_CD2_SBI_L_1_4_!AR16,EL_DEL_CD2_SBI_L_5_6_!AR16,EL_DEL_CD2_SBI_L_7_8_!AR16,EL_DEL_CD2_SBI_L_9_10_!AR16,EL_DEL_CD2_L_STAB_!AR16),"0:00")</f>
        <v>0:00</v>
      </c>
      <c r="AS16" s="152" t="str">
        <f>+IFERROR(AVERAGE(EL_DEL_CD2_JO_!AS16,EL_DEL_CD2_SBI_1_4_!AS16,EL_DEL_CD2_SBI_5_6_!AS16,EL_DEL_CD2_SBI_7_8_!AS16,EL_DEL_CD2_SBI_9_10_!AS16,EL_DEL_CD2_STAB_!AS16,EL_DEL_CD2_JO_L_!AS16,EL_DEL_CD2_SBI_L_1_4_!AS16,EL_DEL_CD2_SBI_L_5_6_!AS16,EL_DEL_CD2_SBI_L_7_8_!AS16,EL_DEL_CD2_SBI_L_9_10_!AS16,EL_DEL_CD2_L_STAB_!AS16),"0:00")</f>
        <v>0:00</v>
      </c>
      <c r="AT16" s="98">
        <f>+SUM(EL_DEL_CD2_JO_!AT16,EL_DEL_CD2_SBI_1_4_!AT16,EL_DEL_CD2_SBI_5_6_!AT16,EL_DEL_CD2_SBI_7_8_!AT16,EL_DEL_CD2_SBI_9_10_!AT16,EL_DEL_CD2_STAB_!AT16,EL_DEL_CD2_JO_L_!AT16,EL_DEL_CD2_SBI_L_1_4_!AT16,EL_DEL_CD2_SBI_L_5_6_!AT16,EL_DEL_CD2_SBI_L_7_8_!AT16,EL_DEL_CD2_SBI_L_9_10_!AT16,EL_DEL_CD2_L_STAB_!AT16)</f>
        <v>0</v>
      </c>
      <c r="AU16" s="98">
        <f>+SUM(EL_DEL_CD2_JO_!AU16,EL_DEL_CD2_SBI_1_4_!AU16,EL_DEL_CD2_SBI_5_6_!AU16,EL_DEL_CD2_SBI_7_8_!AU16,EL_DEL_CD2_SBI_9_10_!AU16,EL_DEL_CD2_STAB_!AU16,EL_DEL_CD2_JO_L_!AU16,EL_DEL_CD2_SBI_L_1_4_!AU16,EL_DEL_CD2_SBI_L_5_6_!AU16,EL_DEL_CD2_SBI_L_7_8_!AU16,EL_DEL_CD2_SBI_L_9_10_!AU16,EL_DEL_CD2_L_STAB_!AU16)</f>
        <v>0</v>
      </c>
      <c r="AV16" s="98">
        <f>+SUM(EL_DEL_CD2_JO_!AV16,EL_DEL_CD2_SBI_1_4_!AV16,EL_DEL_CD2_SBI_5_6_!AV16,EL_DEL_CD2_SBI_7_8_!AV16,EL_DEL_CD2_SBI_9_10_!AV16,EL_DEL_CD2_STAB_!AV16,EL_DEL_CD2_JO_L_!AV16,EL_DEL_CD2_SBI_L_1_4_!AV16,EL_DEL_CD2_SBI_L_5_6_!AV16,EL_DEL_CD2_SBI_L_7_8_!AV16,EL_DEL_CD2_SBI_L_9_10_!AV16,EL_DEL_CD2_L_STAB_!AV16)</f>
        <v>0</v>
      </c>
      <c r="AW16" s="167">
        <f>+SUM(EL_DEL_CD2_JO_!AW16,EL_DEL_CD2_SBI_1_4_!AW16,EL_DEL_CD2_SBI_5_6_!AW16,EL_DEL_CD2_SBI_7_8_!AW16,EL_DEL_CD2_SBI_9_10_!AW16,EL_DEL_CD2_STAB_!AW16,EL_DEL_CD2_JO_L_!AW16,EL_DEL_CD2_SBI_L_1_4_!AW16,EL_DEL_CD2_SBI_L_5_6_!AW16,EL_DEL_CD2_SBI_L_7_8_!AW16,EL_DEL_CD2_SBI_L_9_10_!AW16,EL_DEL_CD2_L_STAB_!AW16)</f>
        <v>0</v>
      </c>
      <c r="AX16" s="102" t="str">
        <f t="shared" si="24"/>
        <v>-</v>
      </c>
      <c r="AY16" s="151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51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31"/>
        <v/>
      </c>
      <c r="BH16" s="119" t="str">
        <f t="shared" si="8"/>
        <v/>
      </c>
      <c r="BI16" s="120" t="str">
        <f t="shared" si="25"/>
        <v/>
      </c>
      <c r="BJ16" s="151"/>
      <c r="BK16" s="121" t="str">
        <f t="shared" si="9"/>
        <v/>
      </c>
      <c r="BL16" s="122" t="str">
        <f t="shared" si="10"/>
        <v/>
      </c>
      <c r="BM16" s="122" t="str">
        <f t="shared" si="11"/>
        <v/>
      </c>
      <c r="BN16" s="123" t="str">
        <f t="shared" si="12"/>
        <v/>
      </c>
      <c r="BO16" s="151"/>
      <c r="BP16" s="124" t="str">
        <f t="shared" si="13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4"/>
        <v/>
      </c>
      <c r="BU16" s="151"/>
      <c r="BV16" s="127" t="e">
        <f t="shared" si="15"/>
        <v>#DIV/0!</v>
      </c>
      <c r="BW16" s="127" t="e">
        <f t="shared" si="16"/>
        <v>#DIV/0!</v>
      </c>
      <c r="BX16" s="127" t="e">
        <f t="shared" si="17"/>
        <v>#DIV/0!</v>
      </c>
      <c r="BY16" s="127" t="e">
        <f t="shared" si="18"/>
        <v>#DIV/0!</v>
      </c>
      <c r="BZ16" s="127" t="e">
        <f t="shared" si="28"/>
        <v>#DIV/0!</v>
      </c>
      <c r="CA16" s="128" t="e">
        <f t="shared" si="29"/>
        <v>#DIV/0!</v>
      </c>
      <c r="CB16" s="151"/>
      <c r="CC16" s="129" t="str">
        <f t="shared" si="19"/>
        <v>-</v>
      </c>
      <c r="CD16" s="130" t="str">
        <f t="shared" si="20"/>
        <v>-</v>
      </c>
      <c r="CE16" s="130" t="str">
        <f t="shared" si="21"/>
        <v>-</v>
      </c>
      <c r="CF16" s="130" t="str">
        <f t="shared" si="22"/>
        <v>-</v>
      </c>
      <c r="CG16" s="131" t="str">
        <f t="shared" si="23"/>
        <v>-</v>
      </c>
      <c r="CH16" s="151"/>
    </row>
    <row r="17" spans="1:86" s="115" customFormat="1" ht="12.4" customHeight="1" thickBot="1" x14ac:dyDescent="0.25">
      <c r="A17" s="96">
        <f t="shared" si="30"/>
        <v>46309</v>
      </c>
      <c r="B17" s="97" t="str">
        <f t="shared" si="0"/>
        <v>Wed</v>
      </c>
      <c r="C17" s="98">
        <f>+SUM(EL_DEL_CD2_JO_!C17,EL_DEL_CD2_SBI_1_4_!C17,EL_DEL_CD2_SBI_5_6_!C17,EL_DEL_CD2_SBI_7_8_!C17,EL_DEL_CD2_SBI_9_10_!C17,EL_DEL_CD2_STAB_!C17,EL_DEL_CD2_JO_L_!C17,EL_DEL_CD2_SBI_L_1_4_!C17,EL_DEL_CD2_SBI_L_5_6_!C17,EL_DEL_CD2_SBI_L_7_8_!C17,EL_DEL_CD2_SBI_L_9_10_!C17,EL_DEL_CD2_L_STAB_!C17)</f>
        <v>0</v>
      </c>
      <c r="D17" s="98">
        <f>+SUM(EL_DEL_CD2_JO_!D17,EL_DEL_CD2_SBI_1_4_!D17,EL_DEL_CD2_SBI_5_6_!D17,EL_DEL_CD2_SBI_7_8_!D17,EL_DEL_CD2_SBI_9_10_!D17,EL_DEL_CD2_STAB_!D17,EL_DEL_CD2_JO_L_!D17,EL_DEL_CD2_SBI_L_1_4_!D17,EL_DEL_CD2_SBI_L_5_6_!D17,EL_DEL_CD2_SBI_L_7_8_!D17,EL_DEL_CD2_SBI_L_9_10_!D17,EL_DEL_CD2_L_STAB_!D17)</f>
        <v>0</v>
      </c>
      <c r="E17" s="98">
        <f>+SUM(EL_DEL_CD2_JO_!E17,EL_DEL_CD2_SBI_1_4_!E17,EL_DEL_CD2_SBI_5_6_!E17,EL_DEL_CD2_SBI_7_8_!E17,EL_DEL_CD2_SBI_9_10_!E17,EL_DEL_CD2_STAB_!E17,EL_DEL_CD2_JO_L_!E17,EL_DEL_CD2_SBI_L_1_4_!E17,EL_DEL_CD2_SBI_L_5_6_!E17,EL_DEL_CD2_SBI_L_7_8_!E17,EL_DEL_CD2_SBI_L_9_10_!E17,EL_DEL_CD2_L_STAB_!E17)</f>
        <v>0</v>
      </c>
      <c r="F17" s="98">
        <f>+SUM(EL_DEL_CD2_JO_!F17,EL_DEL_CD2_SBI_1_4_!F17,EL_DEL_CD2_SBI_5_6_!F17,EL_DEL_CD2_SBI_7_8_!F17,EL_DEL_CD2_SBI_9_10_!F17,EL_DEL_CD2_STAB_!F17,EL_DEL_CD2_JO_L_!F17,EL_DEL_CD2_SBI_L_1_4_!F17,EL_DEL_CD2_SBI_L_5_6_!F17,EL_DEL_CD2_SBI_L_7_8_!F17,EL_DEL_CD2_SBI_L_9_10_!F17,EL_DEL_CD2_L_STAB_!F17)</f>
        <v>0</v>
      </c>
      <c r="G17" s="98">
        <f>+SUM(EL_DEL_CD2_JO_!G17,EL_DEL_CD2_SBI_1_4_!G17,EL_DEL_CD2_SBI_5_6_!G17,EL_DEL_CD2_SBI_7_8_!G17,EL_DEL_CD2_SBI_9_10_!G17,EL_DEL_CD2_STAB_!G17,EL_DEL_CD2_JO_L_!G17,EL_DEL_CD2_SBI_L_1_4_!G17,EL_DEL_CD2_SBI_L_5_6_!G17,EL_DEL_CD2_SBI_L_7_8_!G17,EL_DEL_CD2_SBI_L_9_10_!G17,EL_DEL_CD2_L_STAB_!G17)</f>
        <v>0</v>
      </c>
      <c r="H17" s="98">
        <f>+SUM(EL_DEL_CD2_JO_!H17,EL_DEL_CD2_SBI_1_4_!H17,EL_DEL_CD2_SBI_5_6_!H17,EL_DEL_CD2_SBI_7_8_!H17,EL_DEL_CD2_SBI_9_10_!H17,EL_DEL_CD2_STAB_!H17,EL_DEL_CD2_JO_L_!H17,EL_DEL_CD2_SBI_L_1_4_!H17,EL_DEL_CD2_SBI_L_5_6_!H17,EL_DEL_CD2_SBI_L_7_8_!H17,EL_DEL_CD2_SBI_L_9_10_!H17,EL_DEL_CD2_L_STAB_!H17)</f>
        <v>0</v>
      </c>
      <c r="I17" s="98">
        <f>+SUM(EL_DEL_CD2_JO_!I17,EL_DEL_CD2_SBI_1_4_!I17,EL_DEL_CD2_SBI_5_6_!I17,EL_DEL_CD2_SBI_7_8_!I17,EL_DEL_CD2_SBI_9_10_!I17,EL_DEL_CD2_STAB_!I17,EL_DEL_CD2_JO_L_!I17,EL_DEL_CD2_SBI_L_1_4_!I17,EL_DEL_CD2_SBI_L_5_6_!I17,EL_DEL_CD2_SBI_L_7_8_!I17,EL_DEL_CD2_SBI_L_9_10_!I17,EL_DEL_CD2_L_STAB_!I17)</f>
        <v>0</v>
      </c>
      <c r="J17" s="98">
        <f>+SUM(EL_DEL_CD2_JO_!J17,EL_DEL_CD2_SBI_1_4_!J17,EL_DEL_CD2_SBI_5_6_!J17,EL_DEL_CD2_SBI_7_8_!J17,EL_DEL_CD2_SBI_9_10_!J17,EL_DEL_CD2_STAB_!J17,EL_DEL_CD2_JO_L_!J17,EL_DEL_CD2_SBI_L_1_4_!J17,EL_DEL_CD2_SBI_L_5_6_!J17,EL_DEL_CD2_SBI_L_7_8_!J17,EL_DEL_CD2_SBI_L_9_10_!J17,EL_DEL_CD2_L_STAB_!J17)</f>
        <v>0</v>
      </c>
      <c r="K17" s="98">
        <f>+SUM(EL_DEL_CD2_JO_!K17,EL_DEL_CD2_SBI_1_4_!K17,EL_DEL_CD2_SBI_5_6_!K17,EL_DEL_CD2_SBI_7_8_!K17,EL_DEL_CD2_SBI_9_10_!K17,EL_DEL_CD2_STAB_!K17,EL_DEL_CD2_JO_L_!K17,EL_DEL_CD2_SBI_L_1_4_!K17,EL_DEL_CD2_SBI_L_5_6_!K17,EL_DEL_CD2_SBI_L_7_8_!K17,EL_DEL_CD2_SBI_L_9_10_!K17,EL_DEL_CD2_L_STAB_!K17)</f>
        <v>0</v>
      </c>
      <c r="L17" s="98">
        <f>+SUM(EL_DEL_CD2_JO_!L17,EL_DEL_CD2_SBI_1_4_!L17,EL_DEL_CD2_SBI_5_6_!L17,EL_DEL_CD2_SBI_7_8_!L17,EL_DEL_CD2_SBI_9_10_!L17,EL_DEL_CD2_STAB_!L17,EL_DEL_CD2_JO_L_!L17,EL_DEL_CD2_SBI_L_1_4_!L17,EL_DEL_CD2_SBI_L_5_6_!L17,EL_DEL_CD2_SBI_L_7_8_!L17,EL_DEL_CD2_SBI_L_9_10_!L17,EL_DEL_CD2_L_STAB_!L17)</f>
        <v>0</v>
      </c>
      <c r="M17" s="98">
        <f>+SUM(EL_DEL_CD2_JO_!M17,EL_DEL_CD2_SBI_1_4_!M17,EL_DEL_CD2_SBI_5_6_!M17,EL_DEL_CD2_SBI_7_8_!M17,EL_DEL_CD2_SBI_9_10_!M17,EL_DEL_CD2_STAB_!M17,EL_DEL_CD2_JO_L_!M17,EL_DEL_CD2_SBI_L_1_4_!M17,EL_DEL_CD2_SBI_L_5_6_!M17,EL_DEL_CD2_SBI_L_7_8_!M17,EL_DEL_CD2_SBI_L_9_10_!M17,EL_DEL_CD2_L_STAB_!M17)</f>
        <v>0</v>
      </c>
      <c r="N17" s="98">
        <f>+SUM(EL_DEL_CD2_JO_!N17,EL_DEL_CD2_SBI_1_4_!N17,EL_DEL_CD2_SBI_5_6_!N17,EL_DEL_CD2_SBI_7_8_!N17,EL_DEL_CD2_SBI_9_10_!N17,EL_DEL_CD2_STAB_!N17,EL_DEL_CD2_JO_L_!N17,EL_DEL_CD2_SBI_L_1_4_!N17,EL_DEL_CD2_SBI_L_5_6_!N17,EL_DEL_CD2_SBI_L_7_8_!N17,EL_DEL_CD2_SBI_L_9_10_!N17,EL_DEL_CD2_L_STAB_!N17)</f>
        <v>0</v>
      </c>
      <c r="O17" s="98">
        <f>+SUM(EL_DEL_CD2_JO_!O17,EL_DEL_CD2_SBI_1_4_!O17,EL_DEL_CD2_SBI_5_6_!O17,EL_DEL_CD2_SBI_7_8_!O17,EL_DEL_CD2_SBI_9_10_!O17,EL_DEL_CD2_STAB_!O17,EL_DEL_CD2_JO_L_!O17,EL_DEL_CD2_SBI_L_1_4_!O17,EL_DEL_CD2_SBI_L_5_6_!O17,EL_DEL_CD2_SBI_L_7_8_!O17,EL_DEL_CD2_SBI_L_9_10_!O17,EL_DEL_CD2_L_STAB_!O17)</f>
        <v>0</v>
      </c>
      <c r="P17" s="98">
        <f>+SUM(EL_DEL_CD2_JO_!P17,EL_DEL_CD2_SBI_1_4_!P17,EL_DEL_CD2_SBI_5_6_!P17,EL_DEL_CD2_SBI_7_8_!P17,EL_DEL_CD2_SBI_9_10_!P17,EL_DEL_CD2_STAB_!P17,EL_DEL_CD2_JO_L_!P17,EL_DEL_CD2_SBI_L_1_4_!P17,EL_DEL_CD2_SBI_L_5_6_!P17,EL_DEL_CD2_SBI_L_7_8_!P17,EL_DEL_CD2_SBI_L_9_10_!P17,EL_DEL_CD2_L_STAB_!P17)</f>
        <v>0</v>
      </c>
      <c r="Q17" s="98">
        <f>+SUM(EL_DEL_CD2_JO_!Q17,EL_DEL_CD2_SBI_1_4_!Q17,EL_DEL_CD2_SBI_5_6_!Q17,EL_DEL_CD2_SBI_7_8_!Q17,EL_DEL_CD2_SBI_9_10_!Q17,EL_DEL_CD2_STAB_!Q17,EL_DEL_CD2_JO_L_!Q17,EL_DEL_CD2_SBI_L_1_4_!Q17,EL_DEL_CD2_SBI_L_5_6_!Q17,EL_DEL_CD2_SBI_L_7_8_!Q17,EL_DEL_CD2_SBI_L_9_10_!Q17,EL_DEL_CD2_L_STAB_!Q17)</f>
        <v>0</v>
      </c>
      <c r="R17" s="98">
        <f>+SUM(EL_DEL_CD2_JO_!R17,EL_DEL_CD2_SBI_1_4_!R17,EL_DEL_CD2_SBI_5_6_!R17,EL_DEL_CD2_SBI_7_8_!R17,EL_DEL_CD2_SBI_9_10_!R17,EL_DEL_CD2_STAB_!R17,EL_DEL_CD2_JO_L_!R17,EL_DEL_CD2_SBI_L_1_4_!R17,EL_DEL_CD2_SBI_L_5_6_!R17,EL_DEL_CD2_SBI_L_7_8_!R17,EL_DEL_CD2_SBI_L_9_10_!R17,EL_DEL_CD2_L_STAB_!R17)</f>
        <v>0</v>
      </c>
      <c r="S17" s="98">
        <f>+SUM(EL_DEL_CD2_JO_!S17,EL_DEL_CD2_SBI_1_4_!S17,EL_DEL_CD2_SBI_5_6_!S17,EL_DEL_CD2_SBI_7_8_!S17,EL_DEL_CD2_SBI_9_10_!S17,EL_DEL_CD2_STAB_!S17,EL_DEL_CD2_JO_L_!S17,EL_DEL_CD2_SBI_L_1_4_!S17,EL_DEL_CD2_SBI_L_5_6_!S17,EL_DEL_CD2_SBI_L_7_8_!S17,EL_DEL_CD2_SBI_L_9_10_!S17,EL_DEL_CD2_L_STAB_!S17)</f>
        <v>0</v>
      </c>
      <c r="T17" s="98">
        <f>+SUM(EL_DEL_CD2_JO_!T17,EL_DEL_CD2_SBI_1_4_!T17,EL_DEL_CD2_SBI_5_6_!T17,EL_DEL_CD2_SBI_7_8_!T17,EL_DEL_CD2_SBI_9_10_!T17,EL_DEL_CD2_STAB_!T17,EL_DEL_CD2_JO_L_!T17,EL_DEL_CD2_SBI_L_1_4_!T17,EL_DEL_CD2_SBI_L_5_6_!T17,EL_DEL_CD2_SBI_L_7_8_!T17,EL_DEL_CD2_SBI_L_9_10_!T17,EL_DEL_CD2_L_STAB_!T17)</f>
        <v>0</v>
      </c>
      <c r="U17" s="98">
        <f>+SUM(EL_DEL_CD2_JO_!U17,EL_DEL_CD2_SBI_1_4_!U17,EL_DEL_CD2_SBI_5_6_!U17,EL_DEL_CD2_SBI_7_8_!U17,EL_DEL_CD2_SBI_9_10_!U17,EL_DEL_CD2_STAB_!U17,EL_DEL_CD2_JO_L_!U17,EL_DEL_CD2_SBI_L_1_4_!U17,EL_DEL_CD2_SBI_L_5_6_!U17,EL_DEL_CD2_SBI_L_7_8_!U17,EL_DEL_CD2_SBI_L_9_10_!U17,EL_DEL_CD2_L_STAB_!U17)</f>
        <v>0</v>
      </c>
      <c r="V17" s="98">
        <f>+SUM(EL_DEL_CD2_JO_!V17,EL_DEL_CD2_SBI_1_4_!V17,EL_DEL_CD2_SBI_5_6_!V17,EL_DEL_CD2_SBI_7_8_!V17,EL_DEL_CD2_SBI_9_10_!V17,EL_DEL_CD2_STAB_!V17,EL_DEL_CD2_JO_L_!V17,EL_DEL_CD2_SBI_L_1_4_!V17,EL_DEL_CD2_SBI_L_5_6_!V17,EL_DEL_CD2_SBI_L_7_8_!V17,EL_DEL_CD2_SBI_L_9_10_!V17,EL_DEL_CD2_L_STAB_!V17)</f>
        <v>0</v>
      </c>
      <c r="W17" s="98">
        <f>+SUM(EL_DEL_CD2_JO_!W17,EL_DEL_CD2_SBI_1_4_!W17,EL_DEL_CD2_SBI_5_6_!W17,EL_DEL_CD2_SBI_7_8_!W17,EL_DEL_CD2_SBI_9_10_!W17,EL_DEL_CD2_STAB_!W17,EL_DEL_CD2_JO_L_!W17,EL_DEL_CD2_SBI_L_1_4_!W17,EL_DEL_CD2_SBI_L_5_6_!W17,EL_DEL_CD2_SBI_L_7_8_!W17,EL_DEL_CD2_SBI_L_9_10_!W17,EL_DEL_CD2_L_STAB_!W17)</f>
        <v>0</v>
      </c>
      <c r="X17" s="98">
        <f>+SUM(EL_DEL_CD2_JO_!X17,EL_DEL_CD2_SBI_1_4_!X17,EL_DEL_CD2_SBI_5_6_!X17,EL_DEL_CD2_SBI_7_8_!X17,EL_DEL_CD2_SBI_9_10_!X17,EL_DEL_CD2_STAB_!X17,EL_DEL_CD2_JO_L_!X17,EL_DEL_CD2_SBI_L_1_4_!X17,EL_DEL_CD2_SBI_L_5_6_!X17,EL_DEL_CD2_SBI_L_7_8_!X17,EL_DEL_CD2_SBI_L_9_10_!X17,EL_DEL_CD2_L_STAB_!X17)</f>
        <v>0</v>
      </c>
      <c r="Y17" s="98">
        <f>+SUM(EL_DEL_CD2_JO_!Y17,EL_DEL_CD2_SBI_1_4_!Y17,EL_DEL_CD2_SBI_5_6_!Y17,EL_DEL_CD2_SBI_7_8_!Y17,EL_DEL_CD2_SBI_9_10_!Y17,EL_DEL_CD2_STAB_!Y17,EL_DEL_CD2_JO_L_!Y17,EL_DEL_CD2_SBI_L_1_4_!Y17,EL_DEL_CD2_SBI_L_5_6_!Y17,EL_DEL_CD2_SBI_L_7_8_!Y17,EL_DEL_CD2_SBI_L_9_10_!Y17,EL_DEL_CD2_L_STAB_!Y17)</f>
        <v>0</v>
      </c>
      <c r="Z17" s="98">
        <f>+SUM(EL_DEL_CD2_JO_!Z17,EL_DEL_CD2_SBI_1_4_!Z17,EL_DEL_CD2_SBI_5_6_!Z17,EL_DEL_CD2_SBI_7_8_!Z17,EL_DEL_CD2_SBI_9_10_!Z17,EL_DEL_CD2_STAB_!Z17,EL_DEL_CD2_JO_L_!Z17,EL_DEL_CD2_SBI_L_1_4_!Z17,EL_DEL_CD2_SBI_L_5_6_!Z17,EL_DEL_CD2_SBI_L_7_8_!Z17,EL_DEL_CD2_SBI_L_9_10_!Z17,EL_DEL_CD2_L_STAB_!Z17)</f>
        <v>0</v>
      </c>
      <c r="AA17" s="98">
        <f>+SUM(EL_DEL_CD2_JO_!AA17,EL_DEL_CD2_SBI_1_4_!AA17,EL_DEL_CD2_SBI_5_6_!AA17,EL_DEL_CD2_SBI_7_8_!AA17,EL_DEL_CD2_SBI_9_10_!AA17,EL_DEL_CD2_STAB_!AA17,EL_DEL_CD2_JO_L_!AA17,EL_DEL_CD2_SBI_L_1_4_!AA17,EL_DEL_CD2_SBI_L_5_6_!AA17,EL_DEL_CD2_SBI_L_7_8_!AA17,EL_DEL_CD2_SBI_L_9_10_!AA17,EL_DEL_CD2_L_STAB_!AA17)</f>
        <v>0</v>
      </c>
      <c r="AB17" s="98">
        <f>+SUM(EL_DEL_CD2_JO_!AB17,EL_DEL_CD2_SBI_1_4_!AB17,EL_DEL_CD2_SBI_5_6_!AB17,EL_DEL_CD2_SBI_7_8_!AB17,EL_DEL_CD2_SBI_9_10_!AB17,EL_DEL_CD2_STAB_!AB17,EL_DEL_CD2_JO_L_!AB17,EL_DEL_CD2_SBI_L_1_4_!AB17,EL_DEL_CD2_SBI_L_5_6_!AB17,EL_DEL_CD2_SBI_L_7_8_!AB17,EL_DEL_CD2_SBI_L_9_10_!AB17,EL_DEL_CD2_L_STAB_!AB17)</f>
        <v>0</v>
      </c>
      <c r="AC17" s="98">
        <f>+SUM(EL_DEL_CD2_JO_!AC17,EL_DEL_CD2_SBI_1_4_!AC17,EL_DEL_CD2_SBI_5_6_!AC17,EL_DEL_CD2_SBI_7_8_!AC17,EL_DEL_CD2_SBI_9_10_!AC17,EL_DEL_CD2_STAB_!AC17,EL_DEL_CD2_JO_L_!AC17,EL_DEL_CD2_SBI_L_1_4_!AC17,EL_DEL_CD2_SBI_L_5_6_!AC17,EL_DEL_CD2_SBI_L_7_8_!AC17,EL_DEL_CD2_SBI_L_9_10_!AC17,EL_DEL_CD2_L_STAB_!AC17)</f>
        <v>0</v>
      </c>
      <c r="AD17" s="98">
        <f>+SUM(EL_DEL_CD2_JO_!AD17,EL_DEL_CD2_SBI_1_4_!AD17,EL_DEL_CD2_SBI_5_6_!AD17,EL_DEL_CD2_SBI_7_8_!AD17,EL_DEL_CD2_SBI_9_10_!AD17,EL_DEL_CD2_STAB_!AD17,EL_DEL_CD2_JO_L_!AD17,EL_DEL_CD2_SBI_L_1_4_!AD17,EL_DEL_CD2_SBI_L_5_6_!AD17,EL_DEL_CD2_SBI_L_7_8_!AD17,EL_DEL_CD2_SBI_L_9_10_!AD17,EL_DEL_CD2_L_STAB_!AD17)</f>
        <v>0</v>
      </c>
      <c r="AE17" s="98">
        <f>+SUM(EL_DEL_CD2_JO_!AE17,EL_DEL_CD2_SBI_1_4_!AE17,EL_DEL_CD2_SBI_5_6_!AE17,EL_DEL_CD2_SBI_7_8_!AE17,EL_DEL_CD2_SBI_9_10_!AE17,EL_DEL_CD2_STAB_!AE17,EL_DEL_CD2_JO_L_!AE17,EL_DEL_CD2_SBI_L_1_4_!AE17,EL_DEL_CD2_SBI_L_5_6_!AE17,EL_DEL_CD2_SBI_L_7_8_!AE17,EL_DEL_CD2_SBI_L_9_10_!AE17,EL_DEL_CD2_L_STAB_!AE17)</f>
        <v>0</v>
      </c>
      <c r="AF17" s="98">
        <f>+SUM(EL_DEL_CD2_JO_!AF17,EL_DEL_CD2_SBI_1_4_!AF17,EL_DEL_CD2_SBI_5_6_!AF17,EL_DEL_CD2_SBI_7_8_!AF17,EL_DEL_CD2_SBI_9_10_!AF17,EL_DEL_CD2_STAB_!AF17,EL_DEL_CD2_JO_L_!AF17,EL_DEL_CD2_SBI_L_1_4_!AF17,EL_DEL_CD2_SBI_L_5_6_!AF17,EL_DEL_CD2_SBI_L_7_8_!AF17,EL_DEL_CD2_SBI_L_9_10_!AF17,EL_DEL_CD2_L_STAB_!AF17)</f>
        <v>0</v>
      </c>
      <c r="AG17" s="98">
        <f>+SUM(EL_DEL_CD2_JO_!AG17,EL_DEL_CD2_SBI_1_4_!AG17,EL_DEL_CD2_SBI_5_6_!AG17,EL_DEL_CD2_SBI_7_8_!AG17,EL_DEL_CD2_SBI_9_10_!AG17,EL_DEL_CD2_STAB_!AG17,EL_DEL_CD2_JO_L_!AG17,EL_DEL_CD2_SBI_L_1_4_!AG17,EL_DEL_CD2_SBI_L_5_6_!AG17,EL_DEL_CD2_SBI_L_7_8_!AG17,EL_DEL_CD2_SBI_L_9_10_!AG17,EL_DEL_CD2_L_STAB_!AG17)</f>
        <v>0</v>
      </c>
      <c r="AH17" s="98">
        <f>+SUM(EL_DEL_CD2_JO_!AH17,EL_DEL_CD2_SBI_1_4_!AH17,EL_DEL_CD2_SBI_5_6_!AH17,EL_DEL_CD2_SBI_7_8_!AH17,EL_DEL_CD2_SBI_9_10_!AH17,EL_DEL_CD2_STAB_!AH17,EL_DEL_CD2_JO_L_!AH17,EL_DEL_CD2_SBI_L_1_4_!AH17,EL_DEL_CD2_SBI_L_5_6_!AH17,EL_DEL_CD2_SBI_L_7_8_!AH17,EL_DEL_CD2_SBI_L_9_10_!AH17,EL_DEL_CD2_L_STAB_!AH17)</f>
        <v>0</v>
      </c>
      <c r="AI17" s="98">
        <f>+SUM(EL_DEL_CD2_JO_!AI17,EL_DEL_CD2_SBI_1_4_!AI17,EL_DEL_CD2_SBI_5_6_!AI17,EL_DEL_CD2_SBI_7_8_!AI17,EL_DEL_CD2_SBI_9_10_!AI17,EL_DEL_CD2_STAB_!AI17,EL_DEL_CD2_JO_L_!AI17,EL_DEL_CD2_SBI_L_1_4_!AI17,EL_DEL_CD2_SBI_L_5_6_!AI17,EL_DEL_CD2_SBI_L_7_8_!AI17,EL_DEL_CD2_SBI_L_9_10_!AI17,EL_DEL_CD2_L_STAB_!AI17)</f>
        <v>0</v>
      </c>
      <c r="AJ17" s="98">
        <f>+SUM(EL_DEL_CD2_JO_!AJ17,EL_DEL_CD2_SBI_1_4_!AJ17,EL_DEL_CD2_SBI_5_6_!AJ17,EL_DEL_CD2_SBI_7_8_!AJ17,EL_DEL_CD2_SBI_9_10_!AJ17,EL_DEL_CD2_STAB_!AJ17,EL_DEL_CD2_JO_L_!AJ17,EL_DEL_CD2_SBI_L_1_4_!AJ17,EL_DEL_CD2_SBI_L_5_6_!AJ17,EL_DEL_CD2_SBI_L_7_8_!AJ17,EL_DEL_CD2_SBI_L_9_10_!AJ17,EL_DEL_CD2_L_STAB_!AJ17)</f>
        <v>0</v>
      </c>
      <c r="AK17" s="98">
        <f>+SUM(EL_DEL_CD2_JO_!AK17,EL_DEL_CD2_SBI_1_4_!AK17,EL_DEL_CD2_SBI_5_6_!AK17,EL_DEL_CD2_SBI_7_8_!AK17,EL_DEL_CD2_SBI_9_10_!AK17,EL_DEL_CD2_STAB_!AK17,EL_DEL_CD2_JO_L_!AK17,EL_DEL_CD2_SBI_L_1_4_!AK17,EL_DEL_CD2_SBI_L_5_6_!AK17,EL_DEL_CD2_SBI_L_7_8_!AK17,EL_DEL_CD2_SBI_L_9_10_!AK17,EL_DEL_CD2_L_STAB_!AK17)</f>
        <v>0</v>
      </c>
      <c r="AL17" s="152" t="str">
        <f>+IFERROR(AVERAGE(EL_DEL_CD2_JO_!AL17,EL_DEL_CD2_SBI_1_4_!AL17,EL_DEL_CD2_SBI_5_6_!AL17,EL_DEL_CD2_SBI_7_8_!AL17,EL_DEL_CD2_SBI_9_10_!AL17,EL_DEL_CD2_STAB_!AL17,EL_DEL_CD2_JO_L_!AL17,EL_DEL_CD2_SBI_L_1_4_!AL17,EL_DEL_CD2_SBI_L_5_6_!AL17,EL_DEL_CD2_SBI_L_7_8_!AL17,EL_DEL_CD2_SBI_L_9_10_!AL17,EL_DEL_CD2_L_STAB_!AL17),"0:00")</f>
        <v>0:00</v>
      </c>
      <c r="AM17" s="152" t="str">
        <f>+IFERROR(AVERAGE(EL_DEL_CD2_JO_!AM17,EL_DEL_CD2_SBI_1_4_!AM17,EL_DEL_CD2_SBI_5_6_!AM17,EL_DEL_CD2_SBI_7_8_!AM17,EL_DEL_CD2_SBI_9_10_!AM17,EL_DEL_CD2_STAB_!AM17,EL_DEL_CD2_JO_L_!AM17,EL_DEL_CD2_SBI_L_1_4_!AM17,EL_DEL_CD2_SBI_L_5_6_!AM17,EL_DEL_CD2_SBI_L_7_8_!AM17,EL_DEL_CD2_SBI_L_9_10_!AM17,EL_DEL_CD2_L_STAB_!AM17),"0:00")</f>
        <v>0:00</v>
      </c>
      <c r="AN17" s="152" t="str">
        <f>+IFERROR(AVERAGE(EL_DEL_CD2_JO_!AN17,EL_DEL_CD2_SBI_1_4_!AN17,EL_DEL_CD2_SBI_5_6_!AN17,EL_DEL_CD2_SBI_7_8_!AN17,EL_DEL_CD2_SBI_9_10_!AN17,EL_DEL_CD2_STAB_!AN17,EL_DEL_CD2_JO_L_!AN17,EL_DEL_CD2_SBI_L_1_4_!AN17,EL_DEL_CD2_SBI_L_5_6_!AN17,EL_DEL_CD2_SBI_L_7_8_!AN17,EL_DEL_CD2_SBI_L_9_10_!AN17,EL_DEL_CD2_L_STAB_!AN17),"0:00")</f>
        <v>0:00</v>
      </c>
      <c r="AO17" s="152" t="str">
        <f>+IFERROR(AVERAGE(EL_DEL_CD2_JO_!AO17,EL_DEL_CD2_SBI_1_4_!AO17,EL_DEL_CD2_SBI_5_6_!AO17,EL_DEL_CD2_SBI_7_8_!AO17,EL_DEL_CD2_SBI_9_10_!AO17,EL_DEL_CD2_STAB_!AO17,EL_DEL_CD2_JO_L_!AO17,EL_DEL_CD2_SBI_L_1_4_!AO17,EL_DEL_CD2_SBI_L_5_6_!AO17,EL_DEL_CD2_SBI_L_7_8_!AO17,EL_DEL_CD2_SBI_L_9_10_!AO17,EL_DEL_CD2_L_STAB_!AO17),"0:00")</f>
        <v>0:00</v>
      </c>
      <c r="AP17" s="98" t="str">
        <f>+IFERROR(AVERAGE(EL_DEL_CD2_JO_!AP17,EL_DEL_CD2_SBI_1_4_!AP17,EL_DEL_CD2_SBI_5_6_!AP17,EL_DEL_CD2_SBI_7_8_!AP17,EL_DEL_CD2_SBI_9_10_!AP17,EL_DEL_CD2_STAB_!AP17,EL_DEL_CD2_JO_L_!AP17,EL_DEL_CD2_SBI_L_1_4_!AP17,EL_DEL_CD2_SBI_L_5_6_!AP17,EL_DEL_CD2_SBI_L_7_8_!AP17,EL_DEL_CD2_SBI_L_9_10_!AP17,EL_DEL_CD2_L_STAB_!AP17),"0:00")</f>
        <v>0:00</v>
      </c>
      <c r="AQ17" s="152" t="str">
        <f>+IFERROR(AVERAGE(EL_DEL_CD2_JO_!AQ17,EL_DEL_CD2_SBI_1_4_!AQ17,EL_DEL_CD2_SBI_5_6_!AQ17,EL_DEL_CD2_SBI_7_8_!AQ17,EL_DEL_CD2_SBI_9_10_!AQ17,EL_DEL_CD2_STAB_!AQ17,EL_DEL_CD2_JO_L_!AQ17,EL_DEL_CD2_SBI_L_1_4_!AQ17,EL_DEL_CD2_SBI_L_5_6_!AQ17,EL_DEL_CD2_SBI_L_7_8_!AQ17,EL_DEL_CD2_SBI_L_9_10_!AQ17,EL_DEL_CD2_L_STAB_!AQ17),"0:00")</f>
        <v>0:00</v>
      </c>
      <c r="AR17" s="152" t="str">
        <f>+IFERROR(AVERAGE(EL_DEL_CD2_JO_!AR17,EL_DEL_CD2_SBI_1_4_!AR17,EL_DEL_CD2_SBI_5_6_!AR17,EL_DEL_CD2_SBI_7_8_!AR17,EL_DEL_CD2_SBI_9_10_!AR17,EL_DEL_CD2_STAB_!AR17,EL_DEL_CD2_JO_L_!AR17,EL_DEL_CD2_SBI_L_1_4_!AR17,EL_DEL_CD2_SBI_L_5_6_!AR17,EL_DEL_CD2_SBI_L_7_8_!AR17,EL_DEL_CD2_SBI_L_9_10_!AR17,EL_DEL_CD2_L_STAB_!AR17),"0:00")</f>
        <v>0:00</v>
      </c>
      <c r="AS17" s="152" t="str">
        <f>+IFERROR(AVERAGE(EL_DEL_CD2_JO_!AS17,EL_DEL_CD2_SBI_1_4_!AS17,EL_DEL_CD2_SBI_5_6_!AS17,EL_DEL_CD2_SBI_7_8_!AS17,EL_DEL_CD2_SBI_9_10_!AS17,EL_DEL_CD2_STAB_!AS17,EL_DEL_CD2_JO_L_!AS17,EL_DEL_CD2_SBI_L_1_4_!AS17,EL_DEL_CD2_SBI_L_5_6_!AS17,EL_DEL_CD2_SBI_L_7_8_!AS17,EL_DEL_CD2_SBI_L_9_10_!AS17,EL_DEL_CD2_L_STAB_!AS17),"0:00")</f>
        <v>0:00</v>
      </c>
      <c r="AT17" s="98">
        <f>+SUM(EL_DEL_CD2_JO_!AT17,EL_DEL_CD2_SBI_1_4_!AT17,EL_DEL_CD2_SBI_5_6_!AT17,EL_DEL_CD2_SBI_7_8_!AT17,EL_DEL_CD2_SBI_9_10_!AT17,EL_DEL_CD2_STAB_!AT17,EL_DEL_CD2_JO_L_!AT17,EL_DEL_CD2_SBI_L_1_4_!AT17,EL_DEL_CD2_SBI_L_5_6_!AT17,EL_DEL_CD2_SBI_L_7_8_!AT17,EL_DEL_CD2_SBI_L_9_10_!AT17,EL_DEL_CD2_L_STAB_!AT17)</f>
        <v>0</v>
      </c>
      <c r="AU17" s="98">
        <f>+SUM(EL_DEL_CD2_JO_!AU17,EL_DEL_CD2_SBI_1_4_!AU17,EL_DEL_CD2_SBI_5_6_!AU17,EL_DEL_CD2_SBI_7_8_!AU17,EL_DEL_CD2_SBI_9_10_!AU17,EL_DEL_CD2_STAB_!AU17,EL_DEL_CD2_JO_L_!AU17,EL_DEL_CD2_SBI_L_1_4_!AU17,EL_DEL_CD2_SBI_L_5_6_!AU17,EL_DEL_CD2_SBI_L_7_8_!AU17,EL_DEL_CD2_SBI_L_9_10_!AU17,EL_DEL_CD2_L_STAB_!AU17)</f>
        <v>0</v>
      </c>
      <c r="AV17" s="98">
        <f>+SUM(EL_DEL_CD2_JO_!AV17,EL_DEL_CD2_SBI_1_4_!AV17,EL_DEL_CD2_SBI_5_6_!AV17,EL_DEL_CD2_SBI_7_8_!AV17,EL_DEL_CD2_SBI_9_10_!AV17,EL_DEL_CD2_STAB_!AV17,EL_DEL_CD2_JO_L_!AV17,EL_DEL_CD2_SBI_L_1_4_!AV17,EL_DEL_CD2_SBI_L_5_6_!AV17,EL_DEL_CD2_SBI_L_7_8_!AV17,EL_DEL_CD2_SBI_L_9_10_!AV17,EL_DEL_CD2_L_STAB_!AV17)</f>
        <v>0</v>
      </c>
      <c r="AW17" s="167">
        <f>+SUM(EL_DEL_CD2_JO_!AW17,EL_DEL_CD2_SBI_1_4_!AW17,EL_DEL_CD2_SBI_5_6_!AW17,EL_DEL_CD2_SBI_7_8_!AW17,EL_DEL_CD2_SBI_9_10_!AW17,EL_DEL_CD2_STAB_!AW17,EL_DEL_CD2_JO_L_!AW17,EL_DEL_CD2_SBI_L_1_4_!AW17,EL_DEL_CD2_SBI_L_5_6_!AW17,EL_DEL_CD2_SBI_L_7_8_!AW17,EL_DEL_CD2_SBI_L_9_10_!AW17,EL_DEL_CD2_L_STAB_!AW17)</f>
        <v>0</v>
      </c>
      <c r="AX17" s="102" t="str">
        <f t="shared" si="24"/>
        <v>-</v>
      </c>
      <c r="AY17" s="151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51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31"/>
        <v/>
      </c>
      <c r="BH17" s="119" t="str">
        <f t="shared" si="8"/>
        <v/>
      </c>
      <c r="BI17" s="120" t="str">
        <f t="shared" si="25"/>
        <v/>
      </c>
      <c r="BJ17" s="151"/>
      <c r="BK17" s="121" t="str">
        <f t="shared" si="9"/>
        <v/>
      </c>
      <c r="BL17" s="122" t="str">
        <f t="shared" si="10"/>
        <v/>
      </c>
      <c r="BM17" s="122" t="str">
        <f t="shared" si="11"/>
        <v/>
      </c>
      <c r="BN17" s="123" t="str">
        <f t="shared" si="12"/>
        <v/>
      </c>
      <c r="BO17" s="151"/>
      <c r="BP17" s="124" t="str">
        <f t="shared" si="13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4"/>
        <v/>
      </c>
      <c r="BU17" s="151"/>
      <c r="BV17" s="127" t="e">
        <f t="shared" si="15"/>
        <v>#DIV/0!</v>
      </c>
      <c r="BW17" s="127" t="e">
        <f t="shared" si="16"/>
        <v>#DIV/0!</v>
      </c>
      <c r="BX17" s="127" t="e">
        <f t="shared" si="17"/>
        <v>#DIV/0!</v>
      </c>
      <c r="BY17" s="127" t="e">
        <f t="shared" si="18"/>
        <v>#DIV/0!</v>
      </c>
      <c r="BZ17" s="127" t="e">
        <f t="shared" si="28"/>
        <v>#DIV/0!</v>
      </c>
      <c r="CA17" s="128" t="e">
        <f t="shared" si="29"/>
        <v>#DIV/0!</v>
      </c>
      <c r="CB17" s="151"/>
      <c r="CC17" s="129" t="str">
        <f t="shared" si="19"/>
        <v>-</v>
      </c>
      <c r="CD17" s="130" t="str">
        <f t="shared" si="20"/>
        <v>-</v>
      </c>
      <c r="CE17" s="130" t="str">
        <f t="shared" si="21"/>
        <v>-</v>
      </c>
      <c r="CF17" s="130" t="str">
        <f t="shared" si="22"/>
        <v>-</v>
      </c>
      <c r="CG17" s="131" t="str">
        <f t="shared" si="23"/>
        <v>-</v>
      </c>
      <c r="CH17" s="151"/>
    </row>
    <row r="18" spans="1:86" s="115" customFormat="1" ht="12.4" customHeight="1" thickBot="1" x14ac:dyDescent="0.25">
      <c r="A18" s="96">
        <f t="shared" si="30"/>
        <v>46310</v>
      </c>
      <c r="B18" s="97" t="str">
        <f t="shared" si="0"/>
        <v>Thu</v>
      </c>
      <c r="C18" s="98">
        <f>+SUM(EL_DEL_CD2_JO_!C18,EL_DEL_CD2_SBI_1_4_!C18,EL_DEL_CD2_SBI_5_6_!C18,EL_DEL_CD2_SBI_7_8_!C18,EL_DEL_CD2_SBI_9_10_!C18,EL_DEL_CD2_STAB_!C18,EL_DEL_CD2_JO_L_!C18,EL_DEL_CD2_SBI_L_1_4_!C18,EL_DEL_CD2_SBI_L_5_6_!C18,EL_DEL_CD2_SBI_L_7_8_!C18,EL_DEL_CD2_SBI_L_9_10_!C18,EL_DEL_CD2_L_STAB_!C18)</f>
        <v>0</v>
      </c>
      <c r="D18" s="98">
        <f>+SUM(EL_DEL_CD2_JO_!D18,EL_DEL_CD2_SBI_1_4_!D18,EL_DEL_CD2_SBI_5_6_!D18,EL_DEL_CD2_SBI_7_8_!D18,EL_DEL_CD2_SBI_9_10_!D18,EL_DEL_CD2_STAB_!D18,EL_DEL_CD2_JO_L_!D18,EL_DEL_CD2_SBI_L_1_4_!D18,EL_DEL_CD2_SBI_L_5_6_!D18,EL_DEL_CD2_SBI_L_7_8_!D18,EL_DEL_CD2_SBI_L_9_10_!D18,EL_DEL_CD2_L_STAB_!D18)</f>
        <v>0</v>
      </c>
      <c r="E18" s="98">
        <f>+SUM(EL_DEL_CD2_JO_!E18,EL_DEL_CD2_SBI_1_4_!E18,EL_DEL_CD2_SBI_5_6_!E18,EL_DEL_CD2_SBI_7_8_!E18,EL_DEL_CD2_SBI_9_10_!E18,EL_DEL_CD2_STAB_!E18,EL_DEL_CD2_JO_L_!E18,EL_DEL_CD2_SBI_L_1_4_!E18,EL_DEL_CD2_SBI_L_5_6_!E18,EL_DEL_CD2_SBI_L_7_8_!E18,EL_DEL_CD2_SBI_L_9_10_!E18,EL_DEL_CD2_L_STAB_!E18)</f>
        <v>0</v>
      </c>
      <c r="F18" s="98">
        <f>+SUM(EL_DEL_CD2_JO_!F18,EL_DEL_CD2_SBI_1_4_!F18,EL_DEL_CD2_SBI_5_6_!F18,EL_DEL_CD2_SBI_7_8_!F18,EL_DEL_CD2_SBI_9_10_!F18,EL_DEL_CD2_STAB_!F18,EL_DEL_CD2_JO_L_!F18,EL_DEL_CD2_SBI_L_1_4_!F18,EL_DEL_CD2_SBI_L_5_6_!F18,EL_DEL_CD2_SBI_L_7_8_!F18,EL_DEL_CD2_SBI_L_9_10_!F18,EL_DEL_CD2_L_STAB_!F18)</f>
        <v>0</v>
      </c>
      <c r="G18" s="98">
        <f>+SUM(EL_DEL_CD2_JO_!G18,EL_DEL_CD2_SBI_1_4_!G18,EL_DEL_CD2_SBI_5_6_!G18,EL_DEL_CD2_SBI_7_8_!G18,EL_DEL_CD2_SBI_9_10_!G18,EL_DEL_CD2_STAB_!G18,EL_DEL_CD2_JO_L_!G18,EL_DEL_CD2_SBI_L_1_4_!G18,EL_DEL_CD2_SBI_L_5_6_!G18,EL_DEL_CD2_SBI_L_7_8_!G18,EL_DEL_CD2_SBI_L_9_10_!G18,EL_DEL_CD2_L_STAB_!G18)</f>
        <v>0</v>
      </c>
      <c r="H18" s="98">
        <f>+SUM(EL_DEL_CD2_JO_!H18,EL_DEL_CD2_SBI_1_4_!H18,EL_DEL_CD2_SBI_5_6_!H18,EL_DEL_CD2_SBI_7_8_!H18,EL_DEL_CD2_SBI_9_10_!H18,EL_DEL_CD2_STAB_!H18,EL_DEL_CD2_JO_L_!H18,EL_DEL_CD2_SBI_L_1_4_!H18,EL_DEL_CD2_SBI_L_5_6_!H18,EL_DEL_CD2_SBI_L_7_8_!H18,EL_DEL_CD2_SBI_L_9_10_!H18,EL_DEL_CD2_L_STAB_!H18)</f>
        <v>0</v>
      </c>
      <c r="I18" s="98">
        <f>+SUM(EL_DEL_CD2_JO_!I18,EL_DEL_CD2_SBI_1_4_!I18,EL_DEL_CD2_SBI_5_6_!I18,EL_DEL_CD2_SBI_7_8_!I18,EL_DEL_CD2_SBI_9_10_!I18,EL_DEL_CD2_STAB_!I18,EL_DEL_CD2_JO_L_!I18,EL_DEL_CD2_SBI_L_1_4_!I18,EL_DEL_CD2_SBI_L_5_6_!I18,EL_DEL_CD2_SBI_L_7_8_!I18,EL_DEL_CD2_SBI_L_9_10_!I18,EL_DEL_CD2_L_STAB_!I18)</f>
        <v>0</v>
      </c>
      <c r="J18" s="98">
        <f>+SUM(EL_DEL_CD2_JO_!J18,EL_DEL_CD2_SBI_1_4_!J18,EL_DEL_CD2_SBI_5_6_!J18,EL_DEL_CD2_SBI_7_8_!J18,EL_DEL_CD2_SBI_9_10_!J18,EL_DEL_CD2_STAB_!J18,EL_DEL_CD2_JO_L_!J18,EL_DEL_CD2_SBI_L_1_4_!J18,EL_DEL_CD2_SBI_L_5_6_!J18,EL_DEL_CD2_SBI_L_7_8_!J18,EL_DEL_CD2_SBI_L_9_10_!J18,EL_DEL_CD2_L_STAB_!J18)</f>
        <v>0</v>
      </c>
      <c r="K18" s="98">
        <f>+SUM(EL_DEL_CD2_JO_!K18,EL_DEL_CD2_SBI_1_4_!K18,EL_DEL_CD2_SBI_5_6_!K18,EL_DEL_CD2_SBI_7_8_!K18,EL_DEL_CD2_SBI_9_10_!K18,EL_DEL_CD2_STAB_!K18,EL_DEL_CD2_JO_L_!K18,EL_DEL_CD2_SBI_L_1_4_!K18,EL_DEL_CD2_SBI_L_5_6_!K18,EL_DEL_CD2_SBI_L_7_8_!K18,EL_DEL_CD2_SBI_L_9_10_!K18,EL_DEL_CD2_L_STAB_!K18)</f>
        <v>0</v>
      </c>
      <c r="L18" s="98">
        <f>+SUM(EL_DEL_CD2_JO_!L18,EL_DEL_CD2_SBI_1_4_!L18,EL_DEL_CD2_SBI_5_6_!L18,EL_DEL_CD2_SBI_7_8_!L18,EL_DEL_CD2_SBI_9_10_!L18,EL_DEL_CD2_STAB_!L18,EL_DEL_CD2_JO_L_!L18,EL_DEL_CD2_SBI_L_1_4_!L18,EL_DEL_CD2_SBI_L_5_6_!L18,EL_DEL_CD2_SBI_L_7_8_!L18,EL_DEL_CD2_SBI_L_9_10_!L18,EL_DEL_CD2_L_STAB_!L18)</f>
        <v>0</v>
      </c>
      <c r="M18" s="98">
        <f>+SUM(EL_DEL_CD2_JO_!M18,EL_DEL_CD2_SBI_1_4_!M18,EL_DEL_CD2_SBI_5_6_!M18,EL_DEL_CD2_SBI_7_8_!M18,EL_DEL_CD2_SBI_9_10_!M18,EL_DEL_CD2_STAB_!M18,EL_DEL_CD2_JO_L_!M18,EL_DEL_CD2_SBI_L_1_4_!M18,EL_DEL_CD2_SBI_L_5_6_!M18,EL_DEL_CD2_SBI_L_7_8_!M18,EL_DEL_CD2_SBI_L_9_10_!M18,EL_DEL_CD2_L_STAB_!M18)</f>
        <v>0</v>
      </c>
      <c r="N18" s="98">
        <f>+SUM(EL_DEL_CD2_JO_!N18,EL_DEL_CD2_SBI_1_4_!N18,EL_DEL_CD2_SBI_5_6_!N18,EL_DEL_CD2_SBI_7_8_!N18,EL_DEL_CD2_SBI_9_10_!N18,EL_DEL_CD2_STAB_!N18,EL_DEL_CD2_JO_L_!N18,EL_DEL_CD2_SBI_L_1_4_!N18,EL_DEL_CD2_SBI_L_5_6_!N18,EL_DEL_CD2_SBI_L_7_8_!N18,EL_DEL_CD2_SBI_L_9_10_!N18,EL_DEL_CD2_L_STAB_!N18)</f>
        <v>0</v>
      </c>
      <c r="O18" s="98">
        <f>+SUM(EL_DEL_CD2_JO_!O18,EL_DEL_CD2_SBI_1_4_!O18,EL_DEL_CD2_SBI_5_6_!O18,EL_DEL_CD2_SBI_7_8_!O18,EL_DEL_CD2_SBI_9_10_!O18,EL_DEL_CD2_STAB_!O18,EL_DEL_CD2_JO_L_!O18,EL_DEL_CD2_SBI_L_1_4_!O18,EL_DEL_CD2_SBI_L_5_6_!O18,EL_DEL_CD2_SBI_L_7_8_!O18,EL_DEL_CD2_SBI_L_9_10_!O18,EL_DEL_CD2_L_STAB_!O18)</f>
        <v>0</v>
      </c>
      <c r="P18" s="98">
        <f>+SUM(EL_DEL_CD2_JO_!P18,EL_DEL_CD2_SBI_1_4_!P18,EL_DEL_CD2_SBI_5_6_!P18,EL_DEL_CD2_SBI_7_8_!P18,EL_DEL_CD2_SBI_9_10_!P18,EL_DEL_CD2_STAB_!P18,EL_DEL_CD2_JO_L_!P18,EL_DEL_CD2_SBI_L_1_4_!P18,EL_DEL_CD2_SBI_L_5_6_!P18,EL_DEL_CD2_SBI_L_7_8_!P18,EL_DEL_CD2_SBI_L_9_10_!P18,EL_DEL_CD2_L_STAB_!P18)</f>
        <v>0</v>
      </c>
      <c r="Q18" s="98">
        <f>+SUM(EL_DEL_CD2_JO_!Q18,EL_DEL_CD2_SBI_1_4_!Q18,EL_DEL_CD2_SBI_5_6_!Q18,EL_DEL_CD2_SBI_7_8_!Q18,EL_DEL_CD2_SBI_9_10_!Q18,EL_DEL_CD2_STAB_!Q18,EL_DEL_CD2_JO_L_!Q18,EL_DEL_CD2_SBI_L_1_4_!Q18,EL_DEL_CD2_SBI_L_5_6_!Q18,EL_DEL_CD2_SBI_L_7_8_!Q18,EL_DEL_CD2_SBI_L_9_10_!Q18,EL_DEL_CD2_L_STAB_!Q18)</f>
        <v>0</v>
      </c>
      <c r="R18" s="98">
        <f>+SUM(EL_DEL_CD2_JO_!R18,EL_DEL_CD2_SBI_1_4_!R18,EL_DEL_CD2_SBI_5_6_!R18,EL_DEL_CD2_SBI_7_8_!R18,EL_DEL_CD2_SBI_9_10_!R18,EL_DEL_CD2_STAB_!R18,EL_DEL_CD2_JO_L_!R18,EL_DEL_CD2_SBI_L_1_4_!R18,EL_DEL_CD2_SBI_L_5_6_!R18,EL_DEL_CD2_SBI_L_7_8_!R18,EL_DEL_CD2_SBI_L_9_10_!R18,EL_DEL_CD2_L_STAB_!R18)</f>
        <v>0</v>
      </c>
      <c r="S18" s="98">
        <f>+SUM(EL_DEL_CD2_JO_!S18,EL_DEL_CD2_SBI_1_4_!S18,EL_DEL_CD2_SBI_5_6_!S18,EL_DEL_CD2_SBI_7_8_!S18,EL_DEL_CD2_SBI_9_10_!S18,EL_DEL_CD2_STAB_!S18,EL_DEL_CD2_JO_L_!S18,EL_DEL_CD2_SBI_L_1_4_!S18,EL_DEL_CD2_SBI_L_5_6_!S18,EL_DEL_CD2_SBI_L_7_8_!S18,EL_DEL_CD2_SBI_L_9_10_!S18,EL_DEL_CD2_L_STAB_!S18)</f>
        <v>0</v>
      </c>
      <c r="T18" s="98">
        <f>+SUM(EL_DEL_CD2_JO_!T18,EL_DEL_CD2_SBI_1_4_!T18,EL_DEL_CD2_SBI_5_6_!T18,EL_DEL_CD2_SBI_7_8_!T18,EL_DEL_CD2_SBI_9_10_!T18,EL_DEL_CD2_STAB_!T18,EL_DEL_CD2_JO_L_!T18,EL_DEL_CD2_SBI_L_1_4_!T18,EL_DEL_CD2_SBI_L_5_6_!T18,EL_DEL_CD2_SBI_L_7_8_!T18,EL_DEL_CD2_SBI_L_9_10_!T18,EL_DEL_CD2_L_STAB_!T18)</f>
        <v>0</v>
      </c>
      <c r="U18" s="98">
        <f>+SUM(EL_DEL_CD2_JO_!U18,EL_DEL_CD2_SBI_1_4_!U18,EL_DEL_CD2_SBI_5_6_!U18,EL_DEL_CD2_SBI_7_8_!U18,EL_DEL_CD2_SBI_9_10_!U18,EL_DEL_CD2_STAB_!U18,EL_DEL_CD2_JO_L_!U18,EL_DEL_CD2_SBI_L_1_4_!U18,EL_DEL_CD2_SBI_L_5_6_!U18,EL_DEL_CD2_SBI_L_7_8_!U18,EL_DEL_CD2_SBI_L_9_10_!U18,EL_DEL_CD2_L_STAB_!U18)</f>
        <v>0</v>
      </c>
      <c r="V18" s="98">
        <f>+SUM(EL_DEL_CD2_JO_!V18,EL_DEL_CD2_SBI_1_4_!V18,EL_DEL_CD2_SBI_5_6_!V18,EL_DEL_CD2_SBI_7_8_!V18,EL_DEL_CD2_SBI_9_10_!V18,EL_DEL_CD2_STAB_!V18,EL_DEL_CD2_JO_L_!V18,EL_DEL_CD2_SBI_L_1_4_!V18,EL_DEL_CD2_SBI_L_5_6_!V18,EL_DEL_CD2_SBI_L_7_8_!V18,EL_DEL_CD2_SBI_L_9_10_!V18,EL_DEL_CD2_L_STAB_!V18)</f>
        <v>0</v>
      </c>
      <c r="W18" s="98">
        <f>+SUM(EL_DEL_CD2_JO_!W18,EL_DEL_CD2_SBI_1_4_!W18,EL_DEL_CD2_SBI_5_6_!W18,EL_DEL_CD2_SBI_7_8_!W18,EL_DEL_CD2_SBI_9_10_!W18,EL_DEL_CD2_STAB_!W18,EL_DEL_CD2_JO_L_!W18,EL_DEL_CD2_SBI_L_1_4_!W18,EL_DEL_CD2_SBI_L_5_6_!W18,EL_DEL_CD2_SBI_L_7_8_!W18,EL_DEL_CD2_SBI_L_9_10_!W18,EL_DEL_CD2_L_STAB_!W18)</f>
        <v>0</v>
      </c>
      <c r="X18" s="98">
        <f>+SUM(EL_DEL_CD2_JO_!X18,EL_DEL_CD2_SBI_1_4_!X18,EL_DEL_CD2_SBI_5_6_!X18,EL_DEL_CD2_SBI_7_8_!X18,EL_DEL_CD2_SBI_9_10_!X18,EL_DEL_CD2_STAB_!X18,EL_DEL_CD2_JO_L_!X18,EL_DEL_CD2_SBI_L_1_4_!X18,EL_DEL_CD2_SBI_L_5_6_!X18,EL_DEL_CD2_SBI_L_7_8_!X18,EL_DEL_CD2_SBI_L_9_10_!X18,EL_DEL_CD2_L_STAB_!X18)</f>
        <v>0</v>
      </c>
      <c r="Y18" s="98">
        <f>+SUM(EL_DEL_CD2_JO_!Y18,EL_DEL_CD2_SBI_1_4_!Y18,EL_DEL_CD2_SBI_5_6_!Y18,EL_DEL_CD2_SBI_7_8_!Y18,EL_DEL_CD2_SBI_9_10_!Y18,EL_DEL_CD2_STAB_!Y18,EL_DEL_CD2_JO_L_!Y18,EL_DEL_CD2_SBI_L_1_4_!Y18,EL_DEL_CD2_SBI_L_5_6_!Y18,EL_DEL_CD2_SBI_L_7_8_!Y18,EL_DEL_CD2_SBI_L_9_10_!Y18,EL_DEL_CD2_L_STAB_!Y18)</f>
        <v>0</v>
      </c>
      <c r="Z18" s="98">
        <f>+SUM(EL_DEL_CD2_JO_!Z18,EL_DEL_CD2_SBI_1_4_!Z18,EL_DEL_CD2_SBI_5_6_!Z18,EL_DEL_CD2_SBI_7_8_!Z18,EL_DEL_CD2_SBI_9_10_!Z18,EL_DEL_CD2_STAB_!Z18,EL_DEL_CD2_JO_L_!Z18,EL_DEL_CD2_SBI_L_1_4_!Z18,EL_DEL_CD2_SBI_L_5_6_!Z18,EL_DEL_CD2_SBI_L_7_8_!Z18,EL_DEL_CD2_SBI_L_9_10_!Z18,EL_DEL_CD2_L_STAB_!Z18)</f>
        <v>0</v>
      </c>
      <c r="AA18" s="98">
        <f>+SUM(EL_DEL_CD2_JO_!AA18,EL_DEL_CD2_SBI_1_4_!AA18,EL_DEL_CD2_SBI_5_6_!AA18,EL_DEL_CD2_SBI_7_8_!AA18,EL_DEL_CD2_SBI_9_10_!AA18,EL_DEL_CD2_STAB_!AA18,EL_DEL_CD2_JO_L_!AA18,EL_DEL_CD2_SBI_L_1_4_!AA18,EL_DEL_CD2_SBI_L_5_6_!AA18,EL_DEL_CD2_SBI_L_7_8_!AA18,EL_DEL_CD2_SBI_L_9_10_!AA18,EL_DEL_CD2_L_STAB_!AA18)</f>
        <v>0</v>
      </c>
      <c r="AB18" s="98">
        <f>+SUM(EL_DEL_CD2_JO_!AB18,EL_DEL_CD2_SBI_1_4_!AB18,EL_DEL_CD2_SBI_5_6_!AB18,EL_DEL_CD2_SBI_7_8_!AB18,EL_DEL_CD2_SBI_9_10_!AB18,EL_DEL_CD2_STAB_!AB18,EL_DEL_CD2_JO_L_!AB18,EL_DEL_CD2_SBI_L_1_4_!AB18,EL_DEL_CD2_SBI_L_5_6_!AB18,EL_DEL_CD2_SBI_L_7_8_!AB18,EL_DEL_CD2_SBI_L_9_10_!AB18,EL_DEL_CD2_L_STAB_!AB18)</f>
        <v>0</v>
      </c>
      <c r="AC18" s="98">
        <f>+SUM(EL_DEL_CD2_JO_!AC18,EL_DEL_CD2_SBI_1_4_!AC18,EL_DEL_CD2_SBI_5_6_!AC18,EL_DEL_CD2_SBI_7_8_!AC18,EL_DEL_CD2_SBI_9_10_!AC18,EL_DEL_CD2_STAB_!AC18,EL_DEL_CD2_JO_L_!AC18,EL_DEL_CD2_SBI_L_1_4_!AC18,EL_DEL_CD2_SBI_L_5_6_!AC18,EL_DEL_CD2_SBI_L_7_8_!AC18,EL_DEL_CD2_SBI_L_9_10_!AC18,EL_DEL_CD2_L_STAB_!AC18)</f>
        <v>0</v>
      </c>
      <c r="AD18" s="98">
        <f>+SUM(EL_DEL_CD2_JO_!AD18,EL_DEL_CD2_SBI_1_4_!AD18,EL_DEL_CD2_SBI_5_6_!AD18,EL_DEL_CD2_SBI_7_8_!AD18,EL_DEL_CD2_SBI_9_10_!AD18,EL_DEL_CD2_STAB_!AD18,EL_DEL_CD2_JO_L_!AD18,EL_DEL_CD2_SBI_L_1_4_!AD18,EL_DEL_CD2_SBI_L_5_6_!AD18,EL_DEL_CD2_SBI_L_7_8_!AD18,EL_DEL_CD2_SBI_L_9_10_!AD18,EL_DEL_CD2_L_STAB_!AD18)</f>
        <v>0</v>
      </c>
      <c r="AE18" s="98">
        <f>+SUM(EL_DEL_CD2_JO_!AE18,EL_DEL_CD2_SBI_1_4_!AE18,EL_DEL_CD2_SBI_5_6_!AE18,EL_DEL_CD2_SBI_7_8_!AE18,EL_DEL_CD2_SBI_9_10_!AE18,EL_DEL_CD2_STAB_!AE18,EL_DEL_CD2_JO_L_!AE18,EL_DEL_CD2_SBI_L_1_4_!AE18,EL_DEL_CD2_SBI_L_5_6_!AE18,EL_DEL_CD2_SBI_L_7_8_!AE18,EL_DEL_CD2_SBI_L_9_10_!AE18,EL_DEL_CD2_L_STAB_!AE18)</f>
        <v>0</v>
      </c>
      <c r="AF18" s="98">
        <f>+SUM(EL_DEL_CD2_JO_!AF18,EL_DEL_CD2_SBI_1_4_!AF18,EL_DEL_CD2_SBI_5_6_!AF18,EL_DEL_CD2_SBI_7_8_!AF18,EL_DEL_CD2_SBI_9_10_!AF18,EL_DEL_CD2_STAB_!AF18,EL_DEL_CD2_JO_L_!AF18,EL_DEL_CD2_SBI_L_1_4_!AF18,EL_DEL_CD2_SBI_L_5_6_!AF18,EL_DEL_CD2_SBI_L_7_8_!AF18,EL_DEL_CD2_SBI_L_9_10_!AF18,EL_DEL_CD2_L_STAB_!AF18)</f>
        <v>0</v>
      </c>
      <c r="AG18" s="98">
        <f>+SUM(EL_DEL_CD2_JO_!AG18,EL_DEL_CD2_SBI_1_4_!AG18,EL_DEL_CD2_SBI_5_6_!AG18,EL_DEL_CD2_SBI_7_8_!AG18,EL_DEL_CD2_SBI_9_10_!AG18,EL_DEL_CD2_STAB_!AG18,EL_DEL_CD2_JO_L_!AG18,EL_DEL_CD2_SBI_L_1_4_!AG18,EL_DEL_CD2_SBI_L_5_6_!AG18,EL_DEL_CD2_SBI_L_7_8_!AG18,EL_DEL_CD2_SBI_L_9_10_!AG18,EL_DEL_CD2_L_STAB_!AG18)</f>
        <v>0</v>
      </c>
      <c r="AH18" s="98">
        <f>+SUM(EL_DEL_CD2_JO_!AH18,EL_DEL_CD2_SBI_1_4_!AH18,EL_DEL_CD2_SBI_5_6_!AH18,EL_DEL_CD2_SBI_7_8_!AH18,EL_DEL_CD2_SBI_9_10_!AH18,EL_DEL_CD2_STAB_!AH18,EL_DEL_CD2_JO_L_!AH18,EL_DEL_CD2_SBI_L_1_4_!AH18,EL_DEL_CD2_SBI_L_5_6_!AH18,EL_DEL_CD2_SBI_L_7_8_!AH18,EL_DEL_CD2_SBI_L_9_10_!AH18,EL_DEL_CD2_L_STAB_!AH18)</f>
        <v>0</v>
      </c>
      <c r="AI18" s="98">
        <f>+SUM(EL_DEL_CD2_JO_!AI18,EL_DEL_CD2_SBI_1_4_!AI18,EL_DEL_CD2_SBI_5_6_!AI18,EL_DEL_CD2_SBI_7_8_!AI18,EL_DEL_CD2_SBI_9_10_!AI18,EL_DEL_CD2_STAB_!AI18,EL_DEL_CD2_JO_L_!AI18,EL_DEL_CD2_SBI_L_1_4_!AI18,EL_DEL_CD2_SBI_L_5_6_!AI18,EL_DEL_CD2_SBI_L_7_8_!AI18,EL_DEL_CD2_SBI_L_9_10_!AI18,EL_DEL_CD2_L_STAB_!AI18)</f>
        <v>0</v>
      </c>
      <c r="AJ18" s="98">
        <f>+SUM(EL_DEL_CD2_JO_!AJ18,EL_DEL_CD2_SBI_1_4_!AJ18,EL_DEL_CD2_SBI_5_6_!AJ18,EL_DEL_CD2_SBI_7_8_!AJ18,EL_DEL_CD2_SBI_9_10_!AJ18,EL_DEL_CD2_STAB_!AJ18,EL_DEL_CD2_JO_L_!AJ18,EL_DEL_CD2_SBI_L_1_4_!AJ18,EL_DEL_CD2_SBI_L_5_6_!AJ18,EL_DEL_CD2_SBI_L_7_8_!AJ18,EL_DEL_CD2_SBI_L_9_10_!AJ18,EL_DEL_CD2_L_STAB_!AJ18)</f>
        <v>0</v>
      </c>
      <c r="AK18" s="98">
        <f>+SUM(EL_DEL_CD2_JO_!AK18,EL_DEL_CD2_SBI_1_4_!AK18,EL_DEL_CD2_SBI_5_6_!AK18,EL_DEL_CD2_SBI_7_8_!AK18,EL_DEL_CD2_SBI_9_10_!AK18,EL_DEL_CD2_STAB_!AK18,EL_DEL_CD2_JO_L_!AK18,EL_DEL_CD2_SBI_L_1_4_!AK18,EL_DEL_CD2_SBI_L_5_6_!AK18,EL_DEL_CD2_SBI_L_7_8_!AK18,EL_DEL_CD2_SBI_L_9_10_!AK18,EL_DEL_CD2_L_STAB_!AK18)</f>
        <v>0</v>
      </c>
      <c r="AL18" s="152" t="str">
        <f>+IFERROR(AVERAGE(EL_DEL_CD2_JO_!AL18,EL_DEL_CD2_SBI_1_4_!AL18,EL_DEL_CD2_SBI_5_6_!AL18,EL_DEL_CD2_SBI_7_8_!AL18,EL_DEL_CD2_SBI_9_10_!AL18,EL_DEL_CD2_STAB_!AL18,EL_DEL_CD2_JO_L_!AL18,EL_DEL_CD2_SBI_L_1_4_!AL18,EL_DEL_CD2_SBI_L_5_6_!AL18,EL_DEL_CD2_SBI_L_7_8_!AL18,EL_DEL_CD2_SBI_L_9_10_!AL18,EL_DEL_CD2_L_STAB_!AL18),"0:00")</f>
        <v>0:00</v>
      </c>
      <c r="AM18" s="152" t="str">
        <f>+IFERROR(AVERAGE(EL_DEL_CD2_JO_!AM18,EL_DEL_CD2_SBI_1_4_!AM18,EL_DEL_CD2_SBI_5_6_!AM18,EL_DEL_CD2_SBI_7_8_!AM18,EL_DEL_CD2_SBI_9_10_!AM18,EL_DEL_CD2_STAB_!AM18,EL_DEL_CD2_JO_L_!AM18,EL_DEL_CD2_SBI_L_1_4_!AM18,EL_DEL_CD2_SBI_L_5_6_!AM18,EL_DEL_CD2_SBI_L_7_8_!AM18,EL_DEL_CD2_SBI_L_9_10_!AM18,EL_DEL_CD2_L_STAB_!AM18),"0:00")</f>
        <v>0:00</v>
      </c>
      <c r="AN18" s="152" t="str">
        <f>+IFERROR(AVERAGE(EL_DEL_CD2_JO_!AN18,EL_DEL_CD2_SBI_1_4_!AN18,EL_DEL_CD2_SBI_5_6_!AN18,EL_DEL_CD2_SBI_7_8_!AN18,EL_DEL_CD2_SBI_9_10_!AN18,EL_DEL_CD2_STAB_!AN18,EL_DEL_CD2_JO_L_!AN18,EL_DEL_CD2_SBI_L_1_4_!AN18,EL_DEL_CD2_SBI_L_5_6_!AN18,EL_DEL_CD2_SBI_L_7_8_!AN18,EL_DEL_CD2_SBI_L_9_10_!AN18,EL_DEL_CD2_L_STAB_!AN18),"0:00")</f>
        <v>0:00</v>
      </c>
      <c r="AO18" s="152" t="str">
        <f>+IFERROR(AVERAGE(EL_DEL_CD2_JO_!AO18,EL_DEL_CD2_SBI_1_4_!AO18,EL_DEL_CD2_SBI_5_6_!AO18,EL_DEL_CD2_SBI_7_8_!AO18,EL_DEL_CD2_SBI_9_10_!AO18,EL_DEL_CD2_STAB_!AO18,EL_DEL_CD2_JO_L_!AO18,EL_DEL_CD2_SBI_L_1_4_!AO18,EL_DEL_CD2_SBI_L_5_6_!AO18,EL_DEL_CD2_SBI_L_7_8_!AO18,EL_DEL_CD2_SBI_L_9_10_!AO18,EL_DEL_CD2_L_STAB_!AO18),"0:00")</f>
        <v>0:00</v>
      </c>
      <c r="AP18" s="98" t="str">
        <f>+IFERROR(AVERAGE(EL_DEL_CD2_JO_!AP18,EL_DEL_CD2_SBI_1_4_!AP18,EL_DEL_CD2_SBI_5_6_!AP18,EL_DEL_CD2_SBI_7_8_!AP18,EL_DEL_CD2_SBI_9_10_!AP18,EL_DEL_CD2_STAB_!AP18,EL_DEL_CD2_JO_L_!AP18,EL_DEL_CD2_SBI_L_1_4_!AP18,EL_DEL_CD2_SBI_L_5_6_!AP18,EL_DEL_CD2_SBI_L_7_8_!AP18,EL_DEL_CD2_SBI_L_9_10_!AP18,EL_DEL_CD2_L_STAB_!AP18),"0:00")</f>
        <v>0:00</v>
      </c>
      <c r="AQ18" s="152" t="str">
        <f>+IFERROR(AVERAGE(EL_DEL_CD2_JO_!AQ18,EL_DEL_CD2_SBI_1_4_!AQ18,EL_DEL_CD2_SBI_5_6_!AQ18,EL_DEL_CD2_SBI_7_8_!AQ18,EL_DEL_CD2_SBI_9_10_!AQ18,EL_DEL_CD2_STAB_!AQ18,EL_DEL_CD2_JO_L_!AQ18,EL_DEL_CD2_SBI_L_1_4_!AQ18,EL_DEL_CD2_SBI_L_5_6_!AQ18,EL_DEL_CD2_SBI_L_7_8_!AQ18,EL_DEL_CD2_SBI_L_9_10_!AQ18,EL_DEL_CD2_L_STAB_!AQ18),"0:00")</f>
        <v>0:00</v>
      </c>
      <c r="AR18" s="152" t="str">
        <f>+IFERROR(AVERAGE(EL_DEL_CD2_JO_!AR18,EL_DEL_CD2_SBI_1_4_!AR18,EL_DEL_CD2_SBI_5_6_!AR18,EL_DEL_CD2_SBI_7_8_!AR18,EL_DEL_CD2_SBI_9_10_!AR18,EL_DEL_CD2_STAB_!AR18,EL_DEL_CD2_JO_L_!AR18,EL_DEL_CD2_SBI_L_1_4_!AR18,EL_DEL_CD2_SBI_L_5_6_!AR18,EL_DEL_CD2_SBI_L_7_8_!AR18,EL_DEL_CD2_SBI_L_9_10_!AR18,EL_DEL_CD2_L_STAB_!AR18),"0:00")</f>
        <v>0:00</v>
      </c>
      <c r="AS18" s="152" t="str">
        <f>+IFERROR(AVERAGE(EL_DEL_CD2_JO_!AS18,EL_DEL_CD2_SBI_1_4_!AS18,EL_DEL_CD2_SBI_5_6_!AS18,EL_DEL_CD2_SBI_7_8_!AS18,EL_DEL_CD2_SBI_9_10_!AS18,EL_DEL_CD2_STAB_!AS18,EL_DEL_CD2_JO_L_!AS18,EL_DEL_CD2_SBI_L_1_4_!AS18,EL_DEL_CD2_SBI_L_5_6_!AS18,EL_DEL_CD2_SBI_L_7_8_!AS18,EL_DEL_CD2_SBI_L_9_10_!AS18,EL_DEL_CD2_L_STAB_!AS18),"0:00")</f>
        <v>0:00</v>
      </c>
      <c r="AT18" s="98">
        <f>+SUM(EL_DEL_CD2_JO_!AT18,EL_DEL_CD2_SBI_1_4_!AT18,EL_DEL_CD2_SBI_5_6_!AT18,EL_DEL_CD2_SBI_7_8_!AT18,EL_DEL_CD2_SBI_9_10_!AT18,EL_DEL_CD2_STAB_!AT18,EL_DEL_CD2_JO_L_!AT18,EL_DEL_CD2_SBI_L_1_4_!AT18,EL_DEL_CD2_SBI_L_5_6_!AT18,EL_DEL_CD2_SBI_L_7_8_!AT18,EL_DEL_CD2_SBI_L_9_10_!AT18,EL_DEL_CD2_L_STAB_!AT18)</f>
        <v>0</v>
      </c>
      <c r="AU18" s="98">
        <f>+SUM(EL_DEL_CD2_JO_!AU18,EL_DEL_CD2_SBI_1_4_!AU18,EL_DEL_CD2_SBI_5_6_!AU18,EL_DEL_CD2_SBI_7_8_!AU18,EL_DEL_CD2_SBI_9_10_!AU18,EL_DEL_CD2_STAB_!AU18,EL_DEL_CD2_JO_L_!AU18,EL_DEL_CD2_SBI_L_1_4_!AU18,EL_DEL_CD2_SBI_L_5_6_!AU18,EL_DEL_CD2_SBI_L_7_8_!AU18,EL_DEL_CD2_SBI_L_9_10_!AU18,EL_DEL_CD2_L_STAB_!AU18)</f>
        <v>0</v>
      </c>
      <c r="AV18" s="98">
        <f>+SUM(EL_DEL_CD2_JO_!AV18,EL_DEL_CD2_SBI_1_4_!AV18,EL_DEL_CD2_SBI_5_6_!AV18,EL_DEL_CD2_SBI_7_8_!AV18,EL_DEL_CD2_SBI_9_10_!AV18,EL_DEL_CD2_STAB_!AV18,EL_DEL_CD2_JO_L_!AV18,EL_DEL_CD2_SBI_L_1_4_!AV18,EL_DEL_CD2_SBI_L_5_6_!AV18,EL_DEL_CD2_SBI_L_7_8_!AV18,EL_DEL_CD2_SBI_L_9_10_!AV18,EL_DEL_CD2_L_STAB_!AV18)</f>
        <v>0</v>
      </c>
      <c r="AW18" s="167">
        <f>+SUM(EL_DEL_CD2_JO_!AW18,EL_DEL_CD2_SBI_1_4_!AW18,EL_DEL_CD2_SBI_5_6_!AW18,EL_DEL_CD2_SBI_7_8_!AW18,EL_DEL_CD2_SBI_9_10_!AW18,EL_DEL_CD2_STAB_!AW18,EL_DEL_CD2_JO_L_!AW18,EL_DEL_CD2_SBI_L_1_4_!AW18,EL_DEL_CD2_SBI_L_5_6_!AW18,EL_DEL_CD2_SBI_L_7_8_!AW18,EL_DEL_CD2_SBI_L_9_10_!AW18,EL_DEL_CD2_L_STAB_!AW18)</f>
        <v>0</v>
      </c>
      <c r="AX18" s="102" t="str">
        <f t="shared" si="24"/>
        <v>-</v>
      </c>
      <c r="AY18" s="151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51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31"/>
        <v/>
      </c>
      <c r="BH18" s="119" t="str">
        <f t="shared" si="8"/>
        <v/>
      </c>
      <c r="BI18" s="120" t="str">
        <f t="shared" si="25"/>
        <v/>
      </c>
      <c r="BJ18" s="151"/>
      <c r="BK18" s="121" t="str">
        <f t="shared" si="9"/>
        <v/>
      </c>
      <c r="BL18" s="122" t="str">
        <f t="shared" si="10"/>
        <v/>
      </c>
      <c r="BM18" s="122" t="str">
        <f t="shared" si="11"/>
        <v/>
      </c>
      <c r="BN18" s="123" t="str">
        <f t="shared" si="12"/>
        <v/>
      </c>
      <c r="BO18" s="151"/>
      <c r="BP18" s="124" t="str">
        <f t="shared" si="13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4"/>
        <v/>
      </c>
      <c r="BU18" s="151"/>
      <c r="BV18" s="127" t="e">
        <f t="shared" si="15"/>
        <v>#DIV/0!</v>
      </c>
      <c r="BW18" s="127" t="e">
        <f t="shared" si="16"/>
        <v>#DIV/0!</v>
      </c>
      <c r="BX18" s="127" t="e">
        <f t="shared" si="17"/>
        <v>#DIV/0!</v>
      </c>
      <c r="BY18" s="127" t="e">
        <f t="shared" si="18"/>
        <v>#DIV/0!</v>
      </c>
      <c r="BZ18" s="127" t="e">
        <f t="shared" si="28"/>
        <v>#DIV/0!</v>
      </c>
      <c r="CA18" s="128" t="e">
        <f t="shared" si="29"/>
        <v>#DIV/0!</v>
      </c>
      <c r="CB18" s="151"/>
      <c r="CC18" s="129" t="str">
        <f t="shared" si="19"/>
        <v>-</v>
      </c>
      <c r="CD18" s="130" t="str">
        <f t="shared" si="20"/>
        <v>-</v>
      </c>
      <c r="CE18" s="130" t="str">
        <f t="shared" si="21"/>
        <v>-</v>
      </c>
      <c r="CF18" s="130" t="str">
        <f t="shared" si="22"/>
        <v>-</v>
      </c>
      <c r="CG18" s="131" t="str">
        <f t="shared" si="23"/>
        <v>-</v>
      </c>
      <c r="CH18" s="151"/>
    </row>
    <row r="19" spans="1:86" s="115" customFormat="1" ht="12.4" customHeight="1" thickBot="1" x14ac:dyDescent="0.25">
      <c r="A19" s="96">
        <f t="shared" si="30"/>
        <v>46311</v>
      </c>
      <c r="B19" s="97" t="str">
        <f t="shared" si="0"/>
        <v>Fri</v>
      </c>
      <c r="C19" s="98">
        <f>+SUM(EL_DEL_CD2_JO_!C19,EL_DEL_CD2_SBI_1_4_!C19,EL_DEL_CD2_SBI_5_6_!C19,EL_DEL_CD2_SBI_7_8_!C19,EL_DEL_CD2_SBI_9_10_!C19,EL_DEL_CD2_STAB_!C19,EL_DEL_CD2_JO_L_!C19,EL_DEL_CD2_SBI_L_1_4_!C19,EL_DEL_CD2_SBI_L_5_6_!C19,EL_DEL_CD2_SBI_L_7_8_!C19,EL_DEL_CD2_SBI_L_9_10_!C19,EL_DEL_CD2_L_STAB_!C19)</f>
        <v>0</v>
      </c>
      <c r="D19" s="98">
        <f>+SUM(EL_DEL_CD2_JO_!D19,EL_DEL_CD2_SBI_1_4_!D19,EL_DEL_CD2_SBI_5_6_!D19,EL_DEL_CD2_SBI_7_8_!D19,EL_DEL_CD2_SBI_9_10_!D19,EL_DEL_CD2_STAB_!D19,EL_DEL_CD2_JO_L_!D19,EL_DEL_CD2_SBI_L_1_4_!D19,EL_DEL_CD2_SBI_L_5_6_!D19,EL_DEL_CD2_SBI_L_7_8_!D19,EL_DEL_CD2_SBI_L_9_10_!D19,EL_DEL_CD2_L_STAB_!D19)</f>
        <v>0</v>
      </c>
      <c r="E19" s="98">
        <f>+SUM(EL_DEL_CD2_JO_!E19,EL_DEL_CD2_SBI_1_4_!E19,EL_DEL_CD2_SBI_5_6_!E19,EL_DEL_CD2_SBI_7_8_!E19,EL_DEL_CD2_SBI_9_10_!E19,EL_DEL_CD2_STAB_!E19,EL_DEL_CD2_JO_L_!E19,EL_DEL_CD2_SBI_L_1_4_!E19,EL_DEL_CD2_SBI_L_5_6_!E19,EL_DEL_CD2_SBI_L_7_8_!E19,EL_DEL_CD2_SBI_L_9_10_!E19,EL_DEL_CD2_L_STAB_!E19)</f>
        <v>0</v>
      </c>
      <c r="F19" s="98">
        <f>+SUM(EL_DEL_CD2_JO_!F19,EL_DEL_CD2_SBI_1_4_!F19,EL_DEL_CD2_SBI_5_6_!F19,EL_DEL_CD2_SBI_7_8_!F19,EL_DEL_CD2_SBI_9_10_!F19,EL_DEL_CD2_STAB_!F19,EL_DEL_CD2_JO_L_!F19,EL_DEL_CD2_SBI_L_1_4_!F19,EL_DEL_CD2_SBI_L_5_6_!F19,EL_DEL_CD2_SBI_L_7_8_!F19,EL_DEL_CD2_SBI_L_9_10_!F19,EL_DEL_CD2_L_STAB_!F19)</f>
        <v>0</v>
      </c>
      <c r="G19" s="98">
        <f>+SUM(EL_DEL_CD2_JO_!G19,EL_DEL_CD2_SBI_1_4_!G19,EL_DEL_CD2_SBI_5_6_!G19,EL_DEL_CD2_SBI_7_8_!G19,EL_DEL_CD2_SBI_9_10_!G19,EL_DEL_CD2_STAB_!G19,EL_DEL_CD2_JO_L_!G19,EL_DEL_CD2_SBI_L_1_4_!G19,EL_DEL_CD2_SBI_L_5_6_!G19,EL_DEL_CD2_SBI_L_7_8_!G19,EL_DEL_CD2_SBI_L_9_10_!G19,EL_DEL_CD2_L_STAB_!G19)</f>
        <v>0</v>
      </c>
      <c r="H19" s="98">
        <f>+SUM(EL_DEL_CD2_JO_!H19,EL_DEL_CD2_SBI_1_4_!H19,EL_DEL_CD2_SBI_5_6_!H19,EL_DEL_CD2_SBI_7_8_!H19,EL_DEL_CD2_SBI_9_10_!H19,EL_DEL_CD2_STAB_!H19,EL_DEL_CD2_JO_L_!H19,EL_DEL_CD2_SBI_L_1_4_!H19,EL_DEL_CD2_SBI_L_5_6_!H19,EL_DEL_CD2_SBI_L_7_8_!H19,EL_DEL_CD2_SBI_L_9_10_!H19,EL_DEL_CD2_L_STAB_!H19)</f>
        <v>0</v>
      </c>
      <c r="I19" s="98">
        <f>+SUM(EL_DEL_CD2_JO_!I19,EL_DEL_CD2_SBI_1_4_!I19,EL_DEL_CD2_SBI_5_6_!I19,EL_DEL_CD2_SBI_7_8_!I19,EL_DEL_CD2_SBI_9_10_!I19,EL_DEL_CD2_STAB_!I19,EL_DEL_CD2_JO_L_!I19,EL_DEL_CD2_SBI_L_1_4_!I19,EL_DEL_CD2_SBI_L_5_6_!I19,EL_DEL_CD2_SBI_L_7_8_!I19,EL_DEL_CD2_SBI_L_9_10_!I19,EL_DEL_CD2_L_STAB_!I19)</f>
        <v>0</v>
      </c>
      <c r="J19" s="98">
        <f>+SUM(EL_DEL_CD2_JO_!J19,EL_DEL_CD2_SBI_1_4_!J19,EL_DEL_CD2_SBI_5_6_!J19,EL_DEL_CD2_SBI_7_8_!J19,EL_DEL_CD2_SBI_9_10_!J19,EL_DEL_CD2_STAB_!J19,EL_DEL_CD2_JO_L_!J19,EL_DEL_CD2_SBI_L_1_4_!J19,EL_DEL_CD2_SBI_L_5_6_!J19,EL_DEL_CD2_SBI_L_7_8_!J19,EL_DEL_CD2_SBI_L_9_10_!J19,EL_DEL_CD2_L_STAB_!J19)</f>
        <v>0</v>
      </c>
      <c r="K19" s="98">
        <f>+SUM(EL_DEL_CD2_JO_!K19,EL_DEL_CD2_SBI_1_4_!K19,EL_DEL_CD2_SBI_5_6_!K19,EL_DEL_CD2_SBI_7_8_!K19,EL_DEL_CD2_SBI_9_10_!K19,EL_DEL_CD2_STAB_!K19,EL_DEL_CD2_JO_L_!K19,EL_DEL_CD2_SBI_L_1_4_!K19,EL_DEL_CD2_SBI_L_5_6_!K19,EL_DEL_CD2_SBI_L_7_8_!K19,EL_DEL_CD2_SBI_L_9_10_!K19,EL_DEL_CD2_L_STAB_!K19)</f>
        <v>0</v>
      </c>
      <c r="L19" s="98">
        <f>+SUM(EL_DEL_CD2_JO_!L19,EL_DEL_CD2_SBI_1_4_!L19,EL_DEL_CD2_SBI_5_6_!L19,EL_DEL_CD2_SBI_7_8_!L19,EL_DEL_CD2_SBI_9_10_!L19,EL_DEL_CD2_STAB_!L19,EL_DEL_CD2_JO_L_!L19,EL_DEL_CD2_SBI_L_1_4_!L19,EL_DEL_CD2_SBI_L_5_6_!L19,EL_DEL_CD2_SBI_L_7_8_!L19,EL_DEL_CD2_SBI_L_9_10_!L19,EL_DEL_CD2_L_STAB_!L19)</f>
        <v>0</v>
      </c>
      <c r="M19" s="98">
        <f>+SUM(EL_DEL_CD2_JO_!M19,EL_DEL_CD2_SBI_1_4_!M19,EL_DEL_CD2_SBI_5_6_!M19,EL_DEL_CD2_SBI_7_8_!M19,EL_DEL_CD2_SBI_9_10_!M19,EL_DEL_CD2_STAB_!M19,EL_DEL_CD2_JO_L_!M19,EL_DEL_CD2_SBI_L_1_4_!M19,EL_DEL_CD2_SBI_L_5_6_!M19,EL_DEL_CD2_SBI_L_7_8_!M19,EL_DEL_CD2_SBI_L_9_10_!M19,EL_DEL_CD2_L_STAB_!M19)</f>
        <v>0</v>
      </c>
      <c r="N19" s="98">
        <f>+SUM(EL_DEL_CD2_JO_!N19,EL_DEL_CD2_SBI_1_4_!N19,EL_DEL_CD2_SBI_5_6_!N19,EL_DEL_CD2_SBI_7_8_!N19,EL_DEL_CD2_SBI_9_10_!N19,EL_DEL_CD2_STAB_!N19,EL_DEL_CD2_JO_L_!N19,EL_DEL_CD2_SBI_L_1_4_!N19,EL_DEL_CD2_SBI_L_5_6_!N19,EL_DEL_CD2_SBI_L_7_8_!N19,EL_DEL_CD2_SBI_L_9_10_!N19,EL_DEL_CD2_L_STAB_!N19)</f>
        <v>0</v>
      </c>
      <c r="O19" s="98">
        <f>+SUM(EL_DEL_CD2_JO_!O19,EL_DEL_CD2_SBI_1_4_!O19,EL_DEL_CD2_SBI_5_6_!O19,EL_DEL_CD2_SBI_7_8_!O19,EL_DEL_CD2_SBI_9_10_!O19,EL_DEL_CD2_STAB_!O19,EL_DEL_CD2_JO_L_!O19,EL_DEL_CD2_SBI_L_1_4_!O19,EL_DEL_CD2_SBI_L_5_6_!O19,EL_DEL_CD2_SBI_L_7_8_!O19,EL_DEL_CD2_SBI_L_9_10_!O19,EL_DEL_CD2_L_STAB_!O19)</f>
        <v>0</v>
      </c>
      <c r="P19" s="98">
        <f>+SUM(EL_DEL_CD2_JO_!P19,EL_DEL_CD2_SBI_1_4_!P19,EL_DEL_CD2_SBI_5_6_!P19,EL_DEL_CD2_SBI_7_8_!P19,EL_DEL_CD2_SBI_9_10_!P19,EL_DEL_CD2_STAB_!P19,EL_DEL_CD2_JO_L_!P19,EL_DEL_CD2_SBI_L_1_4_!P19,EL_DEL_CD2_SBI_L_5_6_!P19,EL_DEL_CD2_SBI_L_7_8_!P19,EL_DEL_CD2_SBI_L_9_10_!P19,EL_DEL_CD2_L_STAB_!P19)</f>
        <v>0</v>
      </c>
      <c r="Q19" s="98">
        <f>+SUM(EL_DEL_CD2_JO_!Q19,EL_DEL_CD2_SBI_1_4_!Q19,EL_DEL_CD2_SBI_5_6_!Q19,EL_DEL_CD2_SBI_7_8_!Q19,EL_DEL_CD2_SBI_9_10_!Q19,EL_DEL_CD2_STAB_!Q19,EL_DEL_CD2_JO_L_!Q19,EL_DEL_CD2_SBI_L_1_4_!Q19,EL_DEL_CD2_SBI_L_5_6_!Q19,EL_DEL_CD2_SBI_L_7_8_!Q19,EL_DEL_CD2_SBI_L_9_10_!Q19,EL_DEL_CD2_L_STAB_!Q19)</f>
        <v>0</v>
      </c>
      <c r="R19" s="98">
        <f>+SUM(EL_DEL_CD2_JO_!R19,EL_DEL_CD2_SBI_1_4_!R19,EL_DEL_CD2_SBI_5_6_!R19,EL_DEL_CD2_SBI_7_8_!R19,EL_DEL_CD2_SBI_9_10_!R19,EL_DEL_CD2_STAB_!R19,EL_DEL_CD2_JO_L_!R19,EL_DEL_CD2_SBI_L_1_4_!R19,EL_DEL_CD2_SBI_L_5_6_!R19,EL_DEL_CD2_SBI_L_7_8_!R19,EL_DEL_CD2_SBI_L_9_10_!R19,EL_DEL_CD2_L_STAB_!R19)</f>
        <v>0</v>
      </c>
      <c r="S19" s="98">
        <f>+SUM(EL_DEL_CD2_JO_!S19,EL_DEL_CD2_SBI_1_4_!S19,EL_DEL_CD2_SBI_5_6_!S19,EL_DEL_CD2_SBI_7_8_!S19,EL_DEL_CD2_SBI_9_10_!S19,EL_DEL_CD2_STAB_!S19,EL_DEL_CD2_JO_L_!S19,EL_DEL_CD2_SBI_L_1_4_!S19,EL_DEL_CD2_SBI_L_5_6_!S19,EL_DEL_CD2_SBI_L_7_8_!S19,EL_DEL_CD2_SBI_L_9_10_!S19,EL_DEL_CD2_L_STAB_!S19)</f>
        <v>0</v>
      </c>
      <c r="T19" s="98">
        <f>+SUM(EL_DEL_CD2_JO_!T19,EL_DEL_CD2_SBI_1_4_!T19,EL_DEL_CD2_SBI_5_6_!T19,EL_DEL_CD2_SBI_7_8_!T19,EL_DEL_CD2_SBI_9_10_!T19,EL_DEL_CD2_STAB_!T19,EL_DEL_CD2_JO_L_!T19,EL_DEL_CD2_SBI_L_1_4_!T19,EL_DEL_CD2_SBI_L_5_6_!T19,EL_DEL_CD2_SBI_L_7_8_!T19,EL_DEL_CD2_SBI_L_9_10_!T19,EL_DEL_CD2_L_STAB_!T19)</f>
        <v>0</v>
      </c>
      <c r="U19" s="98">
        <f>+SUM(EL_DEL_CD2_JO_!U19,EL_DEL_CD2_SBI_1_4_!U19,EL_DEL_CD2_SBI_5_6_!U19,EL_DEL_CD2_SBI_7_8_!U19,EL_DEL_CD2_SBI_9_10_!U19,EL_DEL_CD2_STAB_!U19,EL_DEL_CD2_JO_L_!U19,EL_DEL_CD2_SBI_L_1_4_!U19,EL_DEL_CD2_SBI_L_5_6_!U19,EL_DEL_CD2_SBI_L_7_8_!U19,EL_DEL_CD2_SBI_L_9_10_!U19,EL_DEL_CD2_L_STAB_!U19)</f>
        <v>0</v>
      </c>
      <c r="V19" s="98">
        <f>+SUM(EL_DEL_CD2_JO_!V19,EL_DEL_CD2_SBI_1_4_!V19,EL_DEL_CD2_SBI_5_6_!V19,EL_DEL_CD2_SBI_7_8_!V19,EL_DEL_CD2_SBI_9_10_!V19,EL_DEL_CD2_STAB_!V19,EL_DEL_CD2_JO_L_!V19,EL_DEL_CD2_SBI_L_1_4_!V19,EL_DEL_CD2_SBI_L_5_6_!V19,EL_DEL_CD2_SBI_L_7_8_!V19,EL_DEL_CD2_SBI_L_9_10_!V19,EL_DEL_CD2_L_STAB_!V19)</f>
        <v>0</v>
      </c>
      <c r="W19" s="98">
        <f>+SUM(EL_DEL_CD2_JO_!W19,EL_DEL_CD2_SBI_1_4_!W19,EL_DEL_CD2_SBI_5_6_!W19,EL_DEL_CD2_SBI_7_8_!W19,EL_DEL_CD2_SBI_9_10_!W19,EL_DEL_CD2_STAB_!W19,EL_DEL_CD2_JO_L_!W19,EL_DEL_CD2_SBI_L_1_4_!W19,EL_DEL_CD2_SBI_L_5_6_!W19,EL_DEL_CD2_SBI_L_7_8_!W19,EL_DEL_CD2_SBI_L_9_10_!W19,EL_DEL_CD2_L_STAB_!W19)</f>
        <v>0</v>
      </c>
      <c r="X19" s="98">
        <f>+SUM(EL_DEL_CD2_JO_!X19,EL_DEL_CD2_SBI_1_4_!X19,EL_DEL_CD2_SBI_5_6_!X19,EL_DEL_CD2_SBI_7_8_!X19,EL_DEL_CD2_SBI_9_10_!X19,EL_DEL_CD2_STAB_!X19,EL_DEL_CD2_JO_L_!X19,EL_DEL_CD2_SBI_L_1_4_!X19,EL_DEL_CD2_SBI_L_5_6_!X19,EL_DEL_CD2_SBI_L_7_8_!X19,EL_DEL_CD2_SBI_L_9_10_!X19,EL_DEL_CD2_L_STAB_!X19)</f>
        <v>0</v>
      </c>
      <c r="Y19" s="98">
        <f>+SUM(EL_DEL_CD2_JO_!Y19,EL_DEL_CD2_SBI_1_4_!Y19,EL_DEL_CD2_SBI_5_6_!Y19,EL_DEL_CD2_SBI_7_8_!Y19,EL_DEL_CD2_SBI_9_10_!Y19,EL_DEL_CD2_STAB_!Y19,EL_DEL_CD2_JO_L_!Y19,EL_DEL_CD2_SBI_L_1_4_!Y19,EL_DEL_CD2_SBI_L_5_6_!Y19,EL_DEL_CD2_SBI_L_7_8_!Y19,EL_DEL_CD2_SBI_L_9_10_!Y19,EL_DEL_CD2_L_STAB_!Y19)</f>
        <v>0</v>
      </c>
      <c r="Z19" s="98">
        <f>+SUM(EL_DEL_CD2_JO_!Z19,EL_DEL_CD2_SBI_1_4_!Z19,EL_DEL_CD2_SBI_5_6_!Z19,EL_DEL_CD2_SBI_7_8_!Z19,EL_DEL_CD2_SBI_9_10_!Z19,EL_DEL_CD2_STAB_!Z19,EL_DEL_CD2_JO_L_!Z19,EL_DEL_CD2_SBI_L_1_4_!Z19,EL_DEL_CD2_SBI_L_5_6_!Z19,EL_DEL_CD2_SBI_L_7_8_!Z19,EL_DEL_CD2_SBI_L_9_10_!Z19,EL_DEL_CD2_L_STAB_!Z19)</f>
        <v>0</v>
      </c>
      <c r="AA19" s="98">
        <f>+SUM(EL_DEL_CD2_JO_!AA19,EL_DEL_CD2_SBI_1_4_!AA19,EL_DEL_CD2_SBI_5_6_!AA19,EL_DEL_CD2_SBI_7_8_!AA19,EL_DEL_CD2_SBI_9_10_!AA19,EL_DEL_CD2_STAB_!AA19,EL_DEL_CD2_JO_L_!AA19,EL_DEL_CD2_SBI_L_1_4_!AA19,EL_DEL_CD2_SBI_L_5_6_!AA19,EL_DEL_CD2_SBI_L_7_8_!AA19,EL_DEL_CD2_SBI_L_9_10_!AA19,EL_DEL_CD2_L_STAB_!AA19)</f>
        <v>0</v>
      </c>
      <c r="AB19" s="98">
        <f>+SUM(EL_DEL_CD2_JO_!AB19,EL_DEL_CD2_SBI_1_4_!AB19,EL_DEL_CD2_SBI_5_6_!AB19,EL_DEL_CD2_SBI_7_8_!AB19,EL_DEL_CD2_SBI_9_10_!AB19,EL_DEL_CD2_STAB_!AB19,EL_DEL_CD2_JO_L_!AB19,EL_DEL_CD2_SBI_L_1_4_!AB19,EL_DEL_CD2_SBI_L_5_6_!AB19,EL_DEL_CD2_SBI_L_7_8_!AB19,EL_DEL_CD2_SBI_L_9_10_!AB19,EL_DEL_CD2_L_STAB_!AB19)</f>
        <v>0</v>
      </c>
      <c r="AC19" s="98">
        <f>+SUM(EL_DEL_CD2_JO_!AC19,EL_DEL_CD2_SBI_1_4_!AC19,EL_DEL_CD2_SBI_5_6_!AC19,EL_DEL_CD2_SBI_7_8_!AC19,EL_DEL_CD2_SBI_9_10_!AC19,EL_DEL_CD2_STAB_!AC19,EL_DEL_CD2_JO_L_!AC19,EL_DEL_CD2_SBI_L_1_4_!AC19,EL_DEL_CD2_SBI_L_5_6_!AC19,EL_DEL_CD2_SBI_L_7_8_!AC19,EL_DEL_CD2_SBI_L_9_10_!AC19,EL_DEL_CD2_L_STAB_!AC19)</f>
        <v>0</v>
      </c>
      <c r="AD19" s="98">
        <f>+SUM(EL_DEL_CD2_JO_!AD19,EL_DEL_CD2_SBI_1_4_!AD19,EL_DEL_CD2_SBI_5_6_!AD19,EL_DEL_CD2_SBI_7_8_!AD19,EL_DEL_CD2_SBI_9_10_!AD19,EL_DEL_CD2_STAB_!AD19,EL_DEL_CD2_JO_L_!AD19,EL_DEL_CD2_SBI_L_1_4_!AD19,EL_DEL_CD2_SBI_L_5_6_!AD19,EL_DEL_CD2_SBI_L_7_8_!AD19,EL_DEL_CD2_SBI_L_9_10_!AD19,EL_DEL_CD2_L_STAB_!AD19)</f>
        <v>0</v>
      </c>
      <c r="AE19" s="98">
        <f>+SUM(EL_DEL_CD2_JO_!AE19,EL_DEL_CD2_SBI_1_4_!AE19,EL_DEL_CD2_SBI_5_6_!AE19,EL_DEL_CD2_SBI_7_8_!AE19,EL_DEL_CD2_SBI_9_10_!AE19,EL_DEL_CD2_STAB_!AE19,EL_DEL_CD2_JO_L_!AE19,EL_DEL_CD2_SBI_L_1_4_!AE19,EL_DEL_CD2_SBI_L_5_6_!AE19,EL_DEL_CD2_SBI_L_7_8_!AE19,EL_DEL_CD2_SBI_L_9_10_!AE19,EL_DEL_CD2_L_STAB_!AE19)</f>
        <v>0</v>
      </c>
      <c r="AF19" s="98">
        <f>+SUM(EL_DEL_CD2_JO_!AF19,EL_DEL_CD2_SBI_1_4_!AF19,EL_DEL_CD2_SBI_5_6_!AF19,EL_DEL_CD2_SBI_7_8_!AF19,EL_DEL_CD2_SBI_9_10_!AF19,EL_DEL_CD2_STAB_!AF19,EL_DEL_CD2_JO_L_!AF19,EL_DEL_CD2_SBI_L_1_4_!AF19,EL_DEL_CD2_SBI_L_5_6_!AF19,EL_DEL_CD2_SBI_L_7_8_!AF19,EL_DEL_CD2_SBI_L_9_10_!AF19,EL_DEL_CD2_L_STAB_!AF19)</f>
        <v>0</v>
      </c>
      <c r="AG19" s="98">
        <f>+SUM(EL_DEL_CD2_JO_!AG19,EL_DEL_CD2_SBI_1_4_!AG19,EL_DEL_CD2_SBI_5_6_!AG19,EL_DEL_CD2_SBI_7_8_!AG19,EL_DEL_CD2_SBI_9_10_!AG19,EL_DEL_CD2_STAB_!AG19,EL_DEL_CD2_JO_L_!AG19,EL_DEL_CD2_SBI_L_1_4_!AG19,EL_DEL_CD2_SBI_L_5_6_!AG19,EL_DEL_CD2_SBI_L_7_8_!AG19,EL_DEL_CD2_SBI_L_9_10_!AG19,EL_DEL_CD2_L_STAB_!AG19)</f>
        <v>0</v>
      </c>
      <c r="AH19" s="98">
        <f>+SUM(EL_DEL_CD2_JO_!AH19,EL_DEL_CD2_SBI_1_4_!AH19,EL_DEL_CD2_SBI_5_6_!AH19,EL_DEL_CD2_SBI_7_8_!AH19,EL_DEL_CD2_SBI_9_10_!AH19,EL_DEL_CD2_STAB_!AH19,EL_DEL_CD2_JO_L_!AH19,EL_DEL_CD2_SBI_L_1_4_!AH19,EL_DEL_CD2_SBI_L_5_6_!AH19,EL_DEL_CD2_SBI_L_7_8_!AH19,EL_DEL_CD2_SBI_L_9_10_!AH19,EL_DEL_CD2_L_STAB_!AH19)</f>
        <v>0</v>
      </c>
      <c r="AI19" s="98">
        <f>+SUM(EL_DEL_CD2_JO_!AI19,EL_DEL_CD2_SBI_1_4_!AI19,EL_DEL_CD2_SBI_5_6_!AI19,EL_DEL_CD2_SBI_7_8_!AI19,EL_DEL_CD2_SBI_9_10_!AI19,EL_DEL_CD2_STAB_!AI19,EL_DEL_CD2_JO_L_!AI19,EL_DEL_CD2_SBI_L_1_4_!AI19,EL_DEL_CD2_SBI_L_5_6_!AI19,EL_DEL_CD2_SBI_L_7_8_!AI19,EL_DEL_CD2_SBI_L_9_10_!AI19,EL_DEL_CD2_L_STAB_!AI19)</f>
        <v>0</v>
      </c>
      <c r="AJ19" s="98">
        <f>+SUM(EL_DEL_CD2_JO_!AJ19,EL_DEL_CD2_SBI_1_4_!AJ19,EL_DEL_CD2_SBI_5_6_!AJ19,EL_DEL_CD2_SBI_7_8_!AJ19,EL_DEL_CD2_SBI_9_10_!AJ19,EL_DEL_CD2_STAB_!AJ19,EL_DEL_CD2_JO_L_!AJ19,EL_DEL_CD2_SBI_L_1_4_!AJ19,EL_DEL_CD2_SBI_L_5_6_!AJ19,EL_DEL_CD2_SBI_L_7_8_!AJ19,EL_DEL_CD2_SBI_L_9_10_!AJ19,EL_DEL_CD2_L_STAB_!AJ19)</f>
        <v>0</v>
      </c>
      <c r="AK19" s="98">
        <f>+SUM(EL_DEL_CD2_JO_!AK19,EL_DEL_CD2_SBI_1_4_!AK19,EL_DEL_CD2_SBI_5_6_!AK19,EL_DEL_CD2_SBI_7_8_!AK19,EL_DEL_CD2_SBI_9_10_!AK19,EL_DEL_CD2_STAB_!AK19,EL_DEL_CD2_JO_L_!AK19,EL_DEL_CD2_SBI_L_1_4_!AK19,EL_DEL_CD2_SBI_L_5_6_!AK19,EL_DEL_CD2_SBI_L_7_8_!AK19,EL_DEL_CD2_SBI_L_9_10_!AK19,EL_DEL_CD2_L_STAB_!AK19)</f>
        <v>0</v>
      </c>
      <c r="AL19" s="152" t="str">
        <f>+IFERROR(AVERAGE(EL_DEL_CD2_JO_!AL19,EL_DEL_CD2_SBI_1_4_!AL19,EL_DEL_CD2_SBI_5_6_!AL19,EL_DEL_CD2_SBI_7_8_!AL19,EL_DEL_CD2_SBI_9_10_!AL19,EL_DEL_CD2_STAB_!AL19,EL_DEL_CD2_JO_L_!AL19,EL_DEL_CD2_SBI_L_1_4_!AL19,EL_DEL_CD2_SBI_L_5_6_!AL19,EL_DEL_CD2_SBI_L_7_8_!AL19,EL_DEL_CD2_SBI_L_9_10_!AL19,EL_DEL_CD2_L_STAB_!AL19),"0:00")</f>
        <v>0:00</v>
      </c>
      <c r="AM19" s="152" t="str">
        <f>+IFERROR(AVERAGE(EL_DEL_CD2_JO_!AM19,EL_DEL_CD2_SBI_1_4_!AM19,EL_DEL_CD2_SBI_5_6_!AM19,EL_DEL_CD2_SBI_7_8_!AM19,EL_DEL_CD2_SBI_9_10_!AM19,EL_DEL_CD2_STAB_!AM19,EL_DEL_CD2_JO_L_!AM19,EL_DEL_CD2_SBI_L_1_4_!AM19,EL_DEL_CD2_SBI_L_5_6_!AM19,EL_DEL_CD2_SBI_L_7_8_!AM19,EL_DEL_CD2_SBI_L_9_10_!AM19,EL_DEL_CD2_L_STAB_!AM19),"0:00")</f>
        <v>0:00</v>
      </c>
      <c r="AN19" s="152" t="str">
        <f>+IFERROR(AVERAGE(EL_DEL_CD2_JO_!AN19,EL_DEL_CD2_SBI_1_4_!AN19,EL_DEL_CD2_SBI_5_6_!AN19,EL_DEL_CD2_SBI_7_8_!AN19,EL_DEL_CD2_SBI_9_10_!AN19,EL_DEL_CD2_STAB_!AN19,EL_DEL_CD2_JO_L_!AN19,EL_DEL_CD2_SBI_L_1_4_!AN19,EL_DEL_CD2_SBI_L_5_6_!AN19,EL_DEL_CD2_SBI_L_7_8_!AN19,EL_DEL_CD2_SBI_L_9_10_!AN19,EL_DEL_CD2_L_STAB_!AN19),"0:00")</f>
        <v>0:00</v>
      </c>
      <c r="AO19" s="152" t="str">
        <f>+IFERROR(AVERAGE(EL_DEL_CD2_JO_!AO19,EL_DEL_CD2_SBI_1_4_!AO19,EL_DEL_CD2_SBI_5_6_!AO19,EL_DEL_CD2_SBI_7_8_!AO19,EL_DEL_CD2_SBI_9_10_!AO19,EL_DEL_CD2_STAB_!AO19,EL_DEL_CD2_JO_L_!AO19,EL_DEL_CD2_SBI_L_1_4_!AO19,EL_DEL_CD2_SBI_L_5_6_!AO19,EL_DEL_CD2_SBI_L_7_8_!AO19,EL_DEL_CD2_SBI_L_9_10_!AO19,EL_DEL_CD2_L_STAB_!AO19),"0:00")</f>
        <v>0:00</v>
      </c>
      <c r="AP19" s="98" t="str">
        <f>+IFERROR(AVERAGE(EL_DEL_CD2_JO_!AP19,EL_DEL_CD2_SBI_1_4_!AP19,EL_DEL_CD2_SBI_5_6_!AP19,EL_DEL_CD2_SBI_7_8_!AP19,EL_DEL_CD2_SBI_9_10_!AP19,EL_DEL_CD2_STAB_!AP19,EL_DEL_CD2_JO_L_!AP19,EL_DEL_CD2_SBI_L_1_4_!AP19,EL_DEL_CD2_SBI_L_5_6_!AP19,EL_DEL_CD2_SBI_L_7_8_!AP19,EL_DEL_CD2_SBI_L_9_10_!AP19,EL_DEL_CD2_L_STAB_!AP19),"0:00")</f>
        <v>0:00</v>
      </c>
      <c r="AQ19" s="152" t="str">
        <f>+IFERROR(AVERAGE(EL_DEL_CD2_JO_!AQ19,EL_DEL_CD2_SBI_1_4_!AQ19,EL_DEL_CD2_SBI_5_6_!AQ19,EL_DEL_CD2_SBI_7_8_!AQ19,EL_DEL_CD2_SBI_9_10_!AQ19,EL_DEL_CD2_STAB_!AQ19,EL_DEL_CD2_JO_L_!AQ19,EL_DEL_CD2_SBI_L_1_4_!AQ19,EL_DEL_CD2_SBI_L_5_6_!AQ19,EL_DEL_CD2_SBI_L_7_8_!AQ19,EL_DEL_CD2_SBI_L_9_10_!AQ19,EL_DEL_CD2_L_STAB_!AQ19),"0:00")</f>
        <v>0:00</v>
      </c>
      <c r="AR19" s="152" t="str">
        <f>+IFERROR(AVERAGE(EL_DEL_CD2_JO_!AR19,EL_DEL_CD2_SBI_1_4_!AR19,EL_DEL_CD2_SBI_5_6_!AR19,EL_DEL_CD2_SBI_7_8_!AR19,EL_DEL_CD2_SBI_9_10_!AR19,EL_DEL_CD2_STAB_!AR19,EL_DEL_CD2_JO_L_!AR19,EL_DEL_CD2_SBI_L_1_4_!AR19,EL_DEL_CD2_SBI_L_5_6_!AR19,EL_DEL_CD2_SBI_L_7_8_!AR19,EL_DEL_CD2_SBI_L_9_10_!AR19,EL_DEL_CD2_L_STAB_!AR19),"0:00")</f>
        <v>0:00</v>
      </c>
      <c r="AS19" s="152" t="str">
        <f>+IFERROR(AVERAGE(EL_DEL_CD2_JO_!AS19,EL_DEL_CD2_SBI_1_4_!AS19,EL_DEL_CD2_SBI_5_6_!AS19,EL_DEL_CD2_SBI_7_8_!AS19,EL_DEL_CD2_SBI_9_10_!AS19,EL_DEL_CD2_STAB_!AS19,EL_DEL_CD2_JO_L_!AS19,EL_DEL_CD2_SBI_L_1_4_!AS19,EL_DEL_CD2_SBI_L_5_6_!AS19,EL_DEL_CD2_SBI_L_7_8_!AS19,EL_DEL_CD2_SBI_L_9_10_!AS19,EL_DEL_CD2_L_STAB_!AS19),"0:00")</f>
        <v>0:00</v>
      </c>
      <c r="AT19" s="98">
        <f>+SUM(EL_DEL_CD2_JO_!AT19,EL_DEL_CD2_SBI_1_4_!AT19,EL_DEL_CD2_SBI_5_6_!AT19,EL_DEL_CD2_SBI_7_8_!AT19,EL_DEL_CD2_SBI_9_10_!AT19,EL_DEL_CD2_STAB_!AT19,EL_DEL_CD2_JO_L_!AT19,EL_DEL_CD2_SBI_L_1_4_!AT19,EL_DEL_CD2_SBI_L_5_6_!AT19,EL_DEL_CD2_SBI_L_7_8_!AT19,EL_DEL_CD2_SBI_L_9_10_!AT19,EL_DEL_CD2_L_STAB_!AT19)</f>
        <v>0</v>
      </c>
      <c r="AU19" s="98">
        <f>+SUM(EL_DEL_CD2_JO_!AU19,EL_DEL_CD2_SBI_1_4_!AU19,EL_DEL_CD2_SBI_5_6_!AU19,EL_DEL_CD2_SBI_7_8_!AU19,EL_DEL_CD2_SBI_9_10_!AU19,EL_DEL_CD2_STAB_!AU19,EL_DEL_CD2_JO_L_!AU19,EL_DEL_CD2_SBI_L_1_4_!AU19,EL_DEL_CD2_SBI_L_5_6_!AU19,EL_DEL_CD2_SBI_L_7_8_!AU19,EL_DEL_CD2_SBI_L_9_10_!AU19,EL_DEL_CD2_L_STAB_!AU19)</f>
        <v>0</v>
      </c>
      <c r="AV19" s="98">
        <f>+SUM(EL_DEL_CD2_JO_!AV19,EL_DEL_CD2_SBI_1_4_!AV19,EL_DEL_CD2_SBI_5_6_!AV19,EL_DEL_CD2_SBI_7_8_!AV19,EL_DEL_CD2_SBI_9_10_!AV19,EL_DEL_CD2_STAB_!AV19,EL_DEL_CD2_JO_L_!AV19,EL_DEL_CD2_SBI_L_1_4_!AV19,EL_DEL_CD2_SBI_L_5_6_!AV19,EL_DEL_CD2_SBI_L_7_8_!AV19,EL_DEL_CD2_SBI_L_9_10_!AV19,EL_DEL_CD2_L_STAB_!AV19)</f>
        <v>0</v>
      </c>
      <c r="AW19" s="167">
        <f>+SUM(EL_DEL_CD2_JO_!AW19,EL_DEL_CD2_SBI_1_4_!AW19,EL_DEL_CD2_SBI_5_6_!AW19,EL_DEL_CD2_SBI_7_8_!AW19,EL_DEL_CD2_SBI_9_10_!AW19,EL_DEL_CD2_STAB_!AW19,EL_DEL_CD2_JO_L_!AW19,EL_DEL_CD2_SBI_L_1_4_!AW19,EL_DEL_CD2_SBI_L_5_6_!AW19,EL_DEL_CD2_SBI_L_7_8_!AW19,EL_DEL_CD2_SBI_L_9_10_!AW19,EL_DEL_CD2_L_STAB_!AW19)</f>
        <v>0</v>
      </c>
      <c r="AX19" s="102" t="str">
        <f t="shared" si="24"/>
        <v>-</v>
      </c>
      <c r="AY19" s="151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51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31"/>
        <v/>
      </c>
      <c r="BH19" s="119" t="str">
        <f t="shared" si="8"/>
        <v/>
      </c>
      <c r="BI19" s="120" t="str">
        <f t="shared" si="25"/>
        <v/>
      </c>
      <c r="BJ19" s="151"/>
      <c r="BK19" s="121" t="str">
        <f t="shared" si="9"/>
        <v/>
      </c>
      <c r="BL19" s="122" t="str">
        <f t="shared" si="10"/>
        <v/>
      </c>
      <c r="BM19" s="122" t="str">
        <f t="shared" si="11"/>
        <v/>
      </c>
      <c r="BN19" s="123" t="str">
        <f t="shared" si="12"/>
        <v/>
      </c>
      <c r="BO19" s="151"/>
      <c r="BP19" s="124" t="str">
        <f t="shared" si="13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4"/>
        <v/>
      </c>
      <c r="BU19" s="151"/>
      <c r="BV19" s="127" t="e">
        <f t="shared" si="15"/>
        <v>#DIV/0!</v>
      </c>
      <c r="BW19" s="127" t="e">
        <f t="shared" si="16"/>
        <v>#DIV/0!</v>
      </c>
      <c r="BX19" s="127" t="e">
        <f t="shared" si="17"/>
        <v>#DIV/0!</v>
      </c>
      <c r="BY19" s="127" t="e">
        <f t="shared" si="18"/>
        <v>#DIV/0!</v>
      </c>
      <c r="BZ19" s="127" t="e">
        <f t="shared" si="28"/>
        <v>#DIV/0!</v>
      </c>
      <c r="CA19" s="128" t="e">
        <f t="shared" si="29"/>
        <v>#DIV/0!</v>
      </c>
      <c r="CB19" s="151"/>
      <c r="CC19" s="129" t="str">
        <f t="shared" si="19"/>
        <v>-</v>
      </c>
      <c r="CD19" s="130" t="str">
        <f t="shared" si="20"/>
        <v>-</v>
      </c>
      <c r="CE19" s="130" t="str">
        <f t="shared" si="21"/>
        <v>-</v>
      </c>
      <c r="CF19" s="130" t="str">
        <f t="shared" si="22"/>
        <v>-</v>
      </c>
      <c r="CG19" s="131" t="str">
        <f t="shared" si="23"/>
        <v>-</v>
      </c>
      <c r="CH19" s="151"/>
    </row>
    <row r="20" spans="1:86" s="115" customFormat="1" ht="12.4" customHeight="1" thickBot="1" x14ac:dyDescent="0.25">
      <c r="A20" s="96">
        <f t="shared" si="30"/>
        <v>46312</v>
      </c>
      <c r="B20" s="97" t="str">
        <f t="shared" si="0"/>
        <v>Sat</v>
      </c>
      <c r="C20" s="98">
        <f>+SUM(EL_DEL_CD2_JO_!C20,EL_DEL_CD2_SBI_1_4_!C20,EL_DEL_CD2_SBI_5_6_!C20,EL_DEL_CD2_SBI_7_8_!C20,EL_DEL_CD2_SBI_9_10_!C20,EL_DEL_CD2_STAB_!C20,EL_DEL_CD2_JO_L_!C20,EL_DEL_CD2_SBI_L_1_4_!C20,EL_DEL_CD2_SBI_L_5_6_!C20,EL_DEL_CD2_SBI_L_7_8_!C20,EL_DEL_CD2_SBI_L_9_10_!C20,EL_DEL_CD2_L_STAB_!C20)</f>
        <v>0</v>
      </c>
      <c r="D20" s="98">
        <f>+SUM(EL_DEL_CD2_JO_!D20,EL_DEL_CD2_SBI_1_4_!D20,EL_DEL_CD2_SBI_5_6_!D20,EL_DEL_CD2_SBI_7_8_!D20,EL_DEL_CD2_SBI_9_10_!D20,EL_DEL_CD2_STAB_!D20,EL_DEL_CD2_JO_L_!D20,EL_DEL_CD2_SBI_L_1_4_!D20,EL_DEL_CD2_SBI_L_5_6_!D20,EL_DEL_CD2_SBI_L_7_8_!D20,EL_DEL_CD2_SBI_L_9_10_!D20,EL_DEL_CD2_L_STAB_!D20)</f>
        <v>0</v>
      </c>
      <c r="E20" s="98">
        <f>+SUM(EL_DEL_CD2_JO_!E20,EL_DEL_CD2_SBI_1_4_!E20,EL_DEL_CD2_SBI_5_6_!E20,EL_DEL_CD2_SBI_7_8_!E20,EL_DEL_CD2_SBI_9_10_!E20,EL_DEL_CD2_STAB_!E20,EL_DEL_CD2_JO_L_!E20,EL_DEL_CD2_SBI_L_1_4_!E20,EL_DEL_CD2_SBI_L_5_6_!E20,EL_DEL_CD2_SBI_L_7_8_!E20,EL_DEL_CD2_SBI_L_9_10_!E20,EL_DEL_CD2_L_STAB_!E20)</f>
        <v>0</v>
      </c>
      <c r="F20" s="98">
        <f>+SUM(EL_DEL_CD2_JO_!F20,EL_DEL_CD2_SBI_1_4_!F20,EL_DEL_CD2_SBI_5_6_!F20,EL_DEL_CD2_SBI_7_8_!F20,EL_DEL_CD2_SBI_9_10_!F20,EL_DEL_CD2_STAB_!F20,EL_DEL_CD2_JO_L_!F20,EL_DEL_CD2_SBI_L_1_4_!F20,EL_DEL_CD2_SBI_L_5_6_!F20,EL_DEL_CD2_SBI_L_7_8_!F20,EL_DEL_CD2_SBI_L_9_10_!F20,EL_DEL_CD2_L_STAB_!F20)</f>
        <v>0</v>
      </c>
      <c r="G20" s="98">
        <f>+SUM(EL_DEL_CD2_JO_!G20,EL_DEL_CD2_SBI_1_4_!G20,EL_DEL_CD2_SBI_5_6_!G20,EL_DEL_CD2_SBI_7_8_!G20,EL_DEL_CD2_SBI_9_10_!G20,EL_DEL_CD2_STAB_!G20,EL_DEL_CD2_JO_L_!G20,EL_DEL_CD2_SBI_L_1_4_!G20,EL_DEL_CD2_SBI_L_5_6_!G20,EL_DEL_CD2_SBI_L_7_8_!G20,EL_DEL_CD2_SBI_L_9_10_!G20,EL_DEL_CD2_L_STAB_!G20)</f>
        <v>0</v>
      </c>
      <c r="H20" s="98">
        <f>+SUM(EL_DEL_CD2_JO_!H20,EL_DEL_CD2_SBI_1_4_!H20,EL_DEL_CD2_SBI_5_6_!H20,EL_DEL_CD2_SBI_7_8_!H20,EL_DEL_CD2_SBI_9_10_!H20,EL_DEL_CD2_STAB_!H20,EL_DEL_CD2_JO_L_!H20,EL_DEL_CD2_SBI_L_1_4_!H20,EL_DEL_CD2_SBI_L_5_6_!H20,EL_DEL_CD2_SBI_L_7_8_!H20,EL_DEL_CD2_SBI_L_9_10_!H20,EL_DEL_CD2_L_STAB_!H20)</f>
        <v>0</v>
      </c>
      <c r="I20" s="98">
        <f>+SUM(EL_DEL_CD2_JO_!I20,EL_DEL_CD2_SBI_1_4_!I20,EL_DEL_CD2_SBI_5_6_!I20,EL_DEL_CD2_SBI_7_8_!I20,EL_DEL_CD2_SBI_9_10_!I20,EL_DEL_CD2_STAB_!I20,EL_DEL_CD2_JO_L_!I20,EL_DEL_CD2_SBI_L_1_4_!I20,EL_DEL_CD2_SBI_L_5_6_!I20,EL_DEL_CD2_SBI_L_7_8_!I20,EL_DEL_CD2_SBI_L_9_10_!I20,EL_DEL_CD2_L_STAB_!I20)</f>
        <v>0</v>
      </c>
      <c r="J20" s="98">
        <f>+SUM(EL_DEL_CD2_JO_!J20,EL_DEL_CD2_SBI_1_4_!J20,EL_DEL_CD2_SBI_5_6_!J20,EL_DEL_CD2_SBI_7_8_!J20,EL_DEL_CD2_SBI_9_10_!J20,EL_DEL_CD2_STAB_!J20,EL_DEL_CD2_JO_L_!J20,EL_DEL_CD2_SBI_L_1_4_!J20,EL_DEL_CD2_SBI_L_5_6_!J20,EL_DEL_CD2_SBI_L_7_8_!J20,EL_DEL_CD2_SBI_L_9_10_!J20,EL_DEL_CD2_L_STAB_!J20)</f>
        <v>0</v>
      </c>
      <c r="K20" s="98">
        <f>+SUM(EL_DEL_CD2_JO_!K20,EL_DEL_CD2_SBI_1_4_!K20,EL_DEL_CD2_SBI_5_6_!K20,EL_DEL_CD2_SBI_7_8_!K20,EL_DEL_CD2_SBI_9_10_!K20,EL_DEL_CD2_STAB_!K20,EL_DEL_CD2_JO_L_!K20,EL_DEL_CD2_SBI_L_1_4_!K20,EL_DEL_CD2_SBI_L_5_6_!K20,EL_DEL_CD2_SBI_L_7_8_!K20,EL_DEL_CD2_SBI_L_9_10_!K20,EL_DEL_CD2_L_STAB_!K20)</f>
        <v>0</v>
      </c>
      <c r="L20" s="98">
        <f>+SUM(EL_DEL_CD2_JO_!L20,EL_DEL_CD2_SBI_1_4_!L20,EL_DEL_CD2_SBI_5_6_!L20,EL_DEL_CD2_SBI_7_8_!L20,EL_DEL_CD2_SBI_9_10_!L20,EL_DEL_CD2_STAB_!L20,EL_DEL_CD2_JO_L_!L20,EL_DEL_CD2_SBI_L_1_4_!L20,EL_DEL_CD2_SBI_L_5_6_!L20,EL_DEL_CD2_SBI_L_7_8_!L20,EL_DEL_CD2_SBI_L_9_10_!L20,EL_DEL_CD2_L_STAB_!L20)</f>
        <v>0</v>
      </c>
      <c r="M20" s="98">
        <f>+SUM(EL_DEL_CD2_JO_!M20,EL_DEL_CD2_SBI_1_4_!M20,EL_DEL_CD2_SBI_5_6_!M20,EL_DEL_CD2_SBI_7_8_!M20,EL_DEL_CD2_SBI_9_10_!M20,EL_DEL_CD2_STAB_!M20,EL_DEL_CD2_JO_L_!M20,EL_DEL_CD2_SBI_L_1_4_!M20,EL_DEL_CD2_SBI_L_5_6_!M20,EL_DEL_CD2_SBI_L_7_8_!M20,EL_DEL_CD2_SBI_L_9_10_!M20,EL_DEL_CD2_L_STAB_!M20)</f>
        <v>0</v>
      </c>
      <c r="N20" s="98">
        <f>+SUM(EL_DEL_CD2_JO_!N20,EL_DEL_CD2_SBI_1_4_!N20,EL_DEL_CD2_SBI_5_6_!N20,EL_DEL_CD2_SBI_7_8_!N20,EL_DEL_CD2_SBI_9_10_!N20,EL_DEL_CD2_STAB_!N20,EL_DEL_CD2_JO_L_!N20,EL_DEL_CD2_SBI_L_1_4_!N20,EL_DEL_CD2_SBI_L_5_6_!N20,EL_DEL_CD2_SBI_L_7_8_!N20,EL_DEL_CD2_SBI_L_9_10_!N20,EL_DEL_CD2_L_STAB_!N20)</f>
        <v>0</v>
      </c>
      <c r="O20" s="98">
        <f>+SUM(EL_DEL_CD2_JO_!O20,EL_DEL_CD2_SBI_1_4_!O20,EL_DEL_CD2_SBI_5_6_!O20,EL_DEL_CD2_SBI_7_8_!O20,EL_DEL_CD2_SBI_9_10_!O20,EL_DEL_CD2_STAB_!O20,EL_DEL_CD2_JO_L_!O20,EL_DEL_CD2_SBI_L_1_4_!O20,EL_DEL_CD2_SBI_L_5_6_!O20,EL_DEL_CD2_SBI_L_7_8_!O20,EL_DEL_CD2_SBI_L_9_10_!O20,EL_DEL_CD2_L_STAB_!O20)</f>
        <v>0</v>
      </c>
      <c r="P20" s="98">
        <f>+SUM(EL_DEL_CD2_JO_!P20,EL_DEL_CD2_SBI_1_4_!P20,EL_DEL_CD2_SBI_5_6_!P20,EL_DEL_CD2_SBI_7_8_!P20,EL_DEL_CD2_SBI_9_10_!P20,EL_DEL_CD2_STAB_!P20,EL_DEL_CD2_JO_L_!P20,EL_DEL_CD2_SBI_L_1_4_!P20,EL_DEL_CD2_SBI_L_5_6_!P20,EL_DEL_CD2_SBI_L_7_8_!P20,EL_DEL_CD2_SBI_L_9_10_!P20,EL_DEL_CD2_L_STAB_!P20)</f>
        <v>0</v>
      </c>
      <c r="Q20" s="98">
        <f>+SUM(EL_DEL_CD2_JO_!Q20,EL_DEL_CD2_SBI_1_4_!Q20,EL_DEL_CD2_SBI_5_6_!Q20,EL_DEL_CD2_SBI_7_8_!Q20,EL_DEL_CD2_SBI_9_10_!Q20,EL_DEL_CD2_STAB_!Q20,EL_DEL_CD2_JO_L_!Q20,EL_DEL_CD2_SBI_L_1_4_!Q20,EL_DEL_CD2_SBI_L_5_6_!Q20,EL_DEL_CD2_SBI_L_7_8_!Q20,EL_DEL_CD2_SBI_L_9_10_!Q20,EL_DEL_CD2_L_STAB_!Q20)</f>
        <v>0</v>
      </c>
      <c r="R20" s="98">
        <f>+SUM(EL_DEL_CD2_JO_!R20,EL_DEL_CD2_SBI_1_4_!R20,EL_DEL_CD2_SBI_5_6_!R20,EL_DEL_CD2_SBI_7_8_!R20,EL_DEL_CD2_SBI_9_10_!R20,EL_DEL_CD2_STAB_!R20,EL_DEL_CD2_JO_L_!R20,EL_DEL_CD2_SBI_L_1_4_!R20,EL_DEL_CD2_SBI_L_5_6_!R20,EL_DEL_CD2_SBI_L_7_8_!R20,EL_DEL_CD2_SBI_L_9_10_!R20,EL_DEL_CD2_L_STAB_!R20)</f>
        <v>0</v>
      </c>
      <c r="S20" s="98">
        <f>+SUM(EL_DEL_CD2_JO_!S20,EL_DEL_CD2_SBI_1_4_!S20,EL_DEL_CD2_SBI_5_6_!S20,EL_DEL_CD2_SBI_7_8_!S20,EL_DEL_CD2_SBI_9_10_!S20,EL_DEL_CD2_STAB_!S20,EL_DEL_CD2_JO_L_!S20,EL_DEL_CD2_SBI_L_1_4_!S20,EL_DEL_CD2_SBI_L_5_6_!S20,EL_DEL_CD2_SBI_L_7_8_!S20,EL_DEL_CD2_SBI_L_9_10_!S20,EL_DEL_CD2_L_STAB_!S20)</f>
        <v>0</v>
      </c>
      <c r="T20" s="98">
        <f>+SUM(EL_DEL_CD2_JO_!T20,EL_DEL_CD2_SBI_1_4_!T20,EL_DEL_CD2_SBI_5_6_!T20,EL_DEL_CD2_SBI_7_8_!T20,EL_DEL_CD2_SBI_9_10_!T20,EL_DEL_CD2_STAB_!T20,EL_DEL_CD2_JO_L_!T20,EL_DEL_CD2_SBI_L_1_4_!T20,EL_DEL_CD2_SBI_L_5_6_!T20,EL_DEL_CD2_SBI_L_7_8_!T20,EL_DEL_CD2_SBI_L_9_10_!T20,EL_DEL_CD2_L_STAB_!T20)</f>
        <v>0</v>
      </c>
      <c r="U20" s="98">
        <f>+SUM(EL_DEL_CD2_JO_!U20,EL_DEL_CD2_SBI_1_4_!U20,EL_DEL_CD2_SBI_5_6_!U20,EL_DEL_CD2_SBI_7_8_!U20,EL_DEL_CD2_SBI_9_10_!U20,EL_DEL_CD2_STAB_!U20,EL_DEL_CD2_JO_L_!U20,EL_DEL_CD2_SBI_L_1_4_!U20,EL_DEL_CD2_SBI_L_5_6_!U20,EL_DEL_CD2_SBI_L_7_8_!U20,EL_DEL_CD2_SBI_L_9_10_!U20,EL_DEL_CD2_L_STAB_!U20)</f>
        <v>0</v>
      </c>
      <c r="V20" s="98">
        <f>+SUM(EL_DEL_CD2_JO_!V20,EL_DEL_CD2_SBI_1_4_!V20,EL_DEL_CD2_SBI_5_6_!V20,EL_DEL_CD2_SBI_7_8_!V20,EL_DEL_CD2_SBI_9_10_!V20,EL_DEL_CD2_STAB_!V20,EL_DEL_CD2_JO_L_!V20,EL_DEL_CD2_SBI_L_1_4_!V20,EL_DEL_CD2_SBI_L_5_6_!V20,EL_DEL_CD2_SBI_L_7_8_!V20,EL_DEL_CD2_SBI_L_9_10_!V20,EL_DEL_CD2_L_STAB_!V20)</f>
        <v>0</v>
      </c>
      <c r="W20" s="98">
        <f>+SUM(EL_DEL_CD2_JO_!W20,EL_DEL_CD2_SBI_1_4_!W20,EL_DEL_CD2_SBI_5_6_!W20,EL_DEL_CD2_SBI_7_8_!W20,EL_DEL_CD2_SBI_9_10_!W20,EL_DEL_CD2_STAB_!W20,EL_DEL_CD2_JO_L_!W20,EL_DEL_CD2_SBI_L_1_4_!W20,EL_DEL_CD2_SBI_L_5_6_!W20,EL_DEL_CD2_SBI_L_7_8_!W20,EL_DEL_CD2_SBI_L_9_10_!W20,EL_DEL_CD2_L_STAB_!W20)</f>
        <v>0</v>
      </c>
      <c r="X20" s="98">
        <f>+SUM(EL_DEL_CD2_JO_!X20,EL_DEL_CD2_SBI_1_4_!X20,EL_DEL_CD2_SBI_5_6_!X20,EL_DEL_CD2_SBI_7_8_!X20,EL_DEL_CD2_SBI_9_10_!X20,EL_DEL_CD2_STAB_!X20,EL_DEL_CD2_JO_L_!X20,EL_DEL_CD2_SBI_L_1_4_!X20,EL_DEL_CD2_SBI_L_5_6_!X20,EL_DEL_CD2_SBI_L_7_8_!X20,EL_DEL_CD2_SBI_L_9_10_!X20,EL_DEL_CD2_L_STAB_!X20)</f>
        <v>0</v>
      </c>
      <c r="Y20" s="98">
        <f>+SUM(EL_DEL_CD2_JO_!Y20,EL_DEL_CD2_SBI_1_4_!Y20,EL_DEL_CD2_SBI_5_6_!Y20,EL_DEL_CD2_SBI_7_8_!Y20,EL_DEL_CD2_SBI_9_10_!Y20,EL_DEL_CD2_STAB_!Y20,EL_DEL_CD2_JO_L_!Y20,EL_DEL_CD2_SBI_L_1_4_!Y20,EL_DEL_CD2_SBI_L_5_6_!Y20,EL_DEL_CD2_SBI_L_7_8_!Y20,EL_DEL_CD2_SBI_L_9_10_!Y20,EL_DEL_CD2_L_STAB_!Y20)</f>
        <v>0</v>
      </c>
      <c r="Z20" s="98">
        <f>+SUM(EL_DEL_CD2_JO_!Z20,EL_DEL_CD2_SBI_1_4_!Z20,EL_DEL_CD2_SBI_5_6_!Z20,EL_DEL_CD2_SBI_7_8_!Z20,EL_DEL_CD2_SBI_9_10_!Z20,EL_DEL_CD2_STAB_!Z20,EL_DEL_CD2_JO_L_!Z20,EL_DEL_CD2_SBI_L_1_4_!Z20,EL_DEL_CD2_SBI_L_5_6_!Z20,EL_DEL_CD2_SBI_L_7_8_!Z20,EL_DEL_CD2_SBI_L_9_10_!Z20,EL_DEL_CD2_L_STAB_!Z20)</f>
        <v>0</v>
      </c>
      <c r="AA20" s="98">
        <f>+SUM(EL_DEL_CD2_JO_!AA20,EL_DEL_CD2_SBI_1_4_!AA20,EL_DEL_CD2_SBI_5_6_!AA20,EL_DEL_CD2_SBI_7_8_!AA20,EL_DEL_CD2_SBI_9_10_!AA20,EL_DEL_CD2_STAB_!AA20,EL_DEL_CD2_JO_L_!AA20,EL_DEL_CD2_SBI_L_1_4_!AA20,EL_DEL_CD2_SBI_L_5_6_!AA20,EL_DEL_CD2_SBI_L_7_8_!AA20,EL_DEL_CD2_SBI_L_9_10_!AA20,EL_DEL_CD2_L_STAB_!AA20)</f>
        <v>0</v>
      </c>
      <c r="AB20" s="98">
        <f>+SUM(EL_DEL_CD2_JO_!AB20,EL_DEL_CD2_SBI_1_4_!AB20,EL_DEL_CD2_SBI_5_6_!AB20,EL_DEL_CD2_SBI_7_8_!AB20,EL_DEL_CD2_SBI_9_10_!AB20,EL_DEL_CD2_STAB_!AB20,EL_DEL_CD2_JO_L_!AB20,EL_DEL_CD2_SBI_L_1_4_!AB20,EL_DEL_CD2_SBI_L_5_6_!AB20,EL_DEL_CD2_SBI_L_7_8_!AB20,EL_DEL_CD2_SBI_L_9_10_!AB20,EL_DEL_CD2_L_STAB_!AB20)</f>
        <v>0</v>
      </c>
      <c r="AC20" s="98">
        <f>+SUM(EL_DEL_CD2_JO_!AC20,EL_DEL_CD2_SBI_1_4_!AC20,EL_DEL_CD2_SBI_5_6_!AC20,EL_DEL_CD2_SBI_7_8_!AC20,EL_DEL_CD2_SBI_9_10_!AC20,EL_DEL_CD2_STAB_!AC20,EL_DEL_CD2_JO_L_!AC20,EL_DEL_CD2_SBI_L_1_4_!AC20,EL_DEL_CD2_SBI_L_5_6_!AC20,EL_DEL_CD2_SBI_L_7_8_!AC20,EL_DEL_CD2_SBI_L_9_10_!AC20,EL_DEL_CD2_L_STAB_!AC20)</f>
        <v>0</v>
      </c>
      <c r="AD20" s="98">
        <f>+SUM(EL_DEL_CD2_JO_!AD20,EL_DEL_CD2_SBI_1_4_!AD20,EL_DEL_CD2_SBI_5_6_!AD20,EL_DEL_CD2_SBI_7_8_!AD20,EL_DEL_CD2_SBI_9_10_!AD20,EL_DEL_CD2_STAB_!AD20,EL_DEL_CD2_JO_L_!AD20,EL_DEL_CD2_SBI_L_1_4_!AD20,EL_DEL_CD2_SBI_L_5_6_!AD20,EL_DEL_CD2_SBI_L_7_8_!AD20,EL_DEL_CD2_SBI_L_9_10_!AD20,EL_DEL_CD2_L_STAB_!AD20)</f>
        <v>0</v>
      </c>
      <c r="AE20" s="98">
        <f>+SUM(EL_DEL_CD2_JO_!AE20,EL_DEL_CD2_SBI_1_4_!AE20,EL_DEL_CD2_SBI_5_6_!AE20,EL_DEL_CD2_SBI_7_8_!AE20,EL_DEL_CD2_SBI_9_10_!AE20,EL_DEL_CD2_STAB_!AE20,EL_DEL_CD2_JO_L_!AE20,EL_DEL_CD2_SBI_L_1_4_!AE20,EL_DEL_CD2_SBI_L_5_6_!AE20,EL_DEL_CD2_SBI_L_7_8_!AE20,EL_DEL_CD2_SBI_L_9_10_!AE20,EL_DEL_CD2_L_STAB_!AE20)</f>
        <v>0</v>
      </c>
      <c r="AF20" s="98">
        <f>+SUM(EL_DEL_CD2_JO_!AF20,EL_DEL_CD2_SBI_1_4_!AF20,EL_DEL_CD2_SBI_5_6_!AF20,EL_DEL_CD2_SBI_7_8_!AF20,EL_DEL_CD2_SBI_9_10_!AF20,EL_DEL_CD2_STAB_!AF20,EL_DEL_CD2_JO_L_!AF20,EL_DEL_CD2_SBI_L_1_4_!AF20,EL_DEL_CD2_SBI_L_5_6_!AF20,EL_DEL_CD2_SBI_L_7_8_!AF20,EL_DEL_CD2_SBI_L_9_10_!AF20,EL_DEL_CD2_L_STAB_!AF20)</f>
        <v>0</v>
      </c>
      <c r="AG20" s="98">
        <f>+SUM(EL_DEL_CD2_JO_!AG20,EL_DEL_CD2_SBI_1_4_!AG20,EL_DEL_CD2_SBI_5_6_!AG20,EL_DEL_CD2_SBI_7_8_!AG20,EL_DEL_CD2_SBI_9_10_!AG20,EL_DEL_CD2_STAB_!AG20,EL_DEL_CD2_JO_L_!AG20,EL_DEL_CD2_SBI_L_1_4_!AG20,EL_DEL_CD2_SBI_L_5_6_!AG20,EL_DEL_CD2_SBI_L_7_8_!AG20,EL_DEL_CD2_SBI_L_9_10_!AG20,EL_DEL_CD2_L_STAB_!AG20)</f>
        <v>0</v>
      </c>
      <c r="AH20" s="98">
        <f>+SUM(EL_DEL_CD2_JO_!AH20,EL_DEL_CD2_SBI_1_4_!AH20,EL_DEL_CD2_SBI_5_6_!AH20,EL_DEL_CD2_SBI_7_8_!AH20,EL_DEL_CD2_SBI_9_10_!AH20,EL_DEL_CD2_STAB_!AH20,EL_DEL_CD2_JO_L_!AH20,EL_DEL_CD2_SBI_L_1_4_!AH20,EL_DEL_CD2_SBI_L_5_6_!AH20,EL_DEL_CD2_SBI_L_7_8_!AH20,EL_DEL_CD2_SBI_L_9_10_!AH20,EL_DEL_CD2_L_STAB_!AH20)</f>
        <v>0</v>
      </c>
      <c r="AI20" s="98">
        <f>+SUM(EL_DEL_CD2_JO_!AI20,EL_DEL_CD2_SBI_1_4_!AI20,EL_DEL_CD2_SBI_5_6_!AI20,EL_DEL_CD2_SBI_7_8_!AI20,EL_DEL_CD2_SBI_9_10_!AI20,EL_DEL_CD2_STAB_!AI20,EL_DEL_CD2_JO_L_!AI20,EL_DEL_CD2_SBI_L_1_4_!AI20,EL_DEL_CD2_SBI_L_5_6_!AI20,EL_DEL_CD2_SBI_L_7_8_!AI20,EL_DEL_CD2_SBI_L_9_10_!AI20,EL_DEL_CD2_L_STAB_!AI20)</f>
        <v>0</v>
      </c>
      <c r="AJ20" s="98">
        <f>+SUM(EL_DEL_CD2_JO_!AJ20,EL_DEL_CD2_SBI_1_4_!AJ20,EL_DEL_CD2_SBI_5_6_!AJ20,EL_DEL_CD2_SBI_7_8_!AJ20,EL_DEL_CD2_SBI_9_10_!AJ20,EL_DEL_CD2_STAB_!AJ20,EL_DEL_CD2_JO_L_!AJ20,EL_DEL_CD2_SBI_L_1_4_!AJ20,EL_DEL_CD2_SBI_L_5_6_!AJ20,EL_DEL_CD2_SBI_L_7_8_!AJ20,EL_DEL_CD2_SBI_L_9_10_!AJ20,EL_DEL_CD2_L_STAB_!AJ20)</f>
        <v>0</v>
      </c>
      <c r="AK20" s="98">
        <f>+SUM(EL_DEL_CD2_JO_!AK20,EL_DEL_CD2_SBI_1_4_!AK20,EL_DEL_CD2_SBI_5_6_!AK20,EL_DEL_CD2_SBI_7_8_!AK20,EL_DEL_CD2_SBI_9_10_!AK20,EL_DEL_CD2_STAB_!AK20,EL_DEL_CD2_JO_L_!AK20,EL_DEL_CD2_SBI_L_1_4_!AK20,EL_DEL_CD2_SBI_L_5_6_!AK20,EL_DEL_CD2_SBI_L_7_8_!AK20,EL_DEL_CD2_SBI_L_9_10_!AK20,EL_DEL_CD2_L_STAB_!AK20)</f>
        <v>0</v>
      </c>
      <c r="AL20" s="152" t="str">
        <f>+IFERROR(AVERAGE(EL_DEL_CD2_JO_!AL20,EL_DEL_CD2_SBI_1_4_!AL20,EL_DEL_CD2_SBI_5_6_!AL20,EL_DEL_CD2_SBI_7_8_!AL20,EL_DEL_CD2_SBI_9_10_!AL20,EL_DEL_CD2_STAB_!AL20,EL_DEL_CD2_JO_L_!AL20,EL_DEL_CD2_SBI_L_1_4_!AL20,EL_DEL_CD2_SBI_L_5_6_!AL20,EL_DEL_CD2_SBI_L_7_8_!AL20,EL_DEL_CD2_SBI_L_9_10_!AL20,EL_DEL_CD2_L_STAB_!AL20),"0:00")</f>
        <v>0:00</v>
      </c>
      <c r="AM20" s="152" t="str">
        <f>+IFERROR(AVERAGE(EL_DEL_CD2_JO_!AM20,EL_DEL_CD2_SBI_1_4_!AM20,EL_DEL_CD2_SBI_5_6_!AM20,EL_DEL_CD2_SBI_7_8_!AM20,EL_DEL_CD2_SBI_9_10_!AM20,EL_DEL_CD2_STAB_!AM20,EL_DEL_CD2_JO_L_!AM20,EL_DEL_CD2_SBI_L_1_4_!AM20,EL_DEL_CD2_SBI_L_5_6_!AM20,EL_DEL_CD2_SBI_L_7_8_!AM20,EL_DEL_CD2_SBI_L_9_10_!AM20,EL_DEL_CD2_L_STAB_!AM20),"0:00")</f>
        <v>0:00</v>
      </c>
      <c r="AN20" s="152" t="str">
        <f>+IFERROR(AVERAGE(EL_DEL_CD2_JO_!AN20,EL_DEL_CD2_SBI_1_4_!AN20,EL_DEL_CD2_SBI_5_6_!AN20,EL_DEL_CD2_SBI_7_8_!AN20,EL_DEL_CD2_SBI_9_10_!AN20,EL_DEL_CD2_STAB_!AN20,EL_DEL_CD2_JO_L_!AN20,EL_DEL_CD2_SBI_L_1_4_!AN20,EL_DEL_CD2_SBI_L_5_6_!AN20,EL_DEL_CD2_SBI_L_7_8_!AN20,EL_DEL_CD2_SBI_L_9_10_!AN20,EL_DEL_CD2_L_STAB_!AN20),"0:00")</f>
        <v>0:00</v>
      </c>
      <c r="AO20" s="152" t="str">
        <f>+IFERROR(AVERAGE(EL_DEL_CD2_JO_!AO20,EL_DEL_CD2_SBI_1_4_!AO20,EL_DEL_CD2_SBI_5_6_!AO20,EL_DEL_CD2_SBI_7_8_!AO20,EL_DEL_CD2_SBI_9_10_!AO20,EL_DEL_CD2_STAB_!AO20,EL_DEL_CD2_JO_L_!AO20,EL_DEL_CD2_SBI_L_1_4_!AO20,EL_DEL_CD2_SBI_L_5_6_!AO20,EL_DEL_CD2_SBI_L_7_8_!AO20,EL_DEL_CD2_SBI_L_9_10_!AO20,EL_DEL_CD2_L_STAB_!AO20),"0:00")</f>
        <v>0:00</v>
      </c>
      <c r="AP20" s="98" t="str">
        <f>+IFERROR(AVERAGE(EL_DEL_CD2_JO_!AP20,EL_DEL_CD2_SBI_1_4_!AP20,EL_DEL_CD2_SBI_5_6_!AP20,EL_DEL_CD2_SBI_7_8_!AP20,EL_DEL_CD2_SBI_9_10_!AP20,EL_DEL_CD2_STAB_!AP20,EL_DEL_CD2_JO_L_!AP20,EL_DEL_CD2_SBI_L_1_4_!AP20,EL_DEL_CD2_SBI_L_5_6_!AP20,EL_DEL_CD2_SBI_L_7_8_!AP20,EL_DEL_CD2_SBI_L_9_10_!AP20,EL_DEL_CD2_L_STAB_!AP20),"0:00")</f>
        <v>0:00</v>
      </c>
      <c r="AQ20" s="152" t="str">
        <f>+IFERROR(AVERAGE(EL_DEL_CD2_JO_!AQ20,EL_DEL_CD2_SBI_1_4_!AQ20,EL_DEL_CD2_SBI_5_6_!AQ20,EL_DEL_CD2_SBI_7_8_!AQ20,EL_DEL_CD2_SBI_9_10_!AQ20,EL_DEL_CD2_STAB_!AQ20,EL_DEL_CD2_JO_L_!AQ20,EL_DEL_CD2_SBI_L_1_4_!AQ20,EL_DEL_CD2_SBI_L_5_6_!AQ20,EL_DEL_CD2_SBI_L_7_8_!AQ20,EL_DEL_CD2_SBI_L_9_10_!AQ20,EL_DEL_CD2_L_STAB_!AQ20),"0:00")</f>
        <v>0:00</v>
      </c>
      <c r="AR20" s="152" t="str">
        <f>+IFERROR(AVERAGE(EL_DEL_CD2_JO_!AR20,EL_DEL_CD2_SBI_1_4_!AR20,EL_DEL_CD2_SBI_5_6_!AR20,EL_DEL_CD2_SBI_7_8_!AR20,EL_DEL_CD2_SBI_9_10_!AR20,EL_DEL_CD2_STAB_!AR20,EL_DEL_CD2_JO_L_!AR20,EL_DEL_CD2_SBI_L_1_4_!AR20,EL_DEL_CD2_SBI_L_5_6_!AR20,EL_DEL_CD2_SBI_L_7_8_!AR20,EL_DEL_CD2_SBI_L_9_10_!AR20,EL_DEL_CD2_L_STAB_!AR20),"0:00")</f>
        <v>0:00</v>
      </c>
      <c r="AS20" s="152" t="str">
        <f>+IFERROR(AVERAGE(EL_DEL_CD2_JO_!AS20,EL_DEL_CD2_SBI_1_4_!AS20,EL_DEL_CD2_SBI_5_6_!AS20,EL_DEL_CD2_SBI_7_8_!AS20,EL_DEL_CD2_SBI_9_10_!AS20,EL_DEL_CD2_STAB_!AS20,EL_DEL_CD2_JO_L_!AS20,EL_DEL_CD2_SBI_L_1_4_!AS20,EL_DEL_CD2_SBI_L_5_6_!AS20,EL_DEL_CD2_SBI_L_7_8_!AS20,EL_DEL_CD2_SBI_L_9_10_!AS20,EL_DEL_CD2_L_STAB_!AS20),"0:00")</f>
        <v>0:00</v>
      </c>
      <c r="AT20" s="98">
        <f>+SUM(EL_DEL_CD2_JO_!AT20,EL_DEL_CD2_SBI_1_4_!AT20,EL_DEL_CD2_SBI_5_6_!AT20,EL_DEL_CD2_SBI_7_8_!AT20,EL_DEL_CD2_SBI_9_10_!AT20,EL_DEL_CD2_STAB_!AT20,EL_DEL_CD2_JO_L_!AT20,EL_DEL_CD2_SBI_L_1_4_!AT20,EL_DEL_CD2_SBI_L_5_6_!AT20,EL_DEL_CD2_SBI_L_7_8_!AT20,EL_DEL_CD2_SBI_L_9_10_!AT20,EL_DEL_CD2_L_STAB_!AT20)</f>
        <v>0</v>
      </c>
      <c r="AU20" s="98">
        <f>+SUM(EL_DEL_CD2_JO_!AU20,EL_DEL_CD2_SBI_1_4_!AU20,EL_DEL_CD2_SBI_5_6_!AU20,EL_DEL_CD2_SBI_7_8_!AU20,EL_DEL_CD2_SBI_9_10_!AU20,EL_DEL_CD2_STAB_!AU20,EL_DEL_CD2_JO_L_!AU20,EL_DEL_CD2_SBI_L_1_4_!AU20,EL_DEL_CD2_SBI_L_5_6_!AU20,EL_DEL_CD2_SBI_L_7_8_!AU20,EL_DEL_CD2_SBI_L_9_10_!AU20,EL_DEL_CD2_L_STAB_!AU20)</f>
        <v>0</v>
      </c>
      <c r="AV20" s="98">
        <f>+SUM(EL_DEL_CD2_JO_!AV20,EL_DEL_CD2_SBI_1_4_!AV20,EL_DEL_CD2_SBI_5_6_!AV20,EL_DEL_CD2_SBI_7_8_!AV20,EL_DEL_CD2_SBI_9_10_!AV20,EL_DEL_CD2_STAB_!AV20,EL_DEL_CD2_JO_L_!AV20,EL_DEL_CD2_SBI_L_1_4_!AV20,EL_DEL_CD2_SBI_L_5_6_!AV20,EL_DEL_CD2_SBI_L_7_8_!AV20,EL_DEL_CD2_SBI_L_9_10_!AV20,EL_DEL_CD2_L_STAB_!AV20)</f>
        <v>0</v>
      </c>
      <c r="AW20" s="167">
        <f>+SUM(EL_DEL_CD2_JO_!AW20,EL_DEL_CD2_SBI_1_4_!AW20,EL_DEL_CD2_SBI_5_6_!AW20,EL_DEL_CD2_SBI_7_8_!AW20,EL_DEL_CD2_SBI_9_10_!AW20,EL_DEL_CD2_STAB_!AW20,EL_DEL_CD2_JO_L_!AW20,EL_DEL_CD2_SBI_L_1_4_!AW20,EL_DEL_CD2_SBI_L_5_6_!AW20,EL_DEL_CD2_SBI_L_7_8_!AW20,EL_DEL_CD2_SBI_L_9_10_!AW20,EL_DEL_CD2_L_STAB_!AW20)</f>
        <v>0</v>
      </c>
      <c r="AX20" s="102" t="str">
        <f t="shared" si="24"/>
        <v>-</v>
      </c>
      <c r="AY20" s="151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51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31"/>
        <v/>
      </c>
      <c r="BH20" s="119" t="str">
        <f t="shared" si="8"/>
        <v/>
      </c>
      <c r="BI20" s="120" t="str">
        <f t="shared" si="25"/>
        <v/>
      </c>
      <c r="BJ20" s="151"/>
      <c r="BK20" s="121" t="str">
        <f t="shared" si="9"/>
        <v/>
      </c>
      <c r="BL20" s="122" t="str">
        <f t="shared" si="10"/>
        <v/>
      </c>
      <c r="BM20" s="122" t="str">
        <f t="shared" si="11"/>
        <v/>
      </c>
      <c r="BN20" s="123" t="str">
        <f t="shared" si="12"/>
        <v/>
      </c>
      <c r="BO20" s="151"/>
      <c r="BP20" s="124" t="str">
        <f t="shared" si="13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4"/>
        <v/>
      </c>
      <c r="BU20" s="151"/>
      <c r="BV20" s="127" t="e">
        <f t="shared" si="15"/>
        <v>#DIV/0!</v>
      </c>
      <c r="BW20" s="127" t="e">
        <f t="shared" si="16"/>
        <v>#DIV/0!</v>
      </c>
      <c r="BX20" s="127" t="e">
        <f t="shared" si="17"/>
        <v>#DIV/0!</v>
      </c>
      <c r="BY20" s="127" t="e">
        <f t="shared" si="18"/>
        <v>#DIV/0!</v>
      </c>
      <c r="BZ20" s="127" t="e">
        <f t="shared" si="28"/>
        <v>#DIV/0!</v>
      </c>
      <c r="CA20" s="128" t="e">
        <f t="shared" si="29"/>
        <v>#DIV/0!</v>
      </c>
      <c r="CB20" s="151"/>
      <c r="CC20" s="129" t="str">
        <f t="shared" si="19"/>
        <v>-</v>
      </c>
      <c r="CD20" s="130" t="str">
        <f t="shared" si="20"/>
        <v>-</v>
      </c>
      <c r="CE20" s="130" t="str">
        <f t="shared" si="21"/>
        <v>-</v>
      </c>
      <c r="CF20" s="130" t="str">
        <f t="shared" si="22"/>
        <v>-</v>
      </c>
      <c r="CG20" s="131" t="str">
        <f t="shared" si="23"/>
        <v>-</v>
      </c>
      <c r="CH20" s="151"/>
    </row>
    <row r="21" spans="1:86" s="115" customFormat="1" ht="12.4" customHeight="1" thickBot="1" x14ac:dyDescent="0.25">
      <c r="A21" s="96">
        <f t="shared" si="30"/>
        <v>46313</v>
      </c>
      <c r="B21" s="97" t="str">
        <f t="shared" si="0"/>
        <v>Sun</v>
      </c>
      <c r="C21" s="98">
        <f>+SUM(EL_DEL_CD2_JO_!C21,EL_DEL_CD2_SBI_1_4_!C21,EL_DEL_CD2_SBI_5_6_!C21,EL_DEL_CD2_SBI_7_8_!C21,EL_DEL_CD2_SBI_9_10_!C21,EL_DEL_CD2_STAB_!C21,EL_DEL_CD2_JO_L_!C21,EL_DEL_CD2_SBI_L_1_4_!C21,EL_DEL_CD2_SBI_L_5_6_!C21,EL_DEL_CD2_SBI_L_7_8_!C21,EL_DEL_CD2_SBI_L_9_10_!C21,EL_DEL_CD2_L_STAB_!C21)</f>
        <v>0</v>
      </c>
      <c r="D21" s="98">
        <f>+SUM(EL_DEL_CD2_JO_!D21,EL_DEL_CD2_SBI_1_4_!D21,EL_DEL_CD2_SBI_5_6_!D21,EL_DEL_CD2_SBI_7_8_!D21,EL_DEL_CD2_SBI_9_10_!D21,EL_DEL_CD2_STAB_!D21,EL_DEL_CD2_JO_L_!D21,EL_DEL_CD2_SBI_L_1_4_!D21,EL_DEL_CD2_SBI_L_5_6_!D21,EL_DEL_CD2_SBI_L_7_8_!D21,EL_DEL_CD2_SBI_L_9_10_!D21,EL_DEL_CD2_L_STAB_!D21)</f>
        <v>0</v>
      </c>
      <c r="E21" s="98">
        <f>+SUM(EL_DEL_CD2_JO_!E21,EL_DEL_CD2_SBI_1_4_!E21,EL_DEL_CD2_SBI_5_6_!E21,EL_DEL_CD2_SBI_7_8_!E21,EL_DEL_CD2_SBI_9_10_!E21,EL_DEL_CD2_STAB_!E21,EL_DEL_CD2_JO_L_!E21,EL_DEL_CD2_SBI_L_1_4_!E21,EL_DEL_CD2_SBI_L_5_6_!E21,EL_DEL_CD2_SBI_L_7_8_!E21,EL_DEL_CD2_SBI_L_9_10_!E21,EL_DEL_CD2_L_STAB_!E21)</f>
        <v>0</v>
      </c>
      <c r="F21" s="98">
        <f>+SUM(EL_DEL_CD2_JO_!F21,EL_DEL_CD2_SBI_1_4_!F21,EL_DEL_CD2_SBI_5_6_!F21,EL_DEL_CD2_SBI_7_8_!F21,EL_DEL_CD2_SBI_9_10_!F21,EL_DEL_CD2_STAB_!F21,EL_DEL_CD2_JO_L_!F21,EL_DEL_CD2_SBI_L_1_4_!F21,EL_DEL_CD2_SBI_L_5_6_!F21,EL_DEL_CD2_SBI_L_7_8_!F21,EL_DEL_CD2_SBI_L_9_10_!F21,EL_DEL_CD2_L_STAB_!F21)</f>
        <v>0</v>
      </c>
      <c r="G21" s="98">
        <f>+SUM(EL_DEL_CD2_JO_!G21,EL_DEL_CD2_SBI_1_4_!G21,EL_DEL_CD2_SBI_5_6_!G21,EL_DEL_CD2_SBI_7_8_!G21,EL_DEL_CD2_SBI_9_10_!G21,EL_DEL_CD2_STAB_!G21,EL_DEL_CD2_JO_L_!G21,EL_DEL_CD2_SBI_L_1_4_!G21,EL_DEL_CD2_SBI_L_5_6_!G21,EL_DEL_CD2_SBI_L_7_8_!G21,EL_DEL_CD2_SBI_L_9_10_!G21,EL_DEL_CD2_L_STAB_!G21)</f>
        <v>0</v>
      </c>
      <c r="H21" s="98">
        <f>+SUM(EL_DEL_CD2_JO_!H21,EL_DEL_CD2_SBI_1_4_!H21,EL_DEL_CD2_SBI_5_6_!H21,EL_DEL_CD2_SBI_7_8_!H21,EL_DEL_CD2_SBI_9_10_!H21,EL_DEL_CD2_STAB_!H21,EL_DEL_CD2_JO_L_!H21,EL_DEL_CD2_SBI_L_1_4_!H21,EL_DEL_CD2_SBI_L_5_6_!H21,EL_DEL_CD2_SBI_L_7_8_!H21,EL_DEL_CD2_SBI_L_9_10_!H21,EL_DEL_CD2_L_STAB_!H21)</f>
        <v>0</v>
      </c>
      <c r="I21" s="98">
        <f>+SUM(EL_DEL_CD2_JO_!I21,EL_DEL_CD2_SBI_1_4_!I21,EL_DEL_CD2_SBI_5_6_!I21,EL_DEL_CD2_SBI_7_8_!I21,EL_DEL_CD2_SBI_9_10_!I21,EL_DEL_CD2_STAB_!I21,EL_DEL_CD2_JO_L_!I21,EL_DEL_CD2_SBI_L_1_4_!I21,EL_DEL_CD2_SBI_L_5_6_!I21,EL_DEL_CD2_SBI_L_7_8_!I21,EL_DEL_CD2_SBI_L_9_10_!I21,EL_DEL_CD2_L_STAB_!I21)</f>
        <v>0</v>
      </c>
      <c r="J21" s="98">
        <f>+SUM(EL_DEL_CD2_JO_!J21,EL_DEL_CD2_SBI_1_4_!J21,EL_DEL_CD2_SBI_5_6_!J21,EL_DEL_CD2_SBI_7_8_!J21,EL_DEL_CD2_SBI_9_10_!J21,EL_DEL_CD2_STAB_!J21,EL_DEL_CD2_JO_L_!J21,EL_DEL_CD2_SBI_L_1_4_!J21,EL_DEL_CD2_SBI_L_5_6_!J21,EL_DEL_CD2_SBI_L_7_8_!J21,EL_DEL_CD2_SBI_L_9_10_!J21,EL_DEL_CD2_L_STAB_!J21)</f>
        <v>0</v>
      </c>
      <c r="K21" s="98">
        <f>+SUM(EL_DEL_CD2_JO_!K21,EL_DEL_CD2_SBI_1_4_!K21,EL_DEL_CD2_SBI_5_6_!K21,EL_DEL_CD2_SBI_7_8_!K21,EL_DEL_CD2_SBI_9_10_!K21,EL_DEL_CD2_STAB_!K21,EL_DEL_CD2_JO_L_!K21,EL_DEL_CD2_SBI_L_1_4_!K21,EL_DEL_CD2_SBI_L_5_6_!K21,EL_DEL_CD2_SBI_L_7_8_!K21,EL_DEL_CD2_SBI_L_9_10_!K21,EL_DEL_CD2_L_STAB_!K21)</f>
        <v>0</v>
      </c>
      <c r="L21" s="98">
        <f>+SUM(EL_DEL_CD2_JO_!L21,EL_DEL_CD2_SBI_1_4_!L21,EL_DEL_CD2_SBI_5_6_!L21,EL_DEL_CD2_SBI_7_8_!L21,EL_DEL_CD2_SBI_9_10_!L21,EL_DEL_CD2_STAB_!L21,EL_DEL_CD2_JO_L_!L21,EL_DEL_CD2_SBI_L_1_4_!L21,EL_DEL_CD2_SBI_L_5_6_!L21,EL_DEL_CD2_SBI_L_7_8_!L21,EL_DEL_CD2_SBI_L_9_10_!L21,EL_DEL_CD2_L_STAB_!L21)</f>
        <v>0</v>
      </c>
      <c r="M21" s="98">
        <f>+SUM(EL_DEL_CD2_JO_!M21,EL_DEL_CD2_SBI_1_4_!M21,EL_DEL_CD2_SBI_5_6_!M21,EL_DEL_CD2_SBI_7_8_!M21,EL_DEL_CD2_SBI_9_10_!M21,EL_DEL_CD2_STAB_!M21,EL_DEL_CD2_JO_L_!M21,EL_DEL_CD2_SBI_L_1_4_!M21,EL_DEL_CD2_SBI_L_5_6_!M21,EL_DEL_CD2_SBI_L_7_8_!M21,EL_DEL_CD2_SBI_L_9_10_!M21,EL_DEL_CD2_L_STAB_!M21)</f>
        <v>0</v>
      </c>
      <c r="N21" s="98">
        <f>+SUM(EL_DEL_CD2_JO_!N21,EL_DEL_CD2_SBI_1_4_!N21,EL_DEL_CD2_SBI_5_6_!N21,EL_DEL_CD2_SBI_7_8_!N21,EL_DEL_CD2_SBI_9_10_!N21,EL_DEL_CD2_STAB_!N21,EL_DEL_CD2_JO_L_!N21,EL_DEL_CD2_SBI_L_1_4_!N21,EL_DEL_CD2_SBI_L_5_6_!N21,EL_DEL_CD2_SBI_L_7_8_!N21,EL_DEL_CD2_SBI_L_9_10_!N21,EL_DEL_CD2_L_STAB_!N21)</f>
        <v>0</v>
      </c>
      <c r="O21" s="98">
        <f>+SUM(EL_DEL_CD2_JO_!O21,EL_DEL_CD2_SBI_1_4_!O21,EL_DEL_CD2_SBI_5_6_!O21,EL_DEL_CD2_SBI_7_8_!O21,EL_DEL_CD2_SBI_9_10_!O21,EL_DEL_CD2_STAB_!O21,EL_DEL_CD2_JO_L_!O21,EL_DEL_CD2_SBI_L_1_4_!O21,EL_DEL_CD2_SBI_L_5_6_!O21,EL_DEL_CD2_SBI_L_7_8_!O21,EL_DEL_CD2_SBI_L_9_10_!O21,EL_DEL_CD2_L_STAB_!O21)</f>
        <v>0</v>
      </c>
      <c r="P21" s="98">
        <f>+SUM(EL_DEL_CD2_JO_!P21,EL_DEL_CD2_SBI_1_4_!P21,EL_DEL_CD2_SBI_5_6_!P21,EL_DEL_CD2_SBI_7_8_!P21,EL_DEL_CD2_SBI_9_10_!P21,EL_DEL_CD2_STAB_!P21,EL_DEL_CD2_JO_L_!P21,EL_DEL_CD2_SBI_L_1_4_!P21,EL_DEL_CD2_SBI_L_5_6_!P21,EL_DEL_CD2_SBI_L_7_8_!P21,EL_DEL_CD2_SBI_L_9_10_!P21,EL_DEL_CD2_L_STAB_!P21)</f>
        <v>0</v>
      </c>
      <c r="Q21" s="98">
        <f>+SUM(EL_DEL_CD2_JO_!Q21,EL_DEL_CD2_SBI_1_4_!Q21,EL_DEL_CD2_SBI_5_6_!Q21,EL_DEL_CD2_SBI_7_8_!Q21,EL_DEL_CD2_SBI_9_10_!Q21,EL_DEL_CD2_STAB_!Q21,EL_DEL_CD2_JO_L_!Q21,EL_DEL_CD2_SBI_L_1_4_!Q21,EL_DEL_CD2_SBI_L_5_6_!Q21,EL_DEL_CD2_SBI_L_7_8_!Q21,EL_DEL_CD2_SBI_L_9_10_!Q21,EL_DEL_CD2_L_STAB_!Q21)</f>
        <v>0</v>
      </c>
      <c r="R21" s="98">
        <f>+SUM(EL_DEL_CD2_JO_!R21,EL_DEL_CD2_SBI_1_4_!R21,EL_DEL_CD2_SBI_5_6_!R21,EL_DEL_CD2_SBI_7_8_!R21,EL_DEL_CD2_SBI_9_10_!R21,EL_DEL_CD2_STAB_!R21,EL_DEL_CD2_JO_L_!R21,EL_DEL_CD2_SBI_L_1_4_!R21,EL_DEL_CD2_SBI_L_5_6_!R21,EL_DEL_CD2_SBI_L_7_8_!R21,EL_DEL_CD2_SBI_L_9_10_!R21,EL_DEL_CD2_L_STAB_!R21)</f>
        <v>0</v>
      </c>
      <c r="S21" s="98">
        <f>+SUM(EL_DEL_CD2_JO_!S21,EL_DEL_CD2_SBI_1_4_!S21,EL_DEL_CD2_SBI_5_6_!S21,EL_DEL_CD2_SBI_7_8_!S21,EL_DEL_CD2_SBI_9_10_!S21,EL_DEL_CD2_STAB_!S21,EL_DEL_CD2_JO_L_!S21,EL_DEL_CD2_SBI_L_1_4_!S21,EL_DEL_CD2_SBI_L_5_6_!S21,EL_DEL_CD2_SBI_L_7_8_!S21,EL_DEL_CD2_SBI_L_9_10_!S21,EL_DEL_CD2_L_STAB_!S21)</f>
        <v>0</v>
      </c>
      <c r="T21" s="98">
        <f>+SUM(EL_DEL_CD2_JO_!T21,EL_DEL_CD2_SBI_1_4_!T21,EL_DEL_CD2_SBI_5_6_!T21,EL_DEL_CD2_SBI_7_8_!T21,EL_DEL_CD2_SBI_9_10_!T21,EL_DEL_CD2_STAB_!T21,EL_DEL_CD2_JO_L_!T21,EL_DEL_CD2_SBI_L_1_4_!T21,EL_DEL_CD2_SBI_L_5_6_!T21,EL_DEL_CD2_SBI_L_7_8_!T21,EL_DEL_CD2_SBI_L_9_10_!T21,EL_DEL_CD2_L_STAB_!T21)</f>
        <v>0</v>
      </c>
      <c r="U21" s="98">
        <f>+SUM(EL_DEL_CD2_JO_!U21,EL_DEL_CD2_SBI_1_4_!U21,EL_DEL_CD2_SBI_5_6_!U21,EL_DEL_CD2_SBI_7_8_!U21,EL_DEL_CD2_SBI_9_10_!U21,EL_DEL_CD2_STAB_!U21,EL_DEL_CD2_JO_L_!U21,EL_DEL_CD2_SBI_L_1_4_!U21,EL_DEL_CD2_SBI_L_5_6_!U21,EL_DEL_CD2_SBI_L_7_8_!U21,EL_DEL_CD2_SBI_L_9_10_!U21,EL_DEL_CD2_L_STAB_!U21)</f>
        <v>0</v>
      </c>
      <c r="V21" s="98">
        <f>+SUM(EL_DEL_CD2_JO_!V21,EL_DEL_CD2_SBI_1_4_!V21,EL_DEL_CD2_SBI_5_6_!V21,EL_DEL_CD2_SBI_7_8_!V21,EL_DEL_CD2_SBI_9_10_!V21,EL_DEL_CD2_STAB_!V21,EL_DEL_CD2_JO_L_!V21,EL_DEL_CD2_SBI_L_1_4_!V21,EL_DEL_CD2_SBI_L_5_6_!V21,EL_DEL_CD2_SBI_L_7_8_!V21,EL_DEL_CD2_SBI_L_9_10_!V21,EL_DEL_CD2_L_STAB_!V21)</f>
        <v>0</v>
      </c>
      <c r="W21" s="98">
        <f>+SUM(EL_DEL_CD2_JO_!W21,EL_DEL_CD2_SBI_1_4_!W21,EL_DEL_CD2_SBI_5_6_!W21,EL_DEL_CD2_SBI_7_8_!W21,EL_DEL_CD2_SBI_9_10_!W21,EL_DEL_CD2_STAB_!W21,EL_DEL_CD2_JO_L_!W21,EL_DEL_CD2_SBI_L_1_4_!W21,EL_DEL_CD2_SBI_L_5_6_!W21,EL_DEL_CD2_SBI_L_7_8_!W21,EL_DEL_CD2_SBI_L_9_10_!W21,EL_DEL_CD2_L_STAB_!W21)</f>
        <v>0</v>
      </c>
      <c r="X21" s="98">
        <f>+SUM(EL_DEL_CD2_JO_!X21,EL_DEL_CD2_SBI_1_4_!X21,EL_DEL_CD2_SBI_5_6_!X21,EL_DEL_CD2_SBI_7_8_!X21,EL_DEL_CD2_SBI_9_10_!X21,EL_DEL_CD2_STAB_!X21,EL_DEL_CD2_JO_L_!X21,EL_DEL_CD2_SBI_L_1_4_!X21,EL_DEL_CD2_SBI_L_5_6_!X21,EL_DEL_CD2_SBI_L_7_8_!X21,EL_DEL_CD2_SBI_L_9_10_!X21,EL_DEL_CD2_L_STAB_!X21)</f>
        <v>0</v>
      </c>
      <c r="Y21" s="98">
        <f>+SUM(EL_DEL_CD2_JO_!Y21,EL_DEL_CD2_SBI_1_4_!Y21,EL_DEL_CD2_SBI_5_6_!Y21,EL_DEL_CD2_SBI_7_8_!Y21,EL_DEL_CD2_SBI_9_10_!Y21,EL_DEL_CD2_STAB_!Y21,EL_DEL_CD2_JO_L_!Y21,EL_DEL_CD2_SBI_L_1_4_!Y21,EL_DEL_CD2_SBI_L_5_6_!Y21,EL_DEL_CD2_SBI_L_7_8_!Y21,EL_DEL_CD2_SBI_L_9_10_!Y21,EL_DEL_CD2_L_STAB_!Y21)</f>
        <v>0</v>
      </c>
      <c r="Z21" s="98">
        <f>+SUM(EL_DEL_CD2_JO_!Z21,EL_DEL_CD2_SBI_1_4_!Z21,EL_DEL_CD2_SBI_5_6_!Z21,EL_DEL_CD2_SBI_7_8_!Z21,EL_DEL_CD2_SBI_9_10_!Z21,EL_DEL_CD2_STAB_!Z21,EL_DEL_CD2_JO_L_!Z21,EL_DEL_CD2_SBI_L_1_4_!Z21,EL_DEL_CD2_SBI_L_5_6_!Z21,EL_DEL_CD2_SBI_L_7_8_!Z21,EL_DEL_CD2_SBI_L_9_10_!Z21,EL_DEL_CD2_L_STAB_!Z21)</f>
        <v>0</v>
      </c>
      <c r="AA21" s="98">
        <f>+SUM(EL_DEL_CD2_JO_!AA21,EL_DEL_CD2_SBI_1_4_!AA21,EL_DEL_CD2_SBI_5_6_!AA21,EL_DEL_CD2_SBI_7_8_!AA21,EL_DEL_CD2_SBI_9_10_!AA21,EL_DEL_CD2_STAB_!AA21,EL_DEL_CD2_JO_L_!AA21,EL_DEL_CD2_SBI_L_1_4_!AA21,EL_DEL_CD2_SBI_L_5_6_!AA21,EL_DEL_CD2_SBI_L_7_8_!AA21,EL_DEL_CD2_SBI_L_9_10_!AA21,EL_DEL_CD2_L_STAB_!AA21)</f>
        <v>0</v>
      </c>
      <c r="AB21" s="98">
        <f>+SUM(EL_DEL_CD2_JO_!AB21,EL_DEL_CD2_SBI_1_4_!AB21,EL_DEL_CD2_SBI_5_6_!AB21,EL_DEL_CD2_SBI_7_8_!AB21,EL_DEL_CD2_SBI_9_10_!AB21,EL_DEL_CD2_STAB_!AB21,EL_DEL_CD2_JO_L_!AB21,EL_DEL_CD2_SBI_L_1_4_!AB21,EL_DEL_CD2_SBI_L_5_6_!AB21,EL_DEL_CD2_SBI_L_7_8_!AB21,EL_DEL_CD2_SBI_L_9_10_!AB21,EL_DEL_CD2_L_STAB_!AB21)</f>
        <v>0</v>
      </c>
      <c r="AC21" s="98">
        <f>+SUM(EL_DEL_CD2_JO_!AC21,EL_DEL_CD2_SBI_1_4_!AC21,EL_DEL_CD2_SBI_5_6_!AC21,EL_DEL_CD2_SBI_7_8_!AC21,EL_DEL_CD2_SBI_9_10_!AC21,EL_DEL_CD2_STAB_!AC21,EL_DEL_CD2_JO_L_!AC21,EL_DEL_CD2_SBI_L_1_4_!AC21,EL_DEL_CD2_SBI_L_5_6_!AC21,EL_DEL_CD2_SBI_L_7_8_!AC21,EL_DEL_CD2_SBI_L_9_10_!AC21,EL_DEL_CD2_L_STAB_!AC21)</f>
        <v>0</v>
      </c>
      <c r="AD21" s="98">
        <f>+SUM(EL_DEL_CD2_JO_!AD21,EL_DEL_CD2_SBI_1_4_!AD21,EL_DEL_CD2_SBI_5_6_!AD21,EL_DEL_CD2_SBI_7_8_!AD21,EL_DEL_CD2_SBI_9_10_!AD21,EL_DEL_CD2_STAB_!AD21,EL_DEL_CD2_JO_L_!AD21,EL_DEL_CD2_SBI_L_1_4_!AD21,EL_DEL_CD2_SBI_L_5_6_!AD21,EL_DEL_CD2_SBI_L_7_8_!AD21,EL_DEL_CD2_SBI_L_9_10_!AD21,EL_DEL_CD2_L_STAB_!AD21)</f>
        <v>0</v>
      </c>
      <c r="AE21" s="98">
        <f>+SUM(EL_DEL_CD2_JO_!AE21,EL_DEL_CD2_SBI_1_4_!AE21,EL_DEL_CD2_SBI_5_6_!AE21,EL_DEL_CD2_SBI_7_8_!AE21,EL_DEL_CD2_SBI_9_10_!AE21,EL_DEL_CD2_STAB_!AE21,EL_DEL_CD2_JO_L_!AE21,EL_DEL_CD2_SBI_L_1_4_!AE21,EL_DEL_CD2_SBI_L_5_6_!AE21,EL_DEL_CD2_SBI_L_7_8_!AE21,EL_DEL_CD2_SBI_L_9_10_!AE21,EL_DEL_CD2_L_STAB_!AE21)</f>
        <v>0</v>
      </c>
      <c r="AF21" s="98">
        <f>+SUM(EL_DEL_CD2_JO_!AF21,EL_DEL_CD2_SBI_1_4_!AF21,EL_DEL_CD2_SBI_5_6_!AF21,EL_DEL_CD2_SBI_7_8_!AF21,EL_DEL_CD2_SBI_9_10_!AF21,EL_DEL_CD2_STAB_!AF21,EL_DEL_CD2_JO_L_!AF21,EL_DEL_CD2_SBI_L_1_4_!AF21,EL_DEL_CD2_SBI_L_5_6_!AF21,EL_DEL_CD2_SBI_L_7_8_!AF21,EL_DEL_CD2_SBI_L_9_10_!AF21,EL_DEL_CD2_L_STAB_!AF21)</f>
        <v>0</v>
      </c>
      <c r="AG21" s="98">
        <f>+SUM(EL_DEL_CD2_JO_!AG21,EL_DEL_CD2_SBI_1_4_!AG21,EL_DEL_CD2_SBI_5_6_!AG21,EL_DEL_CD2_SBI_7_8_!AG21,EL_DEL_CD2_SBI_9_10_!AG21,EL_DEL_CD2_STAB_!AG21,EL_DEL_CD2_JO_L_!AG21,EL_DEL_CD2_SBI_L_1_4_!AG21,EL_DEL_CD2_SBI_L_5_6_!AG21,EL_DEL_CD2_SBI_L_7_8_!AG21,EL_DEL_CD2_SBI_L_9_10_!AG21,EL_DEL_CD2_L_STAB_!AG21)</f>
        <v>0</v>
      </c>
      <c r="AH21" s="98">
        <f>+SUM(EL_DEL_CD2_JO_!AH21,EL_DEL_CD2_SBI_1_4_!AH21,EL_DEL_CD2_SBI_5_6_!AH21,EL_DEL_CD2_SBI_7_8_!AH21,EL_DEL_CD2_SBI_9_10_!AH21,EL_DEL_CD2_STAB_!AH21,EL_DEL_CD2_JO_L_!AH21,EL_DEL_CD2_SBI_L_1_4_!AH21,EL_DEL_CD2_SBI_L_5_6_!AH21,EL_DEL_CD2_SBI_L_7_8_!AH21,EL_DEL_CD2_SBI_L_9_10_!AH21,EL_DEL_CD2_L_STAB_!AH21)</f>
        <v>0</v>
      </c>
      <c r="AI21" s="98">
        <f>+SUM(EL_DEL_CD2_JO_!AI21,EL_DEL_CD2_SBI_1_4_!AI21,EL_DEL_CD2_SBI_5_6_!AI21,EL_DEL_CD2_SBI_7_8_!AI21,EL_DEL_CD2_SBI_9_10_!AI21,EL_DEL_CD2_STAB_!AI21,EL_DEL_CD2_JO_L_!AI21,EL_DEL_CD2_SBI_L_1_4_!AI21,EL_DEL_CD2_SBI_L_5_6_!AI21,EL_DEL_CD2_SBI_L_7_8_!AI21,EL_DEL_CD2_SBI_L_9_10_!AI21,EL_DEL_CD2_L_STAB_!AI21)</f>
        <v>0</v>
      </c>
      <c r="AJ21" s="98">
        <f>+SUM(EL_DEL_CD2_JO_!AJ21,EL_DEL_CD2_SBI_1_4_!AJ21,EL_DEL_CD2_SBI_5_6_!AJ21,EL_DEL_CD2_SBI_7_8_!AJ21,EL_DEL_CD2_SBI_9_10_!AJ21,EL_DEL_CD2_STAB_!AJ21,EL_DEL_CD2_JO_L_!AJ21,EL_DEL_CD2_SBI_L_1_4_!AJ21,EL_DEL_CD2_SBI_L_5_6_!AJ21,EL_DEL_CD2_SBI_L_7_8_!AJ21,EL_DEL_CD2_SBI_L_9_10_!AJ21,EL_DEL_CD2_L_STAB_!AJ21)</f>
        <v>0</v>
      </c>
      <c r="AK21" s="98">
        <f>+SUM(EL_DEL_CD2_JO_!AK21,EL_DEL_CD2_SBI_1_4_!AK21,EL_DEL_CD2_SBI_5_6_!AK21,EL_DEL_CD2_SBI_7_8_!AK21,EL_DEL_CD2_SBI_9_10_!AK21,EL_DEL_CD2_STAB_!AK21,EL_DEL_CD2_JO_L_!AK21,EL_DEL_CD2_SBI_L_1_4_!AK21,EL_DEL_CD2_SBI_L_5_6_!AK21,EL_DEL_CD2_SBI_L_7_8_!AK21,EL_DEL_CD2_SBI_L_9_10_!AK21,EL_DEL_CD2_L_STAB_!AK21)</f>
        <v>0</v>
      </c>
      <c r="AL21" s="152" t="str">
        <f>+IFERROR(AVERAGE(EL_DEL_CD2_JO_!AL21,EL_DEL_CD2_SBI_1_4_!AL21,EL_DEL_CD2_SBI_5_6_!AL21,EL_DEL_CD2_SBI_7_8_!AL21,EL_DEL_CD2_SBI_9_10_!AL21,EL_DEL_CD2_STAB_!AL21,EL_DEL_CD2_JO_L_!AL21,EL_DEL_CD2_SBI_L_1_4_!AL21,EL_DEL_CD2_SBI_L_5_6_!AL21,EL_DEL_CD2_SBI_L_7_8_!AL21,EL_DEL_CD2_SBI_L_9_10_!AL21,EL_DEL_CD2_L_STAB_!AL21),"0:00")</f>
        <v>0:00</v>
      </c>
      <c r="AM21" s="152" t="str">
        <f>+IFERROR(AVERAGE(EL_DEL_CD2_JO_!AM21,EL_DEL_CD2_SBI_1_4_!AM21,EL_DEL_CD2_SBI_5_6_!AM21,EL_DEL_CD2_SBI_7_8_!AM21,EL_DEL_CD2_SBI_9_10_!AM21,EL_DEL_CD2_STAB_!AM21,EL_DEL_CD2_JO_L_!AM21,EL_DEL_CD2_SBI_L_1_4_!AM21,EL_DEL_CD2_SBI_L_5_6_!AM21,EL_DEL_CD2_SBI_L_7_8_!AM21,EL_DEL_CD2_SBI_L_9_10_!AM21,EL_DEL_CD2_L_STAB_!AM21),"0:00")</f>
        <v>0:00</v>
      </c>
      <c r="AN21" s="152" t="str">
        <f>+IFERROR(AVERAGE(EL_DEL_CD2_JO_!AN21,EL_DEL_CD2_SBI_1_4_!AN21,EL_DEL_CD2_SBI_5_6_!AN21,EL_DEL_CD2_SBI_7_8_!AN21,EL_DEL_CD2_SBI_9_10_!AN21,EL_DEL_CD2_STAB_!AN21,EL_DEL_CD2_JO_L_!AN21,EL_DEL_CD2_SBI_L_1_4_!AN21,EL_DEL_CD2_SBI_L_5_6_!AN21,EL_DEL_CD2_SBI_L_7_8_!AN21,EL_DEL_CD2_SBI_L_9_10_!AN21,EL_DEL_CD2_L_STAB_!AN21),"0:00")</f>
        <v>0:00</v>
      </c>
      <c r="AO21" s="152" t="str">
        <f>+IFERROR(AVERAGE(EL_DEL_CD2_JO_!AO21,EL_DEL_CD2_SBI_1_4_!AO21,EL_DEL_CD2_SBI_5_6_!AO21,EL_DEL_CD2_SBI_7_8_!AO21,EL_DEL_CD2_SBI_9_10_!AO21,EL_DEL_CD2_STAB_!AO21,EL_DEL_CD2_JO_L_!AO21,EL_DEL_CD2_SBI_L_1_4_!AO21,EL_DEL_CD2_SBI_L_5_6_!AO21,EL_DEL_CD2_SBI_L_7_8_!AO21,EL_DEL_CD2_SBI_L_9_10_!AO21,EL_DEL_CD2_L_STAB_!AO21),"0:00")</f>
        <v>0:00</v>
      </c>
      <c r="AP21" s="98" t="str">
        <f>+IFERROR(AVERAGE(EL_DEL_CD2_JO_!AP21,EL_DEL_CD2_SBI_1_4_!AP21,EL_DEL_CD2_SBI_5_6_!AP21,EL_DEL_CD2_SBI_7_8_!AP21,EL_DEL_CD2_SBI_9_10_!AP21,EL_DEL_CD2_STAB_!AP21,EL_DEL_CD2_JO_L_!AP21,EL_DEL_CD2_SBI_L_1_4_!AP21,EL_DEL_CD2_SBI_L_5_6_!AP21,EL_DEL_CD2_SBI_L_7_8_!AP21,EL_DEL_CD2_SBI_L_9_10_!AP21,EL_DEL_CD2_L_STAB_!AP21),"0:00")</f>
        <v>0:00</v>
      </c>
      <c r="AQ21" s="152" t="str">
        <f>+IFERROR(AVERAGE(EL_DEL_CD2_JO_!AQ21,EL_DEL_CD2_SBI_1_4_!AQ21,EL_DEL_CD2_SBI_5_6_!AQ21,EL_DEL_CD2_SBI_7_8_!AQ21,EL_DEL_CD2_SBI_9_10_!AQ21,EL_DEL_CD2_STAB_!AQ21,EL_DEL_CD2_JO_L_!AQ21,EL_DEL_CD2_SBI_L_1_4_!AQ21,EL_DEL_CD2_SBI_L_5_6_!AQ21,EL_DEL_CD2_SBI_L_7_8_!AQ21,EL_DEL_CD2_SBI_L_9_10_!AQ21,EL_DEL_CD2_L_STAB_!AQ21),"0:00")</f>
        <v>0:00</v>
      </c>
      <c r="AR21" s="152" t="str">
        <f>+IFERROR(AVERAGE(EL_DEL_CD2_JO_!AR21,EL_DEL_CD2_SBI_1_4_!AR21,EL_DEL_CD2_SBI_5_6_!AR21,EL_DEL_CD2_SBI_7_8_!AR21,EL_DEL_CD2_SBI_9_10_!AR21,EL_DEL_CD2_STAB_!AR21,EL_DEL_CD2_JO_L_!AR21,EL_DEL_CD2_SBI_L_1_4_!AR21,EL_DEL_CD2_SBI_L_5_6_!AR21,EL_DEL_CD2_SBI_L_7_8_!AR21,EL_DEL_CD2_SBI_L_9_10_!AR21,EL_DEL_CD2_L_STAB_!AR21),"0:00")</f>
        <v>0:00</v>
      </c>
      <c r="AS21" s="152" t="str">
        <f>+IFERROR(AVERAGE(EL_DEL_CD2_JO_!AS21,EL_DEL_CD2_SBI_1_4_!AS21,EL_DEL_CD2_SBI_5_6_!AS21,EL_DEL_CD2_SBI_7_8_!AS21,EL_DEL_CD2_SBI_9_10_!AS21,EL_DEL_CD2_STAB_!AS21,EL_DEL_CD2_JO_L_!AS21,EL_DEL_CD2_SBI_L_1_4_!AS21,EL_DEL_CD2_SBI_L_5_6_!AS21,EL_DEL_CD2_SBI_L_7_8_!AS21,EL_DEL_CD2_SBI_L_9_10_!AS21,EL_DEL_CD2_L_STAB_!AS21),"0:00")</f>
        <v>0:00</v>
      </c>
      <c r="AT21" s="98">
        <f>+SUM(EL_DEL_CD2_JO_!AT21,EL_DEL_CD2_SBI_1_4_!AT21,EL_DEL_CD2_SBI_5_6_!AT21,EL_DEL_CD2_SBI_7_8_!AT21,EL_DEL_CD2_SBI_9_10_!AT21,EL_DEL_CD2_STAB_!AT21,EL_DEL_CD2_JO_L_!AT21,EL_DEL_CD2_SBI_L_1_4_!AT21,EL_DEL_CD2_SBI_L_5_6_!AT21,EL_DEL_CD2_SBI_L_7_8_!AT21,EL_DEL_CD2_SBI_L_9_10_!AT21,EL_DEL_CD2_L_STAB_!AT21)</f>
        <v>0</v>
      </c>
      <c r="AU21" s="98">
        <f>+SUM(EL_DEL_CD2_JO_!AU21,EL_DEL_CD2_SBI_1_4_!AU21,EL_DEL_CD2_SBI_5_6_!AU21,EL_DEL_CD2_SBI_7_8_!AU21,EL_DEL_CD2_SBI_9_10_!AU21,EL_DEL_CD2_STAB_!AU21,EL_DEL_CD2_JO_L_!AU21,EL_DEL_CD2_SBI_L_1_4_!AU21,EL_DEL_CD2_SBI_L_5_6_!AU21,EL_DEL_CD2_SBI_L_7_8_!AU21,EL_DEL_CD2_SBI_L_9_10_!AU21,EL_DEL_CD2_L_STAB_!AU21)</f>
        <v>0</v>
      </c>
      <c r="AV21" s="98">
        <f>+SUM(EL_DEL_CD2_JO_!AV21,EL_DEL_CD2_SBI_1_4_!AV21,EL_DEL_CD2_SBI_5_6_!AV21,EL_DEL_CD2_SBI_7_8_!AV21,EL_DEL_CD2_SBI_9_10_!AV21,EL_DEL_CD2_STAB_!AV21,EL_DEL_CD2_JO_L_!AV21,EL_DEL_CD2_SBI_L_1_4_!AV21,EL_DEL_CD2_SBI_L_5_6_!AV21,EL_DEL_CD2_SBI_L_7_8_!AV21,EL_DEL_CD2_SBI_L_9_10_!AV21,EL_DEL_CD2_L_STAB_!AV21)</f>
        <v>0</v>
      </c>
      <c r="AW21" s="167">
        <f>+SUM(EL_DEL_CD2_JO_!AW21,EL_DEL_CD2_SBI_1_4_!AW21,EL_DEL_CD2_SBI_5_6_!AW21,EL_DEL_CD2_SBI_7_8_!AW21,EL_DEL_CD2_SBI_9_10_!AW21,EL_DEL_CD2_STAB_!AW21,EL_DEL_CD2_JO_L_!AW21,EL_DEL_CD2_SBI_L_1_4_!AW21,EL_DEL_CD2_SBI_L_5_6_!AW21,EL_DEL_CD2_SBI_L_7_8_!AW21,EL_DEL_CD2_SBI_L_9_10_!AW21,EL_DEL_CD2_L_STAB_!AW21)</f>
        <v>0</v>
      </c>
      <c r="AX21" s="102" t="str">
        <f t="shared" si="24"/>
        <v>-</v>
      </c>
      <c r="AY21" s="151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51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31"/>
        <v/>
      </c>
      <c r="BH21" s="119" t="str">
        <f t="shared" si="8"/>
        <v/>
      </c>
      <c r="BI21" s="120" t="str">
        <f t="shared" si="25"/>
        <v/>
      </c>
      <c r="BJ21" s="151"/>
      <c r="BK21" s="121" t="str">
        <f t="shared" si="9"/>
        <v/>
      </c>
      <c r="BL21" s="122" t="str">
        <f t="shared" si="10"/>
        <v/>
      </c>
      <c r="BM21" s="122" t="str">
        <f t="shared" si="11"/>
        <v/>
      </c>
      <c r="BN21" s="123" t="str">
        <f t="shared" si="12"/>
        <v/>
      </c>
      <c r="BO21" s="151"/>
      <c r="BP21" s="124" t="str">
        <f t="shared" si="13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4"/>
        <v/>
      </c>
      <c r="BU21" s="151"/>
      <c r="BV21" s="127" t="e">
        <f t="shared" si="15"/>
        <v>#DIV/0!</v>
      </c>
      <c r="BW21" s="127" t="e">
        <f t="shared" si="16"/>
        <v>#DIV/0!</v>
      </c>
      <c r="BX21" s="127" t="e">
        <f t="shared" si="17"/>
        <v>#DIV/0!</v>
      </c>
      <c r="BY21" s="127" t="e">
        <f t="shared" si="18"/>
        <v>#DIV/0!</v>
      </c>
      <c r="BZ21" s="127" t="e">
        <f t="shared" si="28"/>
        <v>#DIV/0!</v>
      </c>
      <c r="CA21" s="128" t="e">
        <f t="shared" si="29"/>
        <v>#DIV/0!</v>
      </c>
      <c r="CB21" s="151"/>
      <c r="CC21" s="129" t="str">
        <f t="shared" si="19"/>
        <v>-</v>
      </c>
      <c r="CD21" s="130" t="str">
        <f t="shared" si="20"/>
        <v>-</v>
      </c>
      <c r="CE21" s="130" t="str">
        <f t="shared" si="21"/>
        <v>-</v>
      </c>
      <c r="CF21" s="130" t="str">
        <f t="shared" si="22"/>
        <v>-</v>
      </c>
      <c r="CG21" s="131" t="str">
        <f t="shared" si="23"/>
        <v>-</v>
      </c>
      <c r="CH21" s="151"/>
    </row>
    <row r="22" spans="1:86" s="115" customFormat="1" ht="12.4" customHeight="1" thickBot="1" x14ac:dyDescent="0.25">
      <c r="A22" s="96">
        <f t="shared" si="30"/>
        <v>46314</v>
      </c>
      <c r="B22" s="97" t="str">
        <f t="shared" si="0"/>
        <v>Mon</v>
      </c>
      <c r="C22" s="98">
        <f>+SUM(EL_DEL_CD2_JO_!C22,EL_DEL_CD2_SBI_1_4_!C22,EL_DEL_CD2_SBI_5_6_!C22,EL_DEL_CD2_SBI_7_8_!C22,EL_DEL_CD2_SBI_9_10_!C22,EL_DEL_CD2_STAB_!C22,EL_DEL_CD2_JO_L_!C22,EL_DEL_CD2_SBI_L_1_4_!C22,EL_DEL_CD2_SBI_L_5_6_!C22,EL_DEL_CD2_SBI_L_7_8_!C22,EL_DEL_CD2_SBI_L_9_10_!C22,EL_DEL_CD2_L_STAB_!C22)</f>
        <v>0</v>
      </c>
      <c r="D22" s="98">
        <f>+SUM(EL_DEL_CD2_JO_!D22,EL_DEL_CD2_SBI_1_4_!D22,EL_DEL_CD2_SBI_5_6_!D22,EL_DEL_CD2_SBI_7_8_!D22,EL_DEL_CD2_SBI_9_10_!D22,EL_DEL_CD2_STAB_!D22,EL_DEL_CD2_JO_L_!D22,EL_DEL_CD2_SBI_L_1_4_!D22,EL_DEL_CD2_SBI_L_5_6_!D22,EL_DEL_CD2_SBI_L_7_8_!D22,EL_DEL_CD2_SBI_L_9_10_!D22,EL_DEL_CD2_L_STAB_!D22)</f>
        <v>0</v>
      </c>
      <c r="E22" s="98">
        <f>+SUM(EL_DEL_CD2_JO_!E22,EL_DEL_CD2_SBI_1_4_!E22,EL_DEL_CD2_SBI_5_6_!E22,EL_DEL_CD2_SBI_7_8_!E22,EL_DEL_CD2_SBI_9_10_!E22,EL_DEL_CD2_STAB_!E22,EL_DEL_CD2_JO_L_!E22,EL_DEL_CD2_SBI_L_1_4_!E22,EL_DEL_CD2_SBI_L_5_6_!E22,EL_DEL_CD2_SBI_L_7_8_!E22,EL_DEL_CD2_SBI_L_9_10_!E22,EL_DEL_CD2_L_STAB_!E22)</f>
        <v>0</v>
      </c>
      <c r="F22" s="98">
        <f>+SUM(EL_DEL_CD2_JO_!F22,EL_DEL_CD2_SBI_1_4_!F22,EL_DEL_CD2_SBI_5_6_!F22,EL_DEL_CD2_SBI_7_8_!F22,EL_DEL_CD2_SBI_9_10_!F22,EL_DEL_CD2_STAB_!F22,EL_DEL_CD2_JO_L_!F22,EL_DEL_CD2_SBI_L_1_4_!F22,EL_DEL_CD2_SBI_L_5_6_!F22,EL_DEL_CD2_SBI_L_7_8_!F22,EL_DEL_CD2_SBI_L_9_10_!F22,EL_DEL_CD2_L_STAB_!F22)</f>
        <v>0</v>
      </c>
      <c r="G22" s="98">
        <f>+SUM(EL_DEL_CD2_JO_!G22,EL_DEL_CD2_SBI_1_4_!G22,EL_DEL_CD2_SBI_5_6_!G22,EL_DEL_CD2_SBI_7_8_!G22,EL_DEL_CD2_SBI_9_10_!G22,EL_DEL_CD2_STAB_!G22,EL_DEL_CD2_JO_L_!G22,EL_DEL_CD2_SBI_L_1_4_!G22,EL_DEL_CD2_SBI_L_5_6_!G22,EL_DEL_CD2_SBI_L_7_8_!G22,EL_DEL_CD2_SBI_L_9_10_!G22,EL_DEL_CD2_L_STAB_!G22)</f>
        <v>0</v>
      </c>
      <c r="H22" s="98">
        <f>+SUM(EL_DEL_CD2_JO_!H22,EL_DEL_CD2_SBI_1_4_!H22,EL_DEL_CD2_SBI_5_6_!H22,EL_DEL_CD2_SBI_7_8_!H22,EL_DEL_CD2_SBI_9_10_!H22,EL_DEL_CD2_STAB_!H22,EL_DEL_CD2_JO_L_!H22,EL_DEL_CD2_SBI_L_1_4_!H22,EL_DEL_CD2_SBI_L_5_6_!H22,EL_DEL_CD2_SBI_L_7_8_!H22,EL_DEL_CD2_SBI_L_9_10_!H22,EL_DEL_CD2_L_STAB_!H22)</f>
        <v>0</v>
      </c>
      <c r="I22" s="98">
        <f>+SUM(EL_DEL_CD2_JO_!I22,EL_DEL_CD2_SBI_1_4_!I22,EL_DEL_CD2_SBI_5_6_!I22,EL_DEL_CD2_SBI_7_8_!I22,EL_DEL_CD2_SBI_9_10_!I22,EL_DEL_CD2_STAB_!I22,EL_DEL_CD2_JO_L_!I22,EL_DEL_CD2_SBI_L_1_4_!I22,EL_DEL_CD2_SBI_L_5_6_!I22,EL_DEL_CD2_SBI_L_7_8_!I22,EL_DEL_CD2_SBI_L_9_10_!I22,EL_DEL_CD2_L_STAB_!I22)</f>
        <v>0</v>
      </c>
      <c r="J22" s="98">
        <f>+SUM(EL_DEL_CD2_JO_!J22,EL_DEL_CD2_SBI_1_4_!J22,EL_DEL_CD2_SBI_5_6_!J22,EL_DEL_CD2_SBI_7_8_!J22,EL_DEL_CD2_SBI_9_10_!J22,EL_DEL_CD2_STAB_!J22,EL_DEL_CD2_JO_L_!J22,EL_DEL_CD2_SBI_L_1_4_!J22,EL_DEL_CD2_SBI_L_5_6_!J22,EL_DEL_CD2_SBI_L_7_8_!J22,EL_DEL_CD2_SBI_L_9_10_!J22,EL_DEL_CD2_L_STAB_!J22)</f>
        <v>0</v>
      </c>
      <c r="K22" s="98">
        <f>+SUM(EL_DEL_CD2_JO_!K22,EL_DEL_CD2_SBI_1_4_!K22,EL_DEL_CD2_SBI_5_6_!K22,EL_DEL_CD2_SBI_7_8_!K22,EL_DEL_CD2_SBI_9_10_!K22,EL_DEL_CD2_STAB_!K22,EL_DEL_CD2_JO_L_!K22,EL_DEL_CD2_SBI_L_1_4_!K22,EL_DEL_CD2_SBI_L_5_6_!K22,EL_DEL_CD2_SBI_L_7_8_!K22,EL_DEL_CD2_SBI_L_9_10_!K22,EL_DEL_CD2_L_STAB_!K22)</f>
        <v>0</v>
      </c>
      <c r="L22" s="98">
        <f>+SUM(EL_DEL_CD2_JO_!L22,EL_DEL_CD2_SBI_1_4_!L22,EL_DEL_CD2_SBI_5_6_!L22,EL_DEL_CD2_SBI_7_8_!L22,EL_DEL_CD2_SBI_9_10_!L22,EL_DEL_CD2_STAB_!L22,EL_DEL_CD2_JO_L_!L22,EL_DEL_CD2_SBI_L_1_4_!L22,EL_DEL_CD2_SBI_L_5_6_!L22,EL_DEL_CD2_SBI_L_7_8_!L22,EL_DEL_CD2_SBI_L_9_10_!L22,EL_DEL_CD2_L_STAB_!L22)</f>
        <v>0</v>
      </c>
      <c r="M22" s="98">
        <f>+SUM(EL_DEL_CD2_JO_!M22,EL_DEL_CD2_SBI_1_4_!M22,EL_DEL_CD2_SBI_5_6_!M22,EL_DEL_CD2_SBI_7_8_!M22,EL_DEL_CD2_SBI_9_10_!M22,EL_DEL_CD2_STAB_!M22,EL_DEL_CD2_JO_L_!M22,EL_DEL_CD2_SBI_L_1_4_!M22,EL_DEL_CD2_SBI_L_5_6_!M22,EL_DEL_CD2_SBI_L_7_8_!M22,EL_DEL_CD2_SBI_L_9_10_!M22,EL_DEL_CD2_L_STAB_!M22)</f>
        <v>0</v>
      </c>
      <c r="N22" s="98">
        <f>+SUM(EL_DEL_CD2_JO_!N22,EL_DEL_CD2_SBI_1_4_!N22,EL_DEL_CD2_SBI_5_6_!N22,EL_DEL_CD2_SBI_7_8_!N22,EL_DEL_CD2_SBI_9_10_!N22,EL_DEL_CD2_STAB_!N22,EL_DEL_CD2_JO_L_!N22,EL_DEL_CD2_SBI_L_1_4_!N22,EL_DEL_CD2_SBI_L_5_6_!N22,EL_DEL_CD2_SBI_L_7_8_!N22,EL_DEL_CD2_SBI_L_9_10_!N22,EL_DEL_CD2_L_STAB_!N22)</f>
        <v>0</v>
      </c>
      <c r="O22" s="98">
        <f>+SUM(EL_DEL_CD2_JO_!O22,EL_DEL_CD2_SBI_1_4_!O22,EL_DEL_CD2_SBI_5_6_!O22,EL_DEL_CD2_SBI_7_8_!O22,EL_DEL_CD2_SBI_9_10_!O22,EL_DEL_CD2_STAB_!O22,EL_DEL_CD2_JO_L_!O22,EL_DEL_CD2_SBI_L_1_4_!O22,EL_DEL_CD2_SBI_L_5_6_!O22,EL_DEL_CD2_SBI_L_7_8_!O22,EL_DEL_CD2_SBI_L_9_10_!O22,EL_DEL_CD2_L_STAB_!O22)</f>
        <v>0</v>
      </c>
      <c r="P22" s="98">
        <f>+SUM(EL_DEL_CD2_JO_!P22,EL_DEL_CD2_SBI_1_4_!P22,EL_DEL_CD2_SBI_5_6_!P22,EL_DEL_CD2_SBI_7_8_!P22,EL_DEL_CD2_SBI_9_10_!P22,EL_DEL_CD2_STAB_!P22,EL_DEL_CD2_JO_L_!P22,EL_DEL_CD2_SBI_L_1_4_!P22,EL_DEL_CD2_SBI_L_5_6_!P22,EL_DEL_CD2_SBI_L_7_8_!P22,EL_DEL_CD2_SBI_L_9_10_!P22,EL_DEL_CD2_L_STAB_!P22)</f>
        <v>0</v>
      </c>
      <c r="Q22" s="98">
        <f>+SUM(EL_DEL_CD2_JO_!Q22,EL_DEL_CD2_SBI_1_4_!Q22,EL_DEL_CD2_SBI_5_6_!Q22,EL_DEL_CD2_SBI_7_8_!Q22,EL_DEL_CD2_SBI_9_10_!Q22,EL_DEL_CD2_STAB_!Q22,EL_DEL_CD2_JO_L_!Q22,EL_DEL_CD2_SBI_L_1_4_!Q22,EL_DEL_CD2_SBI_L_5_6_!Q22,EL_DEL_CD2_SBI_L_7_8_!Q22,EL_DEL_CD2_SBI_L_9_10_!Q22,EL_DEL_CD2_L_STAB_!Q22)</f>
        <v>0</v>
      </c>
      <c r="R22" s="98">
        <f>+SUM(EL_DEL_CD2_JO_!R22,EL_DEL_CD2_SBI_1_4_!R22,EL_DEL_CD2_SBI_5_6_!R22,EL_DEL_CD2_SBI_7_8_!R22,EL_DEL_CD2_SBI_9_10_!R22,EL_DEL_CD2_STAB_!R22,EL_DEL_CD2_JO_L_!R22,EL_DEL_CD2_SBI_L_1_4_!R22,EL_DEL_CD2_SBI_L_5_6_!R22,EL_DEL_CD2_SBI_L_7_8_!R22,EL_DEL_CD2_SBI_L_9_10_!R22,EL_DEL_CD2_L_STAB_!R22)</f>
        <v>0</v>
      </c>
      <c r="S22" s="98">
        <f>+SUM(EL_DEL_CD2_JO_!S22,EL_DEL_CD2_SBI_1_4_!S22,EL_DEL_CD2_SBI_5_6_!S22,EL_DEL_CD2_SBI_7_8_!S22,EL_DEL_CD2_SBI_9_10_!S22,EL_DEL_CD2_STAB_!S22,EL_DEL_CD2_JO_L_!S22,EL_DEL_CD2_SBI_L_1_4_!S22,EL_DEL_CD2_SBI_L_5_6_!S22,EL_DEL_CD2_SBI_L_7_8_!S22,EL_DEL_CD2_SBI_L_9_10_!S22,EL_DEL_CD2_L_STAB_!S22)</f>
        <v>0</v>
      </c>
      <c r="T22" s="98">
        <f>+SUM(EL_DEL_CD2_JO_!T22,EL_DEL_CD2_SBI_1_4_!T22,EL_DEL_CD2_SBI_5_6_!T22,EL_DEL_CD2_SBI_7_8_!T22,EL_DEL_CD2_SBI_9_10_!T22,EL_DEL_CD2_STAB_!T22,EL_DEL_CD2_JO_L_!T22,EL_DEL_CD2_SBI_L_1_4_!T22,EL_DEL_CD2_SBI_L_5_6_!T22,EL_DEL_CD2_SBI_L_7_8_!T22,EL_DEL_CD2_SBI_L_9_10_!T22,EL_DEL_CD2_L_STAB_!T22)</f>
        <v>0</v>
      </c>
      <c r="U22" s="98">
        <f>+SUM(EL_DEL_CD2_JO_!U22,EL_DEL_CD2_SBI_1_4_!U22,EL_DEL_CD2_SBI_5_6_!U22,EL_DEL_CD2_SBI_7_8_!U22,EL_DEL_CD2_SBI_9_10_!U22,EL_DEL_CD2_STAB_!U22,EL_DEL_CD2_JO_L_!U22,EL_DEL_CD2_SBI_L_1_4_!U22,EL_DEL_CD2_SBI_L_5_6_!U22,EL_DEL_CD2_SBI_L_7_8_!U22,EL_DEL_CD2_SBI_L_9_10_!U22,EL_DEL_CD2_L_STAB_!U22)</f>
        <v>0</v>
      </c>
      <c r="V22" s="98">
        <f>+SUM(EL_DEL_CD2_JO_!V22,EL_DEL_CD2_SBI_1_4_!V22,EL_DEL_CD2_SBI_5_6_!V22,EL_DEL_CD2_SBI_7_8_!V22,EL_DEL_CD2_SBI_9_10_!V22,EL_DEL_CD2_STAB_!V22,EL_DEL_CD2_JO_L_!V22,EL_DEL_CD2_SBI_L_1_4_!V22,EL_DEL_CD2_SBI_L_5_6_!V22,EL_DEL_CD2_SBI_L_7_8_!V22,EL_DEL_CD2_SBI_L_9_10_!V22,EL_DEL_CD2_L_STAB_!V22)</f>
        <v>0</v>
      </c>
      <c r="W22" s="98">
        <f>+SUM(EL_DEL_CD2_JO_!W22,EL_DEL_CD2_SBI_1_4_!W22,EL_DEL_CD2_SBI_5_6_!W22,EL_DEL_CD2_SBI_7_8_!W22,EL_DEL_CD2_SBI_9_10_!W22,EL_DEL_CD2_STAB_!W22,EL_DEL_CD2_JO_L_!W22,EL_DEL_CD2_SBI_L_1_4_!W22,EL_DEL_CD2_SBI_L_5_6_!W22,EL_DEL_CD2_SBI_L_7_8_!W22,EL_DEL_CD2_SBI_L_9_10_!W22,EL_DEL_CD2_L_STAB_!W22)</f>
        <v>0</v>
      </c>
      <c r="X22" s="98">
        <f>+SUM(EL_DEL_CD2_JO_!X22,EL_DEL_CD2_SBI_1_4_!X22,EL_DEL_CD2_SBI_5_6_!X22,EL_DEL_CD2_SBI_7_8_!X22,EL_DEL_CD2_SBI_9_10_!X22,EL_DEL_CD2_STAB_!X22,EL_DEL_CD2_JO_L_!X22,EL_DEL_CD2_SBI_L_1_4_!X22,EL_DEL_CD2_SBI_L_5_6_!X22,EL_DEL_CD2_SBI_L_7_8_!X22,EL_DEL_CD2_SBI_L_9_10_!X22,EL_DEL_CD2_L_STAB_!X22)</f>
        <v>0</v>
      </c>
      <c r="Y22" s="98">
        <f>+SUM(EL_DEL_CD2_JO_!Y22,EL_DEL_CD2_SBI_1_4_!Y22,EL_DEL_CD2_SBI_5_6_!Y22,EL_DEL_CD2_SBI_7_8_!Y22,EL_DEL_CD2_SBI_9_10_!Y22,EL_DEL_CD2_STAB_!Y22,EL_DEL_CD2_JO_L_!Y22,EL_DEL_CD2_SBI_L_1_4_!Y22,EL_DEL_CD2_SBI_L_5_6_!Y22,EL_DEL_CD2_SBI_L_7_8_!Y22,EL_DEL_CD2_SBI_L_9_10_!Y22,EL_DEL_CD2_L_STAB_!Y22)</f>
        <v>0</v>
      </c>
      <c r="Z22" s="98">
        <f>+SUM(EL_DEL_CD2_JO_!Z22,EL_DEL_CD2_SBI_1_4_!Z22,EL_DEL_CD2_SBI_5_6_!Z22,EL_DEL_CD2_SBI_7_8_!Z22,EL_DEL_CD2_SBI_9_10_!Z22,EL_DEL_CD2_STAB_!Z22,EL_DEL_CD2_JO_L_!Z22,EL_DEL_CD2_SBI_L_1_4_!Z22,EL_DEL_CD2_SBI_L_5_6_!Z22,EL_DEL_CD2_SBI_L_7_8_!Z22,EL_DEL_CD2_SBI_L_9_10_!Z22,EL_DEL_CD2_L_STAB_!Z22)</f>
        <v>0</v>
      </c>
      <c r="AA22" s="98">
        <f>+SUM(EL_DEL_CD2_JO_!AA22,EL_DEL_CD2_SBI_1_4_!AA22,EL_DEL_CD2_SBI_5_6_!AA22,EL_DEL_CD2_SBI_7_8_!AA22,EL_DEL_CD2_SBI_9_10_!AA22,EL_DEL_CD2_STAB_!AA22,EL_DEL_CD2_JO_L_!AA22,EL_DEL_CD2_SBI_L_1_4_!AA22,EL_DEL_CD2_SBI_L_5_6_!AA22,EL_DEL_CD2_SBI_L_7_8_!AA22,EL_DEL_CD2_SBI_L_9_10_!AA22,EL_DEL_CD2_L_STAB_!AA22)</f>
        <v>0</v>
      </c>
      <c r="AB22" s="98">
        <f>+SUM(EL_DEL_CD2_JO_!AB22,EL_DEL_CD2_SBI_1_4_!AB22,EL_DEL_CD2_SBI_5_6_!AB22,EL_DEL_CD2_SBI_7_8_!AB22,EL_DEL_CD2_SBI_9_10_!AB22,EL_DEL_CD2_STAB_!AB22,EL_DEL_CD2_JO_L_!AB22,EL_DEL_CD2_SBI_L_1_4_!AB22,EL_DEL_CD2_SBI_L_5_6_!AB22,EL_DEL_CD2_SBI_L_7_8_!AB22,EL_DEL_CD2_SBI_L_9_10_!AB22,EL_DEL_CD2_L_STAB_!AB22)</f>
        <v>0</v>
      </c>
      <c r="AC22" s="98">
        <f>+SUM(EL_DEL_CD2_JO_!AC22,EL_DEL_CD2_SBI_1_4_!AC22,EL_DEL_CD2_SBI_5_6_!AC22,EL_DEL_CD2_SBI_7_8_!AC22,EL_DEL_CD2_SBI_9_10_!AC22,EL_DEL_CD2_STAB_!AC22,EL_DEL_CD2_JO_L_!AC22,EL_DEL_CD2_SBI_L_1_4_!AC22,EL_DEL_CD2_SBI_L_5_6_!AC22,EL_DEL_CD2_SBI_L_7_8_!AC22,EL_DEL_CD2_SBI_L_9_10_!AC22,EL_DEL_CD2_L_STAB_!AC22)</f>
        <v>0</v>
      </c>
      <c r="AD22" s="98">
        <f>+SUM(EL_DEL_CD2_JO_!AD22,EL_DEL_CD2_SBI_1_4_!AD22,EL_DEL_CD2_SBI_5_6_!AD22,EL_DEL_CD2_SBI_7_8_!AD22,EL_DEL_CD2_SBI_9_10_!AD22,EL_DEL_CD2_STAB_!AD22,EL_DEL_CD2_JO_L_!AD22,EL_DEL_CD2_SBI_L_1_4_!AD22,EL_DEL_CD2_SBI_L_5_6_!AD22,EL_DEL_CD2_SBI_L_7_8_!AD22,EL_DEL_CD2_SBI_L_9_10_!AD22,EL_DEL_CD2_L_STAB_!AD22)</f>
        <v>0</v>
      </c>
      <c r="AE22" s="98">
        <f>+SUM(EL_DEL_CD2_JO_!AE22,EL_DEL_CD2_SBI_1_4_!AE22,EL_DEL_CD2_SBI_5_6_!AE22,EL_DEL_CD2_SBI_7_8_!AE22,EL_DEL_CD2_SBI_9_10_!AE22,EL_DEL_CD2_STAB_!AE22,EL_DEL_CD2_JO_L_!AE22,EL_DEL_CD2_SBI_L_1_4_!AE22,EL_DEL_CD2_SBI_L_5_6_!AE22,EL_DEL_CD2_SBI_L_7_8_!AE22,EL_DEL_CD2_SBI_L_9_10_!AE22,EL_DEL_CD2_L_STAB_!AE22)</f>
        <v>0</v>
      </c>
      <c r="AF22" s="98">
        <f>+SUM(EL_DEL_CD2_JO_!AF22,EL_DEL_CD2_SBI_1_4_!AF22,EL_DEL_CD2_SBI_5_6_!AF22,EL_DEL_CD2_SBI_7_8_!AF22,EL_DEL_CD2_SBI_9_10_!AF22,EL_DEL_CD2_STAB_!AF22,EL_DEL_CD2_JO_L_!AF22,EL_DEL_CD2_SBI_L_1_4_!AF22,EL_DEL_CD2_SBI_L_5_6_!AF22,EL_DEL_CD2_SBI_L_7_8_!AF22,EL_DEL_CD2_SBI_L_9_10_!AF22,EL_DEL_CD2_L_STAB_!AF22)</f>
        <v>0</v>
      </c>
      <c r="AG22" s="98">
        <f>+SUM(EL_DEL_CD2_JO_!AG22,EL_DEL_CD2_SBI_1_4_!AG22,EL_DEL_CD2_SBI_5_6_!AG22,EL_DEL_CD2_SBI_7_8_!AG22,EL_DEL_CD2_SBI_9_10_!AG22,EL_DEL_CD2_STAB_!AG22,EL_DEL_CD2_JO_L_!AG22,EL_DEL_CD2_SBI_L_1_4_!AG22,EL_DEL_CD2_SBI_L_5_6_!AG22,EL_DEL_CD2_SBI_L_7_8_!AG22,EL_DEL_CD2_SBI_L_9_10_!AG22,EL_DEL_CD2_L_STAB_!AG22)</f>
        <v>0</v>
      </c>
      <c r="AH22" s="98">
        <f>+SUM(EL_DEL_CD2_JO_!AH22,EL_DEL_CD2_SBI_1_4_!AH22,EL_DEL_CD2_SBI_5_6_!AH22,EL_DEL_CD2_SBI_7_8_!AH22,EL_DEL_CD2_SBI_9_10_!AH22,EL_DEL_CD2_STAB_!AH22,EL_DEL_CD2_JO_L_!AH22,EL_DEL_CD2_SBI_L_1_4_!AH22,EL_DEL_CD2_SBI_L_5_6_!AH22,EL_DEL_CD2_SBI_L_7_8_!AH22,EL_DEL_CD2_SBI_L_9_10_!AH22,EL_DEL_CD2_L_STAB_!AH22)</f>
        <v>0</v>
      </c>
      <c r="AI22" s="98">
        <f>+SUM(EL_DEL_CD2_JO_!AI22,EL_DEL_CD2_SBI_1_4_!AI22,EL_DEL_CD2_SBI_5_6_!AI22,EL_DEL_CD2_SBI_7_8_!AI22,EL_DEL_CD2_SBI_9_10_!AI22,EL_DEL_CD2_STAB_!AI22,EL_DEL_CD2_JO_L_!AI22,EL_DEL_CD2_SBI_L_1_4_!AI22,EL_DEL_CD2_SBI_L_5_6_!AI22,EL_DEL_CD2_SBI_L_7_8_!AI22,EL_DEL_CD2_SBI_L_9_10_!AI22,EL_DEL_CD2_L_STAB_!AI22)</f>
        <v>0</v>
      </c>
      <c r="AJ22" s="98">
        <f>+SUM(EL_DEL_CD2_JO_!AJ22,EL_DEL_CD2_SBI_1_4_!AJ22,EL_DEL_CD2_SBI_5_6_!AJ22,EL_DEL_CD2_SBI_7_8_!AJ22,EL_DEL_CD2_SBI_9_10_!AJ22,EL_DEL_CD2_STAB_!AJ22,EL_DEL_CD2_JO_L_!AJ22,EL_DEL_CD2_SBI_L_1_4_!AJ22,EL_DEL_CD2_SBI_L_5_6_!AJ22,EL_DEL_CD2_SBI_L_7_8_!AJ22,EL_DEL_CD2_SBI_L_9_10_!AJ22,EL_DEL_CD2_L_STAB_!AJ22)</f>
        <v>0</v>
      </c>
      <c r="AK22" s="98">
        <f>+SUM(EL_DEL_CD2_JO_!AK22,EL_DEL_CD2_SBI_1_4_!AK22,EL_DEL_CD2_SBI_5_6_!AK22,EL_DEL_CD2_SBI_7_8_!AK22,EL_DEL_CD2_SBI_9_10_!AK22,EL_DEL_CD2_STAB_!AK22,EL_DEL_CD2_JO_L_!AK22,EL_DEL_CD2_SBI_L_1_4_!AK22,EL_DEL_CD2_SBI_L_5_6_!AK22,EL_DEL_CD2_SBI_L_7_8_!AK22,EL_DEL_CD2_SBI_L_9_10_!AK22,EL_DEL_CD2_L_STAB_!AK22)</f>
        <v>0</v>
      </c>
      <c r="AL22" s="152" t="str">
        <f>+IFERROR(AVERAGE(EL_DEL_CD2_JO_!AL22,EL_DEL_CD2_SBI_1_4_!AL22,EL_DEL_CD2_SBI_5_6_!AL22,EL_DEL_CD2_SBI_7_8_!AL22,EL_DEL_CD2_SBI_9_10_!AL22,EL_DEL_CD2_STAB_!AL22,EL_DEL_CD2_JO_L_!AL22,EL_DEL_CD2_SBI_L_1_4_!AL22,EL_DEL_CD2_SBI_L_5_6_!AL22,EL_DEL_CD2_SBI_L_7_8_!AL22,EL_DEL_CD2_SBI_L_9_10_!AL22,EL_DEL_CD2_L_STAB_!AL22),"0:00")</f>
        <v>0:00</v>
      </c>
      <c r="AM22" s="152" t="str">
        <f>+IFERROR(AVERAGE(EL_DEL_CD2_JO_!AM22,EL_DEL_CD2_SBI_1_4_!AM22,EL_DEL_CD2_SBI_5_6_!AM22,EL_DEL_CD2_SBI_7_8_!AM22,EL_DEL_CD2_SBI_9_10_!AM22,EL_DEL_CD2_STAB_!AM22,EL_DEL_CD2_JO_L_!AM22,EL_DEL_CD2_SBI_L_1_4_!AM22,EL_DEL_CD2_SBI_L_5_6_!AM22,EL_DEL_CD2_SBI_L_7_8_!AM22,EL_DEL_CD2_SBI_L_9_10_!AM22,EL_DEL_CD2_L_STAB_!AM22),"0:00")</f>
        <v>0:00</v>
      </c>
      <c r="AN22" s="152" t="str">
        <f>+IFERROR(AVERAGE(EL_DEL_CD2_JO_!AN22,EL_DEL_CD2_SBI_1_4_!AN22,EL_DEL_CD2_SBI_5_6_!AN22,EL_DEL_CD2_SBI_7_8_!AN22,EL_DEL_CD2_SBI_9_10_!AN22,EL_DEL_CD2_STAB_!AN22,EL_DEL_CD2_JO_L_!AN22,EL_DEL_CD2_SBI_L_1_4_!AN22,EL_DEL_CD2_SBI_L_5_6_!AN22,EL_DEL_CD2_SBI_L_7_8_!AN22,EL_DEL_CD2_SBI_L_9_10_!AN22,EL_DEL_CD2_L_STAB_!AN22),"0:00")</f>
        <v>0:00</v>
      </c>
      <c r="AO22" s="152" t="str">
        <f>+IFERROR(AVERAGE(EL_DEL_CD2_JO_!AO22,EL_DEL_CD2_SBI_1_4_!AO22,EL_DEL_CD2_SBI_5_6_!AO22,EL_DEL_CD2_SBI_7_8_!AO22,EL_DEL_CD2_SBI_9_10_!AO22,EL_DEL_CD2_STAB_!AO22,EL_DEL_CD2_JO_L_!AO22,EL_DEL_CD2_SBI_L_1_4_!AO22,EL_DEL_CD2_SBI_L_5_6_!AO22,EL_DEL_CD2_SBI_L_7_8_!AO22,EL_DEL_CD2_SBI_L_9_10_!AO22,EL_DEL_CD2_L_STAB_!AO22),"0:00")</f>
        <v>0:00</v>
      </c>
      <c r="AP22" s="98" t="str">
        <f>+IFERROR(AVERAGE(EL_DEL_CD2_JO_!AP22,EL_DEL_CD2_SBI_1_4_!AP22,EL_DEL_CD2_SBI_5_6_!AP22,EL_DEL_CD2_SBI_7_8_!AP22,EL_DEL_CD2_SBI_9_10_!AP22,EL_DEL_CD2_STAB_!AP22,EL_DEL_CD2_JO_L_!AP22,EL_DEL_CD2_SBI_L_1_4_!AP22,EL_DEL_CD2_SBI_L_5_6_!AP22,EL_DEL_CD2_SBI_L_7_8_!AP22,EL_DEL_CD2_SBI_L_9_10_!AP22,EL_DEL_CD2_L_STAB_!AP22),"0:00")</f>
        <v>0:00</v>
      </c>
      <c r="AQ22" s="152" t="str">
        <f>+IFERROR(AVERAGE(EL_DEL_CD2_JO_!AQ22,EL_DEL_CD2_SBI_1_4_!AQ22,EL_DEL_CD2_SBI_5_6_!AQ22,EL_DEL_CD2_SBI_7_8_!AQ22,EL_DEL_CD2_SBI_9_10_!AQ22,EL_DEL_CD2_STAB_!AQ22,EL_DEL_CD2_JO_L_!AQ22,EL_DEL_CD2_SBI_L_1_4_!AQ22,EL_DEL_CD2_SBI_L_5_6_!AQ22,EL_DEL_CD2_SBI_L_7_8_!AQ22,EL_DEL_CD2_SBI_L_9_10_!AQ22,EL_DEL_CD2_L_STAB_!AQ22),"0:00")</f>
        <v>0:00</v>
      </c>
      <c r="AR22" s="152" t="str">
        <f>+IFERROR(AVERAGE(EL_DEL_CD2_JO_!AR22,EL_DEL_CD2_SBI_1_4_!AR22,EL_DEL_CD2_SBI_5_6_!AR22,EL_DEL_CD2_SBI_7_8_!AR22,EL_DEL_CD2_SBI_9_10_!AR22,EL_DEL_CD2_STAB_!AR22,EL_DEL_CD2_JO_L_!AR22,EL_DEL_CD2_SBI_L_1_4_!AR22,EL_DEL_CD2_SBI_L_5_6_!AR22,EL_DEL_CD2_SBI_L_7_8_!AR22,EL_DEL_CD2_SBI_L_9_10_!AR22,EL_DEL_CD2_L_STAB_!AR22),"0:00")</f>
        <v>0:00</v>
      </c>
      <c r="AS22" s="152" t="str">
        <f>+IFERROR(AVERAGE(EL_DEL_CD2_JO_!AS22,EL_DEL_CD2_SBI_1_4_!AS22,EL_DEL_CD2_SBI_5_6_!AS22,EL_DEL_CD2_SBI_7_8_!AS22,EL_DEL_CD2_SBI_9_10_!AS22,EL_DEL_CD2_STAB_!AS22,EL_DEL_CD2_JO_L_!AS22,EL_DEL_CD2_SBI_L_1_4_!AS22,EL_DEL_CD2_SBI_L_5_6_!AS22,EL_DEL_CD2_SBI_L_7_8_!AS22,EL_DEL_CD2_SBI_L_9_10_!AS22,EL_DEL_CD2_L_STAB_!AS22),"0:00")</f>
        <v>0:00</v>
      </c>
      <c r="AT22" s="98">
        <f>+SUM(EL_DEL_CD2_JO_!AT22,EL_DEL_CD2_SBI_1_4_!AT22,EL_DEL_CD2_SBI_5_6_!AT22,EL_DEL_CD2_SBI_7_8_!AT22,EL_DEL_CD2_SBI_9_10_!AT22,EL_DEL_CD2_STAB_!AT22,EL_DEL_CD2_JO_L_!AT22,EL_DEL_CD2_SBI_L_1_4_!AT22,EL_DEL_CD2_SBI_L_5_6_!AT22,EL_DEL_CD2_SBI_L_7_8_!AT22,EL_DEL_CD2_SBI_L_9_10_!AT22,EL_DEL_CD2_L_STAB_!AT22)</f>
        <v>0</v>
      </c>
      <c r="AU22" s="98">
        <f>+SUM(EL_DEL_CD2_JO_!AU22,EL_DEL_CD2_SBI_1_4_!AU22,EL_DEL_CD2_SBI_5_6_!AU22,EL_DEL_CD2_SBI_7_8_!AU22,EL_DEL_CD2_SBI_9_10_!AU22,EL_DEL_CD2_STAB_!AU22,EL_DEL_CD2_JO_L_!AU22,EL_DEL_CD2_SBI_L_1_4_!AU22,EL_DEL_CD2_SBI_L_5_6_!AU22,EL_DEL_CD2_SBI_L_7_8_!AU22,EL_DEL_CD2_SBI_L_9_10_!AU22,EL_DEL_CD2_L_STAB_!AU22)</f>
        <v>0</v>
      </c>
      <c r="AV22" s="98">
        <f>+SUM(EL_DEL_CD2_JO_!AV22,EL_DEL_CD2_SBI_1_4_!AV22,EL_DEL_CD2_SBI_5_6_!AV22,EL_DEL_CD2_SBI_7_8_!AV22,EL_DEL_CD2_SBI_9_10_!AV22,EL_DEL_CD2_STAB_!AV22,EL_DEL_CD2_JO_L_!AV22,EL_DEL_CD2_SBI_L_1_4_!AV22,EL_DEL_CD2_SBI_L_5_6_!AV22,EL_DEL_CD2_SBI_L_7_8_!AV22,EL_DEL_CD2_SBI_L_9_10_!AV22,EL_DEL_CD2_L_STAB_!AV22)</f>
        <v>0</v>
      </c>
      <c r="AW22" s="167">
        <f>+SUM(EL_DEL_CD2_JO_!AW22,EL_DEL_CD2_SBI_1_4_!AW22,EL_DEL_CD2_SBI_5_6_!AW22,EL_DEL_CD2_SBI_7_8_!AW22,EL_DEL_CD2_SBI_9_10_!AW22,EL_DEL_CD2_STAB_!AW22,EL_DEL_CD2_JO_L_!AW22,EL_DEL_CD2_SBI_L_1_4_!AW22,EL_DEL_CD2_SBI_L_5_6_!AW22,EL_DEL_CD2_SBI_L_7_8_!AW22,EL_DEL_CD2_SBI_L_9_10_!AW22,EL_DEL_CD2_L_STAB_!AW22)</f>
        <v>0</v>
      </c>
      <c r="AX22" s="102" t="str">
        <f t="shared" si="24"/>
        <v>-</v>
      </c>
      <c r="AY22" s="151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51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31"/>
        <v/>
      </c>
      <c r="BH22" s="119" t="str">
        <f t="shared" si="8"/>
        <v/>
      </c>
      <c r="BI22" s="120" t="str">
        <f t="shared" si="25"/>
        <v/>
      </c>
      <c r="BJ22" s="151"/>
      <c r="BK22" s="121" t="str">
        <f t="shared" si="9"/>
        <v/>
      </c>
      <c r="BL22" s="122" t="str">
        <f t="shared" si="10"/>
        <v/>
      </c>
      <c r="BM22" s="122" t="str">
        <f t="shared" si="11"/>
        <v/>
      </c>
      <c r="BN22" s="123" t="str">
        <f t="shared" si="12"/>
        <v/>
      </c>
      <c r="BO22" s="151"/>
      <c r="BP22" s="124" t="str">
        <f t="shared" si="13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4"/>
        <v/>
      </c>
      <c r="BU22" s="151"/>
      <c r="BV22" s="127" t="e">
        <f t="shared" si="15"/>
        <v>#DIV/0!</v>
      </c>
      <c r="BW22" s="127" t="e">
        <f t="shared" si="16"/>
        <v>#DIV/0!</v>
      </c>
      <c r="BX22" s="127" t="e">
        <f t="shared" si="17"/>
        <v>#DIV/0!</v>
      </c>
      <c r="BY22" s="127" t="e">
        <f t="shared" si="18"/>
        <v>#DIV/0!</v>
      </c>
      <c r="BZ22" s="127" t="e">
        <f t="shared" si="28"/>
        <v>#DIV/0!</v>
      </c>
      <c r="CA22" s="128" t="e">
        <f t="shared" si="29"/>
        <v>#DIV/0!</v>
      </c>
      <c r="CB22" s="151"/>
      <c r="CC22" s="129" t="str">
        <f t="shared" si="19"/>
        <v>-</v>
      </c>
      <c r="CD22" s="130" t="str">
        <f t="shared" si="20"/>
        <v>-</v>
      </c>
      <c r="CE22" s="130" t="str">
        <f t="shared" si="21"/>
        <v>-</v>
      </c>
      <c r="CF22" s="130" t="str">
        <f t="shared" si="22"/>
        <v>-</v>
      </c>
      <c r="CG22" s="131" t="str">
        <f t="shared" si="23"/>
        <v>-</v>
      </c>
      <c r="CH22" s="151"/>
    </row>
    <row r="23" spans="1:86" s="115" customFormat="1" ht="12.4" customHeight="1" thickBot="1" x14ac:dyDescent="0.25">
      <c r="A23" s="96">
        <f t="shared" si="30"/>
        <v>46315</v>
      </c>
      <c r="B23" s="97" t="str">
        <f t="shared" si="0"/>
        <v>Tue</v>
      </c>
      <c r="C23" s="98">
        <f>+SUM(EL_DEL_CD2_JO_!C23,EL_DEL_CD2_SBI_1_4_!C23,EL_DEL_CD2_SBI_5_6_!C23,EL_DEL_CD2_SBI_7_8_!C23,EL_DEL_CD2_SBI_9_10_!C23,EL_DEL_CD2_STAB_!C23,EL_DEL_CD2_JO_L_!C23,EL_DEL_CD2_SBI_L_1_4_!C23,EL_DEL_CD2_SBI_L_5_6_!C23,EL_DEL_CD2_SBI_L_7_8_!C23,EL_DEL_CD2_SBI_L_9_10_!C23,EL_DEL_CD2_L_STAB_!C23)</f>
        <v>0</v>
      </c>
      <c r="D23" s="98">
        <f>+SUM(EL_DEL_CD2_JO_!D23,EL_DEL_CD2_SBI_1_4_!D23,EL_DEL_CD2_SBI_5_6_!D23,EL_DEL_CD2_SBI_7_8_!D23,EL_DEL_CD2_SBI_9_10_!D23,EL_DEL_CD2_STAB_!D23,EL_DEL_CD2_JO_L_!D23,EL_DEL_CD2_SBI_L_1_4_!D23,EL_DEL_CD2_SBI_L_5_6_!D23,EL_DEL_CD2_SBI_L_7_8_!D23,EL_DEL_CD2_SBI_L_9_10_!D23,EL_DEL_CD2_L_STAB_!D23)</f>
        <v>0</v>
      </c>
      <c r="E23" s="98">
        <f>+SUM(EL_DEL_CD2_JO_!E23,EL_DEL_CD2_SBI_1_4_!E23,EL_DEL_CD2_SBI_5_6_!E23,EL_DEL_CD2_SBI_7_8_!E23,EL_DEL_CD2_SBI_9_10_!E23,EL_DEL_CD2_STAB_!E23,EL_DEL_CD2_JO_L_!E23,EL_DEL_CD2_SBI_L_1_4_!E23,EL_DEL_CD2_SBI_L_5_6_!E23,EL_DEL_CD2_SBI_L_7_8_!E23,EL_DEL_CD2_SBI_L_9_10_!E23,EL_DEL_CD2_L_STAB_!E23)</f>
        <v>0</v>
      </c>
      <c r="F23" s="98">
        <f>+SUM(EL_DEL_CD2_JO_!F23,EL_DEL_CD2_SBI_1_4_!F23,EL_DEL_CD2_SBI_5_6_!F23,EL_DEL_CD2_SBI_7_8_!F23,EL_DEL_CD2_SBI_9_10_!F23,EL_DEL_CD2_STAB_!F23,EL_DEL_CD2_JO_L_!F23,EL_DEL_CD2_SBI_L_1_4_!F23,EL_DEL_CD2_SBI_L_5_6_!F23,EL_DEL_CD2_SBI_L_7_8_!F23,EL_DEL_CD2_SBI_L_9_10_!F23,EL_DEL_CD2_L_STAB_!F23)</f>
        <v>0</v>
      </c>
      <c r="G23" s="98">
        <f>+SUM(EL_DEL_CD2_JO_!G23,EL_DEL_CD2_SBI_1_4_!G23,EL_DEL_CD2_SBI_5_6_!G23,EL_DEL_CD2_SBI_7_8_!G23,EL_DEL_CD2_SBI_9_10_!G23,EL_DEL_CD2_STAB_!G23,EL_DEL_CD2_JO_L_!G23,EL_DEL_CD2_SBI_L_1_4_!G23,EL_DEL_CD2_SBI_L_5_6_!G23,EL_DEL_CD2_SBI_L_7_8_!G23,EL_DEL_CD2_SBI_L_9_10_!G23,EL_DEL_CD2_L_STAB_!G23)</f>
        <v>0</v>
      </c>
      <c r="H23" s="98">
        <f>+SUM(EL_DEL_CD2_JO_!H23,EL_DEL_CD2_SBI_1_4_!H23,EL_DEL_CD2_SBI_5_6_!H23,EL_DEL_CD2_SBI_7_8_!H23,EL_DEL_CD2_SBI_9_10_!H23,EL_DEL_CD2_STAB_!H23,EL_DEL_CD2_JO_L_!H23,EL_DEL_CD2_SBI_L_1_4_!H23,EL_DEL_CD2_SBI_L_5_6_!H23,EL_DEL_CD2_SBI_L_7_8_!H23,EL_DEL_CD2_SBI_L_9_10_!H23,EL_DEL_CD2_L_STAB_!H23)</f>
        <v>0</v>
      </c>
      <c r="I23" s="98">
        <f>+SUM(EL_DEL_CD2_JO_!I23,EL_DEL_CD2_SBI_1_4_!I23,EL_DEL_CD2_SBI_5_6_!I23,EL_DEL_CD2_SBI_7_8_!I23,EL_DEL_CD2_SBI_9_10_!I23,EL_DEL_CD2_STAB_!I23,EL_DEL_CD2_JO_L_!I23,EL_DEL_CD2_SBI_L_1_4_!I23,EL_DEL_CD2_SBI_L_5_6_!I23,EL_DEL_CD2_SBI_L_7_8_!I23,EL_DEL_CD2_SBI_L_9_10_!I23,EL_DEL_CD2_L_STAB_!I23)</f>
        <v>0</v>
      </c>
      <c r="J23" s="98">
        <f>+SUM(EL_DEL_CD2_JO_!J23,EL_DEL_CD2_SBI_1_4_!J23,EL_DEL_CD2_SBI_5_6_!J23,EL_DEL_CD2_SBI_7_8_!J23,EL_DEL_CD2_SBI_9_10_!J23,EL_DEL_CD2_STAB_!J23,EL_DEL_CD2_JO_L_!J23,EL_DEL_CD2_SBI_L_1_4_!J23,EL_DEL_CD2_SBI_L_5_6_!J23,EL_DEL_CD2_SBI_L_7_8_!J23,EL_DEL_CD2_SBI_L_9_10_!J23,EL_DEL_CD2_L_STAB_!J23)</f>
        <v>0</v>
      </c>
      <c r="K23" s="98">
        <f>+SUM(EL_DEL_CD2_JO_!K23,EL_DEL_CD2_SBI_1_4_!K23,EL_DEL_CD2_SBI_5_6_!K23,EL_DEL_CD2_SBI_7_8_!K23,EL_DEL_CD2_SBI_9_10_!K23,EL_DEL_CD2_STAB_!K23,EL_DEL_CD2_JO_L_!K23,EL_DEL_CD2_SBI_L_1_4_!K23,EL_DEL_CD2_SBI_L_5_6_!K23,EL_DEL_CD2_SBI_L_7_8_!K23,EL_DEL_CD2_SBI_L_9_10_!K23,EL_DEL_CD2_L_STAB_!K23)</f>
        <v>0</v>
      </c>
      <c r="L23" s="98">
        <f>+SUM(EL_DEL_CD2_JO_!L23,EL_DEL_CD2_SBI_1_4_!L23,EL_DEL_CD2_SBI_5_6_!L23,EL_DEL_CD2_SBI_7_8_!L23,EL_DEL_CD2_SBI_9_10_!L23,EL_DEL_CD2_STAB_!L23,EL_DEL_CD2_JO_L_!L23,EL_DEL_CD2_SBI_L_1_4_!L23,EL_DEL_CD2_SBI_L_5_6_!L23,EL_DEL_CD2_SBI_L_7_8_!L23,EL_DEL_CD2_SBI_L_9_10_!L23,EL_DEL_CD2_L_STAB_!L23)</f>
        <v>0</v>
      </c>
      <c r="M23" s="98">
        <f>+SUM(EL_DEL_CD2_JO_!M23,EL_DEL_CD2_SBI_1_4_!M23,EL_DEL_CD2_SBI_5_6_!M23,EL_DEL_CD2_SBI_7_8_!M23,EL_DEL_CD2_SBI_9_10_!M23,EL_DEL_CD2_STAB_!M23,EL_DEL_CD2_JO_L_!M23,EL_DEL_CD2_SBI_L_1_4_!M23,EL_DEL_CD2_SBI_L_5_6_!M23,EL_DEL_CD2_SBI_L_7_8_!M23,EL_DEL_CD2_SBI_L_9_10_!M23,EL_DEL_CD2_L_STAB_!M23)</f>
        <v>0</v>
      </c>
      <c r="N23" s="98">
        <f>+SUM(EL_DEL_CD2_JO_!N23,EL_DEL_CD2_SBI_1_4_!N23,EL_DEL_CD2_SBI_5_6_!N23,EL_DEL_CD2_SBI_7_8_!N23,EL_DEL_CD2_SBI_9_10_!N23,EL_DEL_CD2_STAB_!N23,EL_DEL_CD2_JO_L_!N23,EL_DEL_CD2_SBI_L_1_4_!N23,EL_DEL_CD2_SBI_L_5_6_!N23,EL_DEL_CD2_SBI_L_7_8_!N23,EL_DEL_CD2_SBI_L_9_10_!N23,EL_DEL_CD2_L_STAB_!N23)</f>
        <v>0</v>
      </c>
      <c r="O23" s="98">
        <f>+SUM(EL_DEL_CD2_JO_!O23,EL_DEL_CD2_SBI_1_4_!O23,EL_DEL_CD2_SBI_5_6_!O23,EL_DEL_CD2_SBI_7_8_!O23,EL_DEL_CD2_SBI_9_10_!O23,EL_DEL_CD2_STAB_!O23,EL_DEL_CD2_JO_L_!O23,EL_DEL_CD2_SBI_L_1_4_!O23,EL_DEL_CD2_SBI_L_5_6_!O23,EL_DEL_CD2_SBI_L_7_8_!O23,EL_DEL_CD2_SBI_L_9_10_!O23,EL_DEL_CD2_L_STAB_!O23)</f>
        <v>0</v>
      </c>
      <c r="P23" s="98">
        <f>+SUM(EL_DEL_CD2_JO_!P23,EL_DEL_CD2_SBI_1_4_!P23,EL_DEL_CD2_SBI_5_6_!P23,EL_DEL_CD2_SBI_7_8_!P23,EL_DEL_CD2_SBI_9_10_!P23,EL_DEL_CD2_STAB_!P23,EL_DEL_CD2_JO_L_!P23,EL_DEL_CD2_SBI_L_1_4_!P23,EL_DEL_CD2_SBI_L_5_6_!P23,EL_DEL_CD2_SBI_L_7_8_!P23,EL_DEL_CD2_SBI_L_9_10_!P23,EL_DEL_CD2_L_STAB_!P23)</f>
        <v>0</v>
      </c>
      <c r="Q23" s="98">
        <f>+SUM(EL_DEL_CD2_JO_!Q23,EL_DEL_CD2_SBI_1_4_!Q23,EL_DEL_CD2_SBI_5_6_!Q23,EL_DEL_CD2_SBI_7_8_!Q23,EL_DEL_CD2_SBI_9_10_!Q23,EL_DEL_CD2_STAB_!Q23,EL_DEL_CD2_JO_L_!Q23,EL_DEL_CD2_SBI_L_1_4_!Q23,EL_DEL_CD2_SBI_L_5_6_!Q23,EL_DEL_CD2_SBI_L_7_8_!Q23,EL_DEL_CD2_SBI_L_9_10_!Q23,EL_DEL_CD2_L_STAB_!Q23)</f>
        <v>0</v>
      </c>
      <c r="R23" s="98">
        <f>+SUM(EL_DEL_CD2_JO_!R23,EL_DEL_CD2_SBI_1_4_!R23,EL_DEL_CD2_SBI_5_6_!R23,EL_DEL_CD2_SBI_7_8_!R23,EL_DEL_CD2_SBI_9_10_!R23,EL_DEL_CD2_STAB_!R23,EL_DEL_CD2_JO_L_!R23,EL_DEL_CD2_SBI_L_1_4_!R23,EL_DEL_CD2_SBI_L_5_6_!R23,EL_DEL_CD2_SBI_L_7_8_!R23,EL_DEL_CD2_SBI_L_9_10_!R23,EL_DEL_CD2_L_STAB_!R23)</f>
        <v>0</v>
      </c>
      <c r="S23" s="98">
        <f>+SUM(EL_DEL_CD2_JO_!S23,EL_DEL_CD2_SBI_1_4_!S23,EL_DEL_CD2_SBI_5_6_!S23,EL_DEL_CD2_SBI_7_8_!S23,EL_DEL_CD2_SBI_9_10_!S23,EL_DEL_CD2_STAB_!S23,EL_DEL_CD2_JO_L_!S23,EL_DEL_CD2_SBI_L_1_4_!S23,EL_DEL_CD2_SBI_L_5_6_!S23,EL_DEL_CD2_SBI_L_7_8_!S23,EL_DEL_CD2_SBI_L_9_10_!S23,EL_DEL_CD2_L_STAB_!S23)</f>
        <v>0</v>
      </c>
      <c r="T23" s="98">
        <f>+SUM(EL_DEL_CD2_JO_!T23,EL_DEL_CD2_SBI_1_4_!T23,EL_DEL_CD2_SBI_5_6_!T23,EL_DEL_CD2_SBI_7_8_!T23,EL_DEL_CD2_SBI_9_10_!T23,EL_DEL_CD2_STAB_!T23,EL_DEL_CD2_JO_L_!T23,EL_DEL_CD2_SBI_L_1_4_!T23,EL_DEL_CD2_SBI_L_5_6_!T23,EL_DEL_CD2_SBI_L_7_8_!T23,EL_DEL_CD2_SBI_L_9_10_!T23,EL_DEL_CD2_L_STAB_!T23)</f>
        <v>0</v>
      </c>
      <c r="U23" s="98">
        <f>+SUM(EL_DEL_CD2_JO_!U23,EL_DEL_CD2_SBI_1_4_!U23,EL_DEL_CD2_SBI_5_6_!U23,EL_DEL_CD2_SBI_7_8_!U23,EL_DEL_CD2_SBI_9_10_!U23,EL_DEL_CD2_STAB_!U23,EL_DEL_CD2_JO_L_!U23,EL_DEL_CD2_SBI_L_1_4_!U23,EL_DEL_CD2_SBI_L_5_6_!U23,EL_DEL_CD2_SBI_L_7_8_!U23,EL_DEL_CD2_SBI_L_9_10_!U23,EL_DEL_CD2_L_STAB_!U23)</f>
        <v>0</v>
      </c>
      <c r="V23" s="98">
        <f>+SUM(EL_DEL_CD2_JO_!V23,EL_DEL_CD2_SBI_1_4_!V23,EL_DEL_CD2_SBI_5_6_!V23,EL_DEL_CD2_SBI_7_8_!V23,EL_DEL_CD2_SBI_9_10_!V23,EL_DEL_CD2_STAB_!V23,EL_DEL_CD2_JO_L_!V23,EL_DEL_CD2_SBI_L_1_4_!V23,EL_DEL_CD2_SBI_L_5_6_!V23,EL_DEL_CD2_SBI_L_7_8_!V23,EL_DEL_CD2_SBI_L_9_10_!V23,EL_DEL_CD2_L_STAB_!V23)</f>
        <v>0</v>
      </c>
      <c r="W23" s="98">
        <f>+SUM(EL_DEL_CD2_JO_!W23,EL_DEL_CD2_SBI_1_4_!W23,EL_DEL_CD2_SBI_5_6_!W23,EL_DEL_CD2_SBI_7_8_!W23,EL_DEL_CD2_SBI_9_10_!W23,EL_DEL_CD2_STAB_!W23,EL_DEL_CD2_JO_L_!W23,EL_DEL_CD2_SBI_L_1_4_!W23,EL_DEL_CD2_SBI_L_5_6_!W23,EL_DEL_CD2_SBI_L_7_8_!W23,EL_DEL_CD2_SBI_L_9_10_!W23,EL_DEL_CD2_L_STAB_!W23)</f>
        <v>0</v>
      </c>
      <c r="X23" s="98">
        <f>+SUM(EL_DEL_CD2_JO_!X23,EL_DEL_CD2_SBI_1_4_!X23,EL_DEL_CD2_SBI_5_6_!X23,EL_DEL_CD2_SBI_7_8_!X23,EL_DEL_CD2_SBI_9_10_!X23,EL_DEL_CD2_STAB_!X23,EL_DEL_CD2_JO_L_!X23,EL_DEL_CD2_SBI_L_1_4_!X23,EL_DEL_CD2_SBI_L_5_6_!X23,EL_DEL_CD2_SBI_L_7_8_!X23,EL_DEL_CD2_SBI_L_9_10_!X23,EL_DEL_CD2_L_STAB_!X23)</f>
        <v>0</v>
      </c>
      <c r="Y23" s="98">
        <f>+SUM(EL_DEL_CD2_JO_!Y23,EL_DEL_CD2_SBI_1_4_!Y23,EL_DEL_CD2_SBI_5_6_!Y23,EL_DEL_CD2_SBI_7_8_!Y23,EL_DEL_CD2_SBI_9_10_!Y23,EL_DEL_CD2_STAB_!Y23,EL_DEL_CD2_JO_L_!Y23,EL_DEL_CD2_SBI_L_1_4_!Y23,EL_DEL_CD2_SBI_L_5_6_!Y23,EL_DEL_CD2_SBI_L_7_8_!Y23,EL_DEL_CD2_SBI_L_9_10_!Y23,EL_DEL_CD2_L_STAB_!Y23)</f>
        <v>0</v>
      </c>
      <c r="Z23" s="98">
        <f>+SUM(EL_DEL_CD2_JO_!Z23,EL_DEL_CD2_SBI_1_4_!Z23,EL_DEL_CD2_SBI_5_6_!Z23,EL_DEL_CD2_SBI_7_8_!Z23,EL_DEL_CD2_SBI_9_10_!Z23,EL_DEL_CD2_STAB_!Z23,EL_DEL_CD2_JO_L_!Z23,EL_DEL_CD2_SBI_L_1_4_!Z23,EL_DEL_CD2_SBI_L_5_6_!Z23,EL_DEL_CD2_SBI_L_7_8_!Z23,EL_DEL_CD2_SBI_L_9_10_!Z23,EL_DEL_CD2_L_STAB_!Z23)</f>
        <v>0</v>
      </c>
      <c r="AA23" s="98">
        <f>+SUM(EL_DEL_CD2_JO_!AA23,EL_DEL_CD2_SBI_1_4_!AA23,EL_DEL_CD2_SBI_5_6_!AA23,EL_DEL_CD2_SBI_7_8_!AA23,EL_DEL_CD2_SBI_9_10_!AA23,EL_DEL_CD2_STAB_!AA23,EL_DEL_CD2_JO_L_!AA23,EL_DEL_CD2_SBI_L_1_4_!AA23,EL_DEL_CD2_SBI_L_5_6_!AA23,EL_DEL_CD2_SBI_L_7_8_!AA23,EL_DEL_CD2_SBI_L_9_10_!AA23,EL_DEL_CD2_L_STAB_!AA23)</f>
        <v>0</v>
      </c>
      <c r="AB23" s="98">
        <f>+SUM(EL_DEL_CD2_JO_!AB23,EL_DEL_CD2_SBI_1_4_!AB23,EL_DEL_CD2_SBI_5_6_!AB23,EL_DEL_CD2_SBI_7_8_!AB23,EL_DEL_CD2_SBI_9_10_!AB23,EL_DEL_CD2_STAB_!AB23,EL_DEL_CD2_JO_L_!AB23,EL_DEL_CD2_SBI_L_1_4_!AB23,EL_DEL_CD2_SBI_L_5_6_!AB23,EL_DEL_CD2_SBI_L_7_8_!AB23,EL_DEL_CD2_SBI_L_9_10_!AB23,EL_DEL_CD2_L_STAB_!AB23)</f>
        <v>0</v>
      </c>
      <c r="AC23" s="98">
        <f>+SUM(EL_DEL_CD2_JO_!AC23,EL_DEL_CD2_SBI_1_4_!AC23,EL_DEL_CD2_SBI_5_6_!AC23,EL_DEL_CD2_SBI_7_8_!AC23,EL_DEL_CD2_SBI_9_10_!AC23,EL_DEL_CD2_STAB_!AC23,EL_DEL_CD2_JO_L_!AC23,EL_DEL_CD2_SBI_L_1_4_!AC23,EL_DEL_CD2_SBI_L_5_6_!AC23,EL_DEL_CD2_SBI_L_7_8_!AC23,EL_DEL_CD2_SBI_L_9_10_!AC23,EL_DEL_CD2_L_STAB_!AC23)</f>
        <v>0</v>
      </c>
      <c r="AD23" s="98">
        <f>+SUM(EL_DEL_CD2_JO_!AD23,EL_DEL_CD2_SBI_1_4_!AD23,EL_DEL_CD2_SBI_5_6_!AD23,EL_DEL_CD2_SBI_7_8_!AD23,EL_DEL_CD2_SBI_9_10_!AD23,EL_DEL_CD2_STAB_!AD23,EL_DEL_CD2_JO_L_!AD23,EL_DEL_CD2_SBI_L_1_4_!AD23,EL_DEL_CD2_SBI_L_5_6_!AD23,EL_DEL_CD2_SBI_L_7_8_!AD23,EL_DEL_CD2_SBI_L_9_10_!AD23,EL_DEL_CD2_L_STAB_!AD23)</f>
        <v>0</v>
      </c>
      <c r="AE23" s="98">
        <f>+SUM(EL_DEL_CD2_JO_!AE23,EL_DEL_CD2_SBI_1_4_!AE23,EL_DEL_CD2_SBI_5_6_!AE23,EL_DEL_CD2_SBI_7_8_!AE23,EL_DEL_CD2_SBI_9_10_!AE23,EL_DEL_CD2_STAB_!AE23,EL_DEL_CD2_JO_L_!AE23,EL_DEL_CD2_SBI_L_1_4_!AE23,EL_DEL_CD2_SBI_L_5_6_!AE23,EL_DEL_CD2_SBI_L_7_8_!AE23,EL_DEL_CD2_SBI_L_9_10_!AE23,EL_DEL_CD2_L_STAB_!AE23)</f>
        <v>0</v>
      </c>
      <c r="AF23" s="98">
        <f>+SUM(EL_DEL_CD2_JO_!AF23,EL_DEL_CD2_SBI_1_4_!AF23,EL_DEL_CD2_SBI_5_6_!AF23,EL_DEL_CD2_SBI_7_8_!AF23,EL_DEL_CD2_SBI_9_10_!AF23,EL_DEL_CD2_STAB_!AF23,EL_DEL_CD2_JO_L_!AF23,EL_DEL_CD2_SBI_L_1_4_!AF23,EL_DEL_CD2_SBI_L_5_6_!AF23,EL_DEL_CD2_SBI_L_7_8_!AF23,EL_DEL_CD2_SBI_L_9_10_!AF23,EL_DEL_CD2_L_STAB_!AF23)</f>
        <v>0</v>
      </c>
      <c r="AG23" s="98">
        <f>+SUM(EL_DEL_CD2_JO_!AG23,EL_DEL_CD2_SBI_1_4_!AG23,EL_DEL_CD2_SBI_5_6_!AG23,EL_DEL_CD2_SBI_7_8_!AG23,EL_DEL_CD2_SBI_9_10_!AG23,EL_DEL_CD2_STAB_!AG23,EL_DEL_CD2_JO_L_!AG23,EL_DEL_CD2_SBI_L_1_4_!AG23,EL_DEL_CD2_SBI_L_5_6_!AG23,EL_DEL_CD2_SBI_L_7_8_!AG23,EL_DEL_CD2_SBI_L_9_10_!AG23,EL_DEL_CD2_L_STAB_!AG23)</f>
        <v>0</v>
      </c>
      <c r="AH23" s="98">
        <f>+SUM(EL_DEL_CD2_JO_!AH23,EL_DEL_CD2_SBI_1_4_!AH23,EL_DEL_CD2_SBI_5_6_!AH23,EL_DEL_CD2_SBI_7_8_!AH23,EL_DEL_CD2_SBI_9_10_!AH23,EL_DEL_CD2_STAB_!AH23,EL_DEL_CD2_JO_L_!AH23,EL_DEL_CD2_SBI_L_1_4_!AH23,EL_DEL_CD2_SBI_L_5_6_!AH23,EL_DEL_CD2_SBI_L_7_8_!AH23,EL_DEL_CD2_SBI_L_9_10_!AH23,EL_DEL_CD2_L_STAB_!AH23)</f>
        <v>0</v>
      </c>
      <c r="AI23" s="98">
        <f>+SUM(EL_DEL_CD2_JO_!AI23,EL_DEL_CD2_SBI_1_4_!AI23,EL_DEL_CD2_SBI_5_6_!AI23,EL_DEL_CD2_SBI_7_8_!AI23,EL_DEL_CD2_SBI_9_10_!AI23,EL_DEL_CD2_STAB_!AI23,EL_DEL_CD2_JO_L_!AI23,EL_DEL_CD2_SBI_L_1_4_!AI23,EL_DEL_CD2_SBI_L_5_6_!AI23,EL_DEL_CD2_SBI_L_7_8_!AI23,EL_DEL_CD2_SBI_L_9_10_!AI23,EL_DEL_CD2_L_STAB_!AI23)</f>
        <v>0</v>
      </c>
      <c r="AJ23" s="98">
        <f>+SUM(EL_DEL_CD2_JO_!AJ23,EL_DEL_CD2_SBI_1_4_!AJ23,EL_DEL_CD2_SBI_5_6_!AJ23,EL_DEL_CD2_SBI_7_8_!AJ23,EL_DEL_CD2_SBI_9_10_!AJ23,EL_DEL_CD2_STAB_!AJ23,EL_DEL_CD2_JO_L_!AJ23,EL_DEL_CD2_SBI_L_1_4_!AJ23,EL_DEL_CD2_SBI_L_5_6_!AJ23,EL_DEL_CD2_SBI_L_7_8_!AJ23,EL_DEL_CD2_SBI_L_9_10_!AJ23,EL_DEL_CD2_L_STAB_!AJ23)</f>
        <v>0</v>
      </c>
      <c r="AK23" s="98">
        <f>+SUM(EL_DEL_CD2_JO_!AK23,EL_DEL_CD2_SBI_1_4_!AK23,EL_DEL_CD2_SBI_5_6_!AK23,EL_DEL_CD2_SBI_7_8_!AK23,EL_DEL_CD2_SBI_9_10_!AK23,EL_DEL_CD2_STAB_!AK23,EL_DEL_CD2_JO_L_!AK23,EL_DEL_CD2_SBI_L_1_4_!AK23,EL_DEL_CD2_SBI_L_5_6_!AK23,EL_DEL_CD2_SBI_L_7_8_!AK23,EL_DEL_CD2_SBI_L_9_10_!AK23,EL_DEL_CD2_L_STAB_!AK23)</f>
        <v>0</v>
      </c>
      <c r="AL23" s="152" t="str">
        <f>+IFERROR(AVERAGE(EL_DEL_CD2_JO_!AL23,EL_DEL_CD2_SBI_1_4_!AL23,EL_DEL_CD2_SBI_5_6_!AL23,EL_DEL_CD2_SBI_7_8_!AL23,EL_DEL_CD2_SBI_9_10_!AL23,EL_DEL_CD2_STAB_!AL23,EL_DEL_CD2_JO_L_!AL23,EL_DEL_CD2_SBI_L_1_4_!AL23,EL_DEL_CD2_SBI_L_5_6_!AL23,EL_DEL_CD2_SBI_L_7_8_!AL23,EL_DEL_CD2_SBI_L_9_10_!AL23,EL_DEL_CD2_L_STAB_!AL23),"0:00")</f>
        <v>0:00</v>
      </c>
      <c r="AM23" s="152" t="str">
        <f>+IFERROR(AVERAGE(EL_DEL_CD2_JO_!AM23,EL_DEL_CD2_SBI_1_4_!AM23,EL_DEL_CD2_SBI_5_6_!AM23,EL_DEL_CD2_SBI_7_8_!AM23,EL_DEL_CD2_SBI_9_10_!AM23,EL_DEL_CD2_STAB_!AM23,EL_DEL_CD2_JO_L_!AM23,EL_DEL_CD2_SBI_L_1_4_!AM23,EL_DEL_CD2_SBI_L_5_6_!AM23,EL_DEL_CD2_SBI_L_7_8_!AM23,EL_DEL_CD2_SBI_L_9_10_!AM23,EL_DEL_CD2_L_STAB_!AM23),"0:00")</f>
        <v>0:00</v>
      </c>
      <c r="AN23" s="152" t="str">
        <f>+IFERROR(AVERAGE(EL_DEL_CD2_JO_!AN23,EL_DEL_CD2_SBI_1_4_!AN23,EL_DEL_CD2_SBI_5_6_!AN23,EL_DEL_CD2_SBI_7_8_!AN23,EL_DEL_CD2_SBI_9_10_!AN23,EL_DEL_CD2_STAB_!AN23,EL_DEL_CD2_JO_L_!AN23,EL_DEL_CD2_SBI_L_1_4_!AN23,EL_DEL_CD2_SBI_L_5_6_!AN23,EL_DEL_CD2_SBI_L_7_8_!AN23,EL_DEL_CD2_SBI_L_9_10_!AN23,EL_DEL_CD2_L_STAB_!AN23),"0:00")</f>
        <v>0:00</v>
      </c>
      <c r="AO23" s="152" t="str">
        <f>+IFERROR(AVERAGE(EL_DEL_CD2_JO_!AO23,EL_DEL_CD2_SBI_1_4_!AO23,EL_DEL_CD2_SBI_5_6_!AO23,EL_DEL_CD2_SBI_7_8_!AO23,EL_DEL_CD2_SBI_9_10_!AO23,EL_DEL_CD2_STAB_!AO23,EL_DEL_CD2_JO_L_!AO23,EL_DEL_CD2_SBI_L_1_4_!AO23,EL_DEL_CD2_SBI_L_5_6_!AO23,EL_DEL_CD2_SBI_L_7_8_!AO23,EL_DEL_CD2_SBI_L_9_10_!AO23,EL_DEL_CD2_L_STAB_!AO23),"0:00")</f>
        <v>0:00</v>
      </c>
      <c r="AP23" s="98" t="str">
        <f>+IFERROR(AVERAGE(EL_DEL_CD2_JO_!AP23,EL_DEL_CD2_SBI_1_4_!AP23,EL_DEL_CD2_SBI_5_6_!AP23,EL_DEL_CD2_SBI_7_8_!AP23,EL_DEL_CD2_SBI_9_10_!AP23,EL_DEL_CD2_STAB_!AP23,EL_DEL_CD2_JO_L_!AP23,EL_DEL_CD2_SBI_L_1_4_!AP23,EL_DEL_CD2_SBI_L_5_6_!AP23,EL_DEL_CD2_SBI_L_7_8_!AP23,EL_DEL_CD2_SBI_L_9_10_!AP23,EL_DEL_CD2_L_STAB_!AP23),"0:00")</f>
        <v>0:00</v>
      </c>
      <c r="AQ23" s="152" t="str">
        <f>+IFERROR(AVERAGE(EL_DEL_CD2_JO_!AQ23,EL_DEL_CD2_SBI_1_4_!AQ23,EL_DEL_CD2_SBI_5_6_!AQ23,EL_DEL_CD2_SBI_7_8_!AQ23,EL_DEL_CD2_SBI_9_10_!AQ23,EL_DEL_CD2_STAB_!AQ23,EL_DEL_CD2_JO_L_!AQ23,EL_DEL_CD2_SBI_L_1_4_!AQ23,EL_DEL_CD2_SBI_L_5_6_!AQ23,EL_DEL_CD2_SBI_L_7_8_!AQ23,EL_DEL_CD2_SBI_L_9_10_!AQ23,EL_DEL_CD2_L_STAB_!AQ23),"0:00")</f>
        <v>0:00</v>
      </c>
      <c r="AR23" s="152" t="str">
        <f>+IFERROR(AVERAGE(EL_DEL_CD2_JO_!AR23,EL_DEL_CD2_SBI_1_4_!AR23,EL_DEL_CD2_SBI_5_6_!AR23,EL_DEL_CD2_SBI_7_8_!AR23,EL_DEL_CD2_SBI_9_10_!AR23,EL_DEL_CD2_STAB_!AR23,EL_DEL_CD2_JO_L_!AR23,EL_DEL_CD2_SBI_L_1_4_!AR23,EL_DEL_CD2_SBI_L_5_6_!AR23,EL_DEL_CD2_SBI_L_7_8_!AR23,EL_DEL_CD2_SBI_L_9_10_!AR23,EL_DEL_CD2_L_STAB_!AR23),"0:00")</f>
        <v>0:00</v>
      </c>
      <c r="AS23" s="152" t="str">
        <f>+IFERROR(AVERAGE(EL_DEL_CD2_JO_!AS23,EL_DEL_CD2_SBI_1_4_!AS23,EL_DEL_CD2_SBI_5_6_!AS23,EL_DEL_CD2_SBI_7_8_!AS23,EL_DEL_CD2_SBI_9_10_!AS23,EL_DEL_CD2_STAB_!AS23,EL_DEL_CD2_JO_L_!AS23,EL_DEL_CD2_SBI_L_1_4_!AS23,EL_DEL_CD2_SBI_L_5_6_!AS23,EL_DEL_CD2_SBI_L_7_8_!AS23,EL_DEL_CD2_SBI_L_9_10_!AS23,EL_DEL_CD2_L_STAB_!AS23),"0:00")</f>
        <v>0:00</v>
      </c>
      <c r="AT23" s="98">
        <f>+SUM(EL_DEL_CD2_JO_!AT23,EL_DEL_CD2_SBI_1_4_!AT23,EL_DEL_CD2_SBI_5_6_!AT23,EL_DEL_CD2_SBI_7_8_!AT23,EL_DEL_CD2_SBI_9_10_!AT23,EL_DEL_CD2_STAB_!AT23,EL_DEL_CD2_JO_L_!AT23,EL_DEL_CD2_SBI_L_1_4_!AT23,EL_DEL_CD2_SBI_L_5_6_!AT23,EL_DEL_CD2_SBI_L_7_8_!AT23,EL_DEL_CD2_SBI_L_9_10_!AT23,EL_DEL_CD2_L_STAB_!AT23)</f>
        <v>0</v>
      </c>
      <c r="AU23" s="98">
        <f>+SUM(EL_DEL_CD2_JO_!AU23,EL_DEL_CD2_SBI_1_4_!AU23,EL_DEL_CD2_SBI_5_6_!AU23,EL_DEL_CD2_SBI_7_8_!AU23,EL_DEL_CD2_SBI_9_10_!AU23,EL_DEL_CD2_STAB_!AU23,EL_DEL_CD2_JO_L_!AU23,EL_DEL_CD2_SBI_L_1_4_!AU23,EL_DEL_CD2_SBI_L_5_6_!AU23,EL_DEL_CD2_SBI_L_7_8_!AU23,EL_DEL_CD2_SBI_L_9_10_!AU23,EL_DEL_CD2_L_STAB_!AU23)</f>
        <v>0</v>
      </c>
      <c r="AV23" s="98">
        <f>+SUM(EL_DEL_CD2_JO_!AV23,EL_DEL_CD2_SBI_1_4_!AV23,EL_DEL_CD2_SBI_5_6_!AV23,EL_DEL_CD2_SBI_7_8_!AV23,EL_DEL_CD2_SBI_9_10_!AV23,EL_DEL_CD2_STAB_!AV23,EL_DEL_CD2_JO_L_!AV23,EL_DEL_CD2_SBI_L_1_4_!AV23,EL_DEL_CD2_SBI_L_5_6_!AV23,EL_DEL_CD2_SBI_L_7_8_!AV23,EL_DEL_CD2_SBI_L_9_10_!AV23,EL_DEL_CD2_L_STAB_!AV23)</f>
        <v>0</v>
      </c>
      <c r="AW23" s="167">
        <f>+SUM(EL_DEL_CD2_JO_!AW23,EL_DEL_CD2_SBI_1_4_!AW23,EL_DEL_CD2_SBI_5_6_!AW23,EL_DEL_CD2_SBI_7_8_!AW23,EL_DEL_CD2_SBI_9_10_!AW23,EL_DEL_CD2_STAB_!AW23,EL_DEL_CD2_JO_L_!AW23,EL_DEL_CD2_SBI_L_1_4_!AW23,EL_DEL_CD2_SBI_L_5_6_!AW23,EL_DEL_CD2_SBI_L_7_8_!AW23,EL_DEL_CD2_SBI_L_9_10_!AW23,EL_DEL_CD2_L_STAB_!AW23)</f>
        <v>0</v>
      </c>
      <c r="AX23" s="102" t="str">
        <f t="shared" si="24"/>
        <v>-</v>
      </c>
      <c r="AY23" s="151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51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31"/>
        <v/>
      </c>
      <c r="BH23" s="119" t="str">
        <f t="shared" si="8"/>
        <v/>
      </c>
      <c r="BI23" s="120" t="str">
        <f t="shared" si="25"/>
        <v/>
      </c>
      <c r="BJ23" s="151"/>
      <c r="BK23" s="121" t="str">
        <f t="shared" si="9"/>
        <v/>
      </c>
      <c r="BL23" s="122" t="str">
        <f t="shared" si="10"/>
        <v/>
      </c>
      <c r="BM23" s="122" t="str">
        <f t="shared" si="11"/>
        <v/>
      </c>
      <c r="BN23" s="123" t="str">
        <f t="shared" si="12"/>
        <v/>
      </c>
      <c r="BO23" s="151"/>
      <c r="BP23" s="124" t="str">
        <f t="shared" si="13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4"/>
        <v/>
      </c>
      <c r="BU23" s="151"/>
      <c r="BV23" s="127" t="e">
        <f t="shared" si="15"/>
        <v>#DIV/0!</v>
      </c>
      <c r="BW23" s="127" t="e">
        <f t="shared" si="16"/>
        <v>#DIV/0!</v>
      </c>
      <c r="BX23" s="127" t="e">
        <f t="shared" si="17"/>
        <v>#DIV/0!</v>
      </c>
      <c r="BY23" s="127" t="e">
        <f t="shared" si="18"/>
        <v>#DIV/0!</v>
      </c>
      <c r="BZ23" s="127" t="e">
        <f t="shared" si="28"/>
        <v>#DIV/0!</v>
      </c>
      <c r="CA23" s="128" t="e">
        <f t="shared" si="29"/>
        <v>#DIV/0!</v>
      </c>
      <c r="CB23" s="151"/>
      <c r="CC23" s="129" t="str">
        <f t="shared" si="19"/>
        <v>-</v>
      </c>
      <c r="CD23" s="130" t="str">
        <f t="shared" si="20"/>
        <v>-</v>
      </c>
      <c r="CE23" s="130" t="str">
        <f t="shared" si="21"/>
        <v>-</v>
      </c>
      <c r="CF23" s="130" t="str">
        <f t="shared" si="22"/>
        <v>-</v>
      </c>
      <c r="CG23" s="131" t="str">
        <f t="shared" si="23"/>
        <v>-</v>
      </c>
      <c r="CH23" s="151"/>
    </row>
    <row r="24" spans="1:86" s="115" customFormat="1" ht="12.4" customHeight="1" thickBot="1" x14ac:dyDescent="0.25">
      <c r="A24" s="96">
        <f t="shared" si="30"/>
        <v>46316</v>
      </c>
      <c r="B24" s="97" t="str">
        <f t="shared" si="0"/>
        <v>Wed</v>
      </c>
      <c r="C24" s="98">
        <f>+SUM(EL_DEL_CD2_JO_!C24,EL_DEL_CD2_SBI_1_4_!C24,EL_DEL_CD2_SBI_5_6_!C24,EL_DEL_CD2_SBI_7_8_!C24,EL_DEL_CD2_SBI_9_10_!C24,EL_DEL_CD2_STAB_!C24,EL_DEL_CD2_JO_L_!C24,EL_DEL_CD2_SBI_L_1_4_!C24,EL_DEL_CD2_SBI_L_5_6_!C24,EL_DEL_CD2_SBI_L_7_8_!C24,EL_DEL_CD2_SBI_L_9_10_!C24,EL_DEL_CD2_L_STAB_!C24)</f>
        <v>0</v>
      </c>
      <c r="D24" s="98">
        <f>+SUM(EL_DEL_CD2_JO_!D24,EL_DEL_CD2_SBI_1_4_!D24,EL_DEL_CD2_SBI_5_6_!D24,EL_DEL_CD2_SBI_7_8_!D24,EL_DEL_CD2_SBI_9_10_!D24,EL_DEL_CD2_STAB_!D24,EL_DEL_CD2_JO_L_!D24,EL_DEL_CD2_SBI_L_1_4_!D24,EL_DEL_CD2_SBI_L_5_6_!D24,EL_DEL_CD2_SBI_L_7_8_!D24,EL_DEL_CD2_SBI_L_9_10_!D24,EL_DEL_CD2_L_STAB_!D24)</f>
        <v>0</v>
      </c>
      <c r="E24" s="98">
        <f>+SUM(EL_DEL_CD2_JO_!E24,EL_DEL_CD2_SBI_1_4_!E24,EL_DEL_CD2_SBI_5_6_!E24,EL_DEL_CD2_SBI_7_8_!E24,EL_DEL_CD2_SBI_9_10_!E24,EL_DEL_CD2_STAB_!E24,EL_DEL_CD2_JO_L_!E24,EL_DEL_CD2_SBI_L_1_4_!E24,EL_DEL_CD2_SBI_L_5_6_!E24,EL_DEL_CD2_SBI_L_7_8_!E24,EL_DEL_CD2_SBI_L_9_10_!E24,EL_DEL_CD2_L_STAB_!E24)</f>
        <v>0</v>
      </c>
      <c r="F24" s="98">
        <f>+SUM(EL_DEL_CD2_JO_!F24,EL_DEL_CD2_SBI_1_4_!F24,EL_DEL_CD2_SBI_5_6_!F24,EL_DEL_CD2_SBI_7_8_!F24,EL_DEL_CD2_SBI_9_10_!F24,EL_DEL_CD2_STAB_!F24,EL_DEL_CD2_JO_L_!F24,EL_DEL_CD2_SBI_L_1_4_!F24,EL_DEL_CD2_SBI_L_5_6_!F24,EL_DEL_CD2_SBI_L_7_8_!F24,EL_DEL_CD2_SBI_L_9_10_!F24,EL_DEL_CD2_L_STAB_!F24)</f>
        <v>0</v>
      </c>
      <c r="G24" s="98">
        <f>+SUM(EL_DEL_CD2_JO_!G24,EL_DEL_CD2_SBI_1_4_!G24,EL_DEL_CD2_SBI_5_6_!G24,EL_DEL_CD2_SBI_7_8_!G24,EL_DEL_CD2_SBI_9_10_!G24,EL_DEL_CD2_STAB_!G24,EL_DEL_CD2_JO_L_!G24,EL_DEL_CD2_SBI_L_1_4_!G24,EL_DEL_CD2_SBI_L_5_6_!G24,EL_DEL_CD2_SBI_L_7_8_!G24,EL_DEL_CD2_SBI_L_9_10_!G24,EL_DEL_CD2_L_STAB_!G24)</f>
        <v>0</v>
      </c>
      <c r="H24" s="98">
        <f>+SUM(EL_DEL_CD2_JO_!H24,EL_DEL_CD2_SBI_1_4_!H24,EL_DEL_CD2_SBI_5_6_!H24,EL_DEL_CD2_SBI_7_8_!H24,EL_DEL_CD2_SBI_9_10_!H24,EL_DEL_CD2_STAB_!H24,EL_DEL_CD2_JO_L_!H24,EL_DEL_CD2_SBI_L_1_4_!H24,EL_DEL_CD2_SBI_L_5_6_!H24,EL_DEL_CD2_SBI_L_7_8_!H24,EL_DEL_CD2_SBI_L_9_10_!H24,EL_DEL_CD2_L_STAB_!H24)</f>
        <v>0</v>
      </c>
      <c r="I24" s="98">
        <f>+SUM(EL_DEL_CD2_JO_!I24,EL_DEL_CD2_SBI_1_4_!I24,EL_DEL_CD2_SBI_5_6_!I24,EL_DEL_CD2_SBI_7_8_!I24,EL_DEL_CD2_SBI_9_10_!I24,EL_DEL_CD2_STAB_!I24,EL_DEL_CD2_JO_L_!I24,EL_DEL_CD2_SBI_L_1_4_!I24,EL_DEL_CD2_SBI_L_5_6_!I24,EL_DEL_CD2_SBI_L_7_8_!I24,EL_DEL_CD2_SBI_L_9_10_!I24,EL_DEL_CD2_L_STAB_!I24)</f>
        <v>0</v>
      </c>
      <c r="J24" s="98">
        <f>+SUM(EL_DEL_CD2_JO_!J24,EL_DEL_CD2_SBI_1_4_!J24,EL_DEL_CD2_SBI_5_6_!J24,EL_DEL_CD2_SBI_7_8_!J24,EL_DEL_CD2_SBI_9_10_!J24,EL_DEL_CD2_STAB_!J24,EL_DEL_CD2_JO_L_!J24,EL_DEL_CD2_SBI_L_1_4_!J24,EL_DEL_CD2_SBI_L_5_6_!J24,EL_DEL_CD2_SBI_L_7_8_!J24,EL_DEL_CD2_SBI_L_9_10_!J24,EL_DEL_CD2_L_STAB_!J24)</f>
        <v>0</v>
      </c>
      <c r="K24" s="98">
        <f>+SUM(EL_DEL_CD2_JO_!K24,EL_DEL_CD2_SBI_1_4_!K24,EL_DEL_CD2_SBI_5_6_!K24,EL_DEL_CD2_SBI_7_8_!K24,EL_DEL_CD2_SBI_9_10_!K24,EL_DEL_CD2_STAB_!K24,EL_DEL_CD2_JO_L_!K24,EL_DEL_CD2_SBI_L_1_4_!K24,EL_DEL_CD2_SBI_L_5_6_!K24,EL_DEL_CD2_SBI_L_7_8_!K24,EL_DEL_CD2_SBI_L_9_10_!K24,EL_DEL_CD2_L_STAB_!K24)</f>
        <v>0</v>
      </c>
      <c r="L24" s="98">
        <f>+SUM(EL_DEL_CD2_JO_!L24,EL_DEL_CD2_SBI_1_4_!L24,EL_DEL_CD2_SBI_5_6_!L24,EL_DEL_CD2_SBI_7_8_!L24,EL_DEL_CD2_SBI_9_10_!L24,EL_DEL_CD2_STAB_!L24,EL_DEL_CD2_JO_L_!L24,EL_DEL_CD2_SBI_L_1_4_!L24,EL_DEL_CD2_SBI_L_5_6_!L24,EL_DEL_CD2_SBI_L_7_8_!L24,EL_DEL_CD2_SBI_L_9_10_!L24,EL_DEL_CD2_L_STAB_!L24)</f>
        <v>0</v>
      </c>
      <c r="M24" s="98">
        <f>+SUM(EL_DEL_CD2_JO_!M24,EL_DEL_CD2_SBI_1_4_!M24,EL_DEL_CD2_SBI_5_6_!M24,EL_DEL_CD2_SBI_7_8_!M24,EL_DEL_CD2_SBI_9_10_!M24,EL_DEL_CD2_STAB_!M24,EL_DEL_CD2_JO_L_!M24,EL_DEL_CD2_SBI_L_1_4_!M24,EL_DEL_CD2_SBI_L_5_6_!M24,EL_DEL_CD2_SBI_L_7_8_!M24,EL_DEL_CD2_SBI_L_9_10_!M24,EL_DEL_CD2_L_STAB_!M24)</f>
        <v>0</v>
      </c>
      <c r="N24" s="98">
        <f>+SUM(EL_DEL_CD2_JO_!N24,EL_DEL_CD2_SBI_1_4_!N24,EL_DEL_CD2_SBI_5_6_!N24,EL_DEL_CD2_SBI_7_8_!N24,EL_DEL_CD2_SBI_9_10_!N24,EL_DEL_CD2_STAB_!N24,EL_DEL_CD2_JO_L_!N24,EL_DEL_CD2_SBI_L_1_4_!N24,EL_DEL_CD2_SBI_L_5_6_!N24,EL_DEL_CD2_SBI_L_7_8_!N24,EL_DEL_CD2_SBI_L_9_10_!N24,EL_DEL_CD2_L_STAB_!N24)</f>
        <v>0</v>
      </c>
      <c r="O24" s="98">
        <f>+SUM(EL_DEL_CD2_JO_!O24,EL_DEL_CD2_SBI_1_4_!O24,EL_DEL_CD2_SBI_5_6_!O24,EL_DEL_CD2_SBI_7_8_!O24,EL_DEL_CD2_SBI_9_10_!O24,EL_DEL_CD2_STAB_!O24,EL_DEL_CD2_JO_L_!O24,EL_DEL_CD2_SBI_L_1_4_!O24,EL_DEL_CD2_SBI_L_5_6_!O24,EL_DEL_CD2_SBI_L_7_8_!O24,EL_DEL_CD2_SBI_L_9_10_!O24,EL_DEL_CD2_L_STAB_!O24)</f>
        <v>0</v>
      </c>
      <c r="P24" s="98">
        <f>+SUM(EL_DEL_CD2_JO_!P24,EL_DEL_CD2_SBI_1_4_!P24,EL_DEL_CD2_SBI_5_6_!P24,EL_DEL_CD2_SBI_7_8_!P24,EL_DEL_CD2_SBI_9_10_!P24,EL_DEL_CD2_STAB_!P24,EL_DEL_CD2_JO_L_!P24,EL_DEL_CD2_SBI_L_1_4_!P24,EL_DEL_CD2_SBI_L_5_6_!P24,EL_DEL_CD2_SBI_L_7_8_!P24,EL_DEL_CD2_SBI_L_9_10_!P24,EL_DEL_CD2_L_STAB_!P24)</f>
        <v>0</v>
      </c>
      <c r="Q24" s="98">
        <f>+SUM(EL_DEL_CD2_JO_!Q24,EL_DEL_CD2_SBI_1_4_!Q24,EL_DEL_CD2_SBI_5_6_!Q24,EL_DEL_CD2_SBI_7_8_!Q24,EL_DEL_CD2_SBI_9_10_!Q24,EL_DEL_CD2_STAB_!Q24,EL_DEL_CD2_JO_L_!Q24,EL_DEL_CD2_SBI_L_1_4_!Q24,EL_DEL_CD2_SBI_L_5_6_!Q24,EL_DEL_CD2_SBI_L_7_8_!Q24,EL_DEL_CD2_SBI_L_9_10_!Q24,EL_DEL_CD2_L_STAB_!Q24)</f>
        <v>0</v>
      </c>
      <c r="R24" s="98">
        <f>+SUM(EL_DEL_CD2_JO_!R24,EL_DEL_CD2_SBI_1_4_!R24,EL_DEL_CD2_SBI_5_6_!R24,EL_DEL_CD2_SBI_7_8_!R24,EL_DEL_CD2_SBI_9_10_!R24,EL_DEL_CD2_STAB_!R24,EL_DEL_CD2_JO_L_!R24,EL_DEL_CD2_SBI_L_1_4_!R24,EL_DEL_CD2_SBI_L_5_6_!R24,EL_DEL_CD2_SBI_L_7_8_!R24,EL_DEL_CD2_SBI_L_9_10_!R24,EL_DEL_CD2_L_STAB_!R24)</f>
        <v>0</v>
      </c>
      <c r="S24" s="98">
        <f>+SUM(EL_DEL_CD2_JO_!S24,EL_DEL_CD2_SBI_1_4_!S24,EL_DEL_CD2_SBI_5_6_!S24,EL_DEL_CD2_SBI_7_8_!S24,EL_DEL_CD2_SBI_9_10_!S24,EL_DEL_CD2_STAB_!S24,EL_DEL_CD2_JO_L_!S24,EL_DEL_CD2_SBI_L_1_4_!S24,EL_DEL_CD2_SBI_L_5_6_!S24,EL_DEL_CD2_SBI_L_7_8_!S24,EL_DEL_CD2_SBI_L_9_10_!S24,EL_DEL_CD2_L_STAB_!S24)</f>
        <v>0</v>
      </c>
      <c r="T24" s="98">
        <f>+SUM(EL_DEL_CD2_JO_!T24,EL_DEL_CD2_SBI_1_4_!T24,EL_DEL_CD2_SBI_5_6_!T24,EL_DEL_CD2_SBI_7_8_!T24,EL_DEL_CD2_SBI_9_10_!T24,EL_DEL_CD2_STAB_!T24,EL_DEL_CD2_JO_L_!T24,EL_DEL_CD2_SBI_L_1_4_!T24,EL_DEL_CD2_SBI_L_5_6_!T24,EL_DEL_CD2_SBI_L_7_8_!T24,EL_DEL_CD2_SBI_L_9_10_!T24,EL_DEL_CD2_L_STAB_!T24)</f>
        <v>0</v>
      </c>
      <c r="U24" s="98">
        <f>+SUM(EL_DEL_CD2_JO_!U24,EL_DEL_CD2_SBI_1_4_!U24,EL_DEL_CD2_SBI_5_6_!U24,EL_DEL_CD2_SBI_7_8_!U24,EL_DEL_CD2_SBI_9_10_!U24,EL_DEL_CD2_STAB_!U24,EL_DEL_CD2_JO_L_!U24,EL_DEL_CD2_SBI_L_1_4_!U24,EL_DEL_CD2_SBI_L_5_6_!U24,EL_DEL_CD2_SBI_L_7_8_!U24,EL_DEL_CD2_SBI_L_9_10_!U24,EL_DEL_CD2_L_STAB_!U24)</f>
        <v>0</v>
      </c>
      <c r="V24" s="98">
        <f>+SUM(EL_DEL_CD2_JO_!V24,EL_DEL_CD2_SBI_1_4_!V24,EL_DEL_CD2_SBI_5_6_!V24,EL_DEL_CD2_SBI_7_8_!V24,EL_DEL_CD2_SBI_9_10_!V24,EL_DEL_CD2_STAB_!V24,EL_DEL_CD2_JO_L_!V24,EL_DEL_CD2_SBI_L_1_4_!V24,EL_DEL_CD2_SBI_L_5_6_!V24,EL_DEL_CD2_SBI_L_7_8_!V24,EL_DEL_CD2_SBI_L_9_10_!V24,EL_DEL_CD2_L_STAB_!V24)</f>
        <v>0</v>
      </c>
      <c r="W24" s="98">
        <f>+SUM(EL_DEL_CD2_JO_!W24,EL_DEL_CD2_SBI_1_4_!W24,EL_DEL_CD2_SBI_5_6_!W24,EL_DEL_CD2_SBI_7_8_!W24,EL_DEL_CD2_SBI_9_10_!W24,EL_DEL_CD2_STAB_!W24,EL_DEL_CD2_JO_L_!W24,EL_DEL_CD2_SBI_L_1_4_!W24,EL_DEL_CD2_SBI_L_5_6_!W24,EL_DEL_CD2_SBI_L_7_8_!W24,EL_DEL_CD2_SBI_L_9_10_!W24,EL_DEL_CD2_L_STAB_!W24)</f>
        <v>0</v>
      </c>
      <c r="X24" s="98">
        <f>+SUM(EL_DEL_CD2_JO_!X24,EL_DEL_CD2_SBI_1_4_!X24,EL_DEL_CD2_SBI_5_6_!X24,EL_DEL_CD2_SBI_7_8_!X24,EL_DEL_CD2_SBI_9_10_!X24,EL_DEL_CD2_STAB_!X24,EL_DEL_CD2_JO_L_!X24,EL_DEL_CD2_SBI_L_1_4_!X24,EL_DEL_CD2_SBI_L_5_6_!X24,EL_DEL_CD2_SBI_L_7_8_!X24,EL_DEL_CD2_SBI_L_9_10_!X24,EL_DEL_CD2_L_STAB_!X24)</f>
        <v>0</v>
      </c>
      <c r="Y24" s="98">
        <f>+SUM(EL_DEL_CD2_JO_!Y24,EL_DEL_CD2_SBI_1_4_!Y24,EL_DEL_CD2_SBI_5_6_!Y24,EL_DEL_CD2_SBI_7_8_!Y24,EL_DEL_CD2_SBI_9_10_!Y24,EL_DEL_CD2_STAB_!Y24,EL_DEL_CD2_JO_L_!Y24,EL_DEL_CD2_SBI_L_1_4_!Y24,EL_DEL_CD2_SBI_L_5_6_!Y24,EL_DEL_CD2_SBI_L_7_8_!Y24,EL_DEL_CD2_SBI_L_9_10_!Y24,EL_DEL_CD2_L_STAB_!Y24)</f>
        <v>0</v>
      </c>
      <c r="Z24" s="98">
        <f>+SUM(EL_DEL_CD2_JO_!Z24,EL_DEL_CD2_SBI_1_4_!Z24,EL_DEL_CD2_SBI_5_6_!Z24,EL_DEL_CD2_SBI_7_8_!Z24,EL_DEL_CD2_SBI_9_10_!Z24,EL_DEL_CD2_STAB_!Z24,EL_DEL_CD2_JO_L_!Z24,EL_DEL_CD2_SBI_L_1_4_!Z24,EL_DEL_CD2_SBI_L_5_6_!Z24,EL_DEL_CD2_SBI_L_7_8_!Z24,EL_DEL_CD2_SBI_L_9_10_!Z24,EL_DEL_CD2_L_STAB_!Z24)</f>
        <v>0</v>
      </c>
      <c r="AA24" s="98">
        <f>+SUM(EL_DEL_CD2_JO_!AA24,EL_DEL_CD2_SBI_1_4_!AA24,EL_DEL_CD2_SBI_5_6_!AA24,EL_DEL_CD2_SBI_7_8_!AA24,EL_DEL_CD2_SBI_9_10_!AA24,EL_DEL_CD2_STAB_!AA24,EL_DEL_CD2_JO_L_!AA24,EL_DEL_CD2_SBI_L_1_4_!AA24,EL_DEL_CD2_SBI_L_5_6_!AA24,EL_DEL_CD2_SBI_L_7_8_!AA24,EL_DEL_CD2_SBI_L_9_10_!AA24,EL_DEL_CD2_L_STAB_!AA24)</f>
        <v>0</v>
      </c>
      <c r="AB24" s="98">
        <f>+SUM(EL_DEL_CD2_JO_!AB24,EL_DEL_CD2_SBI_1_4_!AB24,EL_DEL_CD2_SBI_5_6_!AB24,EL_DEL_CD2_SBI_7_8_!AB24,EL_DEL_CD2_SBI_9_10_!AB24,EL_DEL_CD2_STAB_!AB24,EL_DEL_CD2_JO_L_!AB24,EL_DEL_CD2_SBI_L_1_4_!AB24,EL_DEL_CD2_SBI_L_5_6_!AB24,EL_DEL_CD2_SBI_L_7_8_!AB24,EL_DEL_CD2_SBI_L_9_10_!AB24,EL_DEL_CD2_L_STAB_!AB24)</f>
        <v>0</v>
      </c>
      <c r="AC24" s="98">
        <f>+SUM(EL_DEL_CD2_JO_!AC24,EL_DEL_CD2_SBI_1_4_!AC24,EL_DEL_CD2_SBI_5_6_!AC24,EL_DEL_CD2_SBI_7_8_!AC24,EL_DEL_CD2_SBI_9_10_!AC24,EL_DEL_CD2_STAB_!AC24,EL_DEL_CD2_JO_L_!AC24,EL_DEL_CD2_SBI_L_1_4_!AC24,EL_DEL_CD2_SBI_L_5_6_!AC24,EL_DEL_CD2_SBI_L_7_8_!AC24,EL_DEL_CD2_SBI_L_9_10_!AC24,EL_DEL_CD2_L_STAB_!AC24)</f>
        <v>0</v>
      </c>
      <c r="AD24" s="98">
        <f>+SUM(EL_DEL_CD2_JO_!AD24,EL_DEL_CD2_SBI_1_4_!AD24,EL_DEL_CD2_SBI_5_6_!AD24,EL_DEL_CD2_SBI_7_8_!AD24,EL_DEL_CD2_SBI_9_10_!AD24,EL_DEL_CD2_STAB_!AD24,EL_DEL_CD2_JO_L_!AD24,EL_DEL_CD2_SBI_L_1_4_!AD24,EL_DEL_CD2_SBI_L_5_6_!AD24,EL_DEL_CD2_SBI_L_7_8_!AD24,EL_DEL_CD2_SBI_L_9_10_!AD24,EL_DEL_CD2_L_STAB_!AD24)</f>
        <v>0</v>
      </c>
      <c r="AE24" s="98">
        <f>+SUM(EL_DEL_CD2_JO_!AE24,EL_DEL_CD2_SBI_1_4_!AE24,EL_DEL_CD2_SBI_5_6_!AE24,EL_DEL_CD2_SBI_7_8_!AE24,EL_DEL_CD2_SBI_9_10_!AE24,EL_DEL_CD2_STAB_!AE24,EL_DEL_CD2_JO_L_!AE24,EL_DEL_CD2_SBI_L_1_4_!AE24,EL_DEL_CD2_SBI_L_5_6_!AE24,EL_DEL_CD2_SBI_L_7_8_!AE24,EL_DEL_CD2_SBI_L_9_10_!AE24,EL_DEL_CD2_L_STAB_!AE24)</f>
        <v>0</v>
      </c>
      <c r="AF24" s="98">
        <f>+SUM(EL_DEL_CD2_JO_!AF24,EL_DEL_CD2_SBI_1_4_!AF24,EL_DEL_CD2_SBI_5_6_!AF24,EL_DEL_CD2_SBI_7_8_!AF24,EL_DEL_CD2_SBI_9_10_!AF24,EL_DEL_CD2_STAB_!AF24,EL_DEL_CD2_JO_L_!AF24,EL_DEL_CD2_SBI_L_1_4_!AF24,EL_DEL_CD2_SBI_L_5_6_!AF24,EL_DEL_CD2_SBI_L_7_8_!AF24,EL_DEL_CD2_SBI_L_9_10_!AF24,EL_DEL_CD2_L_STAB_!AF24)</f>
        <v>0</v>
      </c>
      <c r="AG24" s="98">
        <f>+SUM(EL_DEL_CD2_JO_!AG24,EL_DEL_CD2_SBI_1_4_!AG24,EL_DEL_CD2_SBI_5_6_!AG24,EL_DEL_CD2_SBI_7_8_!AG24,EL_DEL_CD2_SBI_9_10_!AG24,EL_DEL_CD2_STAB_!AG24,EL_DEL_CD2_JO_L_!AG24,EL_DEL_CD2_SBI_L_1_4_!AG24,EL_DEL_CD2_SBI_L_5_6_!AG24,EL_DEL_CD2_SBI_L_7_8_!AG24,EL_DEL_CD2_SBI_L_9_10_!AG24,EL_DEL_CD2_L_STAB_!AG24)</f>
        <v>0</v>
      </c>
      <c r="AH24" s="98">
        <f>+SUM(EL_DEL_CD2_JO_!AH24,EL_DEL_CD2_SBI_1_4_!AH24,EL_DEL_CD2_SBI_5_6_!AH24,EL_DEL_CD2_SBI_7_8_!AH24,EL_DEL_CD2_SBI_9_10_!AH24,EL_DEL_CD2_STAB_!AH24,EL_DEL_CD2_JO_L_!AH24,EL_DEL_CD2_SBI_L_1_4_!AH24,EL_DEL_CD2_SBI_L_5_6_!AH24,EL_DEL_CD2_SBI_L_7_8_!AH24,EL_DEL_CD2_SBI_L_9_10_!AH24,EL_DEL_CD2_L_STAB_!AH24)</f>
        <v>0</v>
      </c>
      <c r="AI24" s="98">
        <f>+SUM(EL_DEL_CD2_JO_!AI24,EL_DEL_CD2_SBI_1_4_!AI24,EL_DEL_CD2_SBI_5_6_!AI24,EL_DEL_CD2_SBI_7_8_!AI24,EL_DEL_CD2_SBI_9_10_!AI24,EL_DEL_CD2_STAB_!AI24,EL_DEL_CD2_JO_L_!AI24,EL_DEL_CD2_SBI_L_1_4_!AI24,EL_DEL_CD2_SBI_L_5_6_!AI24,EL_DEL_CD2_SBI_L_7_8_!AI24,EL_DEL_CD2_SBI_L_9_10_!AI24,EL_DEL_CD2_L_STAB_!AI24)</f>
        <v>0</v>
      </c>
      <c r="AJ24" s="98">
        <f>+SUM(EL_DEL_CD2_JO_!AJ24,EL_DEL_CD2_SBI_1_4_!AJ24,EL_DEL_CD2_SBI_5_6_!AJ24,EL_DEL_CD2_SBI_7_8_!AJ24,EL_DEL_CD2_SBI_9_10_!AJ24,EL_DEL_CD2_STAB_!AJ24,EL_DEL_CD2_JO_L_!AJ24,EL_DEL_CD2_SBI_L_1_4_!AJ24,EL_DEL_CD2_SBI_L_5_6_!AJ24,EL_DEL_CD2_SBI_L_7_8_!AJ24,EL_DEL_CD2_SBI_L_9_10_!AJ24,EL_DEL_CD2_L_STAB_!AJ24)</f>
        <v>0</v>
      </c>
      <c r="AK24" s="98">
        <f>+SUM(EL_DEL_CD2_JO_!AK24,EL_DEL_CD2_SBI_1_4_!AK24,EL_DEL_CD2_SBI_5_6_!AK24,EL_DEL_CD2_SBI_7_8_!AK24,EL_DEL_CD2_SBI_9_10_!AK24,EL_DEL_CD2_STAB_!AK24,EL_DEL_CD2_JO_L_!AK24,EL_DEL_CD2_SBI_L_1_4_!AK24,EL_DEL_CD2_SBI_L_5_6_!AK24,EL_DEL_CD2_SBI_L_7_8_!AK24,EL_DEL_CD2_SBI_L_9_10_!AK24,EL_DEL_CD2_L_STAB_!AK24)</f>
        <v>0</v>
      </c>
      <c r="AL24" s="152" t="str">
        <f>+IFERROR(AVERAGE(EL_DEL_CD2_JO_!AL24,EL_DEL_CD2_SBI_1_4_!AL24,EL_DEL_CD2_SBI_5_6_!AL24,EL_DEL_CD2_SBI_7_8_!AL24,EL_DEL_CD2_SBI_9_10_!AL24,EL_DEL_CD2_STAB_!AL24,EL_DEL_CD2_JO_L_!AL24,EL_DEL_CD2_SBI_L_1_4_!AL24,EL_DEL_CD2_SBI_L_5_6_!AL24,EL_DEL_CD2_SBI_L_7_8_!AL24,EL_DEL_CD2_SBI_L_9_10_!AL24,EL_DEL_CD2_L_STAB_!AL24),"0:00")</f>
        <v>0:00</v>
      </c>
      <c r="AM24" s="152" t="str">
        <f>+IFERROR(AVERAGE(EL_DEL_CD2_JO_!AM24,EL_DEL_CD2_SBI_1_4_!AM24,EL_DEL_CD2_SBI_5_6_!AM24,EL_DEL_CD2_SBI_7_8_!AM24,EL_DEL_CD2_SBI_9_10_!AM24,EL_DEL_CD2_STAB_!AM24,EL_DEL_CD2_JO_L_!AM24,EL_DEL_CD2_SBI_L_1_4_!AM24,EL_DEL_CD2_SBI_L_5_6_!AM24,EL_DEL_CD2_SBI_L_7_8_!AM24,EL_DEL_CD2_SBI_L_9_10_!AM24,EL_DEL_CD2_L_STAB_!AM24),"0:00")</f>
        <v>0:00</v>
      </c>
      <c r="AN24" s="152" t="str">
        <f>+IFERROR(AVERAGE(EL_DEL_CD2_JO_!AN24,EL_DEL_CD2_SBI_1_4_!AN24,EL_DEL_CD2_SBI_5_6_!AN24,EL_DEL_CD2_SBI_7_8_!AN24,EL_DEL_CD2_SBI_9_10_!AN24,EL_DEL_CD2_STAB_!AN24,EL_DEL_CD2_JO_L_!AN24,EL_DEL_CD2_SBI_L_1_4_!AN24,EL_DEL_CD2_SBI_L_5_6_!AN24,EL_DEL_CD2_SBI_L_7_8_!AN24,EL_DEL_CD2_SBI_L_9_10_!AN24,EL_DEL_CD2_L_STAB_!AN24),"0:00")</f>
        <v>0:00</v>
      </c>
      <c r="AO24" s="152" t="str">
        <f>+IFERROR(AVERAGE(EL_DEL_CD2_JO_!AO24,EL_DEL_CD2_SBI_1_4_!AO24,EL_DEL_CD2_SBI_5_6_!AO24,EL_DEL_CD2_SBI_7_8_!AO24,EL_DEL_CD2_SBI_9_10_!AO24,EL_DEL_CD2_STAB_!AO24,EL_DEL_CD2_JO_L_!AO24,EL_DEL_CD2_SBI_L_1_4_!AO24,EL_DEL_CD2_SBI_L_5_6_!AO24,EL_DEL_CD2_SBI_L_7_8_!AO24,EL_DEL_CD2_SBI_L_9_10_!AO24,EL_DEL_CD2_L_STAB_!AO24),"0:00")</f>
        <v>0:00</v>
      </c>
      <c r="AP24" s="98" t="str">
        <f>+IFERROR(AVERAGE(EL_DEL_CD2_JO_!AP24,EL_DEL_CD2_SBI_1_4_!AP24,EL_DEL_CD2_SBI_5_6_!AP24,EL_DEL_CD2_SBI_7_8_!AP24,EL_DEL_CD2_SBI_9_10_!AP24,EL_DEL_CD2_STAB_!AP24,EL_DEL_CD2_JO_L_!AP24,EL_DEL_CD2_SBI_L_1_4_!AP24,EL_DEL_CD2_SBI_L_5_6_!AP24,EL_DEL_CD2_SBI_L_7_8_!AP24,EL_DEL_CD2_SBI_L_9_10_!AP24,EL_DEL_CD2_L_STAB_!AP24),"0:00")</f>
        <v>0:00</v>
      </c>
      <c r="AQ24" s="152" t="str">
        <f>+IFERROR(AVERAGE(EL_DEL_CD2_JO_!AQ24,EL_DEL_CD2_SBI_1_4_!AQ24,EL_DEL_CD2_SBI_5_6_!AQ24,EL_DEL_CD2_SBI_7_8_!AQ24,EL_DEL_CD2_SBI_9_10_!AQ24,EL_DEL_CD2_STAB_!AQ24,EL_DEL_CD2_JO_L_!AQ24,EL_DEL_CD2_SBI_L_1_4_!AQ24,EL_DEL_CD2_SBI_L_5_6_!AQ24,EL_DEL_CD2_SBI_L_7_8_!AQ24,EL_DEL_CD2_SBI_L_9_10_!AQ24,EL_DEL_CD2_L_STAB_!AQ24),"0:00")</f>
        <v>0:00</v>
      </c>
      <c r="AR24" s="152" t="str">
        <f>+IFERROR(AVERAGE(EL_DEL_CD2_JO_!AR24,EL_DEL_CD2_SBI_1_4_!AR24,EL_DEL_CD2_SBI_5_6_!AR24,EL_DEL_CD2_SBI_7_8_!AR24,EL_DEL_CD2_SBI_9_10_!AR24,EL_DEL_CD2_STAB_!AR24,EL_DEL_CD2_JO_L_!AR24,EL_DEL_CD2_SBI_L_1_4_!AR24,EL_DEL_CD2_SBI_L_5_6_!AR24,EL_DEL_CD2_SBI_L_7_8_!AR24,EL_DEL_CD2_SBI_L_9_10_!AR24,EL_DEL_CD2_L_STAB_!AR24),"0:00")</f>
        <v>0:00</v>
      </c>
      <c r="AS24" s="152" t="str">
        <f>+IFERROR(AVERAGE(EL_DEL_CD2_JO_!AS24,EL_DEL_CD2_SBI_1_4_!AS24,EL_DEL_CD2_SBI_5_6_!AS24,EL_DEL_CD2_SBI_7_8_!AS24,EL_DEL_CD2_SBI_9_10_!AS24,EL_DEL_CD2_STAB_!AS24,EL_DEL_CD2_JO_L_!AS24,EL_DEL_CD2_SBI_L_1_4_!AS24,EL_DEL_CD2_SBI_L_5_6_!AS24,EL_DEL_CD2_SBI_L_7_8_!AS24,EL_DEL_CD2_SBI_L_9_10_!AS24,EL_DEL_CD2_L_STAB_!AS24),"0:00")</f>
        <v>0:00</v>
      </c>
      <c r="AT24" s="98">
        <f>+SUM(EL_DEL_CD2_JO_!AT24,EL_DEL_CD2_SBI_1_4_!AT24,EL_DEL_CD2_SBI_5_6_!AT24,EL_DEL_CD2_SBI_7_8_!AT24,EL_DEL_CD2_SBI_9_10_!AT24,EL_DEL_CD2_STAB_!AT24,EL_DEL_CD2_JO_L_!AT24,EL_DEL_CD2_SBI_L_1_4_!AT24,EL_DEL_CD2_SBI_L_5_6_!AT24,EL_DEL_CD2_SBI_L_7_8_!AT24,EL_DEL_CD2_SBI_L_9_10_!AT24,EL_DEL_CD2_L_STAB_!AT24)</f>
        <v>0</v>
      </c>
      <c r="AU24" s="98">
        <f>+SUM(EL_DEL_CD2_JO_!AU24,EL_DEL_CD2_SBI_1_4_!AU24,EL_DEL_CD2_SBI_5_6_!AU24,EL_DEL_CD2_SBI_7_8_!AU24,EL_DEL_CD2_SBI_9_10_!AU24,EL_DEL_CD2_STAB_!AU24,EL_DEL_CD2_JO_L_!AU24,EL_DEL_CD2_SBI_L_1_4_!AU24,EL_DEL_CD2_SBI_L_5_6_!AU24,EL_DEL_CD2_SBI_L_7_8_!AU24,EL_DEL_CD2_SBI_L_9_10_!AU24,EL_DEL_CD2_L_STAB_!AU24)</f>
        <v>0</v>
      </c>
      <c r="AV24" s="98">
        <f>+SUM(EL_DEL_CD2_JO_!AV24,EL_DEL_CD2_SBI_1_4_!AV24,EL_DEL_CD2_SBI_5_6_!AV24,EL_DEL_CD2_SBI_7_8_!AV24,EL_DEL_CD2_SBI_9_10_!AV24,EL_DEL_CD2_STAB_!AV24,EL_DEL_CD2_JO_L_!AV24,EL_DEL_CD2_SBI_L_1_4_!AV24,EL_DEL_CD2_SBI_L_5_6_!AV24,EL_DEL_CD2_SBI_L_7_8_!AV24,EL_DEL_CD2_SBI_L_9_10_!AV24,EL_DEL_CD2_L_STAB_!AV24)</f>
        <v>0</v>
      </c>
      <c r="AW24" s="167">
        <f>+SUM(EL_DEL_CD2_JO_!AW24,EL_DEL_CD2_SBI_1_4_!AW24,EL_DEL_CD2_SBI_5_6_!AW24,EL_DEL_CD2_SBI_7_8_!AW24,EL_DEL_CD2_SBI_9_10_!AW24,EL_DEL_CD2_STAB_!AW24,EL_DEL_CD2_JO_L_!AW24,EL_DEL_CD2_SBI_L_1_4_!AW24,EL_DEL_CD2_SBI_L_5_6_!AW24,EL_DEL_CD2_SBI_L_7_8_!AW24,EL_DEL_CD2_SBI_L_9_10_!AW24,EL_DEL_CD2_L_STAB_!AW24)</f>
        <v>0</v>
      </c>
      <c r="AX24" s="102" t="str">
        <f t="shared" si="24"/>
        <v>-</v>
      </c>
      <c r="AY24" s="151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51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31"/>
        <v/>
      </c>
      <c r="BH24" s="119" t="str">
        <f t="shared" si="8"/>
        <v/>
      </c>
      <c r="BI24" s="120" t="str">
        <f t="shared" si="25"/>
        <v/>
      </c>
      <c r="BJ24" s="151"/>
      <c r="BK24" s="121" t="str">
        <f t="shared" si="9"/>
        <v/>
      </c>
      <c r="BL24" s="122" t="str">
        <f t="shared" si="10"/>
        <v/>
      </c>
      <c r="BM24" s="122" t="str">
        <f t="shared" si="11"/>
        <v/>
      </c>
      <c r="BN24" s="123" t="str">
        <f t="shared" si="12"/>
        <v/>
      </c>
      <c r="BO24" s="151"/>
      <c r="BP24" s="124" t="str">
        <f t="shared" si="13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4"/>
        <v/>
      </c>
      <c r="BU24" s="151"/>
      <c r="BV24" s="127" t="e">
        <f t="shared" si="15"/>
        <v>#DIV/0!</v>
      </c>
      <c r="BW24" s="127" t="e">
        <f t="shared" si="16"/>
        <v>#DIV/0!</v>
      </c>
      <c r="BX24" s="127" t="e">
        <f t="shared" si="17"/>
        <v>#DIV/0!</v>
      </c>
      <c r="BY24" s="127" t="e">
        <f t="shared" si="18"/>
        <v>#DIV/0!</v>
      </c>
      <c r="BZ24" s="127" t="e">
        <f t="shared" si="28"/>
        <v>#DIV/0!</v>
      </c>
      <c r="CA24" s="128" t="e">
        <f t="shared" si="29"/>
        <v>#DIV/0!</v>
      </c>
      <c r="CB24" s="151"/>
      <c r="CC24" s="129" t="str">
        <f t="shared" si="19"/>
        <v>-</v>
      </c>
      <c r="CD24" s="130" t="str">
        <f t="shared" si="20"/>
        <v>-</v>
      </c>
      <c r="CE24" s="130" t="str">
        <f t="shared" si="21"/>
        <v>-</v>
      </c>
      <c r="CF24" s="130" t="str">
        <f t="shared" si="22"/>
        <v>-</v>
      </c>
      <c r="CG24" s="131" t="str">
        <f t="shared" si="23"/>
        <v>-</v>
      </c>
      <c r="CH24" s="151"/>
    </row>
    <row r="25" spans="1:86" s="115" customFormat="1" ht="12.4" customHeight="1" thickBot="1" x14ac:dyDescent="0.25">
      <c r="A25" s="96">
        <f t="shared" si="30"/>
        <v>46317</v>
      </c>
      <c r="B25" s="97" t="str">
        <f t="shared" si="0"/>
        <v>Thu</v>
      </c>
      <c r="C25" s="98">
        <f>+SUM(EL_DEL_CD2_JO_!C25,EL_DEL_CD2_SBI_1_4_!C25,EL_DEL_CD2_SBI_5_6_!C25,EL_DEL_CD2_SBI_7_8_!C25,EL_DEL_CD2_SBI_9_10_!C25,EL_DEL_CD2_STAB_!C25,EL_DEL_CD2_JO_L_!C25,EL_DEL_CD2_SBI_L_1_4_!C25,EL_DEL_CD2_SBI_L_5_6_!C25,EL_DEL_CD2_SBI_L_7_8_!C25,EL_DEL_CD2_SBI_L_9_10_!C25,EL_DEL_CD2_L_STAB_!C25)</f>
        <v>0</v>
      </c>
      <c r="D25" s="98">
        <f>+SUM(EL_DEL_CD2_JO_!D25,EL_DEL_CD2_SBI_1_4_!D25,EL_DEL_CD2_SBI_5_6_!D25,EL_DEL_CD2_SBI_7_8_!D25,EL_DEL_CD2_SBI_9_10_!D25,EL_DEL_CD2_STAB_!D25,EL_DEL_CD2_JO_L_!D25,EL_DEL_CD2_SBI_L_1_4_!D25,EL_DEL_CD2_SBI_L_5_6_!D25,EL_DEL_CD2_SBI_L_7_8_!D25,EL_DEL_CD2_SBI_L_9_10_!D25,EL_DEL_CD2_L_STAB_!D25)</f>
        <v>0</v>
      </c>
      <c r="E25" s="98">
        <f>+SUM(EL_DEL_CD2_JO_!E25,EL_DEL_CD2_SBI_1_4_!E25,EL_DEL_CD2_SBI_5_6_!E25,EL_DEL_CD2_SBI_7_8_!E25,EL_DEL_CD2_SBI_9_10_!E25,EL_DEL_CD2_STAB_!E25,EL_DEL_CD2_JO_L_!E25,EL_DEL_CD2_SBI_L_1_4_!E25,EL_DEL_CD2_SBI_L_5_6_!E25,EL_DEL_CD2_SBI_L_7_8_!E25,EL_DEL_CD2_SBI_L_9_10_!E25,EL_DEL_CD2_L_STAB_!E25)</f>
        <v>0</v>
      </c>
      <c r="F25" s="98">
        <f>+SUM(EL_DEL_CD2_JO_!F25,EL_DEL_CD2_SBI_1_4_!F25,EL_DEL_CD2_SBI_5_6_!F25,EL_DEL_CD2_SBI_7_8_!F25,EL_DEL_CD2_SBI_9_10_!F25,EL_DEL_CD2_STAB_!F25,EL_DEL_CD2_JO_L_!F25,EL_DEL_CD2_SBI_L_1_4_!F25,EL_DEL_CD2_SBI_L_5_6_!F25,EL_DEL_CD2_SBI_L_7_8_!F25,EL_DEL_CD2_SBI_L_9_10_!F25,EL_DEL_CD2_L_STAB_!F25)</f>
        <v>0</v>
      </c>
      <c r="G25" s="98">
        <f>+SUM(EL_DEL_CD2_JO_!G25,EL_DEL_CD2_SBI_1_4_!G25,EL_DEL_CD2_SBI_5_6_!G25,EL_DEL_CD2_SBI_7_8_!G25,EL_DEL_CD2_SBI_9_10_!G25,EL_DEL_CD2_STAB_!G25,EL_DEL_CD2_JO_L_!G25,EL_DEL_CD2_SBI_L_1_4_!G25,EL_DEL_CD2_SBI_L_5_6_!G25,EL_DEL_CD2_SBI_L_7_8_!G25,EL_DEL_CD2_SBI_L_9_10_!G25,EL_DEL_CD2_L_STAB_!G25)</f>
        <v>0</v>
      </c>
      <c r="H25" s="98">
        <f>+SUM(EL_DEL_CD2_JO_!H25,EL_DEL_CD2_SBI_1_4_!H25,EL_DEL_CD2_SBI_5_6_!H25,EL_DEL_CD2_SBI_7_8_!H25,EL_DEL_CD2_SBI_9_10_!H25,EL_DEL_CD2_STAB_!H25,EL_DEL_CD2_JO_L_!H25,EL_DEL_CD2_SBI_L_1_4_!H25,EL_DEL_CD2_SBI_L_5_6_!H25,EL_DEL_CD2_SBI_L_7_8_!H25,EL_DEL_CD2_SBI_L_9_10_!H25,EL_DEL_CD2_L_STAB_!H25)</f>
        <v>0</v>
      </c>
      <c r="I25" s="98">
        <f>+SUM(EL_DEL_CD2_JO_!I25,EL_DEL_CD2_SBI_1_4_!I25,EL_DEL_CD2_SBI_5_6_!I25,EL_DEL_CD2_SBI_7_8_!I25,EL_DEL_CD2_SBI_9_10_!I25,EL_DEL_CD2_STAB_!I25,EL_DEL_CD2_JO_L_!I25,EL_DEL_CD2_SBI_L_1_4_!I25,EL_DEL_CD2_SBI_L_5_6_!I25,EL_DEL_CD2_SBI_L_7_8_!I25,EL_DEL_CD2_SBI_L_9_10_!I25,EL_DEL_CD2_L_STAB_!I25)</f>
        <v>0</v>
      </c>
      <c r="J25" s="98">
        <f>+SUM(EL_DEL_CD2_JO_!J25,EL_DEL_CD2_SBI_1_4_!J25,EL_DEL_CD2_SBI_5_6_!J25,EL_DEL_CD2_SBI_7_8_!J25,EL_DEL_CD2_SBI_9_10_!J25,EL_DEL_CD2_STAB_!J25,EL_DEL_CD2_JO_L_!J25,EL_DEL_CD2_SBI_L_1_4_!J25,EL_DEL_CD2_SBI_L_5_6_!J25,EL_DEL_CD2_SBI_L_7_8_!J25,EL_DEL_CD2_SBI_L_9_10_!J25,EL_DEL_CD2_L_STAB_!J25)</f>
        <v>0</v>
      </c>
      <c r="K25" s="98">
        <f>+SUM(EL_DEL_CD2_JO_!K25,EL_DEL_CD2_SBI_1_4_!K25,EL_DEL_CD2_SBI_5_6_!K25,EL_DEL_CD2_SBI_7_8_!K25,EL_DEL_CD2_SBI_9_10_!K25,EL_DEL_CD2_STAB_!K25,EL_DEL_CD2_JO_L_!K25,EL_DEL_CD2_SBI_L_1_4_!K25,EL_DEL_CD2_SBI_L_5_6_!K25,EL_DEL_CD2_SBI_L_7_8_!K25,EL_DEL_CD2_SBI_L_9_10_!K25,EL_DEL_CD2_L_STAB_!K25)</f>
        <v>0</v>
      </c>
      <c r="L25" s="98">
        <f>+SUM(EL_DEL_CD2_JO_!L25,EL_DEL_CD2_SBI_1_4_!L25,EL_DEL_CD2_SBI_5_6_!L25,EL_DEL_CD2_SBI_7_8_!L25,EL_DEL_CD2_SBI_9_10_!L25,EL_DEL_CD2_STAB_!L25,EL_DEL_CD2_JO_L_!L25,EL_DEL_CD2_SBI_L_1_4_!L25,EL_DEL_CD2_SBI_L_5_6_!L25,EL_DEL_CD2_SBI_L_7_8_!L25,EL_DEL_CD2_SBI_L_9_10_!L25,EL_DEL_CD2_L_STAB_!L25)</f>
        <v>0</v>
      </c>
      <c r="M25" s="98">
        <f>+SUM(EL_DEL_CD2_JO_!M25,EL_DEL_CD2_SBI_1_4_!M25,EL_DEL_CD2_SBI_5_6_!M25,EL_DEL_CD2_SBI_7_8_!M25,EL_DEL_CD2_SBI_9_10_!M25,EL_DEL_CD2_STAB_!M25,EL_DEL_CD2_JO_L_!M25,EL_DEL_CD2_SBI_L_1_4_!M25,EL_DEL_CD2_SBI_L_5_6_!M25,EL_DEL_CD2_SBI_L_7_8_!M25,EL_DEL_CD2_SBI_L_9_10_!M25,EL_DEL_CD2_L_STAB_!M25)</f>
        <v>0</v>
      </c>
      <c r="N25" s="98">
        <f>+SUM(EL_DEL_CD2_JO_!N25,EL_DEL_CD2_SBI_1_4_!N25,EL_DEL_CD2_SBI_5_6_!N25,EL_DEL_CD2_SBI_7_8_!N25,EL_DEL_CD2_SBI_9_10_!N25,EL_DEL_CD2_STAB_!N25,EL_DEL_CD2_JO_L_!N25,EL_DEL_CD2_SBI_L_1_4_!N25,EL_DEL_CD2_SBI_L_5_6_!N25,EL_DEL_CD2_SBI_L_7_8_!N25,EL_DEL_CD2_SBI_L_9_10_!N25,EL_DEL_CD2_L_STAB_!N25)</f>
        <v>0</v>
      </c>
      <c r="O25" s="98">
        <f>+SUM(EL_DEL_CD2_JO_!O25,EL_DEL_CD2_SBI_1_4_!O25,EL_DEL_CD2_SBI_5_6_!O25,EL_DEL_CD2_SBI_7_8_!O25,EL_DEL_CD2_SBI_9_10_!O25,EL_DEL_CD2_STAB_!O25,EL_DEL_CD2_JO_L_!O25,EL_DEL_CD2_SBI_L_1_4_!O25,EL_DEL_CD2_SBI_L_5_6_!O25,EL_DEL_CD2_SBI_L_7_8_!O25,EL_DEL_CD2_SBI_L_9_10_!O25,EL_DEL_CD2_L_STAB_!O25)</f>
        <v>0</v>
      </c>
      <c r="P25" s="98">
        <f>+SUM(EL_DEL_CD2_JO_!P25,EL_DEL_CD2_SBI_1_4_!P25,EL_DEL_CD2_SBI_5_6_!P25,EL_DEL_CD2_SBI_7_8_!P25,EL_DEL_CD2_SBI_9_10_!P25,EL_DEL_CD2_STAB_!P25,EL_DEL_CD2_JO_L_!P25,EL_DEL_CD2_SBI_L_1_4_!P25,EL_DEL_CD2_SBI_L_5_6_!P25,EL_DEL_CD2_SBI_L_7_8_!P25,EL_DEL_CD2_SBI_L_9_10_!P25,EL_DEL_CD2_L_STAB_!P25)</f>
        <v>0</v>
      </c>
      <c r="Q25" s="98">
        <f>+SUM(EL_DEL_CD2_JO_!Q25,EL_DEL_CD2_SBI_1_4_!Q25,EL_DEL_CD2_SBI_5_6_!Q25,EL_DEL_CD2_SBI_7_8_!Q25,EL_DEL_CD2_SBI_9_10_!Q25,EL_DEL_CD2_STAB_!Q25,EL_DEL_CD2_JO_L_!Q25,EL_DEL_CD2_SBI_L_1_4_!Q25,EL_DEL_CD2_SBI_L_5_6_!Q25,EL_DEL_CD2_SBI_L_7_8_!Q25,EL_DEL_CD2_SBI_L_9_10_!Q25,EL_DEL_CD2_L_STAB_!Q25)</f>
        <v>0</v>
      </c>
      <c r="R25" s="98">
        <f>+SUM(EL_DEL_CD2_JO_!R25,EL_DEL_CD2_SBI_1_4_!R25,EL_DEL_CD2_SBI_5_6_!R25,EL_DEL_CD2_SBI_7_8_!R25,EL_DEL_CD2_SBI_9_10_!R25,EL_DEL_CD2_STAB_!R25,EL_DEL_CD2_JO_L_!R25,EL_DEL_CD2_SBI_L_1_4_!R25,EL_DEL_CD2_SBI_L_5_6_!R25,EL_DEL_CD2_SBI_L_7_8_!R25,EL_DEL_CD2_SBI_L_9_10_!R25,EL_DEL_CD2_L_STAB_!R25)</f>
        <v>0</v>
      </c>
      <c r="S25" s="98">
        <f>+SUM(EL_DEL_CD2_JO_!S25,EL_DEL_CD2_SBI_1_4_!S25,EL_DEL_CD2_SBI_5_6_!S25,EL_DEL_CD2_SBI_7_8_!S25,EL_DEL_CD2_SBI_9_10_!S25,EL_DEL_CD2_STAB_!S25,EL_DEL_CD2_JO_L_!S25,EL_DEL_CD2_SBI_L_1_4_!S25,EL_DEL_CD2_SBI_L_5_6_!S25,EL_DEL_CD2_SBI_L_7_8_!S25,EL_DEL_CD2_SBI_L_9_10_!S25,EL_DEL_CD2_L_STAB_!S25)</f>
        <v>0</v>
      </c>
      <c r="T25" s="98">
        <f>+SUM(EL_DEL_CD2_JO_!T25,EL_DEL_CD2_SBI_1_4_!T25,EL_DEL_CD2_SBI_5_6_!T25,EL_DEL_CD2_SBI_7_8_!T25,EL_DEL_CD2_SBI_9_10_!T25,EL_DEL_CD2_STAB_!T25,EL_DEL_CD2_JO_L_!T25,EL_DEL_CD2_SBI_L_1_4_!T25,EL_DEL_CD2_SBI_L_5_6_!T25,EL_DEL_CD2_SBI_L_7_8_!T25,EL_DEL_CD2_SBI_L_9_10_!T25,EL_DEL_CD2_L_STAB_!T25)</f>
        <v>0</v>
      </c>
      <c r="U25" s="98">
        <f>+SUM(EL_DEL_CD2_JO_!U25,EL_DEL_CD2_SBI_1_4_!U25,EL_DEL_CD2_SBI_5_6_!U25,EL_DEL_CD2_SBI_7_8_!U25,EL_DEL_CD2_SBI_9_10_!U25,EL_DEL_CD2_STAB_!U25,EL_DEL_CD2_JO_L_!U25,EL_DEL_CD2_SBI_L_1_4_!U25,EL_DEL_CD2_SBI_L_5_6_!U25,EL_DEL_CD2_SBI_L_7_8_!U25,EL_DEL_CD2_SBI_L_9_10_!U25,EL_DEL_CD2_L_STAB_!U25)</f>
        <v>0</v>
      </c>
      <c r="V25" s="98">
        <f>+SUM(EL_DEL_CD2_JO_!V25,EL_DEL_CD2_SBI_1_4_!V25,EL_DEL_CD2_SBI_5_6_!V25,EL_DEL_CD2_SBI_7_8_!V25,EL_DEL_CD2_SBI_9_10_!V25,EL_DEL_CD2_STAB_!V25,EL_DEL_CD2_JO_L_!V25,EL_DEL_CD2_SBI_L_1_4_!V25,EL_DEL_CD2_SBI_L_5_6_!V25,EL_DEL_CD2_SBI_L_7_8_!V25,EL_DEL_CD2_SBI_L_9_10_!V25,EL_DEL_CD2_L_STAB_!V25)</f>
        <v>0</v>
      </c>
      <c r="W25" s="98">
        <f>+SUM(EL_DEL_CD2_JO_!W25,EL_DEL_CD2_SBI_1_4_!W25,EL_DEL_CD2_SBI_5_6_!W25,EL_DEL_CD2_SBI_7_8_!W25,EL_DEL_CD2_SBI_9_10_!W25,EL_DEL_CD2_STAB_!W25,EL_DEL_CD2_JO_L_!W25,EL_DEL_CD2_SBI_L_1_4_!W25,EL_DEL_CD2_SBI_L_5_6_!W25,EL_DEL_CD2_SBI_L_7_8_!W25,EL_DEL_CD2_SBI_L_9_10_!W25,EL_DEL_CD2_L_STAB_!W25)</f>
        <v>0</v>
      </c>
      <c r="X25" s="98">
        <f>+SUM(EL_DEL_CD2_JO_!X25,EL_DEL_CD2_SBI_1_4_!X25,EL_DEL_CD2_SBI_5_6_!X25,EL_DEL_CD2_SBI_7_8_!X25,EL_DEL_CD2_SBI_9_10_!X25,EL_DEL_CD2_STAB_!X25,EL_DEL_CD2_JO_L_!X25,EL_DEL_CD2_SBI_L_1_4_!X25,EL_DEL_CD2_SBI_L_5_6_!X25,EL_DEL_CD2_SBI_L_7_8_!X25,EL_DEL_CD2_SBI_L_9_10_!X25,EL_DEL_CD2_L_STAB_!X25)</f>
        <v>0</v>
      </c>
      <c r="Y25" s="98">
        <f>+SUM(EL_DEL_CD2_JO_!Y25,EL_DEL_CD2_SBI_1_4_!Y25,EL_DEL_CD2_SBI_5_6_!Y25,EL_DEL_CD2_SBI_7_8_!Y25,EL_DEL_CD2_SBI_9_10_!Y25,EL_DEL_CD2_STAB_!Y25,EL_DEL_CD2_JO_L_!Y25,EL_DEL_CD2_SBI_L_1_4_!Y25,EL_DEL_CD2_SBI_L_5_6_!Y25,EL_DEL_CD2_SBI_L_7_8_!Y25,EL_DEL_CD2_SBI_L_9_10_!Y25,EL_DEL_CD2_L_STAB_!Y25)</f>
        <v>0</v>
      </c>
      <c r="Z25" s="98">
        <f>+SUM(EL_DEL_CD2_JO_!Z25,EL_DEL_CD2_SBI_1_4_!Z25,EL_DEL_CD2_SBI_5_6_!Z25,EL_DEL_CD2_SBI_7_8_!Z25,EL_DEL_CD2_SBI_9_10_!Z25,EL_DEL_CD2_STAB_!Z25,EL_DEL_CD2_JO_L_!Z25,EL_DEL_CD2_SBI_L_1_4_!Z25,EL_DEL_CD2_SBI_L_5_6_!Z25,EL_DEL_CD2_SBI_L_7_8_!Z25,EL_DEL_CD2_SBI_L_9_10_!Z25,EL_DEL_CD2_L_STAB_!Z25)</f>
        <v>0</v>
      </c>
      <c r="AA25" s="98">
        <f>+SUM(EL_DEL_CD2_JO_!AA25,EL_DEL_CD2_SBI_1_4_!AA25,EL_DEL_CD2_SBI_5_6_!AA25,EL_DEL_CD2_SBI_7_8_!AA25,EL_DEL_CD2_SBI_9_10_!AA25,EL_DEL_CD2_STAB_!AA25,EL_DEL_CD2_JO_L_!AA25,EL_DEL_CD2_SBI_L_1_4_!AA25,EL_DEL_CD2_SBI_L_5_6_!AA25,EL_DEL_CD2_SBI_L_7_8_!AA25,EL_DEL_CD2_SBI_L_9_10_!AA25,EL_DEL_CD2_L_STAB_!AA25)</f>
        <v>0</v>
      </c>
      <c r="AB25" s="98">
        <f>+SUM(EL_DEL_CD2_JO_!AB25,EL_DEL_CD2_SBI_1_4_!AB25,EL_DEL_CD2_SBI_5_6_!AB25,EL_DEL_CD2_SBI_7_8_!AB25,EL_DEL_CD2_SBI_9_10_!AB25,EL_DEL_CD2_STAB_!AB25,EL_DEL_CD2_JO_L_!AB25,EL_DEL_CD2_SBI_L_1_4_!AB25,EL_DEL_CD2_SBI_L_5_6_!AB25,EL_DEL_CD2_SBI_L_7_8_!AB25,EL_DEL_CD2_SBI_L_9_10_!AB25,EL_DEL_CD2_L_STAB_!AB25)</f>
        <v>0</v>
      </c>
      <c r="AC25" s="98">
        <f>+SUM(EL_DEL_CD2_JO_!AC25,EL_DEL_CD2_SBI_1_4_!AC25,EL_DEL_CD2_SBI_5_6_!AC25,EL_DEL_CD2_SBI_7_8_!AC25,EL_DEL_CD2_SBI_9_10_!AC25,EL_DEL_CD2_STAB_!AC25,EL_DEL_CD2_JO_L_!AC25,EL_DEL_CD2_SBI_L_1_4_!AC25,EL_DEL_CD2_SBI_L_5_6_!AC25,EL_DEL_CD2_SBI_L_7_8_!AC25,EL_DEL_CD2_SBI_L_9_10_!AC25,EL_DEL_CD2_L_STAB_!AC25)</f>
        <v>0</v>
      </c>
      <c r="AD25" s="98">
        <f>+SUM(EL_DEL_CD2_JO_!AD25,EL_DEL_CD2_SBI_1_4_!AD25,EL_DEL_CD2_SBI_5_6_!AD25,EL_DEL_CD2_SBI_7_8_!AD25,EL_DEL_CD2_SBI_9_10_!AD25,EL_DEL_CD2_STAB_!AD25,EL_DEL_CD2_JO_L_!AD25,EL_DEL_CD2_SBI_L_1_4_!AD25,EL_DEL_CD2_SBI_L_5_6_!AD25,EL_DEL_CD2_SBI_L_7_8_!AD25,EL_DEL_CD2_SBI_L_9_10_!AD25,EL_DEL_CD2_L_STAB_!AD25)</f>
        <v>0</v>
      </c>
      <c r="AE25" s="98">
        <f>+SUM(EL_DEL_CD2_JO_!AE25,EL_DEL_CD2_SBI_1_4_!AE25,EL_DEL_CD2_SBI_5_6_!AE25,EL_DEL_CD2_SBI_7_8_!AE25,EL_DEL_CD2_SBI_9_10_!AE25,EL_DEL_CD2_STAB_!AE25,EL_DEL_CD2_JO_L_!AE25,EL_DEL_CD2_SBI_L_1_4_!AE25,EL_DEL_CD2_SBI_L_5_6_!AE25,EL_DEL_CD2_SBI_L_7_8_!AE25,EL_DEL_CD2_SBI_L_9_10_!AE25,EL_DEL_CD2_L_STAB_!AE25)</f>
        <v>0</v>
      </c>
      <c r="AF25" s="98">
        <f>+SUM(EL_DEL_CD2_JO_!AF25,EL_DEL_CD2_SBI_1_4_!AF25,EL_DEL_CD2_SBI_5_6_!AF25,EL_DEL_CD2_SBI_7_8_!AF25,EL_DEL_CD2_SBI_9_10_!AF25,EL_DEL_CD2_STAB_!AF25,EL_DEL_CD2_JO_L_!AF25,EL_DEL_CD2_SBI_L_1_4_!AF25,EL_DEL_CD2_SBI_L_5_6_!AF25,EL_DEL_CD2_SBI_L_7_8_!AF25,EL_DEL_CD2_SBI_L_9_10_!AF25,EL_DEL_CD2_L_STAB_!AF25)</f>
        <v>0</v>
      </c>
      <c r="AG25" s="98">
        <f>+SUM(EL_DEL_CD2_JO_!AG25,EL_DEL_CD2_SBI_1_4_!AG25,EL_DEL_CD2_SBI_5_6_!AG25,EL_DEL_CD2_SBI_7_8_!AG25,EL_DEL_CD2_SBI_9_10_!AG25,EL_DEL_CD2_STAB_!AG25,EL_DEL_CD2_JO_L_!AG25,EL_DEL_CD2_SBI_L_1_4_!AG25,EL_DEL_CD2_SBI_L_5_6_!AG25,EL_DEL_CD2_SBI_L_7_8_!AG25,EL_DEL_CD2_SBI_L_9_10_!AG25,EL_DEL_CD2_L_STAB_!AG25)</f>
        <v>0</v>
      </c>
      <c r="AH25" s="98">
        <f>+SUM(EL_DEL_CD2_JO_!AH25,EL_DEL_CD2_SBI_1_4_!AH25,EL_DEL_CD2_SBI_5_6_!AH25,EL_DEL_CD2_SBI_7_8_!AH25,EL_DEL_CD2_SBI_9_10_!AH25,EL_DEL_CD2_STAB_!AH25,EL_DEL_CD2_JO_L_!AH25,EL_DEL_CD2_SBI_L_1_4_!AH25,EL_DEL_CD2_SBI_L_5_6_!AH25,EL_DEL_CD2_SBI_L_7_8_!AH25,EL_DEL_CD2_SBI_L_9_10_!AH25,EL_DEL_CD2_L_STAB_!AH25)</f>
        <v>0</v>
      </c>
      <c r="AI25" s="98">
        <f>+SUM(EL_DEL_CD2_JO_!AI25,EL_DEL_CD2_SBI_1_4_!AI25,EL_DEL_CD2_SBI_5_6_!AI25,EL_DEL_CD2_SBI_7_8_!AI25,EL_DEL_CD2_SBI_9_10_!AI25,EL_DEL_CD2_STAB_!AI25,EL_DEL_CD2_JO_L_!AI25,EL_DEL_CD2_SBI_L_1_4_!AI25,EL_DEL_CD2_SBI_L_5_6_!AI25,EL_DEL_CD2_SBI_L_7_8_!AI25,EL_DEL_CD2_SBI_L_9_10_!AI25,EL_DEL_CD2_L_STAB_!AI25)</f>
        <v>0</v>
      </c>
      <c r="AJ25" s="98">
        <f>+SUM(EL_DEL_CD2_JO_!AJ25,EL_DEL_CD2_SBI_1_4_!AJ25,EL_DEL_CD2_SBI_5_6_!AJ25,EL_DEL_CD2_SBI_7_8_!AJ25,EL_DEL_CD2_SBI_9_10_!AJ25,EL_DEL_CD2_STAB_!AJ25,EL_DEL_CD2_JO_L_!AJ25,EL_DEL_CD2_SBI_L_1_4_!AJ25,EL_DEL_CD2_SBI_L_5_6_!AJ25,EL_DEL_CD2_SBI_L_7_8_!AJ25,EL_DEL_CD2_SBI_L_9_10_!AJ25,EL_DEL_CD2_L_STAB_!AJ25)</f>
        <v>0</v>
      </c>
      <c r="AK25" s="98">
        <f>+SUM(EL_DEL_CD2_JO_!AK25,EL_DEL_CD2_SBI_1_4_!AK25,EL_DEL_CD2_SBI_5_6_!AK25,EL_DEL_CD2_SBI_7_8_!AK25,EL_DEL_CD2_SBI_9_10_!AK25,EL_DEL_CD2_STAB_!AK25,EL_DEL_CD2_JO_L_!AK25,EL_DEL_CD2_SBI_L_1_4_!AK25,EL_DEL_CD2_SBI_L_5_6_!AK25,EL_DEL_CD2_SBI_L_7_8_!AK25,EL_DEL_CD2_SBI_L_9_10_!AK25,EL_DEL_CD2_L_STAB_!AK25)</f>
        <v>0</v>
      </c>
      <c r="AL25" s="152" t="str">
        <f>+IFERROR(AVERAGE(EL_DEL_CD2_JO_!AL25,EL_DEL_CD2_SBI_1_4_!AL25,EL_DEL_CD2_SBI_5_6_!AL25,EL_DEL_CD2_SBI_7_8_!AL25,EL_DEL_CD2_SBI_9_10_!AL25,EL_DEL_CD2_STAB_!AL25,EL_DEL_CD2_JO_L_!AL25,EL_DEL_CD2_SBI_L_1_4_!AL25,EL_DEL_CD2_SBI_L_5_6_!AL25,EL_DEL_CD2_SBI_L_7_8_!AL25,EL_DEL_CD2_SBI_L_9_10_!AL25,EL_DEL_CD2_L_STAB_!AL25),"0:00")</f>
        <v>0:00</v>
      </c>
      <c r="AM25" s="152" t="str">
        <f>+IFERROR(AVERAGE(EL_DEL_CD2_JO_!AM25,EL_DEL_CD2_SBI_1_4_!AM25,EL_DEL_CD2_SBI_5_6_!AM25,EL_DEL_CD2_SBI_7_8_!AM25,EL_DEL_CD2_SBI_9_10_!AM25,EL_DEL_CD2_STAB_!AM25,EL_DEL_CD2_JO_L_!AM25,EL_DEL_CD2_SBI_L_1_4_!AM25,EL_DEL_CD2_SBI_L_5_6_!AM25,EL_DEL_CD2_SBI_L_7_8_!AM25,EL_DEL_CD2_SBI_L_9_10_!AM25,EL_DEL_CD2_L_STAB_!AM25),"0:00")</f>
        <v>0:00</v>
      </c>
      <c r="AN25" s="152" t="str">
        <f>+IFERROR(AVERAGE(EL_DEL_CD2_JO_!AN25,EL_DEL_CD2_SBI_1_4_!AN25,EL_DEL_CD2_SBI_5_6_!AN25,EL_DEL_CD2_SBI_7_8_!AN25,EL_DEL_CD2_SBI_9_10_!AN25,EL_DEL_CD2_STAB_!AN25,EL_DEL_CD2_JO_L_!AN25,EL_DEL_CD2_SBI_L_1_4_!AN25,EL_DEL_CD2_SBI_L_5_6_!AN25,EL_DEL_CD2_SBI_L_7_8_!AN25,EL_DEL_CD2_SBI_L_9_10_!AN25,EL_DEL_CD2_L_STAB_!AN25),"0:00")</f>
        <v>0:00</v>
      </c>
      <c r="AO25" s="152" t="str">
        <f>+IFERROR(AVERAGE(EL_DEL_CD2_JO_!AO25,EL_DEL_CD2_SBI_1_4_!AO25,EL_DEL_CD2_SBI_5_6_!AO25,EL_DEL_CD2_SBI_7_8_!AO25,EL_DEL_CD2_SBI_9_10_!AO25,EL_DEL_CD2_STAB_!AO25,EL_DEL_CD2_JO_L_!AO25,EL_DEL_CD2_SBI_L_1_4_!AO25,EL_DEL_CD2_SBI_L_5_6_!AO25,EL_DEL_CD2_SBI_L_7_8_!AO25,EL_DEL_CD2_SBI_L_9_10_!AO25,EL_DEL_CD2_L_STAB_!AO25),"0:00")</f>
        <v>0:00</v>
      </c>
      <c r="AP25" s="98" t="str">
        <f>+IFERROR(AVERAGE(EL_DEL_CD2_JO_!AP25,EL_DEL_CD2_SBI_1_4_!AP25,EL_DEL_CD2_SBI_5_6_!AP25,EL_DEL_CD2_SBI_7_8_!AP25,EL_DEL_CD2_SBI_9_10_!AP25,EL_DEL_CD2_STAB_!AP25,EL_DEL_CD2_JO_L_!AP25,EL_DEL_CD2_SBI_L_1_4_!AP25,EL_DEL_CD2_SBI_L_5_6_!AP25,EL_DEL_CD2_SBI_L_7_8_!AP25,EL_DEL_CD2_SBI_L_9_10_!AP25,EL_DEL_CD2_L_STAB_!AP25),"0:00")</f>
        <v>0:00</v>
      </c>
      <c r="AQ25" s="152" t="str">
        <f>+IFERROR(AVERAGE(EL_DEL_CD2_JO_!AQ25,EL_DEL_CD2_SBI_1_4_!AQ25,EL_DEL_CD2_SBI_5_6_!AQ25,EL_DEL_CD2_SBI_7_8_!AQ25,EL_DEL_CD2_SBI_9_10_!AQ25,EL_DEL_CD2_STAB_!AQ25,EL_DEL_CD2_JO_L_!AQ25,EL_DEL_CD2_SBI_L_1_4_!AQ25,EL_DEL_CD2_SBI_L_5_6_!AQ25,EL_DEL_CD2_SBI_L_7_8_!AQ25,EL_DEL_CD2_SBI_L_9_10_!AQ25,EL_DEL_CD2_L_STAB_!AQ25),"0:00")</f>
        <v>0:00</v>
      </c>
      <c r="AR25" s="152" t="str">
        <f>+IFERROR(AVERAGE(EL_DEL_CD2_JO_!AR25,EL_DEL_CD2_SBI_1_4_!AR25,EL_DEL_CD2_SBI_5_6_!AR25,EL_DEL_CD2_SBI_7_8_!AR25,EL_DEL_CD2_SBI_9_10_!AR25,EL_DEL_CD2_STAB_!AR25,EL_DEL_CD2_JO_L_!AR25,EL_DEL_CD2_SBI_L_1_4_!AR25,EL_DEL_CD2_SBI_L_5_6_!AR25,EL_DEL_CD2_SBI_L_7_8_!AR25,EL_DEL_CD2_SBI_L_9_10_!AR25,EL_DEL_CD2_L_STAB_!AR25),"0:00")</f>
        <v>0:00</v>
      </c>
      <c r="AS25" s="152" t="str">
        <f>+IFERROR(AVERAGE(EL_DEL_CD2_JO_!AS25,EL_DEL_CD2_SBI_1_4_!AS25,EL_DEL_CD2_SBI_5_6_!AS25,EL_DEL_CD2_SBI_7_8_!AS25,EL_DEL_CD2_SBI_9_10_!AS25,EL_DEL_CD2_STAB_!AS25,EL_DEL_CD2_JO_L_!AS25,EL_DEL_CD2_SBI_L_1_4_!AS25,EL_DEL_CD2_SBI_L_5_6_!AS25,EL_DEL_CD2_SBI_L_7_8_!AS25,EL_DEL_CD2_SBI_L_9_10_!AS25,EL_DEL_CD2_L_STAB_!AS25),"0:00")</f>
        <v>0:00</v>
      </c>
      <c r="AT25" s="98">
        <f>+SUM(EL_DEL_CD2_JO_!AT25,EL_DEL_CD2_SBI_1_4_!AT25,EL_DEL_CD2_SBI_5_6_!AT25,EL_DEL_CD2_SBI_7_8_!AT25,EL_DEL_CD2_SBI_9_10_!AT25,EL_DEL_CD2_STAB_!AT25,EL_DEL_CD2_JO_L_!AT25,EL_DEL_CD2_SBI_L_1_4_!AT25,EL_DEL_CD2_SBI_L_5_6_!AT25,EL_DEL_CD2_SBI_L_7_8_!AT25,EL_DEL_CD2_SBI_L_9_10_!AT25,EL_DEL_CD2_L_STAB_!AT25)</f>
        <v>0</v>
      </c>
      <c r="AU25" s="98">
        <f>+SUM(EL_DEL_CD2_JO_!AU25,EL_DEL_CD2_SBI_1_4_!AU25,EL_DEL_CD2_SBI_5_6_!AU25,EL_DEL_CD2_SBI_7_8_!AU25,EL_DEL_CD2_SBI_9_10_!AU25,EL_DEL_CD2_STAB_!AU25,EL_DEL_CD2_JO_L_!AU25,EL_DEL_CD2_SBI_L_1_4_!AU25,EL_DEL_CD2_SBI_L_5_6_!AU25,EL_DEL_CD2_SBI_L_7_8_!AU25,EL_DEL_CD2_SBI_L_9_10_!AU25,EL_DEL_CD2_L_STAB_!AU25)</f>
        <v>0</v>
      </c>
      <c r="AV25" s="98">
        <f>+SUM(EL_DEL_CD2_JO_!AV25,EL_DEL_CD2_SBI_1_4_!AV25,EL_DEL_CD2_SBI_5_6_!AV25,EL_DEL_CD2_SBI_7_8_!AV25,EL_DEL_CD2_SBI_9_10_!AV25,EL_DEL_CD2_STAB_!AV25,EL_DEL_CD2_JO_L_!AV25,EL_DEL_CD2_SBI_L_1_4_!AV25,EL_DEL_CD2_SBI_L_5_6_!AV25,EL_DEL_CD2_SBI_L_7_8_!AV25,EL_DEL_CD2_SBI_L_9_10_!AV25,EL_DEL_CD2_L_STAB_!AV25)</f>
        <v>0</v>
      </c>
      <c r="AW25" s="167">
        <f>+SUM(EL_DEL_CD2_JO_!AW25,EL_DEL_CD2_SBI_1_4_!AW25,EL_DEL_CD2_SBI_5_6_!AW25,EL_DEL_CD2_SBI_7_8_!AW25,EL_DEL_CD2_SBI_9_10_!AW25,EL_DEL_CD2_STAB_!AW25,EL_DEL_CD2_JO_L_!AW25,EL_DEL_CD2_SBI_L_1_4_!AW25,EL_DEL_CD2_SBI_L_5_6_!AW25,EL_DEL_CD2_SBI_L_7_8_!AW25,EL_DEL_CD2_SBI_L_9_10_!AW25,EL_DEL_CD2_L_STAB_!AW25)</f>
        <v>0</v>
      </c>
      <c r="AX25" s="102" t="str">
        <f t="shared" si="24"/>
        <v>-</v>
      </c>
      <c r="AY25" s="151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51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31"/>
        <v/>
      </c>
      <c r="BH25" s="119" t="str">
        <f t="shared" si="8"/>
        <v/>
      </c>
      <c r="BI25" s="120" t="str">
        <f t="shared" si="25"/>
        <v/>
      </c>
      <c r="BJ25" s="151"/>
      <c r="BK25" s="121" t="str">
        <f t="shared" si="9"/>
        <v/>
      </c>
      <c r="BL25" s="122" t="str">
        <f t="shared" si="10"/>
        <v/>
      </c>
      <c r="BM25" s="122" t="str">
        <f t="shared" si="11"/>
        <v/>
      </c>
      <c r="BN25" s="123" t="str">
        <f t="shared" si="12"/>
        <v/>
      </c>
      <c r="BO25" s="151"/>
      <c r="BP25" s="124" t="str">
        <f t="shared" si="13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4"/>
        <v/>
      </c>
      <c r="BU25" s="151"/>
      <c r="BV25" s="127" t="e">
        <f t="shared" si="15"/>
        <v>#DIV/0!</v>
      </c>
      <c r="BW25" s="127" t="e">
        <f t="shared" si="16"/>
        <v>#DIV/0!</v>
      </c>
      <c r="BX25" s="127" t="e">
        <f t="shared" si="17"/>
        <v>#DIV/0!</v>
      </c>
      <c r="BY25" s="127" t="e">
        <f t="shared" si="18"/>
        <v>#DIV/0!</v>
      </c>
      <c r="BZ25" s="127" t="e">
        <f t="shared" si="28"/>
        <v>#DIV/0!</v>
      </c>
      <c r="CA25" s="128" t="e">
        <f t="shared" si="29"/>
        <v>#DIV/0!</v>
      </c>
      <c r="CB25" s="151"/>
      <c r="CC25" s="129" t="str">
        <f t="shared" si="19"/>
        <v>-</v>
      </c>
      <c r="CD25" s="130" t="str">
        <f t="shared" si="20"/>
        <v>-</v>
      </c>
      <c r="CE25" s="130" t="str">
        <f t="shared" si="21"/>
        <v>-</v>
      </c>
      <c r="CF25" s="130" t="str">
        <f t="shared" si="22"/>
        <v>-</v>
      </c>
      <c r="CG25" s="131" t="str">
        <f t="shared" si="23"/>
        <v>-</v>
      </c>
      <c r="CH25" s="151"/>
    </row>
    <row r="26" spans="1:86" s="115" customFormat="1" ht="12.4" customHeight="1" thickBot="1" x14ac:dyDescent="0.25">
      <c r="A26" s="96">
        <f t="shared" si="30"/>
        <v>46318</v>
      </c>
      <c r="B26" s="97" t="str">
        <f t="shared" si="0"/>
        <v>Fri</v>
      </c>
      <c r="C26" s="98">
        <f>+SUM(EL_DEL_CD2_JO_!C26,EL_DEL_CD2_SBI_1_4_!C26,EL_DEL_CD2_SBI_5_6_!C26,EL_DEL_CD2_SBI_7_8_!C26,EL_DEL_CD2_SBI_9_10_!C26,EL_DEL_CD2_STAB_!C26,EL_DEL_CD2_JO_L_!C26,EL_DEL_CD2_SBI_L_1_4_!C26,EL_DEL_CD2_SBI_L_5_6_!C26,EL_DEL_CD2_SBI_L_7_8_!C26,EL_DEL_CD2_SBI_L_9_10_!C26,EL_DEL_CD2_L_STAB_!C26)</f>
        <v>0</v>
      </c>
      <c r="D26" s="98">
        <f>+SUM(EL_DEL_CD2_JO_!D26,EL_DEL_CD2_SBI_1_4_!D26,EL_DEL_CD2_SBI_5_6_!D26,EL_DEL_CD2_SBI_7_8_!D26,EL_DEL_CD2_SBI_9_10_!D26,EL_DEL_CD2_STAB_!D26,EL_DEL_CD2_JO_L_!D26,EL_DEL_CD2_SBI_L_1_4_!D26,EL_DEL_CD2_SBI_L_5_6_!D26,EL_DEL_CD2_SBI_L_7_8_!D26,EL_DEL_CD2_SBI_L_9_10_!D26,EL_DEL_CD2_L_STAB_!D26)</f>
        <v>0</v>
      </c>
      <c r="E26" s="98">
        <f>+SUM(EL_DEL_CD2_JO_!E26,EL_DEL_CD2_SBI_1_4_!E26,EL_DEL_CD2_SBI_5_6_!E26,EL_DEL_CD2_SBI_7_8_!E26,EL_DEL_CD2_SBI_9_10_!E26,EL_DEL_CD2_STAB_!E26,EL_DEL_CD2_JO_L_!E26,EL_DEL_CD2_SBI_L_1_4_!E26,EL_DEL_CD2_SBI_L_5_6_!E26,EL_DEL_CD2_SBI_L_7_8_!E26,EL_DEL_CD2_SBI_L_9_10_!E26,EL_DEL_CD2_L_STAB_!E26)</f>
        <v>0</v>
      </c>
      <c r="F26" s="98">
        <f>+SUM(EL_DEL_CD2_JO_!F26,EL_DEL_CD2_SBI_1_4_!F26,EL_DEL_CD2_SBI_5_6_!F26,EL_DEL_CD2_SBI_7_8_!F26,EL_DEL_CD2_SBI_9_10_!F26,EL_DEL_CD2_STAB_!F26,EL_DEL_CD2_JO_L_!F26,EL_DEL_CD2_SBI_L_1_4_!F26,EL_DEL_CD2_SBI_L_5_6_!F26,EL_DEL_CD2_SBI_L_7_8_!F26,EL_DEL_CD2_SBI_L_9_10_!F26,EL_DEL_CD2_L_STAB_!F26)</f>
        <v>0</v>
      </c>
      <c r="G26" s="98">
        <f>+SUM(EL_DEL_CD2_JO_!G26,EL_DEL_CD2_SBI_1_4_!G26,EL_DEL_CD2_SBI_5_6_!G26,EL_DEL_CD2_SBI_7_8_!G26,EL_DEL_CD2_SBI_9_10_!G26,EL_DEL_CD2_STAB_!G26,EL_DEL_CD2_JO_L_!G26,EL_DEL_CD2_SBI_L_1_4_!G26,EL_DEL_CD2_SBI_L_5_6_!G26,EL_DEL_CD2_SBI_L_7_8_!G26,EL_DEL_CD2_SBI_L_9_10_!G26,EL_DEL_CD2_L_STAB_!G26)</f>
        <v>0</v>
      </c>
      <c r="H26" s="98">
        <f>+SUM(EL_DEL_CD2_JO_!H26,EL_DEL_CD2_SBI_1_4_!H26,EL_DEL_CD2_SBI_5_6_!H26,EL_DEL_CD2_SBI_7_8_!H26,EL_DEL_CD2_SBI_9_10_!H26,EL_DEL_CD2_STAB_!H26,EL_DEL_CD2_JO_L_!H26,EL_DEL_CD2_SBI_L_1_4_!H26,EL_DEL_CD2_SBI_L_5_6_!H26,EL_DEL_CD2_SBI_L_7_8_!H26,EL_DEL_CD2_SBI_L_9_10_!H26,EL_DEL_CD2_L_STAB_!H26)</f>
        <v>0</v>
      </c>
      <c r="I26" s="98">
        <f>+SUM(EL_DEL_CD2_JO_!I26,EL_DEL_CD2_SBI_1_4_!I26,EL_DEL_CD2_SBI_5_6_!I26,EL_DEL_CD2_SBI_7_8_!I26,EL_DEL_CD2_SBI_9_10_!I26,EL_DEL_CD2_STAB_!I26,EL_DEL_CD2_JO_L_!I26,EL_DEL_CD2_SBI_L_1_4_!I26,EL_DEL_CD2_SBI_L_5_6_!I26,EL_DEL_CD2_SBI_L_7_8_!I26,EL_DEL_CD2_SBI_L_9_10_!I26,EL_DEL_CD2_L_STAB_!I26)</f>
        <v>0</v>
      </c>
      <c r="J26" s="98">
        <f>+SUM(EL_DEL_CD2_JO_!J26,EL_DEL_CD2_SBI_1_4_!J26,EL_DEL_CD2_SBI_5_6_!J26,EL_DEL_CD2_SBI_7_8_!J26,EL_DEL_CD2_SBI_9_10_!J26,EL_DEL_CD2_STAB_!J26,EL_DEL_CD2_JO_L_!J26,EL_DEL_CD2_SBI_L_1_4_!J26,EL_DEL_CD2_SBI_L_5_6_!J26,EL_DEL_CD2_SBI_L_7_8_!J26,EL_DEL_CD2_SBI_L_9_10_!J26,EL_DEL_CD2_L_STAB_!J26)</f>
        <v>0</v>
      </c>
      <c r="K26" s="98">
        <f>+SUM(EL_DEL_CD2_JO_!K26,EL_DEL_CD2_SBI_1_4_!K26,EL_DEL_CD2_SBI_5_6_!K26,EL_DEL_CD2_SBI_7_8_!K26,EL_DEL_CD2_SBI_9_10_!K26,EL_DEL_CD2_STAB_!K26,EL_DEL_CD2_JO_L_!K26,EL_DEL_CD2_SBI_L_1_4_!K26,EL_DEL_CD2_SBI_L_5_6_!K26,EL_DEL_CD2_SBI_L_7_8_!K26,EL_DEL_CD2_SBI_L_9_10_!K26,EL_DEL_CD2_L_STAB_!K26)</f>
        <v>0</v>
      </c>
      <c r="L26" s="98">
        <f>+SUM(EL_DEL_CD2_JO_!L26,EL_DEL_CD2_SBI_1_4_!L26,EL_DEL_CD2_SBI_5_6_!L26,EL_DEL_CD2_SBI_7_8_!L26,EL_DEL_CD2_SBI_9_10_!L26,EL_DEL_CD2_STAB_!L26,EL_DEL_CD2_JO_L_!L26,EL_DEL_CD2_SBI_L_1_4_!L26,EL_DEL_CD2_SBI_L_5_6_!L26,EL_DEL_CD2_SBI_L_7_8_!L26,EL_DEL_CD2_SBI_L_9_10_!L26,EL_DEL_CD2_L_STAB_!L26)</f>
        <v>0</v>
      </c>
      <c r="M26" s="98">
        <f>+SUM(EL_DEL_CD2_JO_!M26,EL_DEL_CD2_SBI_1_4_!M26,EL_DEL_CD2_SBI_5_6_!M26,EL_DEL_CD2_SBI_7_8_!M26,EL_DEL_CD2_SBI_9_10_!M26,EL_DEL_CD2_STAB_!M26,EL_DEL_CD2_JO_L_!M26,EL_DEL_CD2_SBI_L_1_4_!M26,EL_DEL_CD2_SBI_L_5_6_!M26,EL_DEL_CD2_SBI_L_7_8_!M26,EL_DEL_CD2_SBI_L_9_10_!M26,EL_DEL_CD2_L_STAB_!M26)</f>
        <v>0</v>
      </c>
      <c r="N26" s="98">
        <f>+SUM(EL_DEL_CD2_JO_!N26,EL_DEL_CD2_SBI_1_4_!N26,EL_DEL_CD2_SBI_5_6_!N26,EL_DEL_CD2_SBI_7_8_!N26,EL_DEL_CD2_SBI_9_10_!N26,EL_DEL_CD2_STAB_!N26,EL_DEL_CD2_JO_L_!N26,EL_DEL_CD2_SBI_L_1_4_!N26,EL_DEL_CD2_SBI_L_5_6_!N26,EL_DEL_CD2_SBI_L_7_8_!N26,EL_DEL_CD2_SBI_L_9_10_!N26,EL_DEL_CD2_L_STAB_!N26)</f>
        <v>0</v>
      </c>
      <c r="O26" s="98">
        <f>+SUM(EL_DEL_CD2_JO_!O26,EL_DEL_CD2_SBI_1_4_!O26,EL_DEL_CD2_SBI_5_6_!O26,EL_DEL_CD2_SBI_7_8_!O26,EL_DEL_CD2_SBI_9_10_!O26,EL_DEL_CD2_STAB_!O26,EL_DEL_CD2_JO_L_!O26,EL_DEL_CD2_SBI_L_1_4_!O26,EL_DEL_CD2_SBI_L_5_6_!O26,EL_DEL_CD2_SBI_L_7_8_!O26,EL_DEL_CD2_SBI_L_9_10_!O26,EL_DEL_CD2_L_STAB_!O26)</f>
        <v>0</v>
      </c>
      <c r="P26" s="98">
        <f>+SUM(EL_DEL_CD2_JO_!P26,EL_DEL_CD2_SBI_1_4_!P26,EL_DEL_CD2_SBI_5_6_!P26,EL_DEL_CD2_SBI_7_8_!P26,EL_DEL_CD2_SBI_9_10_!P26,EL_DEL_CD2_STAB_!P26,EL_DEL_CD2_JO_L_!P26,EL_DEL_CD2_SBI_L_1_4_!P26,EL_DEL_CD2_SBI_L_5_6_!P26,EL_DEL_CD2_SBI_L_7_8_!P26,EL_DEL_CD2_SBI_L_9_10_!P26,EL_DEL_CD2_L_STAB_!P26)</f>
        <v>0</v>
      </c>
      <c r="Q26" s="98">
        <f>+SUM(EL_DEL_CD2_JO_!Q26,EL_DEL_CD2_SBI_1_4_!Q26,EL_DEL_CD2_SBI_5_6_!Q26,EL_DEL_CD2_SBI_7_8_!Q26,EL_DEL_CD2_SBI_9_10_!Q26,EL_DEL_CD2_STAB_!Q26,EL_DEL_CD2_JO_L_!Q26,EL_DEL_CD2_SBI_L_1_4_!Q26,EL_DEL_CD2_SBI_L_5_6_!Q26,EL_DEL_CD2_SBI_L_7_8_!Q26,EL_DEL_CD2_SBI_L_9_10_!Q26,EL_DEL_CD2_L_STAB_!Q26)</f>
        <v>0</v>
      </c>
      <c r="R26" s="98">
        <f>+SUM(EL_DEL_CD2_JO_!R26,EL_DEL_CD2_SBI_1_4_!R26,EL_DEL_CD2_SBI_5_6_!R26,EL_DEL_CD2_SBI_7_8_!R26,EL_DEL_CD2_SBI_9_10_!R26,EL_DEL_CD2_STAB_!R26,EL_DEL_CD2_JO_L_!R26,EL_DEL_CD2_SBI_L_1_4_!R26,EL_DEL_CD2_SBI_L_5_6_!R26,EL_DEL_CD2_SBI_L_7_8_!R26,EL_DEL_CD2_SBI_L_9_10_!R26,EL_DEL_CD2_L_STAB_!R26)</f>
        <v>0</v>
      </c>
      <c r="S26" s="98">
        <f>+SUM(EL_DEL_CD2_JO_!S26,EL_DEL_CD2_SBI_1_4_!S26,EL_DEL_CD2_SBI_5_6_!S26,EL_DEL_CD2_SBI_7_8_!S26,EL_DEL_CD2_SBI_9_10_!S26,EL_DEL_CD2_STAB_!S26,EL_DEL_CD2_JO_L_!S26,EL_DEL_CD2_SBI_L_1_4_!S26,EL_DEL_CD2_SBI_L_5_6_!S26,EL_DEL_CD2_SBI_L_7_8_!S26,EL_DEL_CD2_SBI_L_9_10_!S26,EL_DEL_CD2_L_STAB_!S26)</f>
        <v>0</v>
      </c>
      <c r="T26" s="98">
        <f>+SUM(EL_DEL_CD2_JO_!T26,EL_DEL_CD2_SBI_1_4_!T26,EL_DEL_CD2_SBI_5_6_!T26,EL_DEL_CD2_SBI_7_8_!T26,EL_DEL_CD2_SBI_9_10_!T26,EL_DEL_CD2_STAB_!T26,EL_DEL_CD2_JO_L_!T26,EL_DEL_CD2_SBI_L_1_4_!T26,EL_DEL_CD2_SBI_L_5_6_!T26,EL_DEL_CD2_SBI_L_7_8_!T26,EL_DEL_CD2_SBI_L_9_10_!T26,EL_DEL_CD2_L_STAB_!T26)</f>
        <v>0</v>
      </c>
      <c r="U26" s="98">
        <f>+SUM(EL_DEL_CD2_JO_!U26,EL_DEL_CD2_SBI_1_4_!U26,EL_DEL_CD2_SBI_5_6_!U26,EL_DEL_CD2_SBI_7_8_!U26,EL_DEL_CD2_SBI_9_10_!U26,EL_DEL_CD2_STAB_!U26,EL_DEL_CD2_JO_L_!U26,EL_DEL_CD2_SBI_L_1_4_!U26,EL_DEL_CD2_SBI_L_5_6_!U26,EL_DEL_CD2_SBI_L_7_8_!U26,EL_DEL_CD2_SBI_L_9_10_!U26,EL_DEL_CD2_L_STAB_!U26)</f>
        <v>0</v>
      </c>
      <c r="V26" s="98">
        <f>+SUM(EL_DEL_CD2_JO_!V26,EL_DEL_CD2_SBI_1_4_!V26,EL_DEL_CD2_SBI_5_6_!V26,EL_DEL_CD2_SBI_7_8_!V26,EL_DEL_CD2_SBI_9_10_!V26,EL_DEL_CD2_STAB_!V26,EL_DEL_CD2_JO_L_!V26,EL_DEL_CD2_SBI_L_1_4_!V26,EL_DEL_CD2_SBI_L_5_6_!V26,EL_DEL_CD2_SBI_L_7_8_!V26,EL_DEL_CD2_SBI_L_9_10_!V26,EL_DEL_CD2_L_STAB_!V26)</f>
        <v>0</v>
      </c>
      <c r="W26" s="98">
        <f>+SUM(EL_DEL_CD2_JO_!W26,EL_DEL_CD2_SBI_1_4_!W26,EL_DEL_CD2_SBI_5_6_!W26,EL_DEL_CD2_SBI_7_8_!W26,EL_DEL_CD2_SBI_9_10_!W26,EL_DEL_CD2_STAB_!W26,EL_DEL_CD2_JO_L_!W26,EL_DEL_CD2_SBI_L_1_4_!W26,EL_DEL_CD2_SBI_L_5_6_!W26,EL_DEL_CD2_SBI_L_7_8_!W26,EL_DEL_CD2_SBI_L_9_10_!W26,EL_DEL_CD2_L_STAB_!W26)</f>
        <v>0</v>
      </c>
      <c r="X26" s="98">
        <f>+SUM(EL_DEL_CD2_JO_!X26,EL_DEL_CD2_SBI_1_4_!X26,EL_DEL_CD2_SBI_5_6_!X26,EL_DEL_CD2_SBI_7_8_!X26,EL_DEL_CD2_SBI_9_10_!X26,EL_DEL_CD2_STAB_!X26,EL_DEL_CD2_JO_L_!X26,EL_DEL_CD2_SBI_L_1_4_!X26,EL_DEL_CD2_SBI_L_5_6_!X26,EL_DEL_CD2_SBI_L_7_8_!X26,EL_DEL_CD2_SBI_L_9_10_!X26,EL_DEL_CD2_L_STAB_!X26)</f>
        <v>0</v>
      </c>
      <c r="Y26" s="98">
        <f>+SUM(EL_DEL_CD2_JO_!Y26,EL_DEL_CD2_SBI_1_4_!Y26,EL_DEL_CD2_SBI_5_6_!Y26,EL_DEL_CD2_SBI_7_8_!Y26,EL_DEL_CD2_SBI_9_10_!Y26,EL_DEL_CD2_STAB_!Y26,EL_DEL_CD2_JO_L_!Y26,EL_DEL_CD2_SBI_L_1_4_!Y26,EL_DEL_CD2_SBI_L_5_6_!Y26,EL_DEL_CD2_SBI_L_7_8_!Y26,EL_DEL_CD2_SBI_L_9_10_!Y26,EL_DEL_CD2_L_STAB_!Y26)</f>
        <v>0</v>
      </c>
      <c r="Z26" s="98">
        <f>+SUM(EL_DEL_CD2_JO_!Z26,EL_DEL_CD2_SBI_1_4_!Z26,EL_DEL_CD2_SBI_5_6_!Z26,EL_DEL_CD2_SBI_7_8_!Z26,EL_DEL_CD2_SBI_9_10_!Z26,EL_DEL_CD2_STAB_!Z26,EL_DEL_CD2_JO_L_!Z26,EL_DEL_CD2_SBI_L_1_4_!Z26,EL_DEL_CD2_SBI_L_5_6_!Z26,EL_DEL_CD2_SBI_L_7_8_!Z26,EL_DEL_CD2_SBI_L_9_10_!Z26,EL_DEL_CD2_L_STAB_!Z26)</f>
        <v>0</v>
      </c>
      <c r="AA26" s="98">
        <f>+SUM(EL_DEL_CD2_JO_!AA26,EL_DEL_CD2_SBI_1_4_!AA26,EL_DEL_CD2_SBI_5_6_!AA26,EL_DEL_CD2_SBI_7_8_!AA26,EL_DEL_CD2_SBI_9_10_!AA26,EL_DEL_CD2_STAB_!AA26,EL_DEL_CD2_JO_L_!AA26,EL_DEL_CD2_SBI_L_1_4_!AA26,EL_DEL_CD2_SBI_L_5_6_!AA26,EL_DEL_CD2_SBI_L_7_8_!AA26,EL_DEL_CD2_SBI_L_9_10_!AA26,EL_DEL_CD2_L_STAB_!AA26)</f>
        <v>0</v>
      </c>
      <c r="AB26" s="98">
        <f>+SUM(EL_DEL_CD2_JO_!AB26,EL_DEL_CD2_SBI_1_4_!AB26,EL_DEL_CD2_SBI_5_6_!AB26,EL_DEL_CD2_SBI_7_8_!AB26,EL_DEL_CD2_SBI_9_10_!AB26,EL_DEL_CD2_STAB_!AB26,EL_DEL_CD2_JO_L_!AB26,EL_DEL_CD2_SBI_L_1_4_!AB26,EL_DEL_CD2_SBI_L_5_6_!AB26,EL_DEL_CD2_SBI_L_7_8_!AB26,EL_DEL_CD2_SBI_L_9_10_!AB26,EL_DEL_CD2_L_STAB_!AB26)</f>
        <v>0</v>
      </c>
      <c r="AC26" s="98">
        <f>+SUM(EL_DEL_CD2_JO_!AC26,EL_DEL_CD2_SBI_1_4_!AC26,EL_DEL_CD2_SBI_5_6_!AC26,EL_DEL_CD2_SBI_7_8_!AC26,EL_DEL_CD2_SBI_9_10_!AC26,EL_DEL_CD2_STAB_!AC26,EL_DEL_CD2_JO_L_!AC26,EL_DEL_CD2_SBI_L_1_4_!AC26,EL_DEL_CD2_SBI_L_5_6_!AC26,EL_DEL_CD2_SBI_L_7_8_!AC26,EL_DEL_CD2_SBI_L_9_10_!AC26,EL_DEL_CD2_L_STAB_!AC26)</f>
        <v>0</v>
      </c>
      <c r="AD26" s="98">
        <f>+SUM(EL_DEL_CD2_JO_!AD26,EL_DEL_CD2_SBI_1_4_!AD26,EL_DEL_CD2_SBI_5_6_!AD26,EL_DEL_CD2_SBI_7_8_!AD26,EL_DEL_CD2_SBI_9_10_!AD26,EL_DEL_CD2_STAB_!AD26,EL_DEL_CD2_JO_L_!AD26,EL_DEL_CD2_SBI_L_1_4_!AD26,EL_DEL_CD2_SBI_L_5_6_!AD26,EL_DEL_CD2_SBI_L_7_8_!AD26,EL_DEL_CD2_SBI_L_9_10_!AD26,EL_DEL_CD2_L_STAB_!AD26)</f>
        <v>0</v>
      </c>
      <c r="AE26" s="98">
        <f>+SUM(EL_DEL_CD2_JO_!AE26,EL_DEL_CD2_SBI_1_4_!AE26,EL_DEL_CD2_SBI_5_6_!AE26,EL_DEL_CD2_SBI_7_8_!AE26,EL_DEL_CD2_SBI_9_10_!AE26,EL_DEL_CD2_STAB_!AE26,EL_DEL_CD2_JO_L_!AE26,EL_DEL_CD2_SBI_L_1_4_!AE26,EL_DEL_CD2_SBI_L_5_6_!AE26,EL_DEL_CD2_SBI_L_7_8_!AE26,EL_DEL_CD2_SBI_L_9_10_!AE26,EL_DEL_CD2_L_STAB_!AE26)</f>
        <v>0</v>
      </c>
      <c r="AF26" s="98">
        <f>+SUM(EL_DEL_CD2_JO_!AF26,EL_DEL_CD2_SBI_1_4_!AF26,EL_DEL_CD2_SBI_5_6_!AF26,EL_DEL_CD2_SBI_7_8_!AF26,EL_DEL_CD2_SBI_9_10_!AF26,EL_DEL_CD2_STAB_!AF26,EL_DEL_CD2_JO_L_!AF26,EL_DEL_CD2_SBI_L_1_4_!AF26,EL_DEL_CD2_SBI_L_5_6_!AF26,EL_DEL_CD2_SBI_L_7_8_!AF26,EL_DEL_CD2_SBI_L_9_10_!AF26,EL_DEL_CD2_L_STAB_!AF26)</f>
        <v>0</v>
      </c>
      <c r="AG26" s="98">
        <f>+SUM(EL_DEL_CD2_JO_!AG26,EL_DEL_CD2_SBI_1_4_!AG26,EL_DEL_CD2_SBI_5_6_!AG26,EL_DEL_CD2_SBI_7_8_!AG26,EL_DEL_CD2_SBI_9_10_!AG26,EL_DEL_CD2_STAB_!AG26,EL_DEL_CD2_JO_L_!AG26,EL_DEL_CD2_SBI_L_1_4_!AG26,EL_DEL_CD2_SBI_L_5_6_!AG26,EL_DEL_CD2_SBI_L_7_8_!AG26,EL_DEL_CD2_SBI_L_9_10_!AG26,EL_DEL_CD2_L_STAB_!AG26)</f>
        <v>0</v>
      </c>
      <c r="AH26" s="98">
        <f>+SUM(EL_DEL_CD2_JO_!AH26,EL_DEL_CD2_SBI_1_4_!AH26,EL_DEL_CD2_SBI_5_6_!AH26,EL_DEL_CD2_SBI_7_8_!AH26,EL_DEL_CD2_SBI_9_10_!AH26,EL_DEL_CD2_STAB_!AH26,EL_DEL_CD2_JO_L_!AH26,EL_DEL_CD2_SBI_L_1_4_!AH26,EL_DEL_CD2_SBI_L_5_6_!AH26,EL_DEL_CD2_SBI_L_7_8_!AH26,EL_DEL_CD2_SBI_L_9_10_!AH26,EL_DEL_CD2_L_STAB_!AH26)</f>
        <v>0</v>
      </c>
      <c r="AI26" s="98">
        <f>+SUM(EL_DEL_CD2_JO_!AI26,EL_DEL_CD2_SBI_1_4_!AI26,EL_DEL_CD2_SBI_5_6_!AI26,EL_DEL_CD2_SBI_7_8_!AI26,EL_DEL_CD2_SBI_9_10_!AI26,EL_DEL_CD2_STAB_!AI26,EL_DEL_CD2_JO_L_!AI26,EL_DEL_CD2_SBI_L_1_4_!AI26,EL_DEL_CD2_SBI_L_5_6_!AI26,EL_DEL_CD2_SBI_L_7_8_!AI26,EL_DEL_CD2_SBI_L_9_10_!AI26,EL_DEL_CD2_L_STAB_!AI26)</f>
        <v>0</v>
      </c>
      <c r="AJ26" s="98">
        <f>+SUM(EL_DEL_CD2_JO_!AJ26,EL_DEL_CD2_SBI_1_4_!AJ26,EL_DEL_CD2_SBI_5_6_!AJ26,EL_DEL_CD2_SBI_7_8_!AJ26,EL_DEL_CD2_SBI_9_10_!AJ26,EL_DEL_CD2_STAB_!AJ26,EL_DEL_CD2_JO_L_!AJ26,EL_DEL_CD2_SBI_L_1_4_!AJ26,EL_DEL_CD2_SBI_L_5_6_!AJ26,EL_DEL_CD2_SBI_L_7_8_!AJ26,EL_DEL_CD2_SBI_L_9_10_!AJ26,EL_DEL_CD2_L_STAB_!AJ26)</f>
        <v>0</v>
      </c>
      <c r="AK26" s="98">
        <f>+SUM(EL_DEL_CD2_JO_!AK26,EL_DEL_CD2_SBI_1_4_!AK26,EL_DEL_CD2_SBI_5_6_!AK26,EL_DEL_CD2_SBI_7_8_!AK26,EL_DEL_CD2_SBI_9_10_!AK26,EL_DEL_CD2_STAB_!AK26,EL_DEL_CD2_JO_L_!AK26,EL_DEL_CD2_SBI_L_1_4_!AK26,EL_DEL_CD2_SBI_L_5_6_!AK26,EL_DEL_CD2_SBI_L_7_8_!AK26,EL_DEL_CD2_SBI_L_9_10_!AK26,EL_DEL_CD2_L_STAB_!AK26)</f>
        <v>0</v>
      </c>
      <c r="AL26" s="152" t="str">
        <f>+IFERROR(AVERAGE(EL_DEL_CD2_JO_!AL26,EL_DEL_CD2_SBI_1_4_!AL26,EL_DEL_CD2_SBI_5_6_!AL26,EL_DEL_CD2_SBI_7_8_!AL26,EL_DEL_CD2_SBI_9_10_!AL26,EL_DEL_CD2_STAB_!AL26,EL_DEL_CD2_JO_L_!AL26,EL_DEL_CD2_SBI_L_1_4_!AL26,EL_DEL_CD2_SBI_L_5_6_!AL26,EL_DEL_CD2_SBI_L_7_8_!AL26,EL_DEL_CD2_SBI_L_9_10_!AL26,EL_DEL_CD2_L_STAB_!AL26),"0:00")</f>
        <v>0:00</v>
      </c>
      <c r="AM26" s="152" t="str">
        <f>+IFERROR(AVERAGE(EL_DEL_CD2_JO_!AM26,EL_DEL_CD2_SBI_1_4_!AM26,EL_DEL_CD2_SBI_5_6_!AM26,EL_DEL_CD2_SBI_7_8_!AM26,EL_DEL_CD2_SBI_9_10_!AM26,EL_DEL_CD2_STAB_!AM26,EL_DEL_CD2_JO_L_!AM26,EL_DEL_CD2_SBI_L_1_4_!AM26,EL_DEL_CD2_SBI_L_5_6_!AM26,EL_DEL_CD2_SBI_L_7_8_!AM26,EL_DEL_CD2_SBI_L_9_10_!AM26,EL_DEL_CD2_L_STAB_!AM26),"0:00")</f>
        <v>0:00</v>
      </c>
      <c r="AN26" s="152" t="str">
        <f>+IFERROR(AVERAGE(EL_DEL_CD2_JO_!AN26,EL_DEL_CD2_SBI_1_4_!AN26,EL_DEL_CD2_SBI_5_6_!AN26,EL_DEL_CD2_SBI_7_8_!AN26,EL_DEL_CD2_SBI_9_10_!AN26,EL_DEL_CD2_STAB_!AN26,EL_DEL_CD2_JO_L_!AN26,EL_DEL_CD2_SBI_L_1_4_!AN26,EL_DEL_CD2_SBI_L_5_6_!AN26,EL_DEL_CD2_SBI_L_7_8_!AN26,EL_DEL_CD2_SBI_L_9_10_!AN26,EL_DEL_CD2_L_STAB_!AN26),"0:00")</f>
        <v>0:00</v>
      </c>
      <c r="AO26" s="152" t="str">
        <f>+IFERROR(AVERAGE(EL_DEL_CD2_JO_!AO26,EL_DEL_CD2_SBI_1_4_!AO26,EL_DEL_CD2_SBI_5_6_!AO26,EL_DEL_CD2_SBI_7_8_!AO26,EL_DEL_CD2_SBI_9_10_!AO26,EL_DEL_CD2_STAB_!AO26,EL_DEL_CD2_JO_L_!AO26,EL_DEL_CD2_SBI_L_1_4_!AO26,EL_DEL_CD2_SBI_L_5_6_!AO26,EL_DEL_CD2_SBI_L_7_8_!AO26,EL_DEL_CD2_SBI_L_9_10_!AO26,EL_DEL_CD2_L_STAB_!AO26),"0:00")</f>
        <v>0:00</v>
      </c>
      <c r="AP26" s="98" t="str">
        <f>+IFERROR(AVERAGE(EL_DEL_CD2_JO_!AP26,EL_DEL_CD2_SBI_1_4_!AP26,EL_DEL_CD2_SBI_5_6_!AP26,EL_DEL_CD2_SBI_7_8_!AP26,EL_DEL_CD2_SBI_9_10_!AP26,EL_DEL_CD2_STAB_!AP26,EL_DEL_CD2_JO_L_!AP26,EL_DEL_CD2_SBI_L_1_4_!AP26,EL_DEL_CD2_SBI_L_5_6_!AP26,EL_DEL_CD2_SBI_L_7_8_!AP26,EL_DEL_CD2_SBI_L_9_10_!AP26,EL_DEL_CD2_L_STAB_!AP26),"0:00")</f>
        <v>0:00</v>
      </c>
      <c r="AQ26" s="152" t="str">
        <f>+IFERROR(AVERAGE(EL_DEL_CD2_JO_!AQ26,EL_DEL_CD2_SBI_1_4_!AQ26,EL_DEL_CD2_SBI_5_6_!AQ26,EL_DEL_CD2_SBI_7_8_!AQ26,EL_DEL_CD2_SBI_9_10_!AQ26,EL_DEL_CD2_STAB_!AQ26,EL_DEL_CD2_JO_L_!AQ26,EL_DEL_CD2_SBI_L_1_4_!AQ26,EL_DEL_CD2_SBI_L_5_6_!AQ26,EL_DEL_CD2_SBI_L_7_8_!AQ26,EL_DEL_CD2_SBI_L_9_10_!AQ26,EL_DEL_CD2_L_STAB_!AQ26),"0:00")</f>
        <v>0:00</v>
      </c>
      <c r="AR26" s="152" t="str">
        <f>+IFERROR(AVERAGE(EL_DEL_CD2_JO_!AR26,EL_DEL_CD2_SBI_1_4_!AR26,EL_DEL_CD2_SBI_5_6_!AR26,EL_DEL_CD2_SBI_7_8_!AR26,EL_DEL_CD2_SBI_9_10_!AR26,EL_DEL_CD2_STAB_!AR26,EL_DEL_CD2_JO_L_!AR26,EL_DEL_CD2_SBI_L_1_4_!AR26,EL_DEL_CD2_SBI_L_5_6_!AR26,EL_DEL_CD2_SBI_L_7_8_!AR26,EL_DEL_CD2_SBI_L_9_10_!AR26,EL_DEL_CD2_L_STAB_!AR26),"0:00")</f>
        <v>0:00</v>
      </c>
      <c r="AS26" s="152" t="str">
        <f>+IFERROR(AVERAGE(EL_DEL_CD2_JO_!AS26,EL_DEL_CD2_SBI_1_4_!AS26,EL_DEL_CD2_SBI_5_6_!AS26,EL_DEL_CD2_SBI_7_8_!AS26,EL_DEL_CD2_SBI_9_10_!AS26,EL_DEL_CD2_STAB_!AS26,EL_DEL_CD2_JO_L_!AS26,EL_DEL_CD2_SBI_L_1_4_!AS26,EL_DEL_CD2_SBI_L_5_6_!AS26,EL_DEL_CD2_SBI_L_7_8_!AS26,EL_DEL_CD2_SBI_L_9_10_!AS26,EL_DEL_CD2_L_STAB_!AS26),"0:00")</f>
        <v>0:00</v>
      </c>
      <c r="AT26" s="98">
        <f>+SUM(EL_DEL_CD2_JO_!AT26,EL_DEL_CD2_SBI_1_4_!AT26,EL_DEL_CD2_SBI_5_6_!AT26,EL_DEL_CD2_SBI_7_8_!AT26,EL_DEL_CD2_SBI_9_10_!AT26,EL_DEL_CD2_STAB_!AT26,EL_DEL_CD2_JO_L_!AT26,EL_DEL_CD2_SBI_L_1_4_!AT26,EL_DEL_CD2_SBI_L_5_6_!AT26,EL_DEL_CD2_SBI_L_7_8_!AT26,EL_DEL_CD2_SBI_L_9_10_!AT26,EL_DEL_CD2_L_STAB_!AT26)</f>
        <v>0</v>
      </c>
      <c r="AU26" s="98">
        <f>+SUM(EL_DEL_CD2_JO_!AU26,EL_DEL_CD2_SBI_1_4_!AU26,EL_DEL_CD2_SBI_5_6_!AU26,EL_DEL_CD2_SBI_7_8_!AU26,EL_DEL_CD2_SBI_9_10_!AU26,EL_DEL_CD2_STAB_!AU26,EL_DEL_CD2_JO_L_!AU26,EL_DEL_CD2_SBI_L_1_4_!AU26,EL_DEL_CD2_SBI_L_5_6_!AU26,EL_DEL_CD2_SBI_L_7_8_!AU26,EL_DEL_CD2_SBI_L_9_10_!AU26,EL_DEL_CD2_L_STAB_!AU26)</f>
        <v>0</v>
      </c>
      <c r="AV26" s="98">
        <f>+SUM(EL_DEL_CD2_JO_!AV26,EL_DEL_CD2_SBI_1_4_!AV26,EL_DEL_CD2_SBI_5_6_!AV26,EL_DEL_CD2_SBI_7_8_!AV26,EL_DEL_CD2_SBI_9_10_!AV26,EL_DEL_CD2_STAB_!AV26,EL_DEL_CD2_JO_L_!AV26,EL_DEL_CD2_SBI_L_1_4_!AV26,EL_DEL_CD2_SBI_L_5_6_!AV26,EL_DEL_CD2_SBI_L_7_8_!AV26,EL_DEL_CD2_SBI_L_9_10_!AV26,EL_DEL_CD2_L_STAB_!AV26)</f>
        <v>0</v>
      </c>
      <c r="AW26" s="167">
        <f>+SUM(EL_DEL_CD2_JO_!AW26,EL_DEL_CD2_SBI_1_4_!AW26,EL_DEL_CD2_SBI_5_6_!AW26,EL_DEL_CD2_SBI_7_8_!AW26,EL_DEL_CD2_SBI_9_10_!AW26,EL_DEL_CD2_STAB_!AW26,EL_DEL_CD2_JO_L_!AW26,EL_DEL_CD2_SBI_L_1_4_!AW26,EL_DEL_CD2_SBI_L_5_6_!AW26,EL_DEL_CD2_SBI_L_7_8_!AW26,EL_DEL_CD2_SBI_L_9_10_!AW26,EL_DEL_CD2_L_STAB_!AW26)</f>
        <v>0</v>
      </c>
      <c r="AX26" s="102" t="str">
        <f t="shared" si="24"/>
        <v>-</v>
      </c>
      <c r="AY26" s="151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51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31"/>
        <v/>
      </c>
      <c r="BH26" s="119" t="str">
        <f t="shared" si="8"/>
        <v/>
      </c>
      <c r="BI26" s="120" t="str">
        <f t="shared" si="25"/>
        <v/>
      </c>
      <c r="BJ26" s="151"/>
      <c r="BK26" s="121" t="str">
        <f t="shared" si="9"/>
        <v/>
      </c>
      <c r="BL26" s="122" t="str">
        <f t="shared" si="10"/>
        <v/>
      </c>
      <c r="BM26" s="122" t="str">
        <f t="shared" si="11"/>
        <v/>
      </c>
      <c r="BN26" s="123" t="str">
        <f t="shared" si="12"/>
        <v/>
      </c>
      <c r="BO26" s="151"/>
      <c r="BP26" s="124" t="str">
        <f t="shared" si="13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4"/>
        <v/>
      </c>
      <c r="BU26" s="151"/>
      <c r="BV26" s="127" t="e">
        <f t="shared" si="15"/>
        <v>#DIV/0!</v>
      </c>
      <c r="BW26" s="127" t="e">
        <f t="shared" si="16"/>
        <v>#DIV/0!</v>
      </c>
      <c r="BX26" s="127" t="e">
        <f t="shared" si="17"/>
        <v>#DIV/0!</v>
      </c>
      <c r="BY26" s="127" t="e">
        <f t="shared" si="18"/>
        <v>#DIV/0!</v>
      </c>
      <c r="BZ26" s="127" t="e">
        <f t="shared" si="28"/>
        <v>#DIV/0!</v>
      </c>
      <c r="CA26" s="128" t="e">
        <f t="shared" si="29"/>
        <v>#DIV/0!</v>
      </c>
      <c r="CB26" s="151"/>
      <c r="CC26" s="129" t="str">
        <f t="shared" si="19"/>
        <v>-</v>
      </c>
      <c r="CD26" s="130" t="str">
        <f t="shared" si="20"/>
        <v>-</v>
      </c>
      <c r="CE26" s="130" t="str">
        <f t="shared" si="21"/>
        <v>-</v>
      </c>
      <c r="CF26" s="130" t="str">
        <f t="shared" si="22"/>
        <v>-</v>
      </c>
      <c r="CG26" s="131" t="str">
        <f t="shared" si="23"/>
        <v>-</v>
      </c>
      <c r="CH26" s="151"/>
    </row>
    <row r="27" spans="1:86" s="115" customFormat="1" ht="12.4" customHeight="1" thickBot="1" x14ac:dyDescent="0.25">
      <c r="A27" s="96">
        <f t="shared" si="30"/>
        <v>46319</v>
      </c>
      <c r="B27" s="97" t="str">
        <f t="shared" si="0"/>
        <v>Sat</v>
      </c>
      <c r="C27" s="98">
        <f>+SUM(EL_DEL_CD2_JO_!C27,EL_DEL_CD2_SBI_1_4_!C27,EL_DEL_CD2_SBI_5_6_!C27,EL_DEL_CD2_SBI_7_8_!C27,EL_DEL_CD2_SBI_9_10_!C27,EL_DEL_CD2_STAB_!C27,EL_DEL_CD2_JO_L_!C27,EL_DEL_CD2_SBI_L_1_4_!C27,EL_DEL_CD2_SBI_L_5_6_!C27,EL_DEL_CD2_SBI_L_7_8_!C27,EL_DEL_CD2_SBI_L_9_10_!C27,EL_DEL_CD2_L_STAB_!C27)</f>
        <v>0</v>
      </c>
      <c r="D27" s="98">
        <f>+SUM(EL_DEL_CD2_JO_!D27,EL_DEL_CD2_SBI_1_4_!D27,EL_DEL_CD2_SBI_5_6_!D27,EL_DEL_CD2_SBI_7_8_!D27,EL_DEL_CD2_SBI_9_10_!D27,EL_DEL_CD2_STAB_!D27,EL_DEL_CD2_JO_L_!D27,EL_DEL_CD2_SBI_L_1_4_!D27,EL_DEL_CD2_SBI_L_5_6_!D27,EL_DEL_CD2_SBI_L_7_8_!D27,EL_DEL_CD2_SBI_L_9_10_!D27,EL_DEL_CD2_L_STAB_!D27)</f>
        <v>0</v>
      </c>
      <c r="E27" s="98">
        <f>+SUM(EL_DEL_CD2_JO_!E27,EL_DEL_CD2_SBI_1_4_!E27,EL_DEL_CD2_SBI_5_6_!E27,EL_DEL_CD2_SBI_7_8_!E27,EL_DEL_CD2_SBI_9_10_!E27,EL_DEL_CD2_STAB_!E27,EL_DEL_CD2_JO_L_!E27,EL_DEL_CD2_SBI_L_1_4_!E27,EL_DEL_CD2_SBI_L_5_6_!E27,EL_DEL_CD2_SBI_L_7_8_!E27,EL_DEL_CD2_SBI_L_9_10_!E27,EL_DEL_CD2_L_STAB_!E27)</f>
        <v>0</v>
      </c>
      <c r="F27" s="98">
        <f>+SUM(EL_DEL_CD2_JO_!F27,EL_DEL_CD2_SBI_1_4_!F27,EL_DEL_CD2_SBI_5_6_!F27,EL_DEL_CD2_SBI_7_8_!F27,EL_DEL_CD2_SBI_9_10_!F27,EL_DEL_CD2_STAB_!F27,EL_DEL_CD2_JO_L_!F27,EL_DEL_CD2_SBI_L_1_4_!F27,EL_DEL_CD2_SBI_L_5_6_!F27,EL_DEL_CD2_SBI_L_7_8_!F27,EL_DEL_CD2_SBI_L_9_10_!F27,EL_DEL_CD2_L_STAB_!F27)</f>
        <v>0</v>
      </c>
      <c r="G27" s="98">
        <f>+SUM(EL_DEL_CD2_JO_!G27,EL_DEL_CD2_SBI_1_4_!G27,EL_DEL_CD2_SBI_5_6_!G27,EL_DEL_CD2_SBI_7_8_!G27,EL_DEL_CD2_SBI_9_10_!G27,EL_DEL_CD2_STAB_!G27,EL_DEL_CD2_JO_L_!G27,EL_DEL_CD2_SBI_L_1_4_!G27,EL_DEL_CD2_SBI_L_5_6_!G27,EL_DEL_CD2_SBI_L_7_8_!G27,EL_DEL_CD2_SBI_L_9_10_!G27,EL_DEL_CD2_L_STAB_!G27)</f>
        <v>0</v>
      </c>
      <c r="H27" s="98">
        <f>+SUM(EL_DEL_CD2_JO_!H27,EL_DEL_CD2_SBI_1_4_!H27,EL_DEL_CD2_SBI_5_6_!H27,EL_DEL_CD2_SBI_7_8_!H27,EL_DEL_CD2_SBI_9_10_!H27,EL_DEL_CD2_STAB_!H27,EL_DEL_CD2_JO_L_!H27,EL_DEL_CD2_SBI_L_1_4_!H27,EL_DEL_CD2_SBI_L_5_6_!H27,EL_DEL_CD2_SBI_L_7_8_!H27,EL_DEL_CD2_SBI_L_9_10_!H27,EL_DEL_CD2_L_STAB_!H27)</f>
        <v>0</v>
      </c>
      <c r="I27" s="98">
        <f>+SUM(EL_DEL_CD2_JO_!I27,EL_DEL_CD2_SBI_1_4_!I27,EL_DEL_CD2_SBI_5_6_!I27,EL_DEL_CD2_SBI_7_8_!I27,EL_DEL_CD2_SBI_9_10_!I27,EL_DEL_CD2_STAB_!I27,EL_DEL_CD2_JO_L_!I27,EL_DEL_CD2_SBI_L_1_4_!I27,EL_DEL_CD2_SBI_L_5_6_!I27,EL_DEL_CD2_SBI_L_7_8_!I27,EL_DEL_CD2_SBI_L_9_10_!I27,EL_DEL_CD2_L_STAB_!I27)</f>
        <v>0</v>
      </c>
      <c r="J27" s="98">
        <f>+SUM(EL_DEL_CD2_JO_!J27,EL_DEL_CD2_SBI_1_4_!J27,EL_DEL_CD2_SBI_5_6_!J27,EL_DEL_CD2_SBI_7_8_!J27,EL_DEL_CD2_SBI_9_10_!J27,EL_DEL_CD2_STAB_!J27,EL_DEL_CD2_JO_L_!J27,EL_DEL_CD2_SBI_L_1_4_!J27,EL_DEL_CD2_SBI_L_5_6_!J27,EL_DEL_CD2_SBI_L_7_8_!J27,EL_DEL_CD2_SBI_L_9_10_!J27,EL_DEL_CD2_L_STAB_!J27)</f>
        <v>0</v>
      </c>
      <c r="K27" s="98">
        <f>+SUM(EL_DEL_CD2_JO_!K27,EL_DEL_CD2_SBI_1_4_!K27,EL_DEL_CD2_SBI_5_6_!K27,EL_DEL_CD2_SBI_7_8_!K27,EL_DEL_CD2_SBI_9_10_!K27,EL_DEL_CD2_STAB_!K27,EL_DEL_CD2_JO_L_!K27,EL_DEL_CD2_SBI_L_1_4_!K27,EL_DEL_CD2_SBI_L_5_6_!K27,EL_DEL_CD2_SBI_L_7_8_!K27,EL_DEL_CD2_SBI_L_9_10_!K27,EL_DEL_CD2_L_STAB_!K27)</f>
        <v>0</v>
      </c>
      <c r="L27" s="98">
        <f>+SUM(EL_DEL_CD2_JO_!L27,EL_DEL_CD2_SBI_1_4_!L27,EL_DEL_CD2_SBI_5_6_!L27,EL_DEL_CD2_SBI_7_8_!L27,EL_DEL_CD2_SBI_9_10_!L27,EL_DEL_CD2_STAB_!L27,EL_DEL_CD2_JO_L_!L27,EL_DEL_CD2_SBI_L_1_4_!L27,EL_DEL_CD2_SBI_L_5_6_!L27,EL_DEL_CD2_SBI_L_7_8_!L27,EL_DEL_CD2_SBI_L_9_10_!L27,EL_DEL_CD2_L_STAB_!L27)</f>
        <v>0</v>
      </c>
      <c r="M27" s="98">
        <f>+SUM(EL_DEL_CD2_JO_!M27,EL_DEL_CD2_SBI_1_4_!M27,EL_DEL_CD2_SBI_5_6_!M27,EL_DEL_CD2_SBI_7_8_!M27,EL_DEL_CD2_SBI_9_10_!M27,EL_DEL_CD2_STAB_!M27,EL_DEL_CD2_JO_L_!M27,EL_DEL_CD2_SBI_L_1_4_!M27,EL_DEL_CD2_SBI_L_5_6_!M27,EL_DEL_CD2_SBI_L_7_8_!M27,EL_DEL_CD2_SBI_L_9_10_!M27,EL_DEL_CD2_L_STAB_!M27)</f>
        <v>0</v>
      </c>
      <c r="N27" s="98">
        <f>+SUM(EL_DEL_CD2_JO_!N27,EL_DEL_CD2_SBI_1_4_!N27,EL_DEL_CD2_SBI_5_6_!N27,EL_DEL_CD2_SBI_7_8_!N27,EL_DEL_CD2_SBI_9_10_!N27,EL_DEL_CD2_STAB_!N27,EL_DEL_CD2_JO_L_!N27,EL_DEL_CD2_SBI_L_1_4_!N27,EL_DEL_CD2_SBI_L_5_6_!N27,EL_DEL_CD2_SBI_L_7_8_!N27,EL_DEL_CD2_SBI_L_9_10_!N27,EL_DEL_CD2_L_STAB_!N27)</f>
        <v>0</v>
      </c>
      <c r="O27" s="98">
        <f>+SUM(EL_DEL_CD2_JO_!O27,EL_DEL_CD2_SBI_1_4_!O27,EL_DEL_CD2_SBI_5_6_!O27,EL_DEL_CD2_SBI_7_8_!O27,EL_DEL_CD2_SBI_9_10_!O27,EL_DEL_CD2_STAB_!O27,EL_DEL_CD2_JO_L_!O27,EL_DEL_CD2_SBI_L_1_4_!O27,EL_DEL_CD2_SBI_L_5_6_!O27,EL_DEL_CD2_SBI_L_7_8_!O27,EL_DEL_CD2_SBI_L_9_10_!O27,EL_DEL_CD2_L_STAB_!O27)</f>
        <v>0</v>
      </c>
      <c r="P27" s="98">
        <f>+SUM(EL_DEL_CD2_JO_!P27,EL_DEL_CD2_SBI_1_4_!P27,EL_DEL_CD2_SBI_5_6_!P27,EL_DEL_CD2_SBI_7_8_!P27,EL_DEL_CD2_SBI_9_10_!P27,EL_DEL_CD2_STAB_!P27,EL_DEL_CD2_JO_L_!P27,EL_DEL_CD2_SBI_L_1_4_!P27,EL_DEL_CD2_SBI_L_5_6_!P27,EL_DEL_CD2_SBI_L_7_8_!P27,EL_DEL_CD2_SBI_L_9_10_!P27,EL_DEL_CD2_L_STAB_!P27)</f>
        <v>0</v>
      </c>
      <c r="Q27" s="98">
        <f>+SUM(EL_DEL_CD2_JO_!Q27,EL_DEL_CD2_SBI_1_4_!Q27,EL_DEL_CD2_SBI_5_6_!Q27,EL_DEL_CD2_SBI_7_8_!Q27,EL_DEL_CD2_SBI_9_10_!Q27,EL_DEL_CD2_STAB_!Q27,EL_DEL_CD2_JO_L_!Q27,EL_DEL_CD2_SBI_L_1_4_!Q27,EL_DEL_CD2_SBI_L_5_6_!Q27,EL_DEL_CD2_SBI_L_7_8_!Q27,EL_DEL_CD2_SBI_L_9_10_!Q27,EL_DEL_CD2_L_STAB_!Q27)</f>
        <v>0</v>
      </c>
      <c r="R27" s="98">
        <f>+SUM(EL_DEL_CD2_JO_!R27,EL_DEL_CD2_SBI_1_4_!R27,EL_DEL_CD2_SBI_5_6_!R27,EL_DEL_CD2_SBI_7_8_!R27,EL_DEL_CD2_SBI_9_10_!R27,EL_DEL_CD2_STAB_!R27,EL_DEL_CD2_JO_L_!R27,EL_DEL_CD2_SBI_L_1_4_!R27,EL_DEL_CD2_SBI_L_5_6_!R27,EL_DEL_CD2_SBI_L_7_8_!R27,EL_DEL_CD2_SBI_L_9_10_!R27,EL_DEL_CD2_L_STAB_!R27)</f>
        <v>0</v>
      </c>
      <c r="S27" s="98">
        <f>+SUM(EL_DEL_CD2_JO_!S27,EL_DEL_CD2_SBI_1_4_!S27,EL_DEL_CD2_SBI_5_6_!S27,EL_DEL_CD2_SBI_7_8_!S27,EL_DEL_CD2_SBI_9_10_!S27,EL_DEL_CD2_STAB_!S27,EL_DEL_CD2_JO_L_!S27,EL_DEL_CD2_SBI_L_1_4_!S27,EL_DEL_CD2_SBI_L_5_6_!S27,EL_DEL_CD2_SBI_L_7_8_!S27,EL_DEL_CD2_SBI_L_9_10_!S27,EL_DEL_CD2_L_STAB_!S27)</f>
        <v>0</v>
      </c>
      <c r="T27" s="98">
        <f>+SUM(EL_DEL_CD2_JO_!T27,EL_DEL_CD2_SBI_1_4_!T27,EL_DEL_CD2_SBI_5_6_!T27,EL_DEL_CD2_SBI_7_8_!T27,EL_DEL_CD2_SBI_9_10_!T27,EL_DEL_CD2_STAB_!T27,EL_DEL_CD2_JO_L_!T27,EL_DEL_CD2_SBI_L_1_4_!T27,EL_DEL_CD2_SBI_L_5_6_!T27,EL_DEL_CD2_SBI_L_7_8_!T27,EL_DEL_CD2_SBI_L_9_10_!T27,EL_DEL_CD2_L_STAB_!T27)</f>
        <v>0</v>
      </c>
      <c r="U27" s="98">
        <f>+SUM(EL_DEL_CD2_JO_!U27,EL_DEL_CD2_SBI_1_4_!U27,EL_DEL_CD2_SBI_5_6_!U27,EL_DEL_CD2_SBI_7_8_!U27,EL_DEL_CD2_SBI_9_10_!U27,EL_DEL_CD2_STAB_!U27,EL_DEL_CD2_JO_L_!U27,EL_DEL_CD2_SBI_L_1_4_!U27,EL_DEL_CD2_SBI_L_5_6_!U27,EL_DEL_CD2_SBI_L_7_8_!U27,EL_DEL_CD2_SBI_L_9_10_!U27,EL_DEL_CD2_L_STAB_!U27)</f>
        <v>0</v>
      </c>
      <c r="V27" s="98">
        <f>+SUM(EL_DEL_CD2_JO_!V27,EL_DEL_CD2_SBI_1_4_!V27,EL_DEL_CD2_SBI_5_6_!V27,EL_DEL_CD2_SBI_7_8_!V27,EL_DEL_CD2_SBI_9_10_!V27,EL_DEL_CD2_STAB_!V27,EL_DEL_CD2_JO_L_!V27,EL_DEL_CD2_SBI_L_1_4_!V27,EL_DEL_CD2_SBI_L_5_6_!V27,EL_DEL_CD2_SBI_L_7_8_!V27,EL_DEL_CD2_SBI_L_9_10_!V27,EL_DEL_CD2_L_STAB_!V27)</f>
        <v>0</v>
      </c>
      <c r="W27" s="98">
        <f>+SUM(EL_DEL_CD2_JO_!W27,EL_DEL_CD2_SBI_1_4_!W27,EL_DEL_CD2_SBI_5_6_!W27,EL_DEL_CD2_SBI_7_8_!W27,EL_DEL_CD2_SBI_9_10_!W27,EL_DEL_CD2_STAB_!W27,EL_DEL_CD2_JO_L_!W27,EL_DEL_CD2_SBI_L_1_4_!W27,EL_DEL_CD2_SBI_L_5_6_!W27,EL_DEL_CD2_SBI_L_7_8_!W27,EL_DEL_CD2_SBI_L_9_10_!W27,EL_DEL_CD2_L_STAB_!W27)</f>
        <v>0</v>
      </c>
      <c r="X27" s="98">
        <f>+SUM(EL_DEL_CD2_JO_!X27,EL_DEL_CD2_SBI_1_4_!X27,EL_DEL_CD2_SBI_5_6_!X27,EL_DEL_CD2_SBI_7_8_!X27,EL_DEL_CD2_SBI_9_10_!X27,EL_DEL_CD2_STAB_!X27,EL_DEL_CD2_JO_L_!X27,EL_DEL_CD2_SBI_L_1_4_!X27,EL_DEL_CD2_SBI_L_5_6_!X27,EL_DEL_CD2_SBI_L_7_8_!X27,EL_DEL_CD2_SBI_L_9_10_!X27,EL_DEL_CD2_L_STAB_!X27)</f>
        <v>0</v>
      </c>
      <c r="Y27" s="98">
        <f>+SUM(EL_DEL_CD2_JO_!Y27,EL_DEL_CD2_SBI_1_4_!Y27,EL_DEL_CD2_SBI_5_6_!Y27,EL_DEL_CD2_SBI_7_8_!Y27,EL_DEL_CD2_SBI_9_10_!Y27,EL_DEL_CD2_STAB_!Y27,EL_DEL_CD2_JO_L_!Y27,EL_DEL_CD2_SBI_L_1_4_!Y27,EL_DEL_CD2_SBI_L_5_6_!Y27,EL_DEL_CD2_SBI_L_7_8_!Y27,EL_DEL_CD2_SBI_L_9_10_!Y27,EL_DEL_CD2_L_STAB_!Y27)</f>
        <v>0</v>
      </c>
      <c r="Z27" s="98">
        <f>+SUM(EL_DEL_CD2_JO_!Z27,EL_DEL_CD2_SBI_1_4_!Z27,EL_DEL_CD2_SBI_5_6_!Z27,EL_DEL_CD2_SBI_7_8_!Z27,EL_DEL_CD2_SBI_9_10_!Z27,EL_DEL_CD2_STAB_!Z27,EL_DEL_CD2_JO_L_!Z27,EL_DEL_CD2_SBI_L_1_4_!Z27,EL_DEL_CD2_SBI_L_5_6_!Z27,EL_DEL_CD2_SBI_L_7_8_!Z27,EL_DEL_CD2_SBI_L_9_10_!Z27,EL_DEL_CD2_L_STAB_!Z27)</f>
        <v>0</v>
      </c>
      <c r="AA27" s="98">
        <f>+SUM(EL_DEL_CD2_JO_!AA27,EL_DEL_CD2_SBI_1_4_!AA27,EL_DEL_CD2_SBI_5_6_!AA27,EL_DEL_CD2_SBI_7_8_!AA27,EL_DEL_CD2_SBI_9_10_!AA27,EL_DEL_CD2_STAB_!AA27,EL_DEL_CD2_JO_L_!AA27,EL_DEL_CD2_SBI_L_1_4_!AA27,EL_DEL_CD2_SBI_L_5_6_!AA27,EL_DEL_CD2_SBI_L_7_8_!AA27,EL_DEL_CD2_SBI_L_9_10_!AA27,EL_DEL_CD2_L_STAB_!AA27)</f>
        <v>0</v>
      </c>
      <c r="AB27" s="98">
        <f>+SUM(EL_DEL_CD2_JO_!AB27,EL_DEL_CD2_SBI_1_4_!AB27,EL_DEL_CD2_SBI_5_6_!AB27,EL_DEL_CD2_SBI_7_8_!AB27,EL_DEL_CD2_SBI_9_10_!AB27,EL_DEL_CD2_STAB_!AB27,EL_DEL_CD2_JO_L_!AB27,EL_DEL_CD2_SBI_L_1_4_!AB27,EL_DEL_CD2_SBI_L_5_6_!AB27,EL_DEL_CD2_SBI_L_7_8_!AB27,EL_DEL_CD2_SBI_L_9_10_!AB27,EL_DEL_CD2_L_STAB_!AB27)</f>
        <v>0</v>
      </c>
      <c r="AC27" s="98">
        <f>+SUM(EL_DEL_CD2_JO_!AC27,EL_DEL_CD2_SBI_1_4_!AC27,EL_DEL_CD2_SBI_5_6_!AC27,EL_DEL_CD2_SBI_7_8_!AC27,EL_DEL_CD2_SBI_9_10_!AC27,EL_DEL_CD2_STAB_!AC27,EL_DEL_CD2_JO_L_!AC27,EL_DEL_CD2_SBI_L_1_4_!AC27,EL_DEL_CD2_SBI_L_5_6_!AC27,EL_DEL_CD2_SBI_L_7_8_!AC27,EL_DEL_CD2_SBI_L_9_10_!AC27,EL_DEL_CD2_L_STAB_!AC27)</f>
        <v>0</v>
      </c>
      <c r="AD27" s="98">
        <f>+SUM(EL_DEL_CD2_JO_!AD27,EL_DEL_CD2_SBI_1_4_!AD27,EL_DEL_CD2_SBI_5_6_!AD27,EL_DEL_CD2_SBI_7_8_!AD27,EL_DEL_CD2_SBI_9_10_!AD27,EL_DEL_CD2_STAB_!AD27,EL_DEL_CD2_JO_L_!AD27,EL_DEL_CD2_SBI_L_1_4_!AD27,EL_DEL_CD2_SBI_L_5_6_!AD27,EL_DEL_CD2_SBI_L_7_8_!AD27,EL_DEL_CD2_SBI_L_9_10_!AD27,EL_DEL_CD2_L_STAB_!AD27)</f>
        <v>0</v>
      </c>
      <c r="AE27" s="98">
        <f>+SUM(EL_DEL_CD2_JO_!AE27,EL_DEL_CD2_SBI_1_4_!AE27,EL_DEL_CD2_SBI_5_6_!AE27,EL_DEL_CD2_SBI_7_8_!AE27,EL_DEL_CD2_SBI_9_10_!AE27,EL_DEL_CD2_STAB_!AE27,EL_DEL_CD2_JO_L_!AE27,EL_DEL_CD2_SBI_L_1_4_!AE27,EL_DEL_CD2_SBI_L_5_6_!AE27,EL_DEL_CD2_SBI_L_7_8_!AE27,EL_DEL_CD2_SBI_L_9_10_!AE27,EL_DEL_CD2_L_STAB_!AE27)</f>
        <v>0</v>
      </c>
      <c r="AF27" s="98">
        <f>+SUM(EL_DEL_CD2_JO_!AF27,EL_DEL_CD2_SBI_1_4_!AF27,EL_DEL_CD2_SBI_5_6_!AF27,EL_DEL_CD2_SBI_7_8_!AF27,EL_DEL_CD2_SBI_9_10_!AF27,EL_DEL_CD2_STAB_!AF27,EL_DEL_CD2_JO_L_!AF27,EL_DEL_CD2_SBI_L_1_4_!AF27,EL_DEL_CD2_SBI_L_5_6_!AF27,EL_DEL_CD2_SBI_L_7_8_!AF27,EL_DEL_CD2_SBI_L_9_10_!AF27,EL_DEL_CD2_L_STAB_!AF27)</f>
        <v>0</v>
      </c>
      <c r="AG27" s="98">
        <f>+SUM(EL_DEL_CD2_JO_!AG27,EL_DEL_CD2_SBI_1_4_!AG27,EL_DEL_CD2_SBI_5_6_!AG27,EL_DEL_CD2_SBI_7_8_!AG27,EL_DEL_CD2_SBI_9_10_!AG27,EL_DEL_CD2_STAB_!AG27,EL_DEL_CD2_JO_L_!AG27,EL_DEL_CD2_SBI_L_1_4_!AG27,EL_DEL_CD2_SBI_L_5_6_!AG27,EL_DEL_CD2_SBI_L_7_8_!AG27,EL_DEL_CD2_SBI_L_9_10_!AG27,EL_DEL_CD2_L_STAB_!AG27)</f>
        <v>0</v>
      </c>
      <c r="AH27" s="98">
        <f>+SUM(EL_DEL_CD2_JO_!AH27,EL_DEL_CD2_SBI_1_4_!AH27,EL_DEL_CD2_SBI_5_6_!AH27,EL_DEL_CD2_SBI_7_8_!AH27,EL_DEL_CD2_SBI_9_10_!AH27,EL_DEL_CD2_STAB_!AH27,EL_DEL_CD2_JO_L_!AH27,EL_DEL_CD2_SBI_L_1_4_!AH27,EL_DEL_CD2_SBI_L_5_6_!AH27,EL_DEL_CD2_SBI_L_7_8_!AH27,EL_DEL_CD2_SBI_L_9_10_!AH27,EL_DEL_CD2_L_STAB_!AH27)</f>
        <v>0</v>
      </c>
      <c r="AI27" s="98">
        <f>+SUM(EL_DEL_CD2_JO_!AI27,EL_DEL_CD2_SBI_1_4_!AI27,EL_DEL_CD2_SBI_5_6_!AI27,EL_DEL_CD2_SBI_7_8_!AI27,EL_DEL_CD2_SBI_9_10_!AI27,EL_DEL_CD2_STAB_!AI27,EL_DEL_CD2_JO_L_!AI27,EL_DEL_CD2_SBI_L_1_4_!AI27,EL_DEL_CD2_SBI_L_5_6_!AI27,EL_DEL_CD2_SBI_L_7_8_!AI27,EL_DEL_CD2_SBI_L_9_10_!AI27,EL_DEL_CD2_L_STAB_!AI27)</f>
        <v>0</v>
      </c>
      <c r="AJ27" s="98">
        <f>+SUM(EL_DEL_CD2_JO_!AJ27,EL_DEL_CD2_SBI_1_4_!AJ27,EL_DEL_CD2_SBI_5_6_!AJ27,EL_DEL_CD2_SBI_7_8_!AJ27,EL_DEL_CD2_SBI_9_10_!AJ27,EL_DEL_CD2_STAB_!AJ27,EL_DEL_CD2_JO_L_!AJ27,EL_DEL_CD2_SBI_L_1_4_!AJ27,EL_DEL_CD2_SBI_L_5_6_!AJ27,EL_DEL_CD2_SBI_L_7_8_!AJ27,EL_DEL_CD2_SBI_L_9_10_!AJ27,EL_DEL_CD2_L_STAB_!AJ27)</f>
        <v>0</v>
      </c>
      <c r="AK27" s="98">
        <f>+SUM(EL_DEL_CD2_JO_!AK27,EL_DEL_CD2_SBI_1_4_!AK27,EL_DEL_CD2_SBI_5_6_!AK27,EL_DEL_CD2_SBI_7_8_!AK27,EL_DEL_CD2_SBI_9_10_!AK27,EL_DEL_CD2_STAB_!AK27,EL_DEL_CD2_JO_L_!AK27,EL_DEL_CD2_SBI_L_1_4_!AK27,EL_DEL_CD2_SBI_L_5_6_!AK27,EL_DEL_CD2_SBI_L_7_8_!AK27,EL_DEL_CD2_SBI_L_9_10_!AK27,EL_DEL_CD2_L_STAB_!AK27)</f>
        <v>0</v>
      </c>
      <c r="AL27" s="152" t="str">
        <f>+IFERROR(AVERAGE(EL_DEL_CD2_JO_!AL27,EL_DEL_CD2_SBI_1_4_!AL27,EL_DEL_CD2_SBI_5_6_!AL27,EL_DEL_CD2_SBI_7_8_!AL27,EL_DEL_CD2_SBI_9_10_!AL27,EL_DEL_CD2_STAB_!AL27,EL_DEL_CD2_JO_L_!AL27,EL_DEL_CD2_SBI_L_1_4_!AL27,EL_DEL_CD2_SBI_L_5_6_!AL27,EL_DEL_CD2_SBI_L_7_8_!AL27,EL_DEL_CD2_SBI_L_9_10_!AL27,EL_DEL_CD2_L_STAB_!AL27),"0:00")</f>
        <v>0:00</v>
      </c>
      <c r="AM27" s="152" t="str">
        <f>+IFERROR(AVERAGE(EL_DEL_CD2_JO_!AM27,EL_DEL_CD2_SBI_1_4_!AM27,EL_DEL_CD2_SBI_5_6_!AM27,EL_DEL_CD2_SBI_7_8_!AM27,EL_DEL_CD2_SBI_9_10_!AM27,EL_DEL_CD2_STAB_!AM27,EL_DEL_CD2_JO_L_!AM27,EL_DEL_CD2_SBI_L_1_4_!AM27,EL_DEL_CD2_SBI_L_5_6_!AM27,EL_DEL_CD2_SBI_L_7_8_!AM27,EL_DEL_CD2_SBI_L_9_10_!AM27,EL_DEL_CD2_L_STAB_!AM27),"0:00")</f>
        <v>0:00</v>
      </c>
      <c r="AN27" s="152" t="str">
        <f>+IFERROR(AVERAGE(EL_DEL_CD2_JO_!AN27,EL_DEL_CD2_SBI_1_4_!AN27,EL_DEL_CD2_SBI_5_6_!AN27,EL_DEL_CD2_SBI_7_8_!AN27,EL_DEL_CD2_SBI_9_10_!AN27,EL_DEL_CD2_STAB_!AN27,EL_DEL_CD2_JO_L_!AN27,EL_DEL_CD2_SBI_L_1_4_!AN27,EL_DEL_CD2_SBI_L_5_6_!AN27,EL_DEL_CD2_SBI_L_7_8_!AN27,EL_DEL_CD2_SBI_L_9_10_!AN27,EL_DEL_CD2_L_STAB_!AN27),"0:00")</f>
        <v>0:00</v>
      </c>
      <c r="AO27" s="152" t="str">
        <f>+IFERROR(AVERAGE(EL_DEL_CD2_JO_!AO27,EL_DEL_CD2_SBI_1_4_!AO27,EL_DEL_CD2_SBI_5_6_!AO27,EL_DEL_CD2_SBI_7_8_!AO27,EL_DEL_CD2_SBI_9_10_!AO27,EL_DEL_CD2_STAB_!AO27,EL_DEL_CD2_JO_L_!AO27,EL_DEL_CD2_SBI_L_1_4_!AO27,EL_DEL_CD2_SBI_L_5_6_!AO27,EL_DEL_CD2_SBI_L_7_8_!AO27,EL_DEL_CD2_SBI_L_9_10_!AO27,EL_DEL_CD2_L_STAB_!AO27),"0:00")</f>
        <v>0:00</v>
      </c>
      <c r="AP27" s="98" t="str">
        <f>+IFERROR(AVERAGE(EL_DEL_CD2_JO_!AP27,EL_DEL_CD2_SBI_1_4_!AP27,EL_DEL_CD2_SBI_5_6_!AP27,EL_DEL_CD2_SBI_7_8_!AP27,EL_DEL_CD2_SBI_9_10_!AP27,EL_DEL_CD2_STAB_!AP27,EL_DEL_CD2_JO_L_!AP27,EL_DEL_CD2_SBI_L_1_4_!AP27,EL_DEL_CD2_SBI_L_5_6_!AP27,EL_DEL_CD2_SBI_L_7_8_!AP27,EL_DEL_CD2_SBI_L_9_10_!AP27,EL_DEL_CD2_L_STAB_!AP27),"0:00")</f>
        <v>0:00</v>
      </c>
      <c r="AQ27" s="152" t="str">
        <f>+IFERROR(AVERAGE(EL_DEL_CD2_JO_!AQ27,EL_DEL_CD2_SBI_1_4_!AQ27,EL_DEL_CD2_SBI_5_6_!AQ27,EL_DEL_CD2_SBI_7_8_!AQ27,EL_DEL_CD2_SBI_9_10_!AQ27,EL_DEL_CD2_STAB_!AQ27,EL_DEL_CD2_JO_L_!AQ27,EL_DEL_CD2_SBI_L_1_4_!AQ27,EL_DEL_CD2_SBI_L_5_6_!AQ27,EL_DEL_CD2_SBI_L_7_8_!AQ27,EL_DEL_CD2_SBI_L_9_10_!AQ27,EL_DEL_CD2_L_STAB_!AQ27),"0:00")</f>
        <v>0:00</v>
      </c>
      <c r="AR27" s="152" t="str">
        <f>+IFERROR(AVERAGE(EL_DEL_CD2_JO_!AR27,EL_DEL_CD2_SBI_1_4_!AR27,EL_DEL_CD2_SBI_5_6_!AR27,EL_DEL_CD2_SBI_7_8_!AR27,EL_DEL_CD2_SBI_9_10_!AR27,EL_DEL_CD2_STAB_!AR27,EL_DEL_CD2_JO_L_!AR27,EL_DEL_CD2_SBI_L_1_4_!AR27,EL_DEL_CD2_SBI_L_5_6_!AR27,EL_DEL_CD2_SBI_L_7_8_!AR27,EL_DEL_CD2_SBI_L_9_10_!AR27,EL_DEL_CD2_L_STAB_!AR27),"0:00")</f>
        <v>0:00</v>
      </c>
      <c r="AS27" s="152" t="str">
        <f>+IFERROR(AVERAGE(EL_DEL_CD2_JO_!AS27,EL_DEL_CD2_SBI_1_4_!AS27,EL_DEL_CD2_SBI_5_6_!AS27,EL_DEL_CD2_SBI_7_8_!AS27,EL_DEL_CD2_SBI_9_10_!AS27,EL_DEL_CD2_STAB_!AS27,EL_DEL_CD2_JO_L_!AS27,EL_DEL_CD2_SBI_L_1_4_!AS27,EL_DEL_CD2_SBI_L_5_6_!AS27,EL_DEL_CD2_SBI_L_7_8_!AS27,EL_DEL_CD2_SBI_L_9_10_!AS27,EL_DEL_CD2_L_STAB_!AS27),"0:00")</f>
        <v>0:00</v>
      </c>
      <c r="AT27" s="98">
        <f>+SUM(EL_DEL_CD2_JO_!AT27,EL_DEL_CD2_SBI_1_4_!AT27,EL_DEL_CD2_SBI_5_6_!AT27,EL_DEL_CD2_SBI_7_8_!AT27,EL_DEL_CD2_SBI_9_10_!AT27,EL_DEL_CD2_STAB_!AT27,EL_DEL_CD2_JO_L_!AT27,EL_DEL_CD2_SBI_L_1_4_!AT27,EL_DEL_CD2_SBI_L_5_6_!AT27,EL_DEL_CD2_SBI_L_7_8_!AT27,EL_DEL_CD2_SBI_L_9_10_!AT27,EL_DEL_CD2_L_STAB_!AT27)</f>
        <v>0</v>
      </c>
      <c r="AU27" s="98">
        <f>+SUM(EL_DEL_CD2_JO_!AU27,EL_DEL_CD2_SBI_1_4_!AU27,EL_DEL_CD2_SBI_5_6_!AU27,EL_DEL_CD2_SBI_7_8_!AU27,EL_DEL_CD2_SBI_9_10_!AU27,EL_DEL_CD2_STAB_!AU27,EL_DEL_CD2_JO_L_!AU27,EL_DEL_CD2_SBI_L_1_4_!AU27,EL_DEL_CD2_SBI_L_5_6_!AU27,EL_DEL_CD2_SBI_L_7_8_!AU27,EL_DEL_CD2_SBI_L_9_10_!AU27,EL_DEL_CD2_L_STAB_!AU27)</f>
        <v>0</v>
      </c>
      <c r="AV27" s="98">
        <f>+SUM(EL_DEL_CD2_JO_!AV27,EL_DEL_CD2_SBI_1_4_!AV27,EL_DEL_CD2_SBI_5_6_!AV27,EL_DEL_CD2_SBI_7_8_!AV27,EL_DEL_CD2_SBI_9_10_!AV27,EL_DEL_CD2_STAB_!AV27,EL_DEL_CD2_JO_L_!AV27,EL_DEL_CD2_SBI_L_1_4_!AV27,EL_DEL_CD2_SBI_L_5_6_!AV27,EL_DEL_CD2_SBI_L_7_8_!AV27,EL_DEL_CD2_SBI_L_9_10_!AV27,EL_DEL_CD2_L_STAB_!AV27)</f>
        <v>0</v>
      </c>
      <c r="AW27" s="167">
        <f>+SUM(EL_DEL_CD2_JO_!AW27,EL_DEL_CD2_SBI_1_4_!AW27,EL_DEL_CD2_SBI_5_6_!AW27,EL_DEL_CD2_SBI_7_8_!AW27,EL_DEL_CD2_SBI_9_10_!AW27,EL_DEL_CD2_STAB_!AW27,EL_DEL_CD2_JO_L_!AW27,EL_DEL_CD2_SBI_L_1_4_!AW27,EL_DEL_CD2_SBI_L_5_6_!AW27,EL_DEL_CD2_SBI_L_7_8_!AW27,EL_DEL_CD2_SBI_L_9_10_!AW27,EL_DEL_CD2_L_STAB_!AW27)</f>
        <v>0</v>
      </c>
      <c r="AX27" s="102" t="str">
        <f t="shared" si="24"/>
        <v>-</v>
      </c>
      <c r="AY27" s="151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51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31"/>
        <v/>
      </c>
      <c r="BH27" s="119" t="str">
        <f t="shared" si="8"/>
        <v/>
      </c>
      <c r="BI27" s="120" t="str">
        <f t="shared" si="25"/>
        <v/>
      </c>
      <c r="BJ27" s="151"/>
      <c r="BK27" s="121" t="str">
        <f t="shared" si="9"/>
        <v/>
      </c>
      <c r="BL27" s="122" t="str">
        <f t="shared" si="10"/>
        <v/>
      </c>
      <c r="BM27" s="122" t="str">
        <f t="shared" si="11"/>
        <v/>
      </c>
      <c r="BN27" s="123" t="str">
        <f t="shared" si="12"/>
        <v/>
      </c>
      <c r="BO27" s="151"/>
      <c r="BP27" s="124" t="str">
        <f t="shared" si="13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4"/>
        <v/>
      </c>
      <c r="BU27" s="151"/>
      <c r="BV27" s="127" t="e">
        <f t="shared" si="15"/>
        <v>#DIV/0!</v>
      </c>
      <c r="BW27" s="127" t="e">
        <f t="shared" si="16"/>
        <v>#DIV/0!</v>
      </c>
      <c r="BX27" s="127" t="e">
        <f t="shared" si="17"/>
        <v>#DIV/0!</v>
      </c>
      <c r="BY27" s="127" t="e">
        <f t="shared" si="18"/>
        <v>#DIV/0!</v>
      </c>
      <c r="BZ27" s="127" t="e">
        <f t="shared" si="28"/>
        <v>#DIV/0!</v>
      </c>
      <c r="CA27" s="128" t="e">
        <f t="shared" si="29"/>
        <v>#DIV/0!</v>
      </c>
      <c r="CB27" s="151"/>
      <c r="CC27" s="129" t="str">
        <f t="shared" si="19"/>
        <v>-</v>
      </c>
      <c r="CD27" s="130" t="str">
        <f t="shared" si="20"/>
        <v>-</v>
      </c>
      <c r="CE27" s="130" t="str">
        <f t="shared" si="21"/>
        <v>-</v>
      </c>
      <c r="CF27" s="130" t="str">
        <f t="shared" si="22"/>
        <v>-</v>
      </c>
      <c r="CG27" s="131" t="str">
        <f t="shared" si="23"/>
        <v>-</v>
      </c>
      <c r="CH27" s="151"/>
    </row>
    <row r="28" spans="1:86" s="115" customFormat="1" ht="12.4" customHeight="1" thickBot="1" x14ac:dyDescent="0.25">
      <c r="A28" s="96">
        <f t="shared" si="30"/>
        <v>46320</v>
      </c>
      <c r="B28" s="97" t="str">
        <f t="shared" si="0"/>
        <v>Sun</v>
      </c>
      <c r="C28" s="98">
        <f>+SUM(EL_DEL_CD2_JO_!C28,EL_DEL_CD2_SBI_1_4_!C28,EL_DEL_CD2_SBI_5_6_!C28,EL_DEL_CD2_SBI_7_8_!C28,EL_DEL_CD2_SBI_9_10_!C28,EL_DEL_CD2_STAB_!C28,EL_DEL_CD2_JO_L_!C28,EL_DEL_CD2_SBI_L_1_4_!C28,EL_DEL_CD2_SBI_L_5_6_!C28,EL_DEL_CD2_SBI_L_7_8_!C28,EL_DEL_CD2_SBI_L_9_10_!C28,EL_DEL_CD2_L_STAB_!C28)</f>
        <v>0</v>
      </c>
      <c r="D28" s="98">
        <f>+SUM(EL_DEL_CD2_JO_!D28,EL_DEL_CD2_SBI_1_4_!D28,EL_DEL_CD2_SBI_5_6_!D28,EL_DEL_CD2_SBI_7_8_!D28,EL_DEL_CD2_SBI_9_10_!D28,EL_DEL_CD2_STAB_!D28,EL_DEL_CD2_JO_L_!D28,EL_DEL_CD2_SBI_L_1_4_!D28,EL_DEL_CD2_SBI_L_5_6_!D28,EL_DEL_CD2_SBI_L_7_8_!D28,EL_DEL_CD2_SBI_L_9_10_!D28,EL_DEL_CD2_L_STAB_!D28)</f>
        <v>0</v>
      </c>
      <c r="E28" s="98">
        <f>+SUM(EL_DEL_CD2_JO_!E28,EL_DEL_CD2_SBI_1_4_!E28,EL_DEL_CD2_SBI_5_6_!E28,EL_DEL_CD2_SBI_7_8_!E28,EL_DEL_CD2_SBI_9_10_!E28,EL_DEL_CD2_STAB_!E28,EL_DEL_CD2_JO_L_!E28,EL_DEL_CD2_SBI_L_1_4_!E28,EL_DEL_CD2_SBI_L_5_6_!E28,EL_DEL_CD2_SBI_L_7_8_!E28,EL_DEL_CD2_SBI_L_9_10_!E28,EL_DEL_CD2_L_STAB_!E28)</f>
        <v>0</v>
      </c>
      <c r="F28" s="98">
        <f>+SUM(EL_DEL_CD2_JO_!F28,EL_DEL_CD2_SBI_1_4_!F28,EL_DEL_CD2_SBI_5_6_!F28,EL_DEL_CD2_SBI_7_8_!F28,EL_DEL_CD2_SBI_9_10_!F28,EL_DEL_CD2_STAB_!F28,EL_DEL_CD2_JO_L_!F28,EL_DEL_CD2_SBI_L_1_4_!F28,EL_DEL_CD2_SBI_L_5_6_!F28,EL_DEL_CD2_SBI_L_7_8_!F28,EL_DEL_CD2_SBI_L_9_10_!F28,EL_DEL_CD2_L_STAB_!F28)</f>
        <v>0</v>
      </c>
      <c r="G28" s="98">
        <f>+SUM(EL_DEL_CD2_JO_!G28,EL_DEL_CD2_SBI_1_4_!G28,EL_DEL_CD2_SBI_5_6_!G28,EL_DEL_CD2_SBI_7_8_!G28,EL_DEL_CD2_SBI_9_10_!G28,EL_DEL_CD2_STAB_!G28,EL_DEL_CD2_JO_L_!G28,EL_DEL_CD2_SBI_L_1_4_!G28,EL_DEL_CD2_SBI_L_5_6_!G28,EL_DEL_CD2_SBI_L_7_8_!G28,EL_DEL_CD2_SBI_L_9_10_!G28,EL_DEL_CD2_L_STAB_!G28)</f>
        <v>0</v>
      </c>
      <c r="H28" s="98">
        <f>+SUM(EL_DEL_CD2_JO_!H28,EL_DEL_CD2_SBI_1_4_!H28,EL_DEL_CD2_SBI_5_6_!H28,EL_DEL_CD2_SBI_7_8_!H28,EL_DEL_CD2_SBI_9_10_!H28,EL_DEL_CD2_STAB_!H28,EL_DEL_CD2_JO_L_!H28,EL_DEL_CD2_SBI_L_1_4_!H28,EL_DEL_CD2_SBI_L_5_6_!H28,EL_DEL_CD2_SBI_L_7_8_!H28,EL_DEL_CD2_SBI_L_9_10_!H28,EL_DEL_CD2_L_STAB_!H28)</f>
        <v>0</v>
      </c>
      <c r="I28" s="98">
        <f>+SUM(EL_DEL_CD2_JO_!I28,EL_DEL_CD2_SBI_1_4_!I28,EL_DEL_CD2_SBI_5_6_!I28,EL_DEL_CD2_SBI_7_8_!I28,EL_DEL_CD2_SBI_9_10_!I28,EL_DEL_CD2_STAB_!I28,EL_DEL_CD2_JO_L_!I28,EL_DEL_CD2_SBI_L_1_4_!I28,EL_DEL_CD2_SBI_L_5_6_!I28,EL_DEL_CD2_SBI_L_7_8_!I28,EL_DEL_CD2_SBI_L_9_10_!I28,EL_DEL_CD2_L_STAB_!I28)</f>
        <v>0</v>
      </c>
      <c r="J28" s="98">
        <f>+SUM(EL_DEL_CD2_JO_!J28,EL_DEL_CD2_SBI_1_4_!J28,EL_DEL_CD2_SBI_5_6_!J28,EL_DEL_CD2_SBI_7_8_!J28,EL_DEL_CD2_SBI_9_10_!J28,EL_DEL_CD2_STAB_!J28,EL_DEL_CD2_JO_L_!J28,EL_DEL_CD2_SBI_L_1_4_!J28,EL_DEL_CD2_SBI_L_5_6_!J28,EL_DEL_CD2_SBI_L_7_8_!J28,EL_DEL_CD2_SBI_L_9_10_!J28,EL_DEL_CD2_L_STAB_!J28)</f>
        <v>0</v>
      </c>
      <c r="K28" s="98">
        <f>+SUM(EL_DEL_CD2_JO_!K28,EL_DEL_CD2_SBI_1_4_!K28,EL_DEL_CD2_SBI_5_6_!K28,EL_DEL_CD2_SBI_7_8_!K28,EL_DEL_CD2_SBI_9_10_!K28,EL_DEL_CD2_STAB_!K28,EL_DEL_CD2_JO_L_!K28,EL_DEL_CD2_SBI_L_1_4_!K28,EL_DEL_CD2_SBI_L_5_6_!K28,EL_DEL_CD2_SBI_L_7_8_!K28,EL_DEL_CD2_SBI_L_9_10_!K28,EL_DEL_CD2_L_STAB_!K28)</f>
        <v>0</v>
      </c>
      <c r="L28" s="98">
        <f>+SUM(EL_DEL_CD2_JO_!L28,EL_DEL_CD2_SBI_1_4_!L28,EL_DEL_CD2_SBI_5_6_!L28,EL_DEL_CD2_SBI_7_8_!L28,EL_DEL_CD2_SBI_9_10_!L28,EL_DEL_CD2_STAB_!L28,EL_DEL_CD2_JO_L_!L28,EL_DEL_CD2_SBI_L_1_4_!L28,EL_DEL_CD2_SBI_L_5_6_!L28,EL_DEL_CD2_SBI_L_7_8_!L28,EL_DEL_CD2_SBI_L_9_10_!L28,EL_DEL_CD2_L_STAB_!L28)</f>
        <v>0</v>
      </c>
      <c r="M28" s="98">
        <f>+SUM(EL_DEL_CD2_JO_!M28,EL_DEL_CD2_SBI_1_4_!M28,EL_DEL_CD2_SBI_5_6_!M28,EL_DEL_CD2_SBI_7_8_!M28,EL_DEL_CD2_SBI_9_10_!M28,EL_DEL_CD2_STAB_!M28,EL_DEL_CD2_JO_L_!M28,EL_DEL_CD2_SBI_L_1_4_!M28,EL_DEL_CD2_SBI_L_5_6_!M28,EL_DEL_CD2_SBI_L_7_8_!M28,EL_DEL_CD2_SBI_L_9_10_!M28,EL_DEL_CD2_L_STAB_!M28)</f>
        <v>0</v>
      </c>
      <c r="N28" s="98">
        <f>+SUM(EL_DEL_CD2_JO_!N28,EL_DEL_CD2_SBI_1_4_!N28,EL_DEL_CD2_SBI_5_6_!N28,EL_DEL_CD2_SBI_7_8_!N28,EL_DEL_CD2_SBI_9_10_!N28,EL_DEL_CD2_STAB_!N28,EL_DEL_CD2_JO_L_!N28,EL_DEL_CD2_SBI_L_1_4_!N28,EL_DEL_CD2_SBI_L_5_6_!N28,EL_DEL_CD2_SBI_L_7_8_!N28,EL_DEL_CD2_SBI_L_9_10_!N28,EL_DEL_CD2_L_STAB_!N28)</f>
        <v>0</v>
      </c>
      <c r="O28" s="98">
        <f>+SUM(EL_DEL_CD2_JO_!O28,EL_DEL_CD2_SBI_1_4_!O28,EL_DEL_CD2_SBI_5_6_!O28,EL_DEL_CD2_SBI_7_8_!O28,EL_DEL_CD2_SBI_9_10_!O28,EL_DEL_CD2_STAB_!O28,EL_DEL_CD2_JO_L_!O28,EL_DEL_CD2_SBI_L_1_4_!O28,EL_DEL_CD2_SBI_L_5_6_!O28,EL_DEL_CD2_SBI_L_7_8_!O28,EL_DEL_CD2_SBI_L_9_10_!O28,EL_DEL_CD2_L_STAB_!O28)</f>
        <v>0</v>
      </c>
      <c r="P28" s="98">
        <f>+SUM(EL_DEL_CD2_JO_!P28,EL_DEL_CD2_SBI_1_4_!P28,EL_DEL_CD2_SBI_5_6_!P28,EL_DEL_CD2_SBI_7_8_!P28,EL_DEL_CD2_SBI_9_10_!P28,EL_DEL_CD2_STAB_!P28,EL_DEL_CD2_JO_L_!P28,EL_DEL_CD2_SBI_L_1_4_!P28,EL_DEL_CD2_SBI_L_5_6_!P28,EL_DEL_CD2_SBI_L_7_8_!P28,EL_DEL_CD2_SBI_L_9_10_!P28,EL_DEL_CD2_L_STAB_!P28)</f>
        <v>0</v>
      </c>
      <c r="Q28" s="98">
        <f>+SUM(EL_DEL_CD2_JO_!Q28,EL_DEL_CD2_SBI_1_4_!Q28,EL_DEL_CD2_SBI_5_6_!Q28,EL_DEL_CD2_SBI_7_8_!Q28,EL_DEL_CD2_SBI_9_10_!Q28,EL_DEL_CD2_STAB_!Q28,EL_DEL_CD2_JO_L_!Q28,EL_DEL_CD2_SBI_L_1_4_!Q28,EL_DEL_CD2_SBI_L_5_6_!Q28,EL_DEL_CD2_SBI_L_7_8_!Q28,EL_DEL_CD2_SBI_L_9_10_!Q28,EL_DEL_CD2_L_STAB_!Q28)</f>
        <v>0</v>
      </c>
      <c r="R28" s="98">
        <f>+SUM(EL_DEL_CD2_JO_!R28,EL_DEL_CD2_SBI_1_4_!R28,EL_DEL_CD2_SBI_5_6_!R28,EL_DEL_CD2_SBI_7_8_!R28,EL_DEL_CD2_SBI_9_10_!R28,EL_DEL_CD2_STAB_!R28,EL_DEL_CD2_JO_L_!R28,EL_DEL_CD2_SBI_L_1_4_!R28,EL_DEL_CD2_SBI_L_5_6_!R28,EL_DEL_CD2_SBI_L_7_8_!R28,EL_DEL_CD2_SBI_L_9_10_!R28,EL_DEL_CD2_L_STAB_!R28)</f>
        <v>0</v>
      </c>
      <c r="S28" s="98">
        <f>+SUM(EL_DEL_CD2_JO_!S28,EL_DEL_CD2_SBI_1_4_!S28,EL_DEL_CD2_SBI_5_6_!S28,EL_DEL_CD2_SBI_7_8_!S28,EL_DEL_CD2_SBI_9_10_!S28,EL_DEL_CD2_STAB_!S28,EL_DEL_CD2_JO_L_!S28,EL_DEL_CD2_SBI_L_1_4_!S28,EL_DEL_CD2_SBI_L_5_6_!S28,EL_DEL_CD2_SBI_L_7_8_!S28,EL_DEL_CD2_SBI_L_9_10_!S28,EL_DEL_CD2_L_STAB_!S28)</f>
        <v>0</v>
      </c>
      <c r="T28" s="98">
        <f>+SUM(EL_DEL_CD2_JO_!T28,EL_DEL_CD2_SBI_1_4_!T28,EL_DEL_CD2_SBI_5_6_!T28,EL_DEL_CD2_SBI_7_8_!T28,EL_DEL_CD2_SBI_9_10_!T28,EL_DEL_CD2_STAB_!T28,EL_DEL_CD2_JO_L_!T28,EL_DEL_CD2_SBI_L_1_4_!T28,EL_DEL_CD2_SBI_L_5_6_!T28,EL_DEL_CD2_SBI_L_7_8_!T28,EL_DEL_CD2_SBI_L_9_10_!T28,EL_DEL_CD2_L_STAB_!T28)</f>
        <v>0</v>
      </c>
      <c r="U28" s="98">
        <f>+SUM(EL_DEL_CD2_JO_!U28,EL_DEL_CD2_SBI_1_4_!U28,EL_DEL_CD2_SBI_5_6_!U28,EL_DEL_CD2_SBI_7_8_!U28,EL_DEL_CD2_SBI_9_10_!U28,EL_DEL_CD2_STAB_!U28,EL_DEL_CD2_JO_L_!U28,EL_DEL_CD2_SBI_L_1_4_!U28,EL_DEL_CD2_SBI_L_5_6_!U28,EL_DEL_CD2_SBI_L_7_8_!U28,EL_DEL_CD2_SBI_L_9_10_!U28,EL_DEL_CD2_L_STAB_!U28)</f>
        <v>0</v>
      </c>
      <c r="V28" s="98">
        <f>+SUM(EL_DEL_CD2_JO_!V28,EL_DEL_CD2_SBI_1_4_!V28,EL_DEL_CD2_SBI_5_6_!V28,EL_DEL_CD2_SBI_7_8_!V28,EL_DEL_CD2_SBI_9_10_!V28,EL_DEL_CD2_STAB_!V28,EL_DEL_CD2_JO_L_!V28,EL_DEL_CD2_SBI_L_1_4_!V28,EL_DEL_CD2_SBI_L_5_6_!V28,EL_DEL_CD2_SBI_L_7_8_!V28,EL_DEL_CD2_SBI_L_9_10_!V28,EL_DEL_CD2_L_STAB_!V28)</f>
        <v>0</v>
      </c>
      <c r="W28" s="98">
        <f>+SUM(EL_DEL_CD2_JO_!W28,EL_DEL_CD2_SBI_1_4_!W28,EL_DEL_CD2_SBI_5_6_!W28,EL_DEL_CD2_SBI_7_8_!W28,EL_DEL_CD2_SBI_9_10_!W28,EL_DEL_CD2_STAB_!W28,EL_DEL_CD2_JO_L_!W28,EL_DEL_CD2_SBI_L_1_4_!W28,EL_DEL_CD2_SBI_L_5_6_!W28,EL_DEL_CD2_SBI_L_7_8_!W28,EL_DEL_CD2_SBI_L_9_10_!W28,EL_DEL_CD2_L_STAB_!W28)</f>
        <v>0</v>
      </c>
      <c r="X28" s="98">
        <f>+SUM(EL_DEL_CD2_JO_!X28,EL_DEL_CD2_SBI_1_4_!X28,EL_DEL_CD2_SBI_5_6_!X28,EL_DEL_CD2_SBI_7_8_!X28,EL_DEL_CD2_SBI_9_10_!X28,EL_DEL_CD2_STAB_!X28,EL_DEL_CD2_JO_L_!X28,EL_DEL_CD2_SBI_L_1_4_!X28,EL_DEL_CD2_SBI_L_5_6_!X28,EL_DEL_CD2_SBI_L_7_8_!X28,EL_DEL_CD2_SBI_L_9_10_!X28,EL_DEL_CD2_L_STAB_!X28)</f>
        <v>0</v>
      </c>
      <c r="Y28" s="98">
        <f>+SUM(EL_DEL_CD2_JO_!Y28,EL_DEL_CD2_SBI_1_4_!Y28,EL_DEL_CD2_SBI_5_6_!Y28,EL_DEL_CD2_SBI_7_8_!Y28,EL_DEL_CD2_SBI_9_10_!Y28,EL_DEL_CD2_STAB_!Y28,EL_DEL_CD2_JO_L_!Y28,EL_DEL_CD2_SBI_L_1_4_!Y28,EL_DEL_CD2_SBI_L_5_6_!Y28,EL_DEL_CD2_SBI_L_7_8_!Y28,EL_DEL_CD2_SBI_L_9_10_!Y28,EL_DEL_CD2_L_STAB_!Y28)</f>
        <v>0</v>
      </c>
      <c r="Z28" s="98">
        <f>+SUM(EL_DEL_CD2_JO_!Z28,EL_DEL_CD2_SBI_1_4_!Z28,EL_DEL_CD2_SBI_5_6_!Z28,EL_DEL_CD2_SBI_7_8_!Z28,EL_DEL_CD2_SBI_9_10_!Z28,EL_DEL_CD2_STAB_!Z28,EL_DEL_CD2_JO_L_!Z28,EL_DEL_CD2_SBI_L_1_4_!Z28,EL_DEL_CD2_SBI_L_5_6_!Z28,EL_DEL_CD2_SBI_L_7_8_!Z28,EL_DEL_CD2_SBI_L_9_10_!Z28,EL_DEL_CD2_L_STAB_!Z28)</f>
        <v>0</v>
      </c>
      <c r="AA28" s="98">
        <f>+SUM(EL_DEL_CD2_JO_!AA28,EL_DEL_CD2_SBI_1_4_!AA28,EL_DEL_CD2_SBI_5_6_!AA28,EL_DEL_CD2_SBI_7_8_!AA28,EL_DEL_CD2_SBI_9_10_!AA28,EL_DEL_CD2_STAB_!AA28,EL_DEL_CD2_JO_L_!AA28,EL_DEL_CD2_SBI_L_1_4_!AA28,EL_DEL_CD2_SBI_L_5_6_!AA28,EL_DEL_CD2_SBI_L_7_8_!AA28,EL_DEL_CD2_SBI_L_9_10_!AA28,EL_DEL_CD2_L_STAB_!AA28)</f>
        <v>0</v>
      </c>
      <c r="AB28" s="98">
        <f>+SUM(EL_DEL_CD2_JO_!AB28,EL_DEL_CD2_SBI_1_4_!AB28,EL_DEL_CD2_SBI_5_6_!AB28,EL_DEL_CD2_SBI_7_8_!AB28,EL_DEL_CD2_SBI_9_10_!AB28,EL_DEL_CD2_STAB_!AB28,EL_DEL_CD2_JO_L_!AB28,EL_DEL_CD2_SBI_L_1_4_!AB28,EL_DEL_CD2_SBI_L_5_6_!AB28,EL_DEL_CD2_SBI_L_7_8_!AB28,EL_DEL_CD2_SBI_L_9_10_!AB28,EL_DEL_CD2_L_STAB_!AB28)</f>
        <v>0</v>
      </c>
      <c r="AC28" s="98">
        <f>+SUM(EL_DEL_CD2_JO_!AC28,EL_DEL_CD2_SBI_1_4_!AC28,EL_DEL_CD2_SBI_5_6_!AC28,EL_DEL_CD2_SBI_7_8_!AC28,EL_DEL_CD2_SBI_9_10_!AC28,EL_DEL_CD2_STAB_!AC28,EL_DEL_CD2_JO_L_!AC28,EL_DEL_CD2_SBI_L_1_4_!AC28,EL_DEL_CD2_SBI_L_5_6_!AC28,EL_DEL_CD2_SBI_L_7_8_!AC28,EL_DEL_CD2_SBI_L_9_10_!AC28,EL_DEL_CD2_L_STAB_!AC28)</f>
        <v>0</v>
      </c>
      <c r="AD28" s="98">
        <f>+SUM(EL_DEL_CD2_JO_!AD28,EL_DEL_CD2_SBI_1_4_!AD28,EL_DEL_CD2_SBI_5_6_!AD28,EL_DEL_CD2_SBI_7_8_!AD28,EL_DEL_CD2_SBI_9_10_!AD28,EL_DEL_CD2_STAB_!AD28,EL_DEL_CD2_JO_L_!AD28,EL_DEL_CD2_SBI_L_1_4_!AD28,EL_DEL_CD2_SBI_L_5_6_!AD28,EL_DEL_CD2_SBI_L_7_8_!AD28,EL_DEL_CD2_SBI_L_9_10_!AD28,EL_DEL_CD2_L_STAB_!AD28)</f>
        <v>0</v>
      </c>
      <c r="AE28" s="98">
        <f>+SUM(EL_DEL_CD2_JO_!AE28,EL_DEL_CD2_SBI_1_4_!AE28,EL_DEL_CD2_SBI_5_6_!AE28,EL_DEL_CD2_SBI_7_8_!AE28,EL_DEL_CD2_SBI_9_10_!AE28,EL_DEL_CD2_STAB_!AE28,EL_DEL_CD2_JO_L_!AE28,EL_DEL_CD2_SBI_L_1_4_!AE28,EL_DEL_CD2_SBI_L_5_6_!AE28,EL_DEL_CD2_SBI_L_7_8_!AE28,EL_DEL_CD2_SBI_L_9_10_!AE28,EL_DEL_CD2_L_STAB_!AE28)</f>
        <v>0</v>
      </c>
      <c r="AF28" s="98">
        <f>+SUM(EL_DEL_CD2_JO_!AF28,EL_DEL_CD2_SBI_1_4_!AF28,EL_DEL_CD2_SBI_5_6_!AF28,EL_DEL_CD2_SBI_7_8_!AF28,EL_DEL_CD2_SBI_9_10_!AF28,EL_DEL_CD2_STAB_!AF28,EL_DEL_CD2_JO_L_!AF28,EL_DEL_CD2_SBI_L_1_4_!AF28,EL_DEL_CD2_SBI_L_5_6_!AF28,EL_DEL_CD2_SBI_L_7_8_!AF28,EL_DEL_CD2_SBI_L_9_10_!AF28,EL_DEL_CD2_L_STAB_!AF28)</f>
        <v>0</v>
      </c>
      <c r="AG28" s="98">
        <f>+SUM(EL_DEL_CD2_JO_!AG28,EL_DEL_CD2_SBI_1_4_!AG28,EL_DEL_CD2_SBI_5_6_!AG28,EL_DEL_CD2_SBI_7_8_!AG28,EL_DEL_CD2_SBI_9_10_!AG28,EL_DEL_CD2_STAB_!AG28,EL_DEL_CD2_JO_L_!AG28,EL_DEL_CD2_SBI_L_1_4_!AG28,EL_DEL_CD2_SBI_L_5_6_!AG28,EL_DEL_CD2_SBI_L_7_8_!AG28,EL_DEL_CD2_SBI_L_9_10_!AG28,EL_DEL_CD2_L_STAB_!AG28)</f>
        <v>0</v>
      </c>
      <c r="AH28" s="98">
        <f>+SUM(EL_DEL_CD2_JO_!AH28,EL_DEL_CD2_SBI_1_4_!AH28,EL_DEL_CD2_SBI_5_6_!AH28,EL_DEL_CD2_SBI_7_8_!AH28,EL_DEL_CD2_SBI_9_10_!AH28,EL_DEL_CD2_STAB_!AH28,EL_DEL_CD2_JO_L_!AH28,EL_DEL_CD2_SBI_L_1_4_!AH28,EL_DEL_CD2_SBI_L_5_6_!AH28,EL_DEL_CD2_SBI_L_7_8_!AH28,EL_DEL_CD2_SBI_L_9_10_!AH28,EL_DEL_CD2_L_STAB_!AH28)</f>
        <v>0</v>
      </c>
      <c r="AI28" s="98">
        <f>+SUM(EL_DEL_CD2_JO_!AI28,EL_DEL_CD2_SBI_1_4_!AI28,EL_DEL_CD2_SBI_5_6_!AI28,EL_DEL_CD2_SBI_7_8_!AI28,EL_DEL_CD2_SBI_9_10_!AI28,EL_DEL_CD2_STAB_!AI28,EL_DEL_CD2_JO_L_!AI28,EL_DEL_CD2_SBI_L_1_4_!AI28,EL_DEL_CD2_SBI_L_5_6_!AI28,EL_DEL_CD2_SBI_L_7_8_!AI28,EL_DEL_CD2_SBI_L_9_10_!AI28,EL_DEL_CD2_L_STAB_!AI28)</f>
        <v>0</v>
      </c>
      <c r="AJ28" s="98">
        <f>+SUM(EL_DEL_CD2_JO_!AJ28,EL_DEL_CD2_SBI_1_4_!AJ28,EL_DEL_CD2_SBI_5_6_!AJ28,EL_DEL_CD2_SBI_7_8_!AJ28,EL_DEL_CD2_SBI_9_10_!AJ28,EL_DEL_CD2_STAB_!AJ28,EL_DEL_CD2_JO_L_!AJ28,EL_DEL_CD2_SBI_L_1_4_!AJ28,EL_DEL_CD2_SBI_L_5_6_!AJ28,EL_DEL_CD2_SBI_L_7_8_!AJ28,EL_DEL_CD2_SBI_L_9_10_!AJ28,EL_DEL_CD2_L_STAB_!AJ28)</f>
        <v>0</v>
      </c>
      <c r="AK28" s="98">
        <f>+SUM(EL_DEL_CD2_JO_!AK28,EL_DEL_CD2_SBI_1_4_!AK28,EL_DEL_CD2_SBI_5_6_!AK28,EL_DEL_CD2_SBI_7_8_!AK28,EL_DEL_CD2_SBI_9_10_!AK28,EL_DEL_CD2_STAB_!AK28,EL_DEL_CD2_JO_L_!AK28,EL_DEL_CD2_SBI_L_1_4_!AK28,EL_DEL_CD2_SBI_L_5_6_!AK28,EL_DEL_CD2_SBI_L_7_8_!AK28,EL_DEL_CD2_SBI_L_9_10_!AK28,EL_DEL_CD2_L_STAB_!AK28)</f>
        <v>0</v>
      </c>
      <c r="AL28" s="152" t="str">
        <f>+IFERROR(AVERAGE(EL_DEL_CD2_JO_!AL28,EL_DEL_CD2_SBI_1_4_!AL28,EL_DEL_CD2_SBI_5_6_!AL28,EL_DEL_CD2_SBI_7_8_!AL28,EL_DEL_CD2_SBI_9_10_!AL28,EL_DEL_CD2_STAB_!AL28,EL_DEL_CD2_JO_L_!AL28,EL_DEL_CD2_SBI_L_1_4_!AL28,EL_DEL_CD2_SBI_L_5_6_!AL28,EL_DEL_CD2_SBI_L_7_8_!AL28,EL_DEL_CD2_SBI_L_9_10_!AL28,EL_DEL_CD2_L_STAB_!AL28),"0:00")</f>
        <v>0:00</v>
      </c>
      <c r="AM28" s="152" t="str">
        <f>+IFERROR(AVERAGE(EL_DEL_CD2_JO_!AM28,EL_DEL_CD2_SBI_1_4_!AM28,EL_DEL_CD2_SBI_5_6_!AM28,EL_DEL_CD2_SBI_7_8_!AM28,EL_DEL_CD2_SBI_9_10_!AM28,EL_DEL_CD2_STAB_!AM28,EL_DEL_CD2_JO_L_!AM28,EL_DEL_CD2_SBI_L_1_4_!AM28,EL_DEL_CD2_SBI_L_5_6_!AM28,EL_DEL_CD2_SBI_L_7_8_!AM28,EL_DEL_CD2_SBI_L_9_10_!AM28,EL_DEL_CD2_L_STAB_!AM28),"0:00")</f>
        <v>0:00</v>
      </c>
      <c r="AN28" s="152" t="str">
        <f>+IFERROR(AVERAGE(EL_DEL_CD2_JO_!AN28,EL_DEL_CD2_SBI_1_4_!AN28,EL_DEL_CD2_SBI_5_6_!AN28,EL_DEL_CD2_SBI_7_8_!AN28,EL_DEL_CD2_SBI_9_10_!AN28,EL_DEL_CD2_STAB_!AN28,EL_DEL_CD2_JO_L_!AN28,EL_DEL_CD2_SBI_L_1_4_!AN28,EL_DEL_CD2_SBI_L_5_6_!AN28,EL_DEL_CD2_SBI_L_7_8_!AN28,EL_DEL_CD2_SBI_L_9_10_!AN28,EL_DEL_CD2_L_STAB_!AN28),"0:00")</f>
        <v>0:00</v>
      </c>
      <c r="AO28" s="152" t="str">
        <f>+IFERROR(AVERAGE(EL_DEL_CD2_JO_!AO28,EL_DEL_CD2_SBI_1_4_!AO28,EL_DEL_CD2_SBI_5_6_!AO28,EL_DEL_CD2_SBI_7_8_!AO28,EL_DEL_CD2_SBI_9_10_!AO28,EL_DEL_CD2_STAB_!AO28,EL_DEL_CD2_JO_L_!AO28,EL_DEL_CD2_SBI_L_1_4_!AO28,EL_DEL_CD2_SBI_L_5_6_!AO28,EL_DEL_CD2_SBI_L_7_8_!AO28,EL_DEL_CD2_SBI_L_9_10_!AO28,EL_DEL_CD2_L_STAB_!AO28),"0:00")</f>
        <v>0:00</v>
      </c>
      <c r="AP28" s="98" t="str">
        <f>+IFERROR(AVERAGE(EL_DEL_CD2_JO_!AP28,EL_DEL_CD2_SBI_1_4_!AP28,EL_DEL_CD2_SBI_5_6_!AP28,EL_DEL_CD2_SBI_7_8_!AP28,EL_DEL_CD2_SBI_9_10_!AP28,EL_DEL_CD2_STAB_!AP28,EL_DEL_CD2_JO_L_!AP28,EL_DEL_CD2_SBI_L_1_4_!AP28,EL_DEL_CD2_SBI_L_5_6_!AP28,EL_DEL_CD2_SBI_L_7_8_!AP28,EL_DEL_CD2_SBI_L_9_10_!AP28,EL_DEL_CD2_L_STAB_!AP28),"0:00")</f>
        <v>0:00</v>
      </c>
      <c r="AQ28" s="152" t="str">
        <f>+IFERROR(AVERAGE(EL_DEL_CD2_JO_!AQ28,EL_DEL_CD2_SBI_1_4_!AQ28,EL_DEL_CD2_SBI_5_6_!AQ28,EL_DEL_CD2_SBI_7_8_!AQ28,EL_DEL_CD2_SBI_9_10_!AQ28,EL_DEL_CD2_STAB_!AQ28,EL_DEL_CD2_JO_L_!AQ28,EL_DEL_CD2_SBI_L_1_4_!AQ28,EL_DEL_CD2_SBI_L_5_6_!AQ28,EL_DEL_CD2_SBI_L_7_8_!AQ28,EL_DEL_CD2_SBI_L_9_10_!AQ28,EL_DEL_CD2_L_STAB_!AQ28),"0:00")</f>
        <v>0:00</v>
      </c>
      <c r="AR28" s="152" t="str">
        <f>+IFERROR(AVERAGE(EL_DEL_CD2_JO_!AR28,EL_DEL_CD2_SBI_1_4_!AR28,EL_DEL_CD2_SBI_5_6_!AR28,EL_DEL_CD2_SBI_7_8_!AR28,EL_DEL_CD2_SBI_9_10_!AR28,EL_DEL_CD2_STAB_!AR28,EL_DEL_CD2_JO_L_!AR28,EL_DEL_CD2_SBI_L_1_4_!AR28,EL_DEL_CD2_SBI_L_5_6_!AR28,EL_DEL_CD2_SBI_L_7_8_!AR28,EL_DEL_CD2_SBI_L_9_10_!AR28,EL_DEL_CD2_L_STAB_!AR28),"0:00")</f>
        <v>0:00</v>
      </c>
      <c r="AS28" s="152" t="str">
        <f>+IFERROR(AVERAGE(EL_DEL_CD2_JO_!AS28,EL_DEL_CD2_SBI_1_4_!AS28,EL_DEL_CD2_SBI_5_6_!AS28,EL_DEL_CD2_SBI_7_8_!AS28,EL_DEL_CD2_SBI_9_10_!AS28,EL_DEL_CD2_STAB_!AS28,EL_DEL_CD2_JO_L_!AS28,EL_DEL_CD2_SBI_L_1_4_!AS28,EL_DEL_CD2_SBI_L_5_6_!AS28,EL_DEL_CD2_SBI_L_7_8_!AS28,EL_DEL_CD2_SBI_L_9_10_!AS28,EL_DEL_CD2_L_STAB_!AS28),"0:00")</f>
        <v>0:00</v>
      </c>
      <c r="AT28" s="98">
        <f>+SUM(EL_DEL_CD2_JO_!AT28,EL_DEL_CD2_SBI_1_4_!AT28,EL_DEL_CD2_SBI_5_6_!AT28,EL_DEL_CD2_SBI_7_8_!AT28,EL_DEL_CD2_SBI_9_10_!AT28,EL_DEL_CD2_STAB_!AT28,EL_DEL_CD2_JO_L_!AT28,EL_DEL_CD2_SBI_L_1_4_!AT28,EL_DEL_CD2_SBI_L_5_6_!AT28,EL_DEL_CD2_SBI_L_7_8_!AT28,EL_DEL_CD2_SBI_L_9_10_!AT28,EL_DEL_CD2_L_STAB_!AT28)</f>
        <v>0</v>
      </c>
      <c r="AU28" s="98">
        <f>+SUM(EL_DEL_CD2_JO_!AU28,EL_DEL_CD2_SBI_1_4_!AU28,EL_DEL_CD2_SBI_5_6_!AU28,EL_DEL_CD2_SBI_7_8_!AU28,EL_DEL_CD2_SBI_9_10_!AU28,EL_DEL_CD2_STAB_!AU28,EL_DEL_CD2_JO_L_!AU28,EL_DEL_CD2_SBI_L_1_4_!AU28,EL_DEL_CD2_SBI_L_5_6_!AU28,EL_DEL_CD2_SBI_L_7_8_!AU28,EL_DEL_CD2_SBI_L_9_10_!AU28,EL_DEL_CD2_L_STAB_!AU28)</f>
        <v>0</v>
      </c>
      <c r="AV28" s="98">
        <f>+SUM(EL_DEL_CD2_JO_!AV28,EL_DEL_CD2_SBI_1_4_!AV28,EL_DEL_CD2_SBI_5_6_!AV28,EL_DEL_CD2_SBI_7_8_!AV28,EL_DEL_CD2_SBI_9_10_!AV28,EL_DEL_CD2_STAB_!AV28,EL_DEL_CD2_JO_L_!AV28,EL_DEL_CD2_SBI_L_1_4_!AV28,EL_DEL_CD2_SBI_L_5_6_!AV28,EL_DEL_CD2_SBI_L_7_8_!AV28,EL_DEL_CD2_SBI_L_9_10_!AV28,EL_DEL_CD2_L_STAB_!AV28)</f>
        <v>0</v>
      </c>
      <c r="AW28" s="167">
        <f>+SUM(EL_DEL_CD2_JO_!AW28,EL_DEL_CD2_SBI_1_4_!AW28,EL_DEL_CD2_SBI_5_6_!AW28,EL_DEL_CD2_SBI_7_8_!AW28,EL_DEL_CD2_SBI_9_10_!AW28,EL_DEL_CD2_STAB_!AW28,EL_DEL_CD2_JO_L_!AW28,EL_DEL_CD2_SBI_L_1_4_!AW28,EL_DEL_CD2_SBI_L_5_6_!AW28,EL_DEL_CD2_SBI_L_7_8_!AW28,EL_DEL_CD2_SBI_L_9_10_!AW28,EL_DEL_CD2_L_STAB_!AW28)</f>
        <v>0</v>
      </c>
      <c r="AX28" s="102" t="str">
        <f t="shared" si="24"/>
        <v>-</v>
      </c>
      <c r="AY28" s="151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51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31"/>
        <v/>
      </c>
      <c r="BH28" s="119" t="str">
        <f t="shared" si="8"/>
        <v/>
      </c>
      <c r="BI28" s="120" t="str">
        <f t="shared" si="25"/>
        <v/>
      </c>
      <c r="BJ28" s="151"/>
      <c r="BK28" s="121" t="str">
        <f t="shared" si="9"/>
        <v/>
      </c>
      <c r="BL28" s="122" t="str">
        <f t="shared" si="10"/>
        <v/>
      </c>
      <c r="BM28" s="122" t="str">
        <f t="shared" si="11"/>
        <v/>
      </c>
      <c r="BN28" s="123" t="str">
        <f t="shared" si="12"/>
        <v/>
      </c>
      <c r="BO28" s="151"/>
      <c r="BP28" s="124" t="str">
        <f t="shared" si="13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4"/>
        <v/>
      </c>
      <c r="BU28" s="151"/>
      <c r="BV28" s="127" t="e">
        <f t="shared" si="15"/>
        <v>#DIV/0!</v>
      </c>
      <c r="BW28" s="127" t="e">
        <f t="shared" si="16"/>
        <v>#DIV/0!</v>
      </c>
      <c r="BX28" s="127" t="e">
        <f t="shared" si="17"/>
        <v>#DIV/0!</v>
      </c>
      <c r="BY28" s="127" t="e">
        <f t="shared" si="18"/>
        <v>#DIV/0!</v>
      </c>
      <c r="BZ28" s="127" t="e">
        <f t="shared" si="28"/>
        <v>#DIV/0!</v>
      </c>
      <c r="CA28" s="128" t="e">
        <f t="shared" si="29"/>
        <v>#DIV/0!</v>
      </c>
      <c r="CB28" s="151"/>
      <c r="CC28" s="129" t="str">
        <f t="shared" si="19"/>
        <v>-</v>
      </c>
      <c r="CD28" s="130" t="str">
        <f t="shared" si="20"/>
        <v>-</v>
      </c>
      <c r="CE28" s="130" t="str">
        <f t="shared" si="21"/>
        <v>-</v>
      </c>
      <c r="CF28" s="130" t="str">
        <f t="shared" si="22"/>
        <v>-</v>
      </c>
      <c r="CG28" s="131" t="str">
        <f t="shared" si="23"/>
        <v>-</v>
      </c>
      <c r="CH28" s="151"/>
    </row>
    <row r="29" spans="1:86" s="115" customFormat="1" ht="12.4" customHeight="1" thickBot="1" x14ac:dyDescent="0.25">
      <c r="A29" s="96">
        <f t="shared" si="30"/>
        <v>46321</v>
      </c>
      <c r="B29" s="97" t="str">
        <f>+TEXT(A29,"DDD")</f>
        <v>Mon</v>
      </c>
      <c r="C29" s="98">
        <f>+SUM(EL_DEL_CD2_JO_!C29,EL_DEL_CD2_SBI_1_4_!C29,EL_DEL_CD2_SBI_5_6_!C29,EL_DEL_CD2_SBI_7_8_!C29,EL_DEL_CD2_SBI_9_10_!C29,EL_DEL_CD2_STAB_!C29,EL_DEL_CD2_JO_L_!C29,EL_DEL_CD2_SBI_L_1_4_!C29,EL_DEL_CD2_SBI_L_5_6_!C29,EL_DEL_CD2_SBI_L_7_8_!C29,EL_DEL_CD2_SBI_L_9_10_!C29,EL_DEL_CD2_L_STAB_!C29)</f>
        <v>0</v>
      </c>
      <c r="D29" s="98">
        <f>+SUM(EL_DEL_CD2_JO_!D29,EL_DEL_CD2_SBI_1_4_!D29,EL_DEL_CD2_SBI_5_6_!D29,EL_DEL_CD2_SBI_7_8_!D29,EL_DEL_CD2_SBI_9_10_!D29,EL_DEL_CD2_STAB_!D29,EL_DEL_CD2_JO_L_!D29,EL_DEL_CD2_SBI_L_1_4_!D29,EL_DEL_CD2_SBI_L_5_6_!D29,EL_DEL_CD2_SBI_L_7_8_!D29,EL_DEL_CD2_SBI_L_9_10_!D29,EL_DEL_CD2_L_STAB_!D29)</f>
        <v>0</v>
      </c>
      <c r="E29" s="98">
        <f>+SUM(EL_DEL_CD2_JO_!E29,EL_DEL_CD2_SBI_1_4_!E29,EL_DEL_CD2_SBI_5_6_!E29,EL_DEL_CD2_SBI_7_8_!E29,EL_DEL_CD2_SBI_9_10_!E29,EL_DEL_CD2_STAB_!E29,EL_DEL_CD2_JO_L_!E29,EL_DEL_CD2_SBI_L_1_4_!E29,EL_DEL_CD2_SBI_L_5_6_!E29,EL_DEL_CD2_SBI_L_7_8_!E29,EL_DEL_CD2_SBI_L_9_10_!E29,EL_DEL_CD2_L_STAB_!E29)</f>
        <v>0</v>
      </c>
      <c r="F29" s="98">
        <f>+SUM(EL_DEL_CD2_JO_!F29,EL_DEL_CD2_SBI_1_4_!F29,EL_DEL_CD2_SBI_5_6_!F29,EL_DEL_CD2_SBI_7_8_!F29,EL_DEL_CD2_SBI_9_10_!F29,EL_DEL_CD2_STAB_!F29,EL_DEL_CD2_JO_L_!F29,EL_DEL_CD2_SBI_L_1_4_!F29,EL_DEL_CD2_SBI_L_5_6_!F29,EL_DEL_CD2_SBI_L_7_8_!F29,EL_DEL_CD2_SBI_L_9_10_!F29,EL_DEL_CD2_L_STAB_!F29)</f>
        <v>0</v>
      </c>
      <c r="G29" s="98">
        <f>+SUM(EL_DEL_CD2_JO_!G29,EL_DEL_CD2_SBI_1_4_!G29,EL_DEL_CD2_SBI_5_6_!G29,EL_DEL_CD2_SBI_7_8_!G29,EL_DEL_CD2_SBI_9_10_!G29,EL_DEL_CD2_STAB_!G29,EL_DEL_CD2_JO_L_!G29,EL_DEL_CD2_SBI_L_1_4_!G29,EL_DEL_CD2_SBI_L_5_6_!G29,EL_DEL_CD2_SBI_L_7_8_!G29,EL_DEL_CD2_SBI_L_9_10_!G29,EL_DEL_CD2_L_STAB_!G29)</f>
        <v>0</v>
      </c>
      <c r="H29" s="98">
        <f>+SUM(EL_DEL_CD2_JO_!H29,EL_DEL_CD2_SBI_1_4_!H29,EL_DEL_CD2_SBI_5_6_!H29,EL_DEL_CD2_SBI_7_8_!H29,EL_DEL_CD2_SBI_9_10_!H29,EL_DEL_CD2_STAB_!H29,EL_DEL_CD2_JO_L_!H29,EL_DEL_CD2_SBI_L_1_4_!H29,EL_DEL_CD2_SBI_L_5_6_!H29,EL_DEL_CD2_SBI_L_7_8_!H29,EL_DEL_CD2_SBI_L_9_10_!H29,EL_DEL_CD2_L_STAB_!H29)</f>
        <v>0</v>
      </c>
      <c r="I29" s="98">
        <f>+SUM(EL_DEL_CD2_JO_!I29,EL_DEL_CD2_SBI_1_4_!I29,EL_DEL_CD2_SBI_5_6_!I29,EL_DEL_CD2_SBI_7_8_!I29,EL_DEL_CD2_SBI_9_10_!I29,EL_DEL_CD2_STAB_!I29,EL_DEL_CD2_JO_L_!I29,EL_DEL_CD2_SBI_L_1_4_!I29,EL_DEL_CD2_SBI_L_5_6_!I29,EL_DEL_CD2_SBI_L_7_8_!I29,EL_DEL_CD2_SBI_L_9_10_!I29,EL_DEL_CD2_L_STAB_!I29)</f>
        <v>0</v>
      </c>
      <c r="J29" s="98">
        <f>+SUM(EL_DEL_CD2_JO_!J29,EL_DEL_CD2_SBI_1_4_!J29,EL_DEL_CD2_SBI_5_6_!J29,EL_DEL_CD2_SBI_7_8_!J29,EL_DEL_CD2_SBI_9_10_!J29,EL_DEL_CD2_STAB_!J29,EL_DEL_CD2_JO_L_!J29,EL_DEL_CD2_SBI_L_1_4_!J29,EL_DEL_CD2_SBI_L_5_6_!J29,EL_DEL_CD2_SBI_L_7_8_!J29,EL_DEL_CD2_SBI_L_9_10_!J29,EL_DEL_CD2_L_STAB_!J29)</f>
        <v>0</v>
      </c>
      <c r="K29" s="98">
        <f>+SUM(EL_DEL_CD2_JO_!K29,EL_DEL_CD2_SBI_1_4_!K29,EL_DEL_CD2_SBI_5_6_!K29,EL_DEL_CD2_SBI_7_8_!K29,EL_DEL_CD2_SBI_9_10_!K29,EL_DEL_CD2_STAB_!K29,EL_DEL_CD2_JO_L_!K29,EL_DEL_CD2_SBI_L_1_4_!K29,EL_DEL_CD2_SBI_L_5_6_!K29,EL_DEL_CD2_SBI_L_7_8_!K29,EL_DEL_CD2_SBI_L_9_10_!K29,EL_DEL_CD2_L_STAB_!K29)</f>
        <v>0</v>
      </c>
      <c r="L29" s="98">
        <f>+SUM(EL_DEL_CD2_JO_!L29,EL_DEL_CD2_SBI_1_4_!L29,EL_DEL_CD2_SBI_5_6_!L29,EL_DEL_CD2_SBI_7_8_!L29,EL_DEL_CD2_SBI_9_10_!L29,EL_DEL_CD2_STAB_!L29,EL_DEL_CD2_JO_L_!L29,EL_DEL_CD2_SBI_L_1_4_!L29,EL_DEL_CD2_SBI_L_5_6_!L29,EL_DEL_CD2_SBI_L_7_8_!L29,EL_DEL_CD2_SBI_L_9_10_!L29,EL_DEL_CD2_L_STAB_!L29)</f>
        <v>0</v>
      </c>
      <c r="M29" s="98">
        <f>+SUM(EL_DEL_CD2_JO_!M29,EL_DEL_CD2_SBI_1_4_!M29,EL_DEL_CD2_SBI_5_6_!M29,EL_DEL_CD2_SBI_7_8_!M29,EL_DEL_CD2_SBI_9_10_!M29,EL_DEL_CD2_STAB_!M29,EL_DEL_CD2_JO_L_!M29,EL_DEL_CD2_SBI_L_1_4_!M29,EL_DEL_CD2_SBI_L_5_6_!M29,EL_DEL_CD2_SBI_L_7_8_!M29,EL_DEL_CD2_SBI_L_9_10_!M29,EL_DEL_CD2_L_STAB_!M29)</f>
        <v>0</v>
      </c>
      <c r="N29" s="98">
        <f>+SUM(EL_DEL_CD2_JO_!N29,EL_DEL_CD2_SBI_1_4_!N29,EL_DEL_CD2_SBI_5_6_!N29,EL_DEL_CD2_SBI_7_8_!N29,EL_DEL_CD2_SBI_9_10_!N29,EL_DEL_CD2_STAB_!N29,EL_DEL_CD2_JO_L_!N29,EL_DEL_CD2_SBI_L_1_4_!N29,EL_DEL_CD2_SBI_L_5_6_!N29,EL_DEL_CD2_SBI_L_7_8_!N29,EL_DEL_CD2_SBI_L_9_10_!N29,EL_DEL_CD2_L_STAB_!N29)</f>
        <v>0</v>
      </c>
      <c r="O29" s="98">
        <f>+SUM(EL_DEL_CD2_JO_!O29,EL_DEL_CD2_SBI_1_4_!O29,EL_DEL_CD2_SBI_5_6_!O29,EL_DEL_CD2_SBI_7_8_!O29,EL_DEL_CD2_SBI_9_10_!O29,EL_DEL_CD2_STAB_!O29,EL_DEL_CD2_JO_L_!O29,EL_DEL_CD2_SBI_L_1_4_!O29,EL_DEL_CD2_SBI_L_5_6_!O29,EL_DEL_CD2_SBI_L_7_8_!O29,EL_DEL_CD2_SBI_L_9_10_!O29,EL_DEL_CD2_L_STAB_!O29)</f>
        <v>0</v>
      </c>
      <c r="P29" s="98">
        <f>+SUM(EL_DEL_CD2_JO_!P29,EL_DEL_CD2_SBI_1_4_!P29,EL_DEL_CD2_SBI_5_6_!P29,EL_DEL_CD2_SBI_7_8_!P29,EL_DEL_CD2_SBI_9_10_!P29,EL_DEL_CD2_STAB_!P29,EL_DEL_CD2_JO_L_!P29,EL_DEL_CD2_SBI_L_1_4_!P29,EL_DEL_CD2_SBI_L_5_6_!P29,EL_DEL_CD2_SBI_L_7_8_!P29,EL_DEL_CD2_SBI_L_9_10_!P29,EL_DEL_CD2_L_STAB_!P29)</f>
        <v>0</v>
      </c>
      <c r="Q29" s="98">
        <f>+SUM(EL_DEL_CD2_JO_!Q29,EL_DEL_CD2_SBI_1_4_!Q29,EL_DEL_CD2_SBI_5_6_!Q29,EL_DEL_CD2_SBI_7_8_!Q29,EL_DEL_CD2_SBI_9_10_!Q29,EL_DEL_CD2_STAB_!Q29,EL_DEL_CD2_JO_L_!Q29,EL_DEL_CD2_SBI_L_1_4_!Q29,EL_DEL_CD2_SBI_L_5_6_!Q29,EL_DEL_CD2_SBI_L_7_8_!Q29,EL_DEL_CD2_SBI_L_9_10_!Q29,EL_DEL_CD2_L_STAB_!Q29)</f>
        <v>0</v>
      </c>
      <c r="R29" s="98">
        <f>+SUM(EL_DEL_CD2_JO_!R29,EL_DEL_CD2_SBI_1_4_!R29,EL_DEL_CD2_SBI_5_6_!R29,EL_DEL_CD2_SBI_7_8_!R29,EL_DEL_CD2_SBI_9_10_!R29,EL_DEL_CD2_STAB_!R29,EL_DEL_CD2_JO_L_!R29,EL_DEL_CD2_SBI_L_1_4_!R29,EL_DEL_CD2_SBI_L_5_6_!R29,EL_DEL_CD2_SBI_L_7_8_!R29,EL_DEL_CD2_SBI_L_9_10_!R29,EL_DEL_CD2_L_STAB_!R29)</f>
        <v>0</v>
      </c>
      <c r="S29" s="98">
        <f>+SUM(EL_DEL_CD2_JO_!S29,EL_DEL_CD2_SBI_1_4_!S29,EL_DEL_CD2_SBI_5_6_!S29,EL_DEL_CD2_SBI_7_8_!S29,EL_DEL_CD2_SBI_9_10_!S29,EL_DEL_CD2_STAB_!S29,EL_DEL_CD2_JO_L_!S29,EL_DEL_CD2_SBI_L_1_4_!S29,EL_DEL_CD2_SBI_L_5_6_!S29,EL_DEL_CD2_SBI_L_7_8_!S29,EL_DEL_CD2_SBI_L_9_10_!S29,EL_DEL_CD2_L_STAB_!S29)</f>
        <v>0</v>
      </c>
      <c r="T29" s="98">
        <f>+SUM(EL_DEL_CD2_JO_!T29,EL_DEL_CD2_SBI_1_4_!T29,EL_DEL_CD2_SBI_5_6_!T29,EL_DEL_CD2_SBI_7_8_!T29,EL_DEL_CD2_SBI_9_10_!T29,EL_DEL_CD2_STAB_!T29,EL_DEL_CD2_JO_L_!T29,EL_DEL_CD2_SBI_L_1_4_!T29,EL_DEL_CD2_SBI_L_5_6_!T29,EL_DEL_CD2_SBI_L_7_8_!T29,EL_DEL_CD2_SBI_L_9_10_!T29,EL_DEL_CD2_L_STAB_!T29)</f>
        <v>0</v>
      </c>
      <c r="U29" s="98">
        <f>+SUM(EL_DEL_CD2_JO_!U29,EL_DEL_CD2_SBI_1_4_!U29,EL_DEL_CD2_SBI_5_6_!U29,EL_DEL_CD2_SBI_7_8_!U29,EL_DEL_CD2_SBI_9_10_!U29,EL_DEL_CD2_STAB_!U29,EL_DEL_CD2_JO_L_!U29,EL_DEL_CD2_SBI_L_1_4_!U29,EL_DEL_CD2_SBI_L_5_6_!U29,EL_DEL_CD2_SBI_L_7_8_!U29,EL_DEL_CD2_SBI_L_9_10_!U29,EL_DEL_CD2_L_STAB_!U29)</f>
        <v>0</v>
      </c>
      <c r="V29" s="98">
        <f>+SUM(EL_DEL_CD2_JO_!V29,EL_DEL_CD2_SBI_1_4_!V29,EL_DEL_CD2_SBI_5_6_!V29,EL_DEL_CD2_SBI_7_8_!V29,EL_DEL_CD2_SBI_9_10_!V29,EL_DEL_CD2_STAB_!V29,EL_DEL_CD2_JO_L_!V29,EL_DEL_CD2_SBI_L_1_4_!V29,EL_DEL_CD2_SBI_L_5_6_!V29,EL_DEL_CD2_SBI_L_7_8_!V29,EL_DEL_CD2_SBI_L_9_10_!V29,EL_DEL_CD2_L_STAB_!V29)</f>
        <v>0</v>
      </c>
      <c r="W29" s="98">
        <f>+SUM(EL_DEL_CD2_JO_!W29,EL_DEL_CD2_SBI_1_4_!W29,EL_DEL_CD2_SBI_5_6_!W29,EL_DEL_CD2_SBI_7_8_!W29,EL_DEL_CD2_SBI_9_10_!W29,EL_DEL_CD2_STAB_!W29,EL_DEL_CD2_JO_L_!W29,EL_DEL_CD2_SBI_L_1_4_!W29,EL_DEL_CD2_SBI_L_5_6_!W29,EL_DEL_CD2_SBI_L_7_8_!W29,EL_DEL_CD2_SBI_L_9_10_!W29,EL_DEL_CD2_L_STAB_!W29)</f>
        <v>0</v>
      </c>
      <c r="X29" s="98">
        <f>+SUM(EL_DEL_CD2_JO_!X29,EL_DEL_CD2_SBI_1_4_!X29,EL_DEL_CD2_SBI_5_6_!X29,EL_DEL_CD2_SBI_7_8_!X29,EL_DEL_CD2_SBI_9_10_!X29,EL_DEL_CD2_STAB_!X29,EL_DEL_CD2_JO_L_!X29,EL_DEL_CD2_SBI_L_1_4_!X29,EL_DEL_CD2_SBI_L_5_6_!X29,EL_DEL_CD2_SBI_L_7_8_!X29,EL_DEL_CD2_SBI_L_9_10_!X29,EL_DEL_CD2_L_STAB_!X29)</f>
        <v>0</v>
      </c>
      <c r="Y29" s="98">
        <f>+SUM(EL_DEL_CD2_JO_!Y29,EL_DEL_CD2_SBI_1_4_!Y29,EL_DEL_CD2_SBI_5_6_!Y29,EL_DEL_CD2_SBI_7_8_!Y29,EL_DEL_CD2_SBI_9_10_!Y29,EL_DEL_CD2_STAB_!Y29,EL_DEL_CD2_JO_L_!Y29,EL_DEL_CD2_SBI_L_1_4_!Y29,EL_DEL_CD2_SBI_L_5_6_!Y29,EL_DEL_CD2_SBI_L_7_8_!Y29,EL_DEL_CD2_SBI_L_9_10_!Y29,EL_DEL_CD2_L_STAB_!Y29)</f>
        <v>0</v>
      </c>
      <c r="Z29" s="98">
        <f>+SUM(EL_DEL_CD2_JO_!Z29,EL_DEL_CD2_SBI_1_4_!Z29,EL_DEL_CD2_SBI_5_6_!Z29,EL_DEL_CD2_SBI_7_8_!Z29,EL_DEL_CD2_SBI_9_10_!Z29,EL_DEL_CD2_STAB_!Z29,EL_DEL_CD2_JO_L_!Z29,EL_DEL_CD2_SBI_L_1_4_!Z29,EL_DEL_CD2_SBI_L_5_6_!Z29,EL_DEL_CD2_SBI_L_7_8_!Z29,EL_DEL_CD2_SBI_L_9_10_!Z29,EL_DEL_CD2_L_STAB_!Z29)</f>
        <v>0</v>
      </c>
      <c r="AA29" s="98">
        <f>+SUM(EL_DEL_CD2_JO_!AA29,EL_DEL_CD2_SBI_1_4_!AA29,EL_DEL_CD2_SBI_5_6_!AA29,EL_DEL_CD2_SBI_7_8_!AA29,EL_DEL_CD2_SBI_9_10_!AA29,EL_DEL_CD2_STAB_!AA29,EL_DEL_CD2_JO_L_!AA29,EL_DEL_CD2_SBI_L_1_4_!AA29,EL_DEL_CD2_SBI_L_5_6_!AA29,EL_DEL_CD2_SBI_L_7_8_!AA29,EL_DEL_CD2_SBI_L_9_10_!AA29,EL_DEL_CD2_L_STAB_!AA29)</f>
        <v>0</v>
      </c>
      <c r="AB29" s="98">
        <f>+SUM(EL_DEL_CD2_JO_!AB29,EL_DEL_CD2_SBI_1_4_!AB29,EL_DEL_CD2_SBI_5_6_!AB29,EL_DEL_CD2_SBI_7_8_!AB29,EL_DEL_CD2_SBI_9_10_!AB29,EL_DEL_CD2_STAB_!AB29,EL_DEL_CD2_JO_L_!AB29,EL_DEL_CD2_SBI_L_1_4_!AB29,EL_DEL_CD2_SBI_L_5_6_!AB29,EL_DEL_CD2_SBI_L_7_8_!AB29,EL_DEL_CD2_SBI_L_9_10_!AB29,EL_DEL_CD2_L_STAB_!AB29)</f>
        <v>0</v>
      </c>
      <c r="AC29" s="98">
        <f>+SUM(EL_DEL_CD2_JO_!AC29,EL_DEL_CD2_SBI_1_4_!AC29,EL_DEL_CD2_SBI_5_6_!AC29,EL_DEL_CD2_SBI_7_8_!AC29,EL_DEL_CD2_SBI_9_10_!AC29,EL_DEL_CD2_STAB_!AC29,EL_DEL_CD2_JO_L_!AC29,EL_DEL_CD2_SBI_L_1_4_!AC29,EL_DEL_CD2_SBI_L_5_6_!AC29,EL_DEL_CD2_SBI_L_7_8_!AC29,EL_DEL_CD2_SBI_L_9_10_!AC29,EL_DEL_CD2_L_STAB_!AC29)</f>
        <v>0</v>
      </c>
      <c r="AD29" s="98">
        <f>+SUM(EL_DEL_CD2_JO_!AD29,EL_DEL_CD2_SBI_1_4_!AD29,EL_DEL_CD2_SBI_5_6_!AD29,EL_DEL_CD2_SBI_7_8_!AD29,EL_DEL_CD2_SBI_9_10_!AD29,EL_DEL_CD2_STAB_!AD29,EL_DEL_CD2_JO_L_!AD29,EL_DEL_CD2_SBI_L_1_4_!AD29,EL_DEL_CD2_SBI_L_5_6_!AD29,EL_DEL_CD2_SBI_L_7_8_!AD29,EL_DEL_CD2_SBI_L_9_10_!AD29,EL_DEL_CD2_L_STAB_!AD29)</f>
        <v>0</v>
      </c>
      <c r="AE29" s="98">
        <f>+SUM(EL_DEL_CD2_JO_!AE29,EL_DEL_CD2_SBI_1_4_!AE29,EL_DEL_CD2_SBI_5_6_!AE29,EL_DEL_CD2_SBI_7_8_!AE29,EL_DEL_CD2_SBI_9_10_!AE29,EL_DEL_CD2_STAB_!AE29,EL_DEL_CD2_JO_L_!AE29,EL_DEL_CD2_SBI_L_1_4_!AE29,EL_DEL_CD2_SBI_L_5_6_!AE29,EL_DEL_CD2_SBI_L_7_8_!AE29,EL_DEL_CD2_SBI_L_9_10_!AE29,EL_DEL_CD2_L_STAB_!AE29)</f>
        <v>0</v>
      </c>
      <c r="AF29" s="98">
        <f>+SUM(EL_DEL_CD2_JO_!AF29,EL_DEL_CD2_SBI_1_4_!AF29,EL_DEL_CD2_SBI_5_6_!AF29,EL_DEL_CD2_SBI_7_8_!AF29,EL_DEL_CD2_SBI_9_10_!AF29,EL_DEL_CD2_STAB_!AF29,EL_DEL_CD2_JO_L_!AF29,EL_DEL_CD2_SBI_L_1_4_!AF29,EL_DEL_CD2_SBI_L_5_6_!AF29,EL_DEL_CD2_SBI_L_7_8_!AF29,EL_DEL_CD2_SBI_L_9_10_!AF29,EL_DEL_CD2_L_STAB_!AF29)</f>
        <v>0</v>
      </c>
      <c r="AG29" s="98">
        <f>+SUM(EL_DEL_CD2_JO_!AG29,EL_DEL_CD2_SBI_1_4_!AG29,EL_DEL_CD2_SBI_5_6_!AG29,EL_DEL_CD2_SBI_7_8_!AG29,EL_DEL_CD2_SBI_9_10_!AG29,EL_DEL_CD2_STAB_!AG29,EL_DEL_CD2_JO_L_!AG29,EL_DEL_CD2_SBI_L_1_4_!AG29,EL_DEL_CD2_SBI_L_5_6_!AG29,EL_DEL_CD2_SBI_L_7_8_!AG29,EL_DEL_CD2_SBI_L_9_10_!AG29,EL_DEL_CD2_L_STAB_!AG29)</f>
        <v>0</v>
      </c>
      <c r="AH29" s="98">
        <f>+SUM(EL_DEL_CD2_JO_!AH29,EL_DEL_CD2_SBI_1_4_!AH29,EL_DEL_CD2_SBI_5_6_!AH29,EL_DEL_CD2_SBI_7_8_!AH29,EL_DEL_CD2_SBI_9_10_!AH29,EL_DEL_CD2_STAB_!AH29,EL_DEL_CD2_JO_L_!AH29,EL_DEL_CD2_SBI_L_1_4_!AH29,EL_DEL_CD2_SBI_L_5_6_!AH29,EL_DEL_CD2_SBI_L_7_8_!AH29,EL_DEL_CD2_SBI_L_9_10_!AH29,EL_DEL_CD2_L_STAB_!AH29)</f>
        <v>0</v>
      </c>
      <c r="AI29" s="98">
        <f>+SUM(EL_DEL_CD2_JO_!AI29,EL_DEL_CD2_SBI_1_4_!AI29,EL_DEL_CD2_SBI_5_6_!AI29,EL_DEL_CD2_SBI_7_8_!AI29,EL_DEL_CD2_SBI_9_10_!AI29,EL_DEL_CD2_STAB_!AI29,EL_DEL_CD2_JO_L_!AI29,EL_DEL_CD2_SBI_L_1_4_!AI29,EL_DEL_CD2_SBI_L_5_6_!AI29,EL_DEL_CD2_SBI_L_7_8_!AI29,EL_DEL_CD2_SBI_L_9_10_!AI29,EL_DEL_CD2_L_STAB_!AI29)</f>
        <v>0</v>
      </c>
      <c r="AJ29" s="98">
        <f>+SUM(EL_DEL_CD2_JO_!AJ29,EL_DEL_CD2_SBI_1_4_!AJ29,EL_DEL_CD2_SBI_5_6_!AJ29,EL_DEL_CD2_SBI_7_8_!AJ29,EL_DEL_CD2_SBI_9_10_!AJ29,EL_DEL_CD2_STAB_!AJ29,EL_DEL_CD2_JO_L_!AJ29,EL_DEL_CD2_SBI_L_1_4_!AJ29,EL_DEL_CD2_SBI_L_5_6_!AJ29,EL_DEL_CD2_SBI_L_7_8_!AJ29,EL_DEL_CD2_SBI_L_9_10_!AJ29,EL_DEL_CD2_L_STAB_!AJ29)</f>
        <v>0</v>
      </c>
      <c r="AK29" s="98">
        <f>+SUM(EL_DEL_CD2_JO_!AK29,EL_DEL_CD2_SBI_1_4_!AK29,EL_DEL_CD2_SBI_5_6_!AK29,EL_DEL_CD2_SBI_7_8_!AK29,EL_DEL_CD2_SBI_9_10_!AK29,EL_DEL_CD2_STAB_!AK29,EL_DEL_CD2_JO_L_!AK29,EL_DEL_CD2_SBI_L_1_4_!AK29,EL_DEL_CD2_SBI_L_5_6_!AK29,EL_DEL_CD2_SBI_L_7_8_!AK29,EL_DEL_CD2_SBI_L_9_10_!AK29,EL_DEL_CD2_L_STAB_!AK29)</f>
        <v>0</v>
      </c>
      <c r="AL29" s="152" t="str">
        <f>+IFERROR(AVERAGE(EL_DEL_CD2_JO_!AL29,EL_DEL_CD2_SBI_1_4_!AL29,EL_DEL_CD2_SBI_5_6_!AL29,EL_DEL_CD2_SBI_7_8_!AL29,EL_DEL_CD2_SBI_9_10_!AL29,EL_DEL_CD2_STAB_!AL29,EL_DEL_CD2_JO_L_!AL29,EL_DEL_CD2_SBI_L_1_4_!AL29,EL_DEL_CD2_SBI_L_5_6_!AL29,EL_DEL_CD2_SBI_L_7_8_!AL29,EL_DEL_CD2_SBI_L_9_10_!AL29,EL_DEL_CD2_L_STAB_!AL29),"0:00")</f>
        <v>0:00</v>
      </c>
      <c r="AM29" s="152" t="str">
        <f>+IFERROR(AVERAGE(EL_DEL_CD2_JO_!AM29,EL_DEL_CD2_SBI_1_4_!AM29,EL_DEL_CD2_SBI_5_6_!AM29,EL_DEL_CD2_SBI_7_8_!AM29,EL_DEL_CD2_SBI_9_10_!AM29,EL_DEL_CD2_STAB_!AM29,EL_DEL_CD2_JO_L_!AM29,EL_DEL_CD2_SBI_L_1_4_!AM29,EL_DEL_CD2_SBI_L_5_6_!AM29,EL_DEL_CD2_SBI_L_7_8_!AM29,EL_DEL_CD2_SBI_L_9_10_!AM29,EL_DEL_CD2_L_STAB_!AM29),"0:00")</f>
        <v>0:00</v>
      </c>
      <c r="AN29" s="152" t="str">
        <f>+IFERROR(AVERAGE(EL_DEL_CD2_JO_!AN29,EL_DEL_CD2_SBI_1_4_!AN29,EL_DEL_CD2_SBI_5_6_!AN29,EL_DEL_CD2_SBI_7_8_!AN29,EL_DEL_CD2_SBI_9_10_!AN29,EL_DEL_CD2_STAB_!AN29,EL_DEL_CD2_JO_L_!AN29,EL_DEL_CD2_SBI_L_1_4_!AN29,EL_DEL_CD2_SBI_L_5_6_!AN29,EL_DEL_CD2_SBI_L_7_8_!AN29,EL_DEL_CD2_SBI_L_9_10_!AN29,EL_DEL_CD2_L_STAB_!AN29),"0:00")</f>
        <v>0:00</v>
      </c>
      <c r="AO29" s="152" t="str">
        <f>+IFERROR(AVERAGE(EL_DEL_CD2_JO_!AO29,EL_DEL_CD2_SBI_1_4_!AO29,EL_DEL_CD2_SBI_5_6_!AO29,EL_DEL_CD2_SBI_7_8_!AO29,EL_DEL_CD2_SBI_9_10_!AO29,EL_DEL_CD2_STAB_!AO29,EL_DEL_CD2_JO_L_!AO29,EL_DEL_CD2_SBI_L_1_4_!AO29,EL_DEL_CD2_SBI_L_5_6_!AO29,EL_DEL_CD2_SBI_L_7_8_!AO29,EL_DEL_CD2_SBI_L_9_10_!AO29,EL_DEL_CD2_L_STAB_!AO29),"0:00")</f>
        <v>0:00</v>
      </c>
      <c r="AP29" s="98" t="str">
        <f>+IFERROR(AVERAGE(EL_DEL_CD2_JO_!AP29,EL_DEL_CD2_SBI_1_4_!AP29,EL_DEL_CD2_SBI_5_6_!AP29,EL_DEL_CD2_SBI_7_8_!AP29,EL_DEL_CD2_SBI_9_10_!AP29,EL_DEL_CD2_STAB_!AP29,EL_DEL_CD2_JO_L_!AP29,EL_DEL_CD2_SBI_L_1_4_!AP29,EL_DEL_CD2_SBI_L_5_6_!AP29,EL_DEL_CD2_SBI_L_7_8_!AP29,EL_DEL_CD2_SBI_L_9_10_!AP29,EL_DEL_CD2_L_STAB_!AP29),"0:00")</f>
        <v>0:00</v>
      </c>
      <c r="AQ29" s="152" t="str">
        <f>+IFERROR(AVERAGE(EL_DEL_CD2_JO_!AQ29,EL_DEL_CD2_SBI_1_4_!AQ29,EL_DEL_CD2_SBI_5_6_!AQ29,EL_DEL_CD2_SBI_7_8_!AQ29,EL_DEL_CD2_SBI_9_10_!AQ29,EL_DEL_CD2_STAB_!AQ29,EL_DEL_CD2_JO_L_!AQ29,EL_DEL_CD2_SBI_L_1_4_!AQ29,EL_DEL_CD2_SBI_L_5_6_!AQ29,EL_DEL_CD2_SBI_L_7_8_!AQ29,EL_DEL_CD2_SBI_L_9_10_!AQ29,EL_DEL_CD2_L_STAB_!AQ29),"0:00")</f>
        <v>0:00</v>
      </c>
      <c r="AR29" s="152" t="str">
        <f>+IFERROR(AVERAGE(EL_DEL_CD2_JO_!AR29,EL_DEL_CD2_SBI_1_4_!AR29,EL_DEL_CD2_SBI_5_6_!AR29,EL_DEL_CD2_SBI_7_8_!AR29,EL_DEL_CD2_SBI_9_10_!AR29,EL_DEL_CD2_STAB_!AR29,EL_DEL_CD2_JO_L_!AR29,EL_DEL_CD2_SBI_L_1_4_!AR29,EL_DEL_CD2_SBI_L_5_6_!AR29,EL_DEL_CD2_SBI_L_7_8_!AR29,EL_DEL_CD2_SBI_L_9_10_!AR29,EL_DEL_CD2_L_STAB_!AR29),"0:00")</f>
        <v>0:00</v>
      </c>
      <c r="AS29" s="152" t="str">
        <f>+IFERROR(AVERAGE(EL_DEL_CD2_JO_!AS29,EL_DEL_CD2_SBI_1_4_!AS29,EL_DEL_CD2_SBI_5_6_!AS29,EL_DEL_CD2_SBI_7_8_!AS29,EL_DEL_CD2_SBI_9_10_!AS29,EL_DEL_CD2_STAB_!AS29,EL_DEL_CD2_JO_L_!AS29,EL_DEL_CD2_SBI_L_1_4_!AS29,EL_DEL_CD2_SBI_L_5_6_!AS29,EL_DEL_CD2_SBI_L_7_8_!AS29,EL_DEL_CD2_SBI_L_9_10_!AS29,EL_DEL_CD2_L_STAB_!AS29),"0:00")</f>
        <v>0:00</v>
      </c>
      <c r="AT29" s="98">
        <f>+SUM(EL_DEL_CD2_JO_!AT29,EL_DEL_CD2_SBI_1_4_!AT29,EL_DEL_CD2_SBI_5_6_!AT29,EL_DEL_CD2_SBI_7_8_!AT29,EL_DEL_CD2_SBI_9_10_!AT29,EL_DEL_CD2_STAB_!AT29,EL_DEL_CD2_JO_L_!AT29,EL_DEL_CD2_SBI_L_1_4_!AT29,EL_DEL_CD2_SBI_L_5_6_!AT29,EL_DEL_CD2_SBI_L_7_8_!AT29,EL_DEL_CD2_SBI_L_9_10_!AT29,EL_DEL_CD2_L_STAB_!AT29)</f>
        <v>0</v>
      </c>
      <c r="AU29" s="98">
        <f>+SUM(EL_DEL_CD2_JO_!AU29,EL_DEL_CD2_SBI_1_4_!AU29,EL_DEL_CD2_SBI_5_6_!AU29,EL_DEL_CD2_SBI_7_8_!AU29,EL_DEL_CD2_SBI_9_10_!AU29,EL_DEL_CD2_STAB_!AU29,EL_DEL_CD2_JO_L_!AU29,EL_DEL_CD2_SBI_L_1_4_!AU29,EL_DEL_CD2_SBI_L_5_6_!AU29,EL_DEL_CD2_SBI_L_7_8_!AU29,EL_DEL_CD2_SBI_L_9_10_!AU29,EL_DEL_CD2_L_STAB_!AU29)</f>
        <v>0</v>
      </c>
      <c r="AV29" s="98">
        <f>+SUM(EL_DEL_CD2_JO_!AV29,EL_DEL_CD2_SBI_1_4_!AV29,EL_DEL_CD2_SBI_5_6_!AV29,EL_DEL_CD2_SBI_7_8_!AV29,EL_DEL_CD2_SBI_9_10_!AV29,EL_DEL_CD2_STAB_!AV29,EL_DEL_CD2_JO_L_!AV29,EL_DEL_CD2_SBI_L_1_4_!AV29,EL_DEL_CD2_SBI_L_5_6_!AV29,EL_DEL_CD2_SBI_L_7_8_!AV29,EL_DEL_CD2_SBI_L_9_10_!AV29,EL_DEL_CD2_L_STAB_!AV29)</f>
        <v>0</v>
      </c>
      <c r="AW29" s="167">
        <f>+SUM(EL_DEL_CD2_JO_!AW29,EL_DEL_CD2_SBI_1_4_!AW29,EL_DEL_CD2_SBI_5_6_!AW29,EL_DEL_CD2_SBI_7_8_!AW29,EL_DEL_CD2_SBI_9_10_!AW29,EL_DEL_CD2_STAB_!AW29,EL_DEL_CD2_JO_L_!AW29,EL_DEL_CD2_SBI_L_1_4_!AW29,EL_DEL_CD2_SBI_L_5_6_!AW29,EL_DEL_CD2_SBI_L_7_8_!AW29,EL_DEL_CD2_SBI_L_9_10_!AW29,EL_DEL_CD2_L_STAB_!AW29)</f>
        <v>0</v>
      </c>
      <c r="AX29" s="102" t="str">
        <f t="shared" si="24"/>
        <v>-</v>
      </c>
      <c r="AY29" s="151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51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31"/>
        <v/>
      </c>
      <c r="BH29" s="119" t="str">
        <f t="shared" si="8"/>
        <v/>
      </c>
      <c r="BI29" s="120" t="str">
        <f t="shared" si="25"/>
        <v/>
      </c>
      <c r="BJ29" s="151"/>
      <c r="BK29" s="121" t="str">
        <f t="shared" si="9"/>
        <v/>
      </c>
      <c r="BL29" s="122" t="str">
        <f t="shared" si="10"/>
        <v/>
      </c>
      <c r="BM29" s="122" t="str">
        <f t="shared" si="11"/>
        <v/>
      </c>
      <c r="BN29" s="123" t="str">
        <f t="shared" si="12"/>
        <v/>
      </c>
      <c r="BO29" s="151"/>
      <c r="BP29" s="124" t="str">
        <f t="shared" si="13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4"/>
        <v/>
      </c>
      <c r="BU29" s="151"/>
      <c r="BV29" s="127" t="e">
        <f t="shared" si="15"/>
        <v>#DIV/0!</v>
      </c>
      <c r="BW29" s="127" t="e">
        <f t="shared" si="16"/>
        <v>#DIV/0!</v>
      </c>
      <c r="BX29" s="127" t="e">
        <f t="shared" si="17"/>
        <v>#DIV/0!</v>
      </c>
      <c r="BY29" s="127" t="e">
        <f t="shared" si="18"/>
        <v>#DIV/0!</v>
      </c>
      <c r="BZ29" s="127" t="e">
        <f t="shared" si="28"/>
        <v>#DIV/0!</v>
      </c>
      <c r="CA29" s="128" t="e">
        <f t="shared" si="29"/>
        <v>#DIV/0!</v>
      </c>
      <c r="CB29" s="151"/>
      <c r="CC29" s="129" t="str">
        <f t="shared" si="19"/>
        <v>-</v>
      </c>
      <c r="CD29" s="130" t="str">
        <f t="shared" si="20"/>
        <v>-</v>
      </c>
      <c r="CE29" s="130" t="str">
        <f t="shared" si="21"/>
        <v>-</v>
      </c>
      <c r="CF29" s="130" t="str">
        <f t="shared" si="22"/>
        <v>-</v>
      </c>
      <c r="CG29" s="131" t="str">
        <f t="shared" si="23"/>
        <v>-</v>
      </c>
      <c r="CH29" s="151"/>
    </row>
    <row r="30" spans="1:86" s="115" customFormat="1" ht="12.4" customHeight="1" thickBot="1" x14ac:dyDescent="0.25">
      <c r="A30" s="96">
        <f t="shared" si="30"/>
        <v>46322</v>
      </c>
      <c r="B30" s="97" t="str">
        <f t="shared" si="0"/>
        <v>Tue</v>
      </c>
      <c r="C30" s="98">
        <f>+SUM(EL_DEL_CD2_JO_!C30,EL_DEL_CD2_SBI_1_4_!C30,EL_DEL_CD2_SBI_5_6_!C30,EL_DEL_CD2_SBI_7_8_!C30,EL_DEL_CD2_SBI_9_10_!C30,EL_DEL_CD2_STAB_!C30,EL_DEL_CD2_JO_L_!C30,EL_DEL_CD2_SBI_L_1_4_!C30,EL_DEL_CD2_SBI_L_5_6_!C30,EL_DEL_CD2_SBI_L_7_8_!C30,EL_DEL_CD2_SBI_L_9_10_!C30,EL_DEL_CD2_L_STAB_!C30)</f>
        <v>0</v>
      </c>
      <c r="D30" s="98">
        <f>+SUM(EL_DEL_CD2_JO_!D30,EL_DEL_CD2_SBI_1_4_!D30,EL_DEL_CD2_SBI_5_6_!D30,EL_DEL_CD2_SBI_7_8_!D30,EL_DEL_CD2_SBI_9_10_!D30,EL_DEL_CD2_STAB_!D30,EL_DEL_CD2_JO_L_!D30,EL_DEL_CD2_SBI_L_1_4_!D30,EL_DEL_CD2_SBI_L_5_6_!D30,EL_DEL_CD2_SBI_L_7_8_!D30,EL_DEL_CD2_SBI_L_9_10_!D30,EL_DEL_CD2_L_STAB_!D30)</f>
        <v>0</v>
      </c>
      <c r="E30" s="98">
        <f>+SUM(EL_DEL_CD2_JO_!E30,EL_DEL_CD2_SBI_1_4_!E30,EL_DEL_CD2_SBI_5_6_!E30,EL_DEL_CD2_SBI_7_8_!E30,EL_DEL_CD2_SBI_9_10_!E30,EL_DEL_CD2_STAB_!E30,EL_DEL_CD2_JO_L_!E30,EL_DEL_CD2_SBI_L_1_4_!E30,EL_DEL_CD2_SBI_L_5_6_!E30,EL_DEL_CD2_SBI_L_7_8_!E30,EL_DEL_CD2_SBI_L_9_10_!E30,EL_DEL_CD2_L_STAB_!E30)</f>
        <v>0</v>
      </c>
      <c r="F30" s="98">
        <f>+SUM(EL_DEL_CD2_JO_!F30,EL_DEL_CD2_SBI_1_4_!F30,EL_DEL_CD2_SBI_5_6_!F30,EL_DEL_CD2_SBI_7_8_!F30,EL_DEL_CD2_SBI_9_10_!F30,EL_DEL_CD2_STAB_!F30,EL_DEL_CD2_JO_L_!F30,EL_DEL_CD2_SBI_L_1_4_!F30,EL_DEL_CD2_SBI_L_5_6_!F30,EL_DEL_CD2_SBI_L_7_8_!F30,EL_DEL_CD2_SBI_L_9_10_!F30,EL_DEL_CD2_L_STAB_!F30)</f>
        <v>0</v>
      </c>
      <c r="G30" s="98">
        <f>+SUM(EL_DEL_CD2_JO_!G30,EL_DEL_CD2_SBI_1_4_!G30,EL_DEL_CD2_SBI_5_6_!G30,EL_DEL_CD2_SBI_7_8_!G30,EL_DEL_CD2_SBI_9_10_!G30,EL_DEL_CD2_STAB_!G30,EL_DEL_CD2_JO_L_!G30,EL_DEL_CD2_SBI_L_1_4_!G30,EL_DEL_CD2_SBI_L_5_6_!G30,EL_DEL_CD2_SBI_L_7_8_!G30,EL_DEL_CD2_SBI_L_9_10_!G30,EL_DEL_CD2_L_STAB_!G30)</f>
        <v>0</v>
      </c>
      <c r="H30" s="98">
        <f>+SUM(EL_DEL_CD2_JO_!H30,EL_DEL_CD2_SBI_1_4_!H30,EL_DEL_CD2_SBI_5_6_!H30,EL_DEL_CD2_SBI_7_8_!H30,EL_DEL_CD2_SBI_9_10_!H30,EL_DEL_CD2_STAB_!H30,EL_DEL_CD2_JO_L_!H30,EL_DEL_CD2_SBI_L_1_4_!H30,EL_DEL_CD2_SBI_L_5_6_!H30,EL_DEL_CD2_SBI_L_7_8_!H30,EL_DEL_CD2_SBI_L_9_10_!H30,EL_DEL_CD2_L_STAB_!H30)</f>
        <v>0</v>
      </c>
      <c r="I30" s="98">
        <f>+SUM(EL_DEL_CD2_JO_!I30,EL_DEL_CD2_SBI_1_4_!I30,EL_DEL_CD2_SBI_5_6_!I30,EL_DEL_CD2_SBI_7_8_!I30,EL_DEL_CD2_SBI_9_10_!I30,EL_DEL_CD2_STAB_!I30,EL_DEL_CD2_JO_L_!I30,EL_DEL_CD2_SBI_L_1_4_!I30,EL_DEL_CD2_SBI_L_5_6_!I30,EL_DEL_CD2_SBI_L_7_8_!I30,EL_DEL_CD2_SBI_L_9_10_!I30,EL_DEL_CD2_L_STAB_!I30)</f>
        <v>0</v>
      </c>
      <c r="J30" s="98">
        <f>+SUM(EL_DEL_CD2_JO_!J30,EL_DEL_CD2_SBI_1_4_!J30,EL_DEL_CD2_SBI_5_6_!J30,EL_DEL_CD2_SBI_7_8_!J30,EL_DEL_CD2_SBI_9_10_!J30,EL_DEL_CD2_STAB_!J30,EL_DEL_CD2_JO_L_!J30,EL_DEL_CD2_SBI_L_1_4_!J30,EL_DEL_CD2_SBI_L_5_6_!J30,EL_DEL_CD2_SBI_L_7_8_!J30,EL_DEL_CD2_SBI_L_9_10_!J30,EL_DEL_CD2_L_STAB_!J30)</f>
        <v>0</v>
      </c>
      <c r="K30" s="98">
        <f>+SUM(EL_DEL_CD2_JO_!K30,EL_DEL_CD2_SBI_1_4_!K30,EL_DEL_CD2_SBI_5_6_!K30,EL_DEL_CD2_SBI_7_8_!K30,EL_DEL_CD2_SBI_9_10_!K30,EL_DEL_CD2_STAB_!K30,EL_DEL_CD2_JO_L_!K30,EL_DEL_CD2_SBI_L_1_4_!K30,EL_DEL_CD2_SBI_L_5_6_!K30,EL_DEL_CD2_SBI_L_7_8_!K30,EL_DEL_CD2_SBI_L_9_10_!K30,EL_DEL_CD2_L_STAB_!K30)</f>
        <v>0</v>
      </c>
      <c r="L30" s="98">
        <f>+SUM(EL_DEL_CD2_JO_!L30,EL_DEL_CD2_SBI_1_4_!L30,EL_DEL_CD2_SBI_5_6_!L30,EL_DEL_CD2_SBI_7_8_!L30,EL_DEL_CD2_SBI_9_10_!L30,EL_DEL_CD2_STAB_!L30,EL_DEL_CD2_JO_L_!L30,EL_DEL_CD2_SBI_L_1_4_!L30,EL_DEL_CD2_SBI_L_5_6_!L30,EL_DEL_CD2_SBI_L_7_8_!L30,EL_DEL_CD2_SBI_L_9_10_!L30,EL_DEL_CD2_L_STAB_!L30)</f>
        <v>0</v>
      </c>
      <c r="M30" s="98">
        <f>+SUM(EL_DEL_CD2_JO_!M30,EL_DEL_CD2_SBI_1_4_!M30,EL_DEL_CD2_SBI_5_6_!M30,EL_DEL_CD2_SBI_7_8_!M30,EL_DEL_CD2_SBI_9_10_!M30,EL_DEL_CD2_STAB_!M30,EL_DEL_CD2_JO_L_!M30,EL_DEL_CD2_SBI_L_1_4_!M30,EL_DEL_CD2_SBI_L_5_6_!M30,EL_DEL_CD2_SBI_L_7_8_!M30,EL_DEL_CD2_SBI_L_9_10_!M30,EL_DEL_CD2_L_STAB_!M30)</f>
        <v>0</v>
      </c>
      <c r="N30" s="98">
        <f>+SUM(EL_DEL_CD2_JO_!N30,EL_DEL_CD2_SBI_1_4_!N30,EL_DEL_CD2_SBI_5_6_!N30,EL_DEL_CD2_SBI_7_8_!N30,EL_DEL_CD2_SBI_9_10_!N30,EL_DEL_CD2_STAB_!N30,EL_DEL_CD2_JO_L_!N30,EL_DEL_CD2_SBI_L_1_4_!N30,EL_DEL_CD2_SBI_L_5_6_!N30,EL_DEL_CD2_SBI_L_7_8_!N30,EL_DEL_CD2_SBI_L_9_10_!N30,EL_DEL_CD2_L_STAB_!N30)</f>
        <v>0</v>
      </c>
      <c r="O30" s="98">
        <f>+SUM(EL_DEL_CD2_JO_!O30,EL_DEL_CD2_SBI_1_4_!O30,EL_DEL_CD2_SBI_5_6_!O30,EL_DEL_CD2_SBI_7_8_!O30,EL_DEL_CD2_SBI_9_10_!O30,EL_DEL_CD2_STAB_!O30,EL_DEL_CD2_JO_L_!O30,EL_DEL_CD2_SBI_L_1_4_!O30,EL_DEL_CD2_SBI_L_5_6_!O30,EL_DEL_CD2_SBI_L_7_8_!O30,EL_DEL_CD2_SBI_L_9_10_!O30,EL_DEL_CD2_L_STAB_!O30)</f>
        <v>0</v>
      </c>
      <c r="P30" s="98">
        <f>+SUM(EL_DEL_CD2_JO_!P30,EL_DEL_CD2_SBI_1_4_!P30,EL_DEL_CD2_SBI_5_6_!P30,EL_DEL_CD2_SBI_7_8_!P30,EL_DEL_CD2_SBI_9_10_!P30,EL_DEL_CD2_STAB_!P30,EL_DEL_CD2_JO_L_!P30,EL_DEL_CD2_SBI_L_1_4_!P30,EL_DEL_CD2_SBI_L_5_6_!P30,EL_DEL_CD2_SBI_L_7_8_!P30,EL_DEL_CD2_SBI_L_9_10_!P30,EL_DEL_CD2_L_STAB_!P30)</f>
        <v>0</v>
      </c>
      <c r="Q30" s="98">
        <f>+SUM(EL_DEL_CD2_JO_!Q30,EL_DEL_CD2_SBI_1_4_!Q30,EL_DEL_CD2_SBI_5_6_!Q30,EL_DEL_CD2_SBI_7_8_!Q30,EL_DEL_CD2_SBI_9_10_!Q30,EL_DEL_CD2_STAB_!Q30,EL_DEL_CD2_JO_L_!Q30,EL_DEL_CD2_SBI_L_1_4_!Q30,EL_DEL_CD2_SBI_L_5_6_!Q30,EL_DEL_CD2_SBI_L_7_8_!Q30,EL_DEL_CD2_SBI_L_9_10_!Q30,EL_DEL_CD2_L_STAB_!Q30)</f>
        <v>0</v>
      </c>
      <c r="R30" s="98">
        <f>+SUM(EL_DEL_CD2_JO_!R30,EL_DEL_CD2_SBI_1_4_!R30,EL_DEL_CD2_SBI_5_6_!R30,EL_DEL_CD2_SBI_7_8_!R30,EL_DEL_CD2_SBI_9_10_!R30,EL_DEL_CD2_STAB_!R30,EL_DEL_CD2_JO_L_!R30,EL_DEL_CD2_SBI_L_1_4_!R30,EL_DEL_CD2_SBI_L_5_6_!R30,EL_DEL_CD2_SBI_L_7_8_!R30,EL_DEL_CD2_SBI_L_9_10_!R30,EL_DEL_CD2_L_STAB_!R30)</f>
        <v>0</v>
      </c>
      <c r="S30" s="98">
        <f>+SUM(EL_DEL_CD2_JO_!S30,EL_DEL_CD2_SBI_1_4_!S30,EL_DEL_CD2_SBI_5_6_!S30,EL_DEL_CD2_SBI_7_8_!S30,EL_DEL_CD2_SBI_9_10_!S30,EL_DEL_CD2_STAB_!S30,EL_DEL_CD2_JO_L_!S30,EL_DEL_CD2_SBI_L_1_4_!S30,EL_DEL_CD2_SBI_L_5_6_!S30,EL_DEL_CD2_SBI_L_7_8_!S30,EL_DEL_CD2_SBI_L_9_10_!S30,EL_DEL_CD2_L_STAB_!S30)</f>
        <v>0</v>
      </c>
      <c r="T30" s="98">
        <f>+SUM(EL_DEL_CD2_JO_!T30,EL_DEL_CD2_SBI_1_4_!T30,EL_DEL_CD2_SBI_5_6_!T30,EL_DEL_CD2_SBI_7_8_!T30,EL_DEL_CD2_SBI_9_10_!T30,EL_DEL_CD2_STAB_!T30,EL_DEL_CD2_JO_L_!T30,EL_DEL_CD2_SBI_L_1_4_!T30,EL_DEL_CD2_SBI_L_5_6_!T30,EL_DEL_CD2_SBI_L_7_8_!T30,EL_DEL_CD2_SBI_L_9_10_!T30,EL_DEL_CD2_L_STAB_!T30)</f>
        <v>0</v>
      </c>
      <c r="U30" s="98">
        <f>+SUM(EL_DEL_CD2_JO_!U30,EL_DEL_CD2_SBI_1_4_!U30,EL_DEL_CD2_SBI_5_6_!U30,EL_DEL_CD2_SBI_7_8_!U30,EL_DEL_CD2_SBI_9_10_!U30,EL_DEL_CD2_STAB_!U30,EL_DEL_CD2_JO_L_!U30,EL_DEL_CD2_SBI_L_1_4_!U30,EL_DEL_CD2_SBI_L_5_6_!U30,EL_DEL_CD2_SBI_L_7_8_!U30,EL_DEL_CD2_SBI_L_9_10_!U30,EL_DEL_CD2_L_STAB_!U30)</f>
        <v>0</v>
      </c>
      <c r="V30" s="98">
        <f>+SUM(EL_DEL_CD2_JO_!V30,EL_DEL_CD2_SBI_1_4_!V30,EL_DEL_CD2_SBI_5_6_!V30,EL_DEL_CD2_SBI_7_8_!V30,EL_DEL_CD2_SBI_9_10_!V30,EL_DEL_CD2_STAB_!V30,EL_DEL_CD2_JO_L_!V30,EL_DEL_CD2_SBI_L_1_4_!V30,EL_DEL_CD2_SBI_L_5_6_!V30,EL_DEL_CD2_SBI_L_7_8_!V30,EL_DEL_CD2_SBI_L_9_10_!V30,EL_DEL_CD2_L_STAB_!V30)</f>
        <v>0</v>
      </c>
      <c r="W30" s="98">
        <f>+SUM(EL_DEL_CD2_JO_!W30,EL_DEL_CD2_SBI_1_4_!W30,EL_DEL_CD2_SBI_5_6_!W30,EL_DEL_CD2_SBI_7_8_!W30,EL_DEL_CD2_SBI_9_10_!W30,EL_DEL_CD2_STAB_!W30,EL_DEL_CD2_JO_L_!W30,EL_DEL_CD2_SBI_L_1_4_!W30,EL_DEL_CD2_SBI_L_5_6_!W30,EL_DEL_CD2_SBI_L_7_8_!W30,EL_DEL_CD2_SBI_L_9_10_!W30,EL_DEL_CD2_L_STAB_!W30)</f>
        <v>0</v>
      </c>
      <c r="X30" s="98">
        <f>+SUM(EL_DEL_CD2_JO_!X30,EL_DEL_CD2_SBI_1_4_!X30,EL_DEL_CD2_SBI_5_6_!X30,EL_DEL_CD2_SBI_7_8_!X30,EL_DEL_CD2_SBI_9_10_!X30,EL_DEL_CD2_STAB_!X30,EL_DEL_CD2_JO_L_!X30,EL_DEL_CD2_SBI_L_1_4_!X30,EL_DEL_CD2_SBI_L_5_6_!X30,EL_DEL_CD2_SBI_L_7_8_!X30,EL_DEL_CD2_SBI_L_9_10_!X30,EL_DEL_CD2_L_STAB_!X30)</f>
        <v>0</v>
      </c>
      <c r="Y30" s="98">
        <f>+SUM(EL_DEL_CD2_JO_!Y30,EL_DEL_CD2_SBI_1_4_!Y30,EL_DEL_CD2_SBI_5_6_!Y30,EL_DEL_CD2_SBI_7_8_!Y30,EL_DEL_CD2_SBI_9_10_!Y30,EL_DEL_CD2_STAB_!Y30,EL_DEL_CD2_JO_L_!Y30,EL_DEL_CD2_SBI_L_1_4_!Y30,EL_DEL_CD2_SBI_L_5_6_!Y30,EL_DEL_CD2_SBI_L_7_8_!Y30,EL_DEL_CD2_SBI_L_9_10_!Y30,EL_DEL_CD2_L_STAB_!Y30)</f>
        <v>0</v>
      </c>
      <c r="Z30" s="98">
        <f>+SUM(EL_DEL_CD2_JO_!Z30,EL_DEL_CD2_SBI_1_4_!Z30,EL_DEL_CD2_SBI_5_6_!Z30,EL_DEL_CD2_SBI_7_8_!Z30,EL_DEL_CD2_SBI_9_10_!Z30,EL_DEL_CD2_STAB_!Z30,EL_DEL_CD2_JO_L_!Z30,EL_DEL_CD2_SBI_L_1_4_!Z30,EL_DEL_CD2_SBI_L_5_6_!Z30,EL_DEL_CD2_SBI_L_7_8_!Z30,EL_DEL_CD2_SBI_L_9_10_!Z30,EL_DEL_CD2_L_STAB_!Z30)</f>
        <v>0</v>
      </c>
      <c r="AA30" s="98">
        <f>+SUM(EL_DEL_CD2_JO_!AA30,EL_DEL_CD2_SBI_1_4_!AA30,EL_DEL_CD2_SBI_5_6_!AA30,EL_DEL_CD2_SBI_7_8_!AA30,EL_DEL_CD2_SBI_9_10_!AA30,EL_DEL_CD2_STAB_!AA30,EL_DEL_CD2_JO_L_!AA30,EL_DEL_CD2_SBI_L_1_4_!AA30,EL_DEL_CD2_SBI_L_5_6_!AA30,EL_DEL_CD2_SBI_L_7_8_!AA30,EL_DEL_CD2_SBI_L_9_10_!AA30,EL_DEL_CD2_L_STAB_!AA30)</f>
        <v>0</v>
      </c>
      <c r="AB30" s="98">
        <f>+SUM(EL_DEL_CD2_JO_!AB30,EL_DEL_CD2_SBI_1_4_!AB30,EL_DEL_CD2_SBI_5_6_!AB30,EL_DEL_CD2_SBI_7_8_!AB30,EL_DEL_CD2_SBI_9_10_!AB30,EL_DEL_CD2_STAB_!AB30,EL_DEL_CD2_JO_L_!AB30,EL_DEL_CD2_SBI_L_1_4_!AB30,EL_DEL_CD2_SBI_L_5_6_!AB30,EL_DEL_CD2_SBI_L_7_8_!AB30,EL_DEL_CD2_SBI_L_9_10_!AB30,EL_DEL_CD2_L_STAB_!AB30)</f>
        <v>0</v>
      </c>
      <c r="AC30" s="98">
        <f>+SUM(EL_DEL_CD2_JO_!AC30,EL_DEL_CD2_SBI_1_4_!AC30,EL_DEL_CD2_SBI_5_6_!AC30,EL_DEL_CD2_SBI_7_8_!AC30,EL_DEL_CD2_SBI_9_10_!AC30,EL_DEL_CD2_STAB_!AC30,EL_DEL_CD2_JO_L_!AC30,EL_DEL_CD2_SBI_L_1_4_!AC30,EL_DEL_CD2_SBI_L_5_6_!AC30,EL_DEL_CD2_SBI_L_7_8_!AC30,EL_DEL_CD2_SBI_L_9_10_!AC30,EL_DEL_CD2_L_STAB_!AC30)</f>
        <v>0</v>
      </c>
      <c r="AD30" s="98">
        <f>+SUM(EL_DEL_CD2_JO_!AD30,EL_DEL_CD2_SBI_1_4_!AD30,EL_DEL_CD2_SBI_5_6_!AD30,EL_DEL_CD2_SBI_7_8_!AD30,EL_DEL_CD2_SBI_9_10_!AD30,EL_DEL_CD2_STAB_!AD30,EL_DEL_CD2_JO_L_!AD30,EL_DEL_CD2_SBI_L_1_4_!AD30,EL_DEL_CD2_SBI_L_5_6_!AD30,EL_DEL_CD2_SBI_L_7_8_!AD30,EL_DEL_CD2_SBI_L_9_10_!AD30,EL_DEL_CD2_L_STAB_!AD30)</f>
        <v>0</v>
      </c>
      <c r="AE30" s="98">
        <f>+SUM(EL_DEL_CD2_JO_!AE30,EL_DEL_CD2_SBI_1_4_!AE30,EL_DEL_CD2_SBI_5_6_!AE30,EL_DEL_CD2_SBI_7_8_!AE30,EL_DEL_CD2_SBI_9_10_!AE30,EL_DEL_CD2_STAB_!AE30,EL_DEL_CD2_JO_L_!AE30,EL_DEL_CD2_SBI_L_1_4_!AE30,EL_DEL_CD2_SBI_L_5_6_!AE30,EL_DEL_CD2_SBI_L_7_8_!AE30,EL_DEL_CD2_SBI_L_9_10_!AE30,EL_DEL_CD2_L_STAB_!AE30)</f>
        <v>0</v>
      </c>
      <c r="AF30" s="98">
        <f>+SUM(EL_DEL_CD2_JO_!AF30,EL_DEL_CD2_SBI_1_4_!AF30,EL_DEL_CD2_SBI_5_6_!AF30,EL_DEL_CD2_SBI_7_8_!AF30,EL_DEL_CD2_SBI_9_10_!AF30,EL_DEL_CD2_STAB_!AF30,EL_DEL_CD2_JO_L_!AF30,EL_DEL_CD2_SBI_L_1_4_!AF30,EL_DEL_CD2_SBI_L_5_6_!AF30,EL_DEL_CD2_SBI_L_7_8_!AF30,EL_DEL_CD2_SBI_L_9_10_!AF30,EL_DEL_CD2_L_STAB_!AF30)</f>
        <v>0</v>
      </c>
      <c r="AG30" s="98">
        <f>+SUM(EL_DEL_CD2_JO_!AG30,EL_DEL_CD2_SBI_1_4_!AG30,EL_DEL_CD2_SBI_5_6_!AG30,EL_DEL_CD2_SBI_7_8_!AG30,EL_DEL_CD2_SBI_9_10_!AG30,EL_DEL_CD2_STAB_!AG30,EL_DEL_CD2_JO_L_!AG30,EL_DEL_CD2_SBI_L_1_4_!AG30,EL_DEL_CD2_SBI_L_5_6_!AG30,EL_DEL_CD2_SBI_L_7_8_!AG30,EL_DEL_CD2_SBI_L_9_10_!AG30,EL_DEL_CD2_L_STAB_!AG30)</f>
        <v>0</v>
      </c>
      <c r="AH30" s="98">
        <f>+SUM(EL_DEL_CD2_JO_!AH30,EL_DEL_CD2_SBI_1_4_!AH30,EL_DEL_CD2_SBI_5_6_!AH30,EL_DEL_CD2_SBI_7_8_!AH30,EL_DEL_CD2_SBI_9_10_!AH30,EL_DEL_CD2_STAB_!AH30,EL_DEL_CD2_JO_L_!AH30,EL_DEL_CD2_SBI_L_1_4_!AH30,EL_DEL_CD2_SBI_L_5_6_!AH30,EL_DEL_CD2_SBI_L_7_8_!AH30,EL_DEL_CD2_SBI_L_9_10_!AH30,EL_DEL_CD2_L_STAB_!AH30)</f>
        <v>0</v>
      </c>
      <c r="AI30" s="98">
        <f>+SUM(EL_DEL_CD2_JO_!AI30,EL_DEL_CD2_SBI_1_4_!AI30,EL_DEL_CD2_SBI_5_6_!AI30,EL_DEL_CD2_SBI_7_8_!AI30,EL_DEL_CD2_SBI_9_10_!AI30,EL_DEL_CD2_STAB_!AI30,EL_DEL_CD2_JO_L_!AI30,EL_DEL_CD2_SBI_L_1_4_!AI30,EL_DEL_CD2_SBI_L_5_6_!AI30,EL_DEL_CD2_SBI_L_7_8_!AI30,EL_DEL_CD2_SBI_L_9_10_!AI30,EL_DEL_CD2_L_STAB_!AI30)</f>
        <v>0</v>
      </c>
      <c r="AJ30" s="98">
        <f>+SUM(EL_DEL_CD2_JO_!AJ30,EL_DEL_CD2_SBI_1_4_!AJ30,EL_DEL_CD2_SBI_5_6_!AJ30,EL_DEL_CD2_SBI_7_8_!AJ30,EL_DEL_CD2_SBI_9_10_!AJ30,EL_DEL_CD2_STAB_!AJ30,EL_DEL_CD2_JO_L_!AJ30,EL_DEL_CD2_SBI_L_1_4_!AJ30,EL_DEL_CD2_SBI_L_5_6_!AJ30,EL_DEL_CD2_SBI_L_7_8_!AJ30,EL_DEL_CD2_SBI_L_9_10_!AJ30,EL_DEL_CD2_L_STAB_!AJ30)</f>
        <v>0</v>
      </c>
      <c r="AK30" s="98">
        <f>+SUM(EL_DEL_CD2_JO_!AK30,EL_DEL_CD2_SBI_1_4_!AK30,EL_DEL_CD2_SBI_5_6_!AK30,EL_DEL_CD2_SBI_7_8_!AK30,EL_DEL_CD2_SBI_9_10_!AK30,EL_DEL_CD2_STAB_!AK30,EL_DEL_CD2_JO_L_!AK30,EL_DEL_CD2_SBI_L_1_4_!AK30,EL_DEL_CD2_SBI_L_5_6_!AK30,EL_DEL_CD2_SBI_L_7_8_!AK30,EL_DEL_CD2_SBI_L_9_10_!AK30,EL_DEL_CD2_L_STAB_!AK30)</f>
        <v>0</v>
      </c>
      <c r="AL30" s="152" t="str">
        <f>+IFERROR(AVERAGE(EL_DEL_CD2_JO_!AL30,EL_DEL_CD2_SBI_1_4_!AL30,EL_DEL_CD2_SBI_5_6_!AL30,EL_DEL_CD2_SBI_7_8_!AL30,EL_DEL_CD2_SBI_9_10_!AL30,EL_DEL_CD2_STAB_!AL30,EL_DEL_CD2_JO_L_!AL30,EL_DEL_CD2_SBI_L_1_4_!AL30,EL_DEL_CD2_SBI_L_5_6_!AL30,EL_DEL_CD2_SBI_L_7_8_!AL30,EL_DEL_CD2_SBI_L_9_10_!AL30,EL_DEL_CD2_L_STAB_!AL30),"0:00")</f>
        <v>0:00</v>
      </c>
      <c r="AM30" s="152" t="str">
        <f>+IFERROR(AVERAGE(EL_DEL_CD2_JO_!AM30,EL_DEL_CD2_SBI_1_4_!AM30,EL_DEL_CD2_SBI_5_6_!AM30,EL_DEL_CD2_SBI_7_8_!AM30,EL_DEL_CD2_SBI_9_10_!AM30,EL_DEL_CD2_STAB_!AM30,EL_DEL_CD2_JO_L_!AM30,EL_DEL_CD2_SBI_L_1_4_!AM30,EL_DEL_CD2_SBI_L_5_6_!AM30,EL_DEL_CD2_SBI_L_7_8_!AM30,EL_DEL_CD2_SBI_L_9_10_!AM30,EL_DEL_CD2_L_STAB_!AM30),"0:00")</f>
        <v>0:00</v>
      </c>
      <c r="AN30" s="152" t="str">
        <f>+IFERROR(AVERAGE(EL_DEL_CD2_JO_!AN30,EL_DEL_CD2_SBI_1_4_!AN30,EL_DEL_CD2_SBI_5_6_!AN30,EL_DEL_CD2_SBI_7_8_!AN30,EL_DEL_CD2_SBI_9_10_!AN30,EL_DEL_CD2_STAB_!AN30,EL_DEL_CD2_JO_L_!AN30,EL_DEL_CD2_SBI_L_1_4_!AN30,EL_DEL_CD2_SBI_L_5_6_!AN30,EL_DEL_CD2_SBI_L_7_8_!AN30,EL_DEL_CD2_SBI_L_9_10_!AN30,EL_DEL_CD2_L_STAB_!AN30),"0:00")</f>
        <v>0:00</v>
      </c>
      <c r="AO30" s="152" t="str">
        <f>+IFERROR(AVERAGE(EL_DEL_CD2_JO_!AO30,EL_DEL_CD2_SBI_1_4_!AO30,EL_DEL_CD2_SBI_5_6_!AO30,EL_DEL_CD2_SBI_7_8_!AO30,EL_DEL_CD2_SBI_9_10_!AO30,EL_DEL_CD2_STAB_!AO30,EL_DEL_CD2_JO_L_!AO30,EL_DEL_CD2_SBI_L_1_4_!AO30,EL_DEL_CD2_SBI_L_5_6_!AO30,EL_DEL_CD2_SBI_L_7_8_!AO30,EL_DEL_CD2_SBI_L_9_10_!AO30,EL_DEL_CD2_L_STAB_!AO30),"0:00")</f>
        <v>0:00</v>
      </c>
      <c r="AP30" s="98" t="str">
        <f>+IFERROR(AVERAGE(EL_DEL_CD2_JO_!AP30,EL_DEL_CD2_SBI_1_4_!AP30,EL_DEL_CD2_SBI_5_6_!AP30,EL_DEL_CD2_SBI_7_8_!AP30,EL_DEL_CD2_SBI_9_10_!AP30,EL_DEL_CD2_STAB_!AP30,EL_DEL_CD2_JO_L_!AP30,EL_DEL_CD2_SBI_L_1_4_!AP30,EL_DEL_CD2_SBI_L_5_6_!AP30,EL_DEL_CD2_SBI_L_7_8_!AP30,EL_DEL_CD2_SBI_L_9_10_!AP30,EL_DEL_CD2_L_STAB_!AP30),"0:00")</f>
        <v>0:00</v>
      </c>
      <c r="AQ30" s="152" t="str">
        <f>+IFERROR(AVERAGE(EL_DEL_CD2_JO_!AQ30,EL_DEL_CD2_SBI_1_4_!AQ30,EL_DEL_CD2_SBI_5_6_!AQ30,EL_DEL_CD2_SBI_7_8_!AQ30,EL_DEL_CD2_SBI_9_10_!AQ30,EL_DEL_CD2_STAB_!AQ30,EL_DEL_CD2_JO_L_!AQ30,EL_DEL_CD2_SBI_L_1_4_!AQ30,EL_DEL_CD2_SBI_L_5_6_!AQ30,EL_DEL_CD2_SBI_L_7_8_!AQ30,EL_DEL_CD2_SBI_L_9_10_!AQ30,EL_DEL_CD2_L_STAB_!AQ30),"0:00")</f>
        <v>0:00</v>
      </c>
      <c r="AR30" s="152" t="str">
        <f>+IFERROR(AVERAGE(EL_DEL_CD2_JO_!AR30,EL_DEL_CD2_SBI_1_4_!AR30,EL_DEL_CD2_SBI_5_6_!AR30,EL_DEL_CD2_SBI_7_8_!AR30,EL_DEL_CD2_SBI_9_10_!AR30,EL_DEL_CD2_STAB_!AR30,EL_DEL_CD2_JO_L_!AR30,EL_DEL_CD2_SBI_L_1_4_!AR30,EL_DEL_CD2_SBI_L_5_6_!AR30,EL_DEL_CD2_SBI_L_7_8_!AR30,EL_DEL_CD2_SBI_L_9_10_!AR30,EL_DEL_CD2_L_STAB_!AR30),"0:00")</f>
        <v>0:00</v>
      </c>
      <c r="AS30" s="152" t="str">
        <f>+IFERROR(AVERAGE(EL_DEL_CD2_JO_!AS30,EL_DEL_CD2_SBI_1_4_!AS30,EL_DEL_CD2_SBI_5_6_!AS30,EL_DEL_CD2_SBI_7_8_!AS30,EL_DEL_CD2_SBI_9_10_!AS30,EL_DEL_CD2_STAB_!AS30,EL_DEL_CD2_JO_L_!AS30,EL_DEL_CD2_SBI_L_1_4_!AS30,EL_DEL_CD2_SBI_L_5_6_!AS30,EL_DEL_CD2_SBI_L_7_8_!AS30,EL_DEL_CD2_SBI_L_9_10_!AS30,EL_DEL_CD2_L_STAB_!AS30),"0:00")</f>
        <v>0:00</v>
      </c>
      <c r="AT30" s="98">
        <f>+SUM(EL_DEL_CD2_JO_!AT30,EL_DEL_CD2_SBI_1_4_!AT30,EL_DEL_CD2_SBI_5_6_!AT30,EL_DEL_CD2_SBI_7_8_!AT30,EL_DEL_CD2_SBI_9_10_!AT30,EL_DEL_CD2_STAB_!AT30,EL_DEL_CD2_JO_L_!AT30,EL_DEL_CD2_SBI_L_1_4_!AT30,EL_DEL_CD2_SBI_L_5_6_!AT30,EL_DEL_CD2_SBI_L_7_8_!AT30,EL_DEL_CD2_SBI_L_9_10_!AT30,EL_DEL_CD2_L_STAB_!AT30)</f>
        <v>0</v>
      </c>
      <c r="AU30" s="98">
        <f>+SUM(EL_DEL_CD2_JO_!AU30,EL_DEL_CD2_SBI_1_4_!AU30,EL_DEL_CD2_SBI_5_6_!AU30,EL_DEL_CD2_SBI_7_8_!AU30,EL_DEL_CD2_SBI_9_10_!AU30,EL_DEL_CD2_STAB_!AU30,EL_DEL_CD2_JO_L_!AU30,EL_DEL_CD2_SBI_L_1_4_!AU30,EL_DEL_CD2_SBI_L_5_6_!AU30,EL_DEL_CD2_SBI_L_7_8_!AU30,EL_DEL_CD2_SBI_L_9_10_!AU30,EL_DEL_CD2_L_STAB_!AU30)</f>
        <v>0</v>
      </c>
      <c r="AV30" s="98">
        <f>+SUM(EL_DEL_CD2_JO_!AV30,EL_DEL_CD2_SBI_1_4_!AV30,EL_DEL_CD2_SBI_5_6_!AV30,EL_DEL_CD2_SBI_7_8_!AV30,EL_DEL_CD2_SBI_9_10_!AV30,EL_DEL_CD2_STAB_!AV30,EL_DEL_CD2_JO_L_!AV30,EL_DEL_CD2_SBI_L_1_4_!AV30,EL_DEL_CD2_SBI_L_5_6_!AV30,EL_DEL_CD2_SBI_L_7_8_!AV30,EL_DEL_CD2_SBI_L_9_10_!AV30,EL_DEL_CD2_L_STAB_!AV30)</f>
        <v>0</v>
      </c>
      <c r="AW30" s="167">
        <f>+SUM(EL_DEL_CD2_JO_!AW30,EL_DEL_CD2_SBI_1_4_!AW30,EL_DEL_CD2_SBI_5_6_!AW30,EL_DEL_CD2_SBI_7_8_!AW30,EL_DEL_CD2_SBI_9_10_!AW30,EL_DEL_CD2_STAB_!AW30,EL_DEL_CD2_JO_L_!AW30,EL_DEL_CD2_SBI_L_1_4_!AW30,EL_DEL_CD2_SBI_L_5_6_!AW30,EL_DEL_CD2_SBI_L_7_8_!AW30,EL_DEL_CD2_SBI_L_9_10_!AW30,EL_DEL_CD2_L_STAB_!AW30)</f>
        <v>0</v>
      </c>
      <c r="AX30" s="102" t="str">
        <f t="shared" si="24"/>
        <v>-</v>
      </c>
      <c r="AY30" s="151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51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31"/>
        <v/>
      </c>
      <c r="BH30" s="119" t="str">
        <f t="shared" si="8"/>
        <v/>
      </c>
      <c r="BI30" s="120" t="str">
        <f t="shared" si="25"/>
        <v/>
      </c>
      <c r="BJ30" s="151"/>
      <c r="BK30" s="121" t="str">
        <f t="shared" si="9"/>
        <v/>
      </c>
      <c r="BL30" s="122" t="str">
        <f t="shared" si="10"/>
        <v/>
      </c>
      <c r="BM30" s="122" t="str">
        <f t="shared" si="11"/>
        <v/>
      </c>
      <c r="BN30" s="123" t="str">
        <f t="shared" si="12"/>
        <v/>
      </c>
      <c r="BO30" s="151"/>
      <c r="BP30" s="124" t="str">
        <f t="shared" si="13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4"/>
        <v/>
      </c>
      <c r="BU30" s="151"/>
      <c r="BV30" s="127" t="e">
        <f t="shared" si="15"/>
        <v>#DIV/0!</v>
      </c>
      <c r="BW30" s="127" t="e">
        <f t="shared" si="16"/>
        <v>#DIV/0!</v>
      </c>
      <c r="BX30" s="127" t="e">
        <f t="shared" si="17"/>
        <v>#DIV/0!</v>
      </c>
      <c r="BY30" s="127" t="e">
        <f t="shared" si="18"/>
        <v>#DIV/0!</v>
      </c>
      <c r="BZ30" s="127" t="e">
        <f t="shared" si="28"/>
        <v>#DIV/0!</v>
      </c>
      <c r="CA30" s="128" t="e">
        <f t="shared" si="29"/>
        <v>#DIV/0!</v>
      </c>
      <c r="CB30" s="151"/>
      <c r="CC30" s="129" t="str">
        <f t="shared" si="19"/>
        <v>-</v>
      </c>
      <c r="CD30" s="130" t="str">
        <f t="shared" si="20"/>
        <v>-</v>
      </c>
      <c r="CE30" s="130" t="str">
        <f t="shared" si="21"/>
        <v>-</v>
      </c>
      <c r="CF30" s="130" t="str">
        <f t="shared" si="22"/>
        <v>-</v>
      </c>
      <c r="CG30" s="131" t="str">
        <f t="shared" si="23"/>
        <v>-</v>
      </c>
      <c r="CH30" s="151"/>
    </row>
    <row r="31" spans="1:86" s="115" customFormat="1" ht="12.4" customHeight="1" thickBot="1" x14ac:dyDescent="0.25">
      <c r="A31" s="96">
        <f t="shared" si="30"/>
        <v>46323</v>
      </c>
      <c r="B31" s="97" t="str">
        <f t="shared" si="0"/>
        <v>Wed</v>
      </c>
      <c r="C31" s="98">
        <f>+SUM(EL_DEL_CD2_JO_!C31,EL_DEL_CD2_SBI_1_4_!C31,EL_DEL_CD2_SBI_5_6_!C31,EL_DEL_CD2_SBI_7_8_!C31,EL_DEL_CD2_SBI_9_10_!C31,EL_DEL_CD2_STAB_!C31,EL_DEL_CD2_JO_L_!C31,EL_DEL_CD2_SBI_L_1_4_!C31,EL_DEL_CD2_SBI_L_5_6_!C31,EL_DEL_CD2_SBI_L_7_8_!C31,EL_DEL_CD2_SBI_L_9_10_!C31,EL_DEL_CD2_L_STAB_!C31)</f>
        <v>0</v>
      </c>
      <c r="D31" s="98">
        <f>+SUM(EL_DEL_CD2_JO_!D31,EL_DEL_CD2_SBI_1_4_!D31,EL_DEL_CD2_SBI_5_6_!D31,EL_DEL_CD2_SBI_7_8_!D31,EL_DEL_CD2_SBI_9_10_!D31,EL_DEL_CD2_STAB_!D31,EL_DEL_CD2_JO_L_!D31,EL_DEL_CD2_SBI_L_1_4_!D31,EL_DEL_CD2_SBI_L_5_6_!D31,EL_DEL_CD2_SBI_L_7_8_!D31,EL_DEL_CD2_SBI_L_9_10_!D31,EL_DEL_CD2_L_STAB_!D31)</f>
        <v>0</v>
      </c>
      <c r="E31" s="98">
        <f>+SUM(EL_DEL_CD2_JO_!E31,EL_DEL_CD2_SBI_1_4_!E31,EL_DEL_CD2_SBI_5_6_!E31,EL_DEL_CD2_SBI_7_8_!E31,EL_DEL_CD2_SBI_9_10_!E31,EL_DEL_CD2_STAB_!E31,EL_DEL_CD2_JO_L_!E31,EL_DEL_CD2_SBI_L_1_4_!E31,EL_DEL_CD2_SBI_L_5_6_!E31,EL_DEL_CD2_SBI_L_7_8_!E31,EL_DEL_CD2_SBI_L_9_10_!E31,EL_DEL_CD2_L_STAB_!E31)</f>
        <v>0</v>
      </c>
      <c r="F31" s="98">
        <f>+SUM(EL_DEL_CD2_JO_!F31,EL_DEL_CD2_SBI_1_4_!F31,EL_DEL_CD2_SBI_5_6_!F31,EL_DEL_CD2_SBI_7_8_!F31,EL_DEL_CD2_SBI_9_10_!F31,EL_DEL_CD2_STAB_!F31,EL_DEL_CD2_JO_L_!F31,EL_DEL_CD2_SBI_L_1_4_!F31,EL_DEL_CD2_SBI_L_5_6_!F31,EL_DEL_CD2_SBI_L_7_8_!F31,EL_DEL_CD2_SBI_L_9_10_!F31,EL_DEL_CD2_L_STAB_!F31)</f>
        <v>0</v>
      </c>
      <c r="G31" s="98">
        <f>+SUM(EL_DEL_CD2_JO_!G31,EL_DEL_CD2_SBI_1_4_!G31,EL_DEL_CD2_SBI_5_6_!G31,EL_DEL_CD2_SBI_7_8_!G31,EL_DEL_CD2_SBI_9_10_!G31,EL_DEL_CD2_STAB_!G31,EL_DEL_CD2_JO_L_!G31,EL_DEL_CD2_SBI_L_1_4_!G31,EL_DEL_CD2_SBI_L_5_6_!G31,EL_DEL_CD2_SBI_L_7_8_!G31,EL_DEL_CD2_SBI_L_9_10_!G31,EL_DEL_CD2_L_STAB_!G31)</f>
        <v>0</v>
      </c>
      <c r="H31" s="98">
        <f>+SUM(EL_DEL_CD2_JO_!H31,EL_DEL_CD2_SBI_1_4_!H31,EL_DEL_CD2_SBI_5_6_!H31,EL_DEL_CD2_SBI_7_8_!H31,EL_DEL_CD2_SBI_9_10_!H31,EL_DEL_CD2_STAB_!H31,EL_DEL_CD2_JO_L_!H31,EL_DEL_CD2_SBI_L_1_4_!H31,EL_DEL_CD2_SBI_L_5_6_!H31,EL_DEL_CD2_SBI_L_7_8_!H31,EL_DEL_CD2_SBI_L_9_10_!H31,EL_DEL_CD2_L_STAB_!H31)</f>
        <v>0</v>
      </c>
      <c r="I31" s="98">
        <f>+SUM(EL_DEL_CD2_JO_!I31,EL_DEL_CD2_SBI_1_4_!I31,EL_DEL_CD2_SBI_5_6_!I31,EL_DEL_CD2_SBI_7_8_!I31,EL_DEL_CD2_SBI_9_10_!I31,EL_DEL_CD2_STAB_!I31,EL_DEL_CD2_JO_L_!I31,EL_DEL_CD2_SBI_L_1_4_!I31,EL_DEL_CD2_SBI_L_5_6_!I31,EL_DEL_CD2_SBI_L_7_8_!I31,EL_DEL_CD2_SBI_L_9_10_!I31,EL_DEL_CD2_L_STAB_!I31)</f>
        <v>0</v>
      </c>
      <c r="J31" s="98">
        <f>+SUM(EL_DEL_CD2_JO_!J31,EL_DEL_CD2_SBI_1_4_!J31,EL_DEL_CD2_SBI_5_6_!J31,EL_DEL_CD2_SBI_7_8_!J31,EL_DEL_CD2_SBI_9_10_!J31,EL_DEL_CD2_STAB_!J31,EL_DEL_CD2_JO_L_!J31,EL_DEL_CD2_SBI_L_1_4_!J31,EL_DEL_CD2_SBI_L_5_6_!J31,EL_DEL_CD2_SBI_L_7_8_!J31,EL_DEL_CD2_SBI_L_9_10_!J31,EL_DEL_CD2_L_STAB_!J31)</f>
        <v>0</v>
      </c>
      <c r="K31" s="98">
        <f>+SUM(EL_DEL_CD2_JO_!K31,EL_DEL_CD2_SBI_1_4_!K31,EL_DEL_CD2_SBI_5_6_!K31,EL_DEL_CD2_SBI_7_8_!K31,EL_DEL_CD2_SBI_9_10_!K31,EL_DEL_CD2_STAB_!K31,EL_DEL_CD2_JO_L_!K31,EL_DEL_CD2_SBI_L_1_4_!K31,EL_DEL_CD2_SBI_L_5_6_!K31,EL_DEL_CD2_SBI_L_7_8_!K31,EL_DEL_CD2_SBI_L_9_10_!K31,EL_DEL_CD2_L_STAB_!K31)</f>
        <v>0</v>
      </c>
      <c r="L31" s="98">
        <f>+SUM(EL_DEL_CD2_JO_!L31,EL_DEL_CD2_SBI_1_4_!L31,EL_DEL_CD2_SBI_5_6_!L31,EL_DEL_CD2_SBI_7_8_!L31,EL_DEL_CD2_SBI_9_10_!L31,EL_DEL_CD2_STAB_!L31,EL_DEL_CD2_JO_L_!L31,EL_DEL_CD2_SBI_L_1_4_!L31,EL_DEL_CD2_SBI_L_5_6_!L31,EL_DEL_CD2_SBI_L_7_8_!L31,EL_DEL_CD2_SBI_L_9_10_!L31,EL_DEL_CD2_L_STAB_!L31)</f>
        <v>0</v>
      </c>
      <c r="M31" s="98">
        <f>+SUM(EL_DEL_CD2_JO_!M31,EL_DEL_CD2_SBI_1_4_!M31,EL_DEL_CD2_SBI_5_6_!M31,EL_DEL_CD2_SBI_7_8_!M31,EL_DEL_CD2_SBI_9_10_!M31,EL_DEL_CD2_STAB_!M31,EL_DEL_CD2_JO_L_!M31,EL_DEL_CD2_SBI_L_1_4_!M31,EL_DEL_CD2_SBI_L_5_6_!M31,EL_DEL_CD2_SBI_L_7_8_!M31,EL_DEL_CD2_SBI_L_9_10_!M31,EL_DEL_CD2_L_STAB_!M31)</f>
        <v>0</v>
      </c>
      <c r="N31" s="98">
        <f>+SUM(EL_DEL_CD2_JO_!N31,EL_DEL_CD2_SBI_1_4_!N31,EL_DEL_CD2_SBI_5_6_!N31,EL_DEL_CD2_SBI_7_8_!N31,EL_DEL_CD2_SBI_9_10_!N31,EL_DEL_CD2_STAB_!N31,EL_DEL_CD2_JO_L_!N31,EL_DEL_CD2_SBI_L_1_4_!N31,EL_DEL_CD2_SBI_L_5_6_!N31,EL_DEL_CD2_SBI_L_7_8_!N31,EL_DEL_CD2_SBI_L_9_10_!N31,EL_DEL_CD2_L_STAB_!N31)</f>
        <v>0</v>
      </c>
      <c r="O31" s="98">
        <f>+SUM(EL_DEL_CD2_JO_!O31,EL_DEL_CD2_SBI_1_4_!O31,EL_DEL_CD2_SBI_5_6_!O31,EL_DEL_CD2_SBI_7_8_!O31,EL_DEL_CD2_SBI_9_10_!O31,EL_DEL_CD2_STAB_!O31,EL_DEL_CD2_JO_L_!O31,EL_DEL_CD2_SBI_L_1_4_!O31,EL_DEL_CD2_SBI_L_5_6_!O31,EL_DEL_CD2_SBI_L_7_8_!O31,EL_DEL_CD2_SBI_L_9_10_!O31,EL_DEL_CD2_L_STAB_!O31)</f>
        <v>0</v>
      </c>
      <c r="P31" s="98">
        <f>+SUM(EL_DEL_CD2_JO_!P31,EL_DEL_CD2_SBI_1_4_!P31,EL_DEL_CD2_SBI_5_6_!P31,EL_DEL_CD2_SBI_7_8_!P31,EL_DEL_CD2_SBI_9_10_!P31,EL_DEL_CD2_STAB_!P31,EL_DEL_CD2_JO_L_!P31,EL_DEL_CD2_SBI_L_1_4_!P31,EL_DEL_CD2_SBI_L_5_6_!P31,EL_DEL_CD2_SBI_L_7_8_!P31,EL_DEL_CD2_SBI_L_9_10_!P31,EL_DEL_CD2_L_STAB_!P31)</f>
        <v>0</v>
      </c>
      <c r="Q31" s="98">
        <f>+SUM(EL_DEL_CD2_JO_!Q31,EL_DEL_CD2_SBI_1_4_!Q31,EL_DEL_CD2_SBI_5_6_!Q31,EL_DEL_CD2_SBI_7_8_!Q31,EL_DEL_CD2_SBI_9_10_!Q31,EL_DEL_CD2_STAB_!Q31,EL_DEL_CD2_JO_L_!Q31,EL_DEL_CD2_SBI_L_1_4_!Q31,EL_DEL_CD2_SBI_L_5_6_!Q31,EL_DEL_CD2_SBI_L_7_8_!Q31,EL_DEL_CD2_SBI_L_9_10_!Q31,EL_DEL_CD2_L_STAB_!Q31)</f>
        <v>0</v>
      </c>
      <c r="R31" s="98">
        <f>+SUM(EL_DEL_CD2_JO_!R31,EL_DEL_CD2_SBI_1_4_!R31,EL_DEL_CD2_SBI_5_6_!R31,EL_DEL_CD2_SBI_7_8_!R31,EL_DEL_CD2_SBI_9_10_!R31,EL_DEL_CD2_STAB_!R31,EL_DEL_CD2_JO_L_!R31,EL_DEL_CD2_SBI_L_1_4_!R31,EL_DEL_CD2_SBI_L_5_6_!R31,EL_DEL_CD2_SBI_L_7_8_!R31,EL_DEL_CD2_SBI_L_9_10_!R31,EL_DEL_CD2_L_STAB_!R31)</f>
        <v>0</v>
      </c>
      <c r="S31" s="98">
        <f>+SUM(EL_DEL_CD2_JO_!S31,EL_DEL_CD2_SBI_1_4_!S31,EL_DEL_CD2_SBI_5_6_!S31,EL_DEL_CD2_SBI_7_8_!S31,EL_DEL_CD2_SBI_9_10_!S31,EL_DEL_CD2_STAB_!S31,EL_DEL_CD2_JO_L_!S31,EL_DEL_CD2_SBI_L_1_4_!S31,EL_DEL_CD2_SBI_L_5_6_!S31,EL_DEL_CD2_SBI_L_7_8_!S31,EL_DEL_CD2_SBI_L_9_10_!S31,EL_DEL_CD2_L_STAB_!S31)</f>
        <v>0</v>
      </c>
      <c r="T31" s="98">
        <f>+SUM(EL_DEL_CD2_JO_!T31,EL_DEL_CD2_SBI_1_4_!T31,EL_DEL_CD2_SBI_5_6_!T31,EL_DEL_CD2_SBI_7_8_!T31,EL_DEL_CD2_SBI_9_10_!T31,EL_DEL_CD2_STAB_!T31,EL_DEL_CD2_JO_L_!T31,EL_DEL_CD2_SBI_L_1_4_!T31,EL_DEL_CD2_SBI_L_5_6_!T31,EL_DEL_CD2_SBI_L_7_8_!T31,EL_DEL_CD2_SBI_L_9_10_!T31,EL_DEL_CD2_L_STAB_!T31)</f>
        <v>0</v>
      </c>
      <c r="U31" s="98">
        <f>+SUM(EL_DEL_CD2_JO_!U31,EL_DEL_CD2_SBI_1_4_!U31,EL_DEL_CD2_SBI_5_6_!U31,EL_DEL_CD2_SBI_7_8_!U31,EL_DEL_CD2_SBI_9_10_!U31,EL_DEL_CD2_STAB_!U31,EL_DEL_CD2_JO_L_!U31,EL_DEL_CD2_SBI_L_1_4_!U31,EL_DEL_CD2_SBI_L_5_6_!U31,EL_DEL_CD2_SBI_L_7_8_!U31,EL_DEL_CD2_SBI_L_9_10_!U31,EL_DEL_CD2_L_STAB_!U31)</f>
        <v>0</v>
      </c>
      <c r="V31" s="98">
        <f>+SUM(EL_DEL_CD2_JO_!V31,EL_DEL_CD2_SBI_1_4_!V31,EL_DEL_CD2_SBI_5_6_!V31,EL_DEL_CD2_SBI_7_8_!V31,EL_DEL_CD2_SBI_9_10_!V31,EL_DEL_CD2_STAB_!V31,EL_DEL_CD2_JO_L_!V31,EL_DEL_CD2_SBI_L_1_4_!V31,EL_DEL_CD2_SBI_L_5_6_!V31,EL_DEL_CD2_SBI_L_7_8_!V31,EL_DEL_CD2_SBI_L_9_10_!V31,EL_DEL_CD2_L_STAB_!V31)</f>
        <v>0</v>
      </c>
      <c r="W31" s="98">
        <f>+SUM(EL_DEL_CD2_JO_!W31,EL_DEL_CD2_SBI_1_4_!W31,EL_DEL_CD2_SBI_5_6_!W31,EL_DEL_CD2_SBI_7_8_!W31,EL_DEL_CD2_SBI_9_10_!W31,EL_DEL_CD2_STAB_!W31,EL_DEL_CD2_JO_L_!W31,EL_DEL_CD2_SBI_L_1_4_!W31,EL_DEL_CD2_SBI_L_5_6_!W31,EL_DEL_CD2_SBI_L_7_8_!W31,EL_DEL_CD2_SBI_L_9_10_!W31,EL_DEL_CD2_L_STAB_!W31)</f>
        <v>0</v>
      </c>
      <c r="X31" s="98">
        <f>+SUM(EL_DEL_CD2_JO_!X31,EL_DEL_CD2_SBI_1_4_!X31,EL_DEL_CD2_SBI_5_6_!X31,EL_DEL_CD2_SBI_7_8_!X31,EL_DEL_CD2_SBI_9_10_!X31,EL_DEL_CD2_STAB_!X31,EL_DEL_CD2_JO_L_!X31,EL_DEL_CD2_SBI_L_1_4_!X31,EL_DEL_CD2_SBI_L_5_6_!X31,EL_DEL_CD2_SBI_L_7_8_!X31,EL_DEL_CD2_SBI_L_9_10_!X31,EL_DEL_CD2_L_STAB_!X31)</f>
        <v>0</v>
      </c>
      <c r="Y31" s="98">
        <f>+SUM(EL_DEL_CD2_JO_!Y31,EL_DEL_CD2_SBI_1_4_!Y31,EL_DEL_CD2_SBI_5_6_!Y31,EL_DEL_CD2_SBI_7_8_!Y31,EL_DEL_CD2_SBI_9_10_!Y31,EL_DEL_CD2_STAB_!Y31,EL_DEL_CD2_JO_L_!Y31,EL_DEL_CD2_SBI_L_1_4_!Y31,EL_DEL_CD2_SBI_L_5_6_!Y31,EL_DEL_CD2_SBI_L_7_8_!Y31,EL_DEL_CD2_SBI_L_9_10_!Y31,EL_DEL_CD2_L_STAB_!Y31)</f>
        <v>0</v>
      </c>
      <c r="Z31" s="98">
        <f>+SUM(EL_DEL_CD2_JO_!Z31,EL_DEL_CD2_SBI_1_4_!Z31,EL_DEL_CD2_SBI_5_6_!Z31,EL_DEL_CD2_SBI_7_8_!Z31,EL_DEL_CD2_SBI_9_10_!Z31,EL_DEL_CD2_STAB_!Z31,EL_DEL_CD2_JO_L_!Z31,EL_DEL_CD2_SBI_L_1_4_!Z31,EL_DEL_CD2_SBI_L_5_6_!Z31,EL_DEL_CD2_SBI_L_7_8_!Z31,EL_DEL_CD2_SBI_L_9_10_!Z31,EL_DEL_CD2_L_STAB_!Z31)</f>
        <v>0</v>
      </c>
      <c r="AA31" s="98">
        <f>+SUM(EL_DEL_CD2_JO_!AA31,EL_DEL_CD2_SBI_1_4_!AA31,EL_DEL_CD2_SBI_5_6_!AA31,EL_DEL_CD2_SBI_7_8_!AA31,EL_DEL_CD2_SBI_9_10_!AA31,EL_DEL_CD2_STAB_!AA31,EL_DEL_CD2_JO_L_!AA31,EL_DEL_CD2_SBI_L_1_4_!AA31,EL_DEL_CD2_SBI_L_5_6_!AA31,EL_DEL_CD2_SBI_L_7_8_!AA31,EL_DEL_CD2_SBI_L_9_10_!AA31,EL_DEL_CD2_L_STAB_!AA31)</f>
        <v>0</v>
      </c>
      <c r="AB31" s="98">
        <f>+SUM(EL_DEL_CD2_JO_!AB31,EL_DEL_CD2_SBI_1_4_!AB31,EL_DEL_CD2_SBI_5_6_!AB31,EL_DEL_CD2_SBI_7_8_!AB31,EL_DEL_CD2_SBI_9_10_!AB31,EL_DEL_CD2_STAB_!AB31,EL_DEL_CD2_JO_L_!AB31,EL_DEL_CD2_SBI_L_1_4_!AB31,EL_DEL_CD2_SBI_L_5_6_!AB31,EL_DEL_CD2_SBI_L_7_8_!AB31,EL_DEL_CD2_SBI_L_9_10_!AB31,EL_DEL_CD2_L_STAB_!AB31)</f>
        <v>0</v>
      </c>
      <c r="AC31" s="98">
        <f>+SUM(EL_DEL_CD2_JO_!AC31,EL_DEL_CD2_SBI_1_4_!AC31,EL_DEL_CD2_SBI_5_6_!AC31,EL_DEL_CD2_SBI_7_8_!AC31,EL_DEL_CD2_SBI_9_10_!AC31,EL_DEL_CD2_STAB_!AC31,EL_DEL_CD2_JO_L_!AC31,EL_DEL_CD2_SBI_L_1_4_!AC31,EL_DEL_CD2_SBI_L_5_6_!AC31,EL_DEL_CD2_SBI_L_7_8_!AC31,EL_DEL_CD2_SBI_L_9_10_!AC31,EL_DEL_CD2_L_STAB_!AC31)</f>
        <v>0</v>
      </c>
      <c r="AD31" s="98">
        <f>+SUM(EL_DEL_CD2_JO_!AD31,EL_DEL_CD2_SBI_1_4_!AD31,EL_DEL_CD2_SBI_5_6_!AD31,EL_DEL_CD2_SBI_7_8_!AD31,EL_DEL_CD2_SBI_9_10_!AD31,EL_DEL_CD2_STAB_!AD31,EL_DEL_CD2_JO_L_!AD31,EL_DEL_CD2_SBI_L_1_4_!AD31,EL_DEL_CD2_SBI_L_5_6_!AD31,EL_DEL_CD2_SBI_L_7_8_!AD31,EL_DEL_CD2_SBI_L_9_10_!AD31,EL_DEL_CD2_L_STAB_!AD31)</f>
        <v>0</v>
      </c>
      <c r="AE31" s="98">
        <f>+SUM(EL_DEL_CD2_JO_!AE31,EL_DEL_CD2_SBI_1_4_!AE31,EL_DEL_CD2_SBI_5_6_!AE31,EL_DEL_CD2_SBI_7_8_!AE31,EL_DEL_CD2_SBI_9_10_!AE31,EL_DEL_CD2_STAB_!AE31,EL_DEL_CD2_JO_L_!AE31,EL_DEL_CD2_SBI_L_1_4_!AE31,EL_DEL_CD2_SBI_L_5_6_!AE31,EL_DEL_CD2_SBI_L_7_8_!AE31,EL_DEL_CD2_SBI_L_9_10_!AE31,EL_DEL_CD2_L_STAB_!AE31)</f>
        <v>0</v>
      </c>
      <c r="AF31" s="98">
        <f>+SUM(EL_DEL_CD2_JO_!AF31,EL_DEL_CD2_SBI_1_4_!AF31,EL_DEL_CD2_SBI_5_6_!AF31,EL_DEL_CD2_SBI_7_8_!AF31,EL_DEL_CD2_SBI_9_10_!AF31,EL_DEL_CD2_STAB_!AF31,EL_DEL_CD2_JO_L_!AF31,EL_DEL_CD2_SBI_L_1_4_!AF31,EL_DEL_CD2_SBI_L_5_6_!AF31,EL_DEL_CD2_SBI_L_7_8_!AF31,EL_DEL_CD2_SBI_L_9_10_!AF31,EL_DEL_CD2_L_STAB_!AF31)</f>
        <v>0</v>
      </c>
      <c r="AG31" s="98">
        <f>+SUM(EL_DEL_CD2_JO_!AG31,EL_DEL_CD2_SBI_1_4_!AG31,EL_DEL_CD2_SBI_5_6_!AG31,EL_DEL_CD2_SBI_7_8_!AG31,EL_DEL_CD2_SBI_9_10_!AG31,EL_DEL_CD2_STAB_!AG31,EL_DEL_CD2_JO_L_!AG31,EL_DEL_CD2_SBI_L_1_4_!AG31,EL_DEL_CD2_SBI_L_5_6_!AG31,EL_DEL_CD2_SBI_L_7_8_!AG31,EL_DEL_CD2_SBI_L_9_10_!AG31,EL_DEL_CD2_L_STAB_!AG31)</f>
        <v>0</v>
      </c>
      <c r="AH31" s="98">
        <f>+SUM(EL_DEL_CD2_JO_!AH31,EL_DEL_CD2_SBI_1_4_!AH31,EL_DEL_CD2_SBI_5_6_!AH31,EL_DEL_CD2_SBI_7_8_!AH31,EL_DEL_CD2_SBI_9_10_!AH31,EL_DEL_CD2_STAB_!AH31,EL_DEL_CD2_JO_L_!AH31,EL_DEL_CD2_SBI_L_1_4_!AH31,EL_DEL_CD2_SBI_L_5_6_!AH31,EL_DEL_CD2_SBI_L_7_8_!AH31,EL_DEL_CD2_SBI_L_9_10_!AH31,EL_DEL_CD2_L_STAB_!AH31)</f>
        <v>0</v>
      </c>
      <c r="AI31" s="98">
        <f>+SUM(EL_DEL_CD2_JO_!AI31,EL_DEL_CD2_SBI_1_4_!AI31,EL_DEL_CD2_SBI_5_6_!AI31,EL_DEL_CD2_SBI_7_8_!AI31,EL_DEL_CD2_SBI_9_10_!AI31,EL_DEL_CD2_STAB_!AI31,EL_DEL_CD2_JO_L_!AI31,EL_DEL_CD2_SBI_L_1_4_!AI31,EL_DEL_CD2_SBI_L_5_6_!AI31,EL_DEL_CD2_SBI_L_7_8_!AI31,EL_DEL_CD2_SBI_L_9_10_!AI31,EL_DEL_CD2_L_STAB_!AI31)</f>
        <v>0</v>
      </c>
      <c r="AJ31" s="98">
        <f>+SUM(EL_DEL_CD2_JO_!AJ31,EL_DEL_CD2_SBI_1_4_!AJ31,EL_DEL_CD2_SBI_5_6_!AJ31,EL_DEL_CD2_SBI_7_8_!AJ31,EL_DEL_CD2_SBI_9_10_!AJ31,EL_DEL_CD2_STAB_!AJ31,EL_DEL_CD2_JO_L_!AJ31,EL_DEL_CD2_SBI_L_1_4_!AJ31,EL_DEL_CD2_SBI_L_5_6_!AJ31,EL_DEL_CD2_SBI_L_7_8_!AJ31,EL_DEL_CD2_SBI_L_9_10_!AJ31,EL_DEL_CD2_L_STAB_!AJ31)</f>
        <v>0</v>
      </c>
      <c r="AK31" s="98">
        <f>+SUM(EL_DEL_CD2_JO_!AK31,EL_DEL_CD2_SBI_1_4_!AK31,EL_DEL_CD2_SBI_5_6_!AK31,EL_DEL_CD2_SBI_7_8_!AK31,EL_DEL_CD2_SBI_9_10_!AK31,EL_DEL_CD2_STAB_!AK31,EL_DEL_CD2_JO_L_!AK31,EL_DEL_CD2_SBI_L_1_4_!AK31,EL_DEL_CD2_SBI_L_5_6_!AK31,EL_DEL_CD2_SBI_L_7_8_!AK31,EL_DEL_CD2_SBI_L_9_10_!AK31,EL_DEL_CD2_L_STAB_!AK31)</f>
        <v>0</v>
      </c>
      <c r="AL31" s="152" t="str">
        <f>+IFERROR(AVERAGE(EL_DEL_CD2_JO_!AL31,EL_DEL_CD2_SBI_1_4_!AL31,EL_DEL_CD2_SBI_5_6_!AL31,EL_DEL_CD2_SBI_7_8_!AL31,EL_DEL_CD2_SBI_9_10_!AL31,EL_DEL_CD2_STAB_!AL31,EL_DEL_CD2_JO_L_!AL31,EL_DEL_CD2_SBI_L_1_4_!AL31,EL_DEL_CD2_SBI_L_5_6_!AL31,EL_DEL_CD2_SBI_L_7_8_!AL31,EL_DEL_CD2_SBI_L_9_10_!AL31,EL_DEL_CD2_L_STAB_!AL31),"0:00")</f>
        <v>0:00</v>
      </c>
      <c r="AM31" s="152" t="str">
        <f>+IFERROR(AVERAGE(EL_DEL_CD2_JO_!AM31,EL_DEL_CD2_SBI_1_4_!AM31,EL_DEL_CD2_SBI_5_6_!AM31,EL_DEL_CD2_SBI_7_8_!AM31,EL_DEL_CD2_SBI_9_10_!AM31,EL_DEL_CD2_STAB_!AM31,EL_DEL_CD2_JO_L_!AM31,EL_DEL_CD2_SBI_L_1_4_!AM31,EL_DEL_CD2_SBI_L_5_6_!AM31,EL_DEL_CD2_SBI_L_7_8_!AM31,EL_DEL_CD2_SBI_L_9_10_!AM31,EL_DEL_CD2_L_STAB_!AM31),"0:00")</f>
        <v>0:00</v>
      </c>
      <c r="AN31" s="152" t="str">
        <f>+IFERROR(AVERAGE(EL_DEL_CD2_JO_!AN31,EL_DEL_CD2_SBI_1_4_!AN31,EL_DEL_CD2_SBI_5_6_!AN31,EL_DEL_CD2_SBI_7_8_!AN31,EL_DEL_CD2_SBI_9_10_!AN31,EL_DEL_CD2_STAB_!AN31,EL_DEL_CD2_JO_L_!AN31,EL_DEL_CD2_SBI_L_1_4_!AN31,EL_DEL_CD2_SBI_L_5_6_!AN31,EL_DEL_CD2_SBI_L_7_8_!AN31,EL_DEL_CD2_SBI_L_9_10_!AN31,EL_DEL_CD2_L_STAB_!AN31),"0:00")</f>
        <v>0:00</v>
      </c>
      <c r="AO31" s="152" t="str">
        <f>+IFERROR(AVERAGE(EL_DEL_CD2_JO_!AO31,EL_DEL_CD2_SBI_1_4_!AO31,EL_DEL_CD2_SBI_5_6_!AO31,EL_DEL_CD2_SBI_7_8_!AO31,EL_DEL_CD2_SBI_9_10_!AO31,EL_DEL_CD2_STAB_!AO31,EL_DEL_CD2_JO_L_!AO31,EL_DEL_CD2_SBI_L_1_4_!AO31,EL_DEL_CD2_SBI_L_5_6_!AO31,EL_DEL_CD2_SBI_L_7_8_!AO31,EL_DEL_CD2_SBI_L_9_10_!AO31,EL_DEL_CD2_L_STAB_!AO31),"0:00")</f>
        <v>0:00</v>
      </c>
      <c r="AP31" s="98" t="str">
        <f>+IFERROR(AVERAGE(EL_DEL_CD2_JO_!AP31,EL_DEL_CD2_SBI_1_4_!AP31,EL_DEL_CD2_SBI_5_6_!AP31,EL_DEL_CD2_SBI_7_8_!AP31,EL_DEL_CD2_SBI_9_10_!AP31,EL_DEL_CD2_STAB_!AP31,EL_DEL_CD2_JO_L_!AP31,EL_DEL_CD2_SBI_L_1_4_!AP31,EL_DEL_CD2_SBI_L_5_6_!AP31,EL_DEL_CD2_SBI_L_7_8_!AP31,EL_DEL_CD2_SBI_L_9_10_!AP31,EL_DEL_CD2_L_STAB_!AP31),"0:00")</f>
        <v>0:00</v>
      </c>
      <c r="AQ31" s="152" t="str">
        <f>+IFERROR(AVERAGE(EL_DEL_CD2_JO_!AQ31,EL_DEL_CD2_SBI_1_4_!AQ31,EL_DEL_CD2_SBI_5_6_!AQ31,EL_DEL_CD2_SBI_7_8_!AQ31,EL_DEL_CD2_SBI_9_10_!AQ31,EL_DEL_CD2_STAB_!AQ31,EL_DEL_CD2_JO_L_!AQ31,EL_DEL_CD2_SBI_L_1_4_!AQ31,EL_DEL_CD2_SBI_L_5_6_!AQ31,EL_DEL_CD2_SBI_L_7_8_!AQ31,EL_DEL_CD2_SBI_L_9_10_!AQ31,EL_DEL_CD2_L_STAB_!AQ31),"0:00")</f>
        <v>0:00</v>
      </c>
      <c r="AR31" s="152" t="str">
        <f>+IFERROR(AVERAGE(EL_DEL_CD2_JO_!AR31,EL_DEL_CD2_SBI_1_4_!AR31,EL_DEL_CD2_SBI_5_6_!AR31,EL_DEL_CD2_SBI_7_8_!AR31,EL_DEL_CD2_SBI_9_10_!AR31,EL_DEL_CD2_STAB_!AR31,EL_DEL_CD2_JO_L_!AR31,EL_DEL_CD2_SBI_L_1_4_!AR31,EL_DEL_CD2_SBI_L_5_6_!AR31,EL_DEL_CD2_SBI_L_7_8_!AR31,EL_DEL_CD2_SBI_L_9_10_!AR31,EL_DEL_CD2_L_STAB_!AR31),"0:00")</f>
        <v>0:00</v>
      </c>
      <c r="AS31" s="152" t="str">
        <f>+IFERROR(AVERAGE(EL_DEL_CD2_JO_!AS31,EL_DEL_CD2_SBI_1_4_!AS31,EL_DEL_CD2_SBI_5_6_!AS31,EL_DEL_CD2_SBI_7_8_!AS31,EL_DEL_CD2_SBI_9_10_!AS31,EL_DEL_CD2_STAB_!AS31,EL_DEL_CD2_JO_L_!AS31,EL_DEL_CD2_SBI_L_1_4_!AS31,EL_DEL_CD2_SBI_L_5_6_!AS31,EL_DEL_CD2_SBI_L_7_8_!AS31,EL_DEL_CD2_SBI_L_9_10_!AS31,EL_DEL_CD2_L_STAB_!AS31),"0:00")</f>
        <v>0:00</v>
      </c>
      <c r="AT31" s="98">
        <f>+SUM(EL_DEL_CD2_JO_!AT31,EL_DEL_CD2_SBI_1_4_!AT31,EL_DEL_CD2_SBI_5_6_!AT31,EL_DEL_CD2_SBI_7_8_!AT31,EL_DEL_CD2_SBI_9_10_!AT31,EL_DEL_CD2_STAB_!AT31,EL_DEL_CD2_JO_L_!AT31,EL_DEL_CD2_SBI_L_1_4_!AT31,EL_DEL_CD2_SBI_L_5_6_!AT31,EL_DEL_CD2_SBI_L_7_8_!AT31,EL_DEL_CD2_SBI_L_9_10_!AT31,EL_DEL_CD2_L_STAB_!AT31)</f>
        <v>0</v>
      </c>
      <c r="AU31" s="98">
        <f>+SUM(EL_DEL_CD2_JO_!AU31,EL_DEL_CD2_SBI_1_4_!AU31,EL_DEL_CD2_SBI_5_6_!AU31,EL_DEL_CD2_SBI_7_8_!AU31,EL_DEL_CD2_SBI_9_10_!AU31,EL_DEL_CD2_STAB_!AU31,EL_DEL_CD2_JO_L_!AU31,EL_DEL_CD2_SBI_L_1_4_!AU31,EL_DEL_CD2_SBI_L_5_6_!AU31,EL_DEL_CD2_SBI_L_7_8_!AU31,EL_DEL_CD2_SBI_L_9_10_!AU31,EL_DEL_CD2_L_STAB_!AU31)</f>
        <v>0</v>
      </c>
      <c r="AV31" s="98">
        <f>+SUM(EL_DEL_CD2_JO_!AV31,EL_DEL_CD2_SBI_1_4_!AV31,EL_DEL_CD2_SBI_5_6_!AV31,EL_DEL_CD2_SBI_7_8_!AV31,EL_DEL_CD2_SBI_9_10_!AV31,EL_DEL_CD2_STAB_!AV31,EL_DEL_CD2_JO_L_!AV31,EL_DEL_CD2_SBI_L_1_4_!AV31,EL_DEL_CD2_SBI_L_5_6_!AV31,EL_DEL_CD2_SBI_L_7_8_!AV31,EL_DEL_CD2_SBI_L_9_10_!AV31,EL_DEL_CD2_L_STAB_!AV31)</f>
        <v>0</v>
      </c>
      <c r="AW31" s="167">
        <f>+SUM(EL_DEL_CD2_JO_!AW31,EL_DEL_CD2_SBI_1_4_!AW31,EL_DEL_CD2_SBI_5_6_!AW31,EL_DEL_CD2_SBI_7_8_!AW31,EL_DEL_CD2_SBI_9_10_!AW31,EL_DEL_CD2_STAB_!AW31,EL_DEL_CD2_JO_L_!AW31,EL_DEL_CD2_SBI_L_1_4_!AW31,EL_DEL_CD2_SBI_L_5_6_!AW31,EL_DEL_CD2_SBI_L_7_8_!AW31,EL_DEL_CD2_SBI_L_9_10_!AW31,EL_DEL_CD2_L_STAB_!AW31)</f>
        <v>0</v>
      </c>
      <c r="AX31" s="102" t="str">
        <f t="shared" si="24"/>
        <v>-</v>
      </c>
      <c r="AY31" s="151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51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31"/>
        <v/>
      </c>
      <c r="BH31" s="119" t="str">
        <f t="shared" si="8"/>
        <v/>
      </c>
      <c r="BI31" s="120" t="str">
        <f t="shared" si="25"/>
        <v/>
      </c>
      <c r="BJ31" s="151"/>
      <c r="BK31" s="121" t="str">
        <f t="shared" si="9"/>
        <v/>
      </c>
      <c r="BL31" s="122" t="str">
        <f t="shared" si="10"/>
        <v/>
      </c>
      <c r="BM31" s="122" t="str">
        <f t="shared" si="11"/>
        <v/>
      </c>
      <c r="BN31" s="123" t="str">
        <f t="shared" si="12"/>
        <v/>
      </c>
      <c r="BO31" s="151"/>
      <c r="BP31" s="124" t="str">
        <f t="shared" si="13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4"/>
        <v/>
      </c>
      <c r="BU31" s="151"/>
      <c r="BV31" s="127" t="e">
        <f t="shared" si="15"/>
        <v>#DIV/0!</v>
      </c>
      <c r="BW31" s="127" t="e">
        <f t="shared" si="16"/>
        <v>#DIV/0!</v>
      </c>
      <c r="BX31" s="127" t="e">
        <f t="shared" si="17"/>
        <v>#DIV/0!</v>
      </c>
      <c r="BY31" s="127" t="e">
        <f t="shared" si="18"/>
        <v>#DIV/0!</v>
      </c>
      <c r="BZ31" s="127" t="e">
        <f t="shared" si="28"/>
        <v>#DIV/0!</v>
      </c>
      <c r="CA31" s="128" t="e">
        <f t="shared" si="29"/>
        <v>#DIV/0!</v>
      </c>
      <c r="CB31" s="151"/>
      <c r="CC31" s="129" t="str">
        <f t="shared" si="19"/>
        <v>-</v>
      </c>
      <c r="CD31" s="130" t="str">
        <f t="shared" si="20"/>
        <v>-</v>
      </c>
      <c r="CE31" s="130" t="str">
        <f t="shared" si="21"/>
        <v>-</v>
      </c>
      <c r="CF31" s="130" t="str">
        <f t="shared" si="22"/>
        <v>-</v>
      </c>
      <c r="CG31" s="131" t="str">
        <f t="shared" si="23"/>
        <v>-</v>
      </c>
      <c r="CH31" s="151"/>
    </row>
    <row r="32" spans="1:86" s="115" customFormat="1" ht="12.4" customHeight="1" thickBot="1" x14ac:dyDescent="0.25">
      <c r="A32" s="96">
        <f t="shared" si="30"/>
        <v>46324</v>
      </c>
      <c r="B32" s="97" t="str">
        <f>+TEXT(A32,"DDD")</f>
        <v>Thu</v>
      </c>
      <c r="C32" s="98">
        <f>+SUM(EL_DEL_CD2_JO_!C32,EL_DEL_CD2_SBI_1_4_!C32,EL_DEL_CD2_SBI_5_6_!C32,EL_DEL_CD2_SBI_7_8_!C32,EL_DEL_CD2_SBI_9_10_!C32,EL_DEL_CD2_STAB_!C32,EL_DEL_CD2_JO_L_!C32,EL_DEL_CD2_SBI_L_1_4_!C32,EL_DEL_CD2_SBI_L_5_6_!C32,EL_DEL_CD2_SBI_L_7_8_!C32,EL_DEL_CD2_SBI_L_9_10_!C32,EL_DEL_CD2_L_STAB_!C32)</f>
        <v>0</v>
      </c>
      <c r="D32" s="98">
        <f>+SUM(EL_DEL_CD2_JO_!D32,EL_DEL_CD2_SBI_1_4_!D32,EL_DEL_CD2_SBI_5_6_!D32,EL_DEL_CD2_SBI_7_8_!D32,EL_DEL_CD2_SBI_9_10_!D32,EL_DEL_CD2_STAB_!D32,EL_DEL_CD2_JO_L_!D32,EL_DEL_CD2_SBI_L_1_4_!D32,EL_DEL_CD2_SBI_L_5_6_!D32,EL_DEL_CD2_SBI_L_7_8_!D32,EL_DEL_CD2_SBI_L_9_10_!D32,EL_DEL_CD2_L_STAB_!D32)</f>
        <v>0</v>
      </c>
      <c r="E32" s="98">
        <f>+SUM(EL_DEL_CD2_JO_!E32,EL_DEL_CD2_SBI_1_4_!E32,EL_DEL_CD2_SBI_5_6_!E32,EL_DEL_CD2_SBI_7_8_!E32,EL_DEL_CD2_SBI_9_10_!E32,EL_DEL_CD2_STAB_!E32,EL_DEL_CD2_JO_L_!E32,EL_DEL_CD2_SBI_L_1_4_!E32,EL_DEL_CD2_SBI_L_5_6_!E32,EL_DEL_CD2_SBI_L_7_8_!E32,EL_DEL_CD2_SBI_L_9_10_!E32,EL_DEL_CD2_L_STAB_!E32)</f>
        <v>0</v>
      </c>
      <c r="F32" s="98">
        <f>+SUM(EL_DEL_CD2_JO_!F32,EL_DEL_CD2_SBI_1_4_!F32,EL_DEL_CD2_SBI_5_6_!F32,EL_DEL_CD2_SBI_7_8_!F32,EL_DEL_CD2_SBI_9_10_!F32,EL_DEL_CD2_STAB_!F32,EL_DEL_CD2_JO_L_!F32,EL_DEL_CD2_SBI_L_1_4_!F32,EL_DEL_CD2_SBI_L_5_6_!F32,EL_DEL_CD2_SBI_L_7_8_!F32,EL_DEL_CD2_SBI_L_9_10_!F32,EL_DEL_CD2_L_STAB_!F32)</f>
        <v>0</v>
      </c>
      <c r="G32" s="98">
        <f>+SUM(EL_DEL_CD2_JO_!G32,EL_DEL_CD2_SBI_1_4_!G32,EL_DEL_CD2_SBI_5_6_!G32,EL_DEL_CD2_SBI_7_8_!G32,EL_DEL_CD2_SBI_9_10_!G32,EL_DEL_CD2_STAB_!G32,EL_DEL_CD2_JO_L_!G32,EL_DEL_CD2_SBI_L_1_4_!G32,EL_DEL_CD2_SBI_L_5_6_!G32,EL_DEL_CD2_SBI_L_7_8_!G32,EL_DEL_CD2_SBI_L_9_10_!G32,EL_DEL_CD2_L_STAB_!G32)</f>
        <v>0</v>
      </c>
      <c r="H32" s="98">
        <f>+SUM(EL_DEL_CD2_JO_!H32,EL_DEL_CD2_SBI_1_4_!H32,EL_DEL_CD2_SBI_5_6_!H32,EL_DEL_CD2_SBI_7_8_!H32,EL_DEL_CD2_SBI_9_10_!H32,EL_DEL_CD2_STAB_!H32,EL_DEL_CD2_JO_L_!H32,EL_DEL_CD2_SBI_L_1_4_!H32,EL_DEL_CD2_SBI_L_5_6_!H32,EL_DEL_CD2_SBI_L_7_8_!H32,EL_DEL_CD2_SBI_L_9_10_!H32,EL_DEL_CD2_L_STAB_!H32)</f>
        <v>0</v>
      </c>
      <c r="I32" s="98">
        <f>+SUM(EL_DEL_CD2_JO_!I32,EL_DEL_CD2_SBI_1_4_!I32,EL_DEL_CD2_SBI_5_6_!I32,EL_DEL_CD2_SBI_7_8_!I32,EL_DEL_CD2_SBI_9_10_!I32,EL_DEL_CD2_STAB_!I32,EL_DEL_CD2_JO_L_!I32,EL_DEL_CD2_SBI_L_1_4_!I32,EL_DEL_CD2_SBI_L_5_6_!I32,EL_DEL_CD2_SBI_L_7_8_!I32,EL_DEL_CD2_SBI_L_9_10_!I32,EL_DEL_CD2_L_STAB_!I32)</f>
        <v>0</v>
      </c>
      <c r="J32" s="98">
        <f>+SUM(EL_DEL_CD2_JO_!J32,EL_DEL_CD2_SBI_1_4_!J32,EL_DEL_CD2_SBI_5_6_!J32,EL_DEL_CD2_SBI_7_8_!J32,EL_DEL_CD2_SBI_9_10_!J32,EL_DEL_CD2_STAB_!J32,EL_DEL_CD2_JO_L_!J32,EL_DEL_CD2_SBI_L_1_4_!J32,EL_DEL_CD2_SBI_L_5_6_!J32,EL_DEL_CD2_SBI_L_7_8_!J32,EL_DEL_CD2_SBI_L_9_10_!J32,EL_DEL_CD2_L_STAB_!J32)</f>
        <v>0</v>
      </c>
      <c r="K32" s="98">
        <f>+SUM(EL_DEL_CD2_JO_!K32,EL_DEL_CD2_SBI_1_4_!K32,EL_DEL_CD2_SBI_5_6_!K32,EL_DEL_CD2_SBI_7_8_!K32,EL_DEL_CD2_SBI_9_10_!K32,EL_DEL_CD2_STAB_!K32,EL_DEL_CD2_JO_L_!K32,EL_DEL_CD2_SBI_L_1_4_!K32,EL_DEL_CD2_SBI_L_5_6_!K32,EL_DEL_CD2_SBI_L_7_8_!K32,EL_DEL_CD2_SBI_L_9_10_!K32,EL_DEL_CD2_L_STAB_!K32)</f>
        <v>0</v>
      </c>
      <c r="L32" s="98">
        <f>+SUM(EL_DEL_CD2_JO_!L32,EL_DEL_CD2_SBI_1_4_!L32,EL_DEL_CD2_SBI_5_6_!L32,EL_DEL_CD2_SBI_7_8_!L32,EL_DEL_CD2_SBI_9_10_!L32,EL_DEL_CD2_STAB_!L32,EL_DEL_CD2_JO_L_!L32,EL_DEL_CD2_SBI_L_1_4_!L32,EL_DEL_CD2_SBI_L_5_6_!L32,EL_DEL_CD2_SBI_L_7_8_!L32,EL_DEL_CD2_SBI_L_9_10_!L32,EL_DEL_CD2_L_STAB_!L32)</f>
        <v>0</v>
      </c>
      <c r="M32" s="98">
        <f>+SUM(EL_DEL_CD2_JO_!M32,EL_DEL_CD2_SBI_1_4_!M32,EL_DEL_CD2_SBI_5_6_!M32,EL_DEL_CD2_SBI_7_8_!M32,EL_DEL_CD2_SBI_9_10_!M32,EL_DEL_CD2_STAB_!M32,EL_DEL_CD2_JO_L_!M32,EL_DEL_CD2_SBI_L_1_4_!M32,EL_DEL_CD2_SBI_L_5_6_!M32,EL_DEL_CD2_SBI_L_7_8_!M32,EL_DEL_CD2_SBI_L_9_10_!M32,EL_DEL_CD2_L_STAB_!M32)</f>
        <v>0</v>
      </c>
      <c r="N32" s="98">
        <f>+SUM(EL_DEL_CD2_JO_!N32,EL_DEL_CD2_SBI_1_4_!N32,EL_DEL_CD2_SBI_5_6_!N32,EL_DEL_CD2_SBI_7_8_!N32,EL_DEL_CD2_SBI_9_10_!N32,EL_DEL_CD2_STAB_!N32,EL_DEL_CD2_JO_L_!N32,EL_DEL_CD2_SBI_L_1_4_!N32,EL_DEL_CD2_SBI_L_5_6_!N32,EL_DEL_CD2_SBI_L_7_8_!N32,EL_DEL_CD2_SBI_L_9_10_!N32,EL_DEL_CD2_L_STAB_!N32)</f>
        <v>0</v>
      </c>
      <c r="O32" s="98">
        <f>+SUM(EL_DEL_CD2_JO_!O32,EL_DEL_CD2_SBI_1_4_!O32,EL_DEL_CD2_SBI_5_6_!O32,EL_DEL_CD2_SBI_7_8_!O32,EL_DEL_CD2_SBI_9_10_!O32,EL_DEL_CD2_STAB_!O32,EL_DEL_CD2_JO_L_!O32,EL_DEL_CD2_SBI_L_1_4_!O32,EL_DEL_CD2_SBI_L_5_6_!O32,EL_DEL_CD2_SBI_L_7_8_!O32,EL_DEL_CD2_SBI_L_9_10_!O32,EL_DEL_CD2_L_STAB_!O32)</f>
        <v>0</v>
      </c>
      <c r="P32" s="98">
        <f>+SUM(EL_DEL_CD2_JO_!P32,EL_DEL_CD2_SBI_1_4_!P32,EL_DEL_CD2_SBI_5_6_!P32,EL_DEL_CD2_SBI_7_8_!P32,EL_DEL_CD2_SBI_9_10_!P32,EL_DEL_CD2_STAB_!P32,EL_DEL_CD2_JO_L_!P32,EL_DEL_CD2_SBI_L_1_4_!P32,EL_DEL_CD2_SBI_L_5_6_!P32,EL_DEL_CD2_SBI_L_7_8_!P32,EL_DEL_CD2_SBI_L_9_10_!P32,EL_DEL_CD2_L_STAB_!P32)</f>
        <v>0</v>
      </c>
      <c r="Q32" s="98">
        <f>+SUM(EL_DEL_CD2_JO_!Q32,EL_DEL_CD2_SBI_1_4_!Q32,EL_DEL_CD2_SBI_5_6_!Q32,EL_DEL_CD2_SBI_7_8_!Q32,EL_DEL_CD2_SBI_9_10_!Q32,EL_DEL_CD2_STAB_!Q32,EL_DEL_CD2_JO_L_!Q32,EL_DEL_CD2_SBI_L_1_4_!Q32,EL_DEL_CD2_SBI_L_5_6_!Q32,EL_DEL_CD2_SBI_L_7_8_!Q32,EL_DEL_CD2_SBI_L_9_10_!Q32,EL_DEL_CD2_L_STAB_!Q32)</f>
        <v>0</v>
      </c>
      <c r="R32" s="98">
        <f>+SUM(EL_DEL_CD2_JO_!R32,EL_DEL_CD2_SBI_1_4_!R32,EL_DEL_CD2_SBI_5_6_!R32,EL_DEL_CD2_SBI_7_8_!R32,EL_DEL_CD2_SBI_9_10_!R32,EL_DEL_CD2_STAB_!R32,EL_DEL_CD2_JO_L_!R32,EL_DEL_CD2_SBI_L_1_4_!R32,EL_DEL_CD2_SBI_L_5_6_!R32,EL_DEL_CD2_SBI_L_7_8_!R32,EL_DEL_CD2_SBI_L_9_10_!R32,EL_DEL_CD2_L_STAB_!R32)</f>
        <v>0</v>
      </c>
      <c r="S32" s="98">
        <f>+SUM(EL_DEL_CD2_JO_!S32,EL_DEL_CD2_SBI_1_4_!S32,EL_DEL_CD2_SBI_5_6_!S32,EL_DEL_CD2_SBI_7_8_!S32,EL_DEL_CD2_SBI_9_10_!S32,EL_DEL_CD2_STAB_!S32,EL_DEL_CD2_JO_L_!S32,EL_DEL_CD2_SBI_L_1_4_!S32,EL_DEL_CD2_SBI_L_5_6_!S32,EL_DEL_CD2_SBI_L_7_8_!S32,EL_DEL_CD2_SBI_L_9_10_!S32,EL_DEL_CD2_L_STAB_!S32)</f>
        <v>0</v>
      </c>
      <c r="T32" s="98">
        <f>+SUM(EL_DEL_CD2_JO_!T32,EL_DEL_CD2_SBI_1_4_!T32,EL_DEL_CD2_SBI_5_6_!T32,EL_DEL_CD2_SBI_7_8_!T32,EL_DEL_CD2_SBI_9_10_!T32,EL_DEL_CD2_STAB_!T32,EL_DEL_CD2_JO_L_!T32,EL_DEL_CD2_SBI_L_1_4_!T32,EL_DEL_CD2_SBI_L_5_6_!T32,EL_DEL_CD2_SBI_L_7_8_!T32,EL_DEL_CD2_SBI_L_9_10_!T32,EL_DEL_CD2_L_STAB_!T32)</f>
        <v>0</v>
      </c>
      <c r="U32" s="98">
        <f>+SUM(EL_DEL_CD2_JO_!U32,EL_DEL_CD2_SBI_1_4_!U32,EL_DEL_CD2_SBI_5_6_!U32,EL_DEL_CD2_SBI_7_8_!U32,EL_DEL_CD2_SBI_9_10_!U32,EL_DEL_CD2_STAB_!U32,EL_DEL_CD2_JO_L_!U32,EL_DEL_CD2_SBI_L_1_4_!U32,EL_DEL_CD2_SBI_L_5_6_!U32,EL_DEL_CD2_SBI_L_7_8_!U32,EL_DEL_CD2_SBI_L_9_10_!U32,EL_DEL_CD2_L_STAB_!U32)</f>
        <v>0</v>
      </c>
      <c r="V32" s="98">
        <f>+SUM(EL_DEL_CD2_JO_!V32,EL_DEL_CD2_SBI_1_4_!V32,EL_DEL_CD2_SBI_5_6_!V32,EL_DEL_CD2_SBI_7_8_!V32,EL_DEL_CD2_SBI_9_10_!V32,EL_DEL_CD2_STAB_!V32,EL_DEL_CD2_JO_L_!V32,EL_DEL_CD2_SBI_L_1_4_!V32,EL_DEL_CD2_SBI_L_5_6_!V32,EL_DEL_CD2_SBI_L_7_8_!V32,EL_DEL_CD2_SBI_L_9_10_!V32,EL_DEL_CD2_L_STAB_!V32)</f>
        <v>0</v>
      </c>
      <c r="W32" s="98">
        <f>+SUM(EL_DEL_CD2_JO_!W32,EL_DEL_CD2_SBI_1_4_!W32,EL_DEL_CD2_SBI_5_6_!W32,EL_DEL_CD2_SBI_7_8_!W32,EL_DEL_CD2_SBI_9_10_!W32,EL_DEL_CD2_STAB_!W32,EL_DEL_CD2_JO_L_!W32,EL_DEL_CD2_SBI_L_1_4_!W32,EL_DEL_CD2_SBI_L_5_6_!W32,EL_DEL_CD2_SBI_L_7_8_!W32,EL_DEL_CD2_SBI_L_9_10_!W32,EL_DEL_CD2_L_STAB_!W32)</f>
        <v>0</v>
      </c>
      <c r="X32" s="98">
        <f>+SUM(EL_DEL_CD2_JO_!X32,EL_DEL_CD2_SBI_1_4_!X32,EL_DEL_CD2_SBI_5_6_!X32,EL_DEL_CD2_SBI_7_8_!X32,EL_DEL_CD2_SBI_9_10_!X32,EL_DEL_CD2_STAB_!X32,EL_DEL_CD2_JO_L_!X32,EL_DEL_CD2_SBI_L_1_4_!X32,EL_DEL_CD2_SBI_L_5_6_!X32,EL_DEL_CD2_SBI_L_7_8_!X32,EL_DEL_CD2_SBI_L_9_10_!X32,EL_DEL_CD2_L_STAB_!X32)</f>
        <v>0</v>
      </c>
      <c r="Y32" s="98">
        <f>+SUM(EL_DEL_CD2_JO_!Y32,EL_DEL_CD2_SBI_1_4_!Y32,EL_DEL_CD2_SBI_5_6_!Y32,EL_DEL_CD2_SBI_7_8_!Y32,EL_DEL_CD2_SBI_9_10_!Y32,EL_DEL_CD2_STAB_!Y32,EL_DEL_CD2_JO_L_!Y32,EL_DEL_CD2_SBI_L_1_4_!Y32,EL_DEL_CD2_SBI_L_5_6_!Y32,EL_DEL_CD2_SBI_L_7_8_!Y32,EL_DEL_CD2_SBI_L_9_10_!Y32,EL_DEL_CD2_L_STAB_!Y32)</f>
        <v>0</v>
      </c>
      <c r="Z32" s="98">
        <f>+SUM(EL_DEL_CD2_JO_!Z32,EL_DEL_CD2_SBI_1_4_!Z32,EL_DEL_CD2_SBI_5_6_!Z32,EL_DEL_CD2_SBI_7_8_!Z32,EL_DEL_CD2_SBI_9_10_!Z32,EL_DEL_CD2_STAB_!Z32,EL_DEL_CD2_JO_L_!Z32,EL_DEL_CD2_SBI_L_1_4_!Z32,EL_DEL_CD2_SBI_L_5_6_!Z32,EL_DEL_CD2_SBI_L_7_8_!Z32,EL_DEL_CD2_SBI_L_9_10_!Z32,EL_DEL_CD2_L_STAB_!Z32)</f>
        <v>0</v>
      </c>
      <c r="AA32" s="98">
        <f>+SUM(EL_DEL_CD2_JO_!AA32,EL_DEL_CD2_SBI_1_4_!AA32,EL_DEL_CD2_SBI_5_6_!AA32,EL_DEL_CD2_SBI_7_8_!AA32,EL_DEL_CD2_SBI_9_10_!AA32,EL_DEL_CD2_STAB_!AA32,EL_DEL_CD2_JO_L_!AA32,EL_DEL_CD2_SBI_L_1_4_!AA32,EL_DEL_CD2_SBI_L_5_6_!AA32,EL_DEL_CD2_SBI_L_7_8_!AA32,EL_DEL_CD2_SBI_L_9_10_!AA32,EL_DEL_CD2_L_STAB_!AA32)</f>
        <v>0</v>
      </c>
      <c r="AB32" s="98">
        <f>+SUM(EL_DEL_CD2_JO_!AB32,EL_DEL_CD2_SBI_1_4_!AB32,EL_DEL_CD2_SBI_5_6_!AB32,EL_DEL_CD2_SBI_7_8_!AB32,EL_DEL_CD2_SBI_9_10_!AB32,EL_DEL_CD2_STAB_!AB32,EL_DEL_CD2_JO_L_!AB32,EL_DEL_CD2_SBI_L_1_4_!AB32,EL_DEL_CD2_SBI_L_5_6_!AB32,EL_DEL_CD2_SBI_L_7_8_!AB32,EL_DEL_CD2_SBI_L_9_10_!AB32,EL_DEL_CD2_L_STAB_!AB32)</f>
        <v>0</v>
      </c>
      <c r="AC32" s="98">
        <f>+SUM(EL_DEL_CD2_JO_!AC32,EL_DEL_CD2_SBI_1_4_!AC32,EL_DEL_CD2_SBI_5_6_!AC32,EL_DEL_CD2_SBI_7_8_!AC32,EL_DEL_CD2_SBI_9_10_!AC32,EL_DEL_CD2_STAB_!AC32,EL_DEL_CD2_JO_L_!AC32,EL_DEL_CD2_SBI_L_1_4_!AC32,EL_DEL_CD2_SBI_L_5_6_!AC32,EL_DEL_CD2_SBI_L_7_8_!AC32,EL_DEL_CD2_SBI_L_9_10_!AC32,EL_DEL_CD2_L_STAB_!AC32)</f>
        <v>0</v>
      </c>
      <c r="AD32" s="98">
        <f>+SUM(EL_DEL_CD2_JO_!AD32,EL_DEL_CD2_SBI_1_4_!AD32,EL_DEL_CD2_SBI_5_6_!AD32,EL_DEL_CD2_SBI_7_8_!AD32,EL_DEL_CD2_SBI_9_10_!AD32,EL_DEL_CD2_STAB_!AD32,EL_DEL_CD2_JO_L_!AD32,EL_DEL_CD2_SBI_L_1_4_!AD32,EL_DEL_CD2_SBI_L_5_6_!AD32,EL_DEL_CD2_SBI_L_7_8_!AD32,EL_DEL_CD2_SBI_L_9_10_!AD32,EL_DEL_CD2_L_STAB_!AD32)</f>
        <v>0</v>
      </c>
      <c r="AE32" s="98">
        <f>+SUM(EL_DEL_CD2_JO_!AE32,EL_DEL_CD2_SBI_1_4_!AE32,EL_DEL_CD2_SBI_5_6_!AE32,EL_DEL_CD2_SBI_7_8_!AE32,EL_DEL_CD2_SBI_9_10_!AE32,EL_DEL_CD2_STAB_!AE32,EL_DEL_CD2_JO_L_!AE32,EL_DEL_CD2_SBI_L_1_4_!AE32,EL_DEL_CD2_SBI_L_5_6_!AE32,EL_DEL_CD2_SBI_L_7_8_!AE32,EL_DEL_CD2_SBI_L_9_10_!AE32,EL_DEL_CD2_L_STAB_!AE32)</f>
        <v>0</v>
      </c>
      <c r="AF32" s="98">
        <f>+SUM(EL_DEL_CD2_JO_!AF32,EL_DEL_CD2_SBI_1_4_!AF32,EL_DEL_CD2_SBI_5_6_!AF32,EL_DEL_CD2_SBI_7_8_!AF32,EL_DEL_CD2_SBI_9_10_!AF32,EL_DEL_CD2_STAB_!AF32,EL_DEL_CD2_JO_L_!AF32,EL_DEL_CD2_SBI_L_1_4_!AF32,EL_DEL_CD2_SBI_L_5_6_!AF32,EL_DEL_CD2_SBI_L_7_8_!AF32,EL_DEL_CD2_SBI_L_9_10_!AF32,EL_DEL_CD2_L_STAB_!AF32)</f>
        <v>0</v>
      </c>
      <c r="AG32" s="98">
        <f>+SUM(EL_DEL_CD2_JO_!AG32,EL_DEL_CD2_SBI_1_4_!AG32,EL_DEL_CD2_SBI_5_6_!AG32,EL_DEL_CD2_SBI_7_8_!AG32,EL_DEL_CD2_SBI_9_10_!AG32,EL_DEL_CD2_STAB_!AG32,EL_DEL_CD2_JO_L_!AG32,EL_DEL_CD2_SBI_L_1_4_!AG32,EL_DEL_CD2_SBI_L_5_6_!AG32,EL_DEL_CD2_SBI_L_7_8_!AG32,EL_DEL_CD2_SBI_L_9_10_!AG32,EL_DEL_CD2_L_STAB_!AG32)</f>
        <v>0</v>
      </c>
      <c r="AH32" s="98">
        <f>+SUM(EL_DEL_CD2_JO_!AH32,EL_DEL_CD2_SBI_1_4_!AH32,EL_DEL_CD2_SBI_5_6_!AH32,EL_DEL_CD2_SBI_7_8_!AH32,EL_DEL_CD2_SBI_9_10_!AH32,EL_DEL_CD2_STAB_!AH32,EL_DEL_CD2_JO_L_!AH32,EL_DEL_CD2_SBI_L_1_4_!AH32,EL_DEL_CD2_SBI_L_5_6_!AH32,EL_DEL_CD2_SBI_L_7_8_!AH32,EL_DEL_CD2_SBI_L_9_10_!AH32,EL_DEL_CD2_L_STAB_!AH32)</f>
        <v>0</v>
      </c>
      <c r="AI32" s="98">
        <f>+SUM(EL_DEL_CD2_JO_!AI32,EL_DEL_CD2_SBI_1_4_!AI32,EL_DEL_CD2_SBI_5_6_!AI32,EL_DEL_CD2_SBI_7_8_!AI32,EL_DEL_CD2_SBI_9_10_!AI32,EL_DEL_CD2_STAB_!AI32,EL_DEL_CD2_JO_L_!AI32,EL_DEL_CD2_SBI_L_1_4_!AI32,EL_DEL_CD2_SBI_L_5_6_!AI32,EL_DEL_CD2_SBI_L_7_8_!AI32,EL_DEL_CD2_SBI_L_9_10_!AI32,EL_DEL_CD2_L_STAB_!AI32)</f>
        <v>0</v>
      </c>
      <c r="AJ32" s="98">
        <f>+SUM(EL_DEL_CD2_JO_!AJ32,EL_DEL_CD2_SBI_1_4_!AJ32,EL_DEL_CD2_SBI_5_6_!AJ32,EL_DEL_CD2_SBI_7_8_!AJ32,EL_DEL_CD2_SBI_9_10_!AJ32,EL_DEL_CD2_STAB_!AJ32,EL_DEL_CD2_JO_L_!AJ32,EL_DEL_CD2_SBI_L_1_4_!AJ32,EL_DEL_CD2_SBI_L_5_6_!AJ32,EL_DEL_CD2_SBI_L_7_8_!AJ32,EL_DEL_CD2_SBI_L_9_10_!AJ32,EL_DEL_CD2_L_STAB_!AJ32)</f>
        <v>0</v>
      </c>
      <c r="AK32" s="98">
        <f>+SUM(EL_DEL_CD2_JO_!AK32,EL_DEL_CD2_SBI_1_4_!AK32,EL_DEL_CD2_SBI_5_6_!AK32,EL_DEL_CD2_SBI_7_8_!AK32,EL_DEL_CD2_SBI_9_10_!AK32,EL_DEL_CD2_STAB_!AK32,EL_DEL_CD2_JO_L_!AK32,EL_DEL_CD2_SBI_L_1_4_!AK32,EL_DEL_CD2_SBI_L_5_6_!AK32,EL_DEL_CD2_SBI_L_7_8_!AK32,EL_DEL_CD2_SBI_L_9_10_!AK32,EL_DEL_CD2_L_STAB_!AK32)</f>
        <v>0</v>
      </c>
      <c r="AL32" s="152" t="str">
        <f>+IFERROR(AVERAGE(EL_DEL_CD2_JO_!AL32,EL_DEL_CD2_SBI_1_4_!AL32,EL_DEL_CD2_SBI_5_6_!AL32,EL_DEL_CD2_SBI_7_8_!AL32,EL_DEL_CD2_SBI_9_10_!AL32,EL_DEL_CD2_STAB_!AL32,EL_DEL_CD2_JO_L_!AL32,EL_DEL_CD2_SBI_L_1_4_!AL32,EL_DEL_CD2_SBI_L_5_6_!AL32,EL_DEL_CD2_SBI_L_7_8_!AL32,EL_DEL_CD2_SBI_L_9_10_!AL32,EL_DEL_CD2_L_STAB_!AL32),"0:00")</f>
        <v>0:00</v>
      </c>
      <c r="AM32" s="152" t="str">
        <f>+IFERROR(AVERAGE(EL_DEL_CD2_JO_!AM32,EL_DEL_CD2_SBI_1_4_!AM32,EL_DEL_CD2_SBI_5_6_!AM32,EL_DEL_CD2_SBI_7_8_!AM32,EL_DEL_CD2_SBI_9_10_!AM32,EL_DEL_CD2_STAB_!AM32,EL_DEL_CD2_JO_L_!AM32,EL_DEL_CD2_SBI_L_1_4_!AM32,EL_DEL_CD2_SBI_L_5_6_!AM32,EL_DEL_CD2_SBI_L_7_8_!AM32,EL_DEL_CD2_SBI_L_9_10_!AM32,EL_DEL_CD2_L_STAB_!AM32),"0:00")</f>
        <v>0:00</v>
      </c>
      <c r="AN32" s="152" t="str">
        <f>+IFERROR(AVERAGE(EL_DEL_CD2_JO_!AN32,EL_DEL_CD2_SBI_1_4_!AN32,EL_DEL_CD2_SBI_5_6_!AN32,EL_DEL_CD2_SBI_7_8_!AN32,EL_DEL_CD2_SBI_9_10_!AN32,EL_DEL_CD2_STAB_!AN32,EL_DEL_CD2_JO_L_!AN32,EL_DEL_CD2_SBI_L_1_4_!AN32,EL_DEL_CD2_SBI_L_5_6_!AN32,EL_DEL_CD2_SBI_L_7_8_!AN32,EL_DEL_CD2_SBI_L_9_10_!AN32,EL_DEL_CD2_L_STAB_!AN32),"0:00")</f>
        <v>0:00</v>
      </c>
      <c r="AO32" s="152" t="str">
        <f>+IFERROR(AVERAGE(EL_DEL_CD2_JO_!AO32,EL_DEL_CD2_SBI_1_4_!AO32,EL_DEL_CD2_SBI_5_6_!AO32,EL_DEL_CD2_SBI_7_8_!AO32,EL_DEL_CD2_SBI_9_10_!AO32,EL_DEL_CD2_STAB_!AO32,EL_DEL_CD2_JO_L_!AO32,EL_DEL_CD2_SBI_L_1_4_!AO32,EL_DEL_CD2_SBI_L_5_6_!AO32,EL_DEL_CD2_SBI_L_7_8_!AO32,EL_DEL_CD2_SBI_L_9_10_!AO32,EL_DEL_CD2_L_STAB_!AO32),"0:00")</f>
        <v>0:00</v>
      </c>
      <c r="AP32" s="98" t="str">
        <f>+IFERROR(AVERAGE(EL_DEL_CD2_JO_!AP32,EL_DEL_CD2_SBI_1_4_!AP32,EL_DEL_CD2_SBI_5_6_!AP32,EL_DEL_CD2_SBI_7_8_!AP32,EL_DEL_CD2_SBI_9_10_!AP32,EL_DEL_CD2_STAB_!AP32,EL_DEL_CD2_JO_L_!AP32,EL_DEL_CD2_SBI_L_1_4_!AP32,EL_DEL_CD2_SBI_L_5_6_!AP32,EL_DEL_CD2_SBI_L_7_8_!AP32,EL_DEL_CD2_SBI_L_9_10_!AP32,EL_DEL_CD2_L_STAB_!AP32),"0:00")</f>
        <v>0:00</v>
      </c>
      <c r="AQ32" s="152" t="str">
        <f>+IFERROR(AVERAGE(EL_DEL_CD2_JO_!AQ32,EL_DEL_CD2_SBI_1_4_!AQ32,EL_DEL_CD2_SBI_5_6_!AQ32,EL_DEL_CD2_SBI_7_8_!AQ32,EL_DEL_CD2_SBI_9_10_!AQ32,EL_DEL_CD2_STAB_!AQ32,EL_DEL_CD2_JO_L_!AQ32,EL_DEL_CD2_SBI_L_1_4_!AQ32,EL_DEL_CD2_SBI_L_5_6_!AQ32,EL_DEL_CD2_SBI_L_7_8_!AQ32,EL_DEL_CD2_SBI_L_9_10_!AQ32,EL_DEL_CD2_L_STAB_!AQ32),"0:00")</f>
        <v>0:00</v>
      </c>
      <c r="AR32" s="152" t="str">
        <f>+IFERROR(AVERAGE(EL_DEL_CD2_JO_!AR32,EL_DEL_CD2_SBI_1_4_!AR32,EL_DEL_CD2_SBI_5_6_!AR32,EL_DEL_CD2_SBI_7_8_!AR32,EL_DEL_CD2_SBI_9_10_!AR32,EL_DEL_CD2_STAB_!AR32,EL_DEL_CD2_JO_L_!AR32,EL_DEL_CD2_SBI_L_1_4_!AR32,EL_DEL_CD2_SBI_L_5_6_!AR32,EL_DEL_CD2_SBI_L_7_8_!AR32,EL_DEL_CD2_SBI_L_9_10_!AR32,EL_DEL_CD2_L_STAB_!AR32),"0:00")</f>
        <v>0:00</v>
      </c>
      <c r="AS32" s="152" t="str">
        <f>+IFERROR(AVERAGE(EL_DEL_CD2_JO_!AS32,EL_DEL_CD2_SBI_1_4_!AS32,EL_DEL_CD2_SBI_5_6_!AS32,EL_DEL_CD2_SBI_7_8_!AS32,EL_DEL_CD2_SBI_9_10_!AS32,EL_DEL_CD2_STAB_!AS32,EL_DEL_CD2_JO_L_!AS32,EL_DEL_CD2_SBI_L_1_4_!AS32,EL_DEL_CD2_SBI_L_5_6_!AS32,EL_DEL_CD2_SBI_L_7_8_!AS32,EL_DEL_CD2_SBI_L_9_10_!AS32,EL_DEL_CD2_L_STAB_!AS32),"0:00")</f>
        <v>0:00</v>
      </c>
      <c r="AT32" s="98">
        <f>+SUM(EL_DEL_CD2_JO_!AT32,EL_DEL_CD2_SBI_1_4_!AT32,EL_DEL_CD2_SBI_5_6_!AT32,EL_DEL_CD2_SBI_7_8_!AT32,EL_DEL_CD2_SBI_9_10_!AT32,EL_DEL_CD2_STAB_!AT32,EL_DEL_CD2_JO_L_!AT32,EL_DEL_CD2_SBI_L_1_4_!AT32,EL_DEL_CD2_SBI_L_5_6_!AT32,EL_DEL_CD2_SBI_L_7_8_!AT32,EL_DEL_CD2_SBI_L_9_10_!AT32,EL_DEL_CD2_L_STAB_!AT32)</f>
        <v>0</v>
      </c>
      <c r="AU32" s="98">
        <f>+SUM(EL_DEL_CD2_JO_!AU32,EL_DEL_CD2_SBI_1_4_!AU32,EL_DEL_CD2_SBI_5_6_!AU32,EL_DEL_CD2_SBI_7_8_!AU32,EL_DEL_CD2_SBI_9_10_!AU32,EL_DEL_CD2_STAB_!AU32,EL_DEL_CD2_JO_L_!AU32,EL_DEL_CD2_SBI_L_1_4_!AU32,EL_DEL_CD2_SBI_L_5_6_!AU32,EL_DEL_CD2_SBI_L_7_8_!AU32,EL_DEL_CD2_SBI_L_9_10_!AU32,EL_DEL_CD2_L_STAB_!AU32)</f>
        <v>0</v>
      </c>
      <c r="AV32" s="98">
        <f>+SUM(EL_DEL_CD2_JO_!AV32,EL_DEL_CD2_SBI_1_4_!AV32,EL_DEL_CD2_SBI_5_6_!AV32,EL_DEL_CD2_SBI_7_8_!AV32,EL_DEL_CD2_SBI_9_10_!AV32,EL_DEL_CD2_STAB_!AV32,EL_DEL_CD2_JO_L_!AV32,EL_DEL_CD2_SBI_L_1_4_!AV32,EL_DEL_CD2_SBI_L_5_6_!AV32,EL_DEL_CD2_SBI_L_7_8_!AV32,EL_DEL_CD2_SBI_L_9_10_!AV32,EL_DEL_CD2_L_STAB_!AV32)</f>
        <v>0</v>
      </c>
      <c r="AW32" s="167">
        <f>+SUM(EL_DEL_CD2_JO_!AW32,EL_DEL_CD2_SBI_1_4_!AW32,EL_DEL_CD2_SBI_5_6_!AW32,EL_DEL_CD2_SBI_7_8_!AW32,EL_DEL_CD2_SBI_9_10_!AW32,EL_DEL_CD2_STAB_!AW32,EL_DEL_CD2_JO_L_!AW32,EL_DEL_CD2_SBI_L_1_4_!AW32,EL_DEL_CD2_SBI_L_5_6_!AW32,EL_DEL_CD2_SBI_L_7_8_!AW32,EL_DEL_CD2_SBI_L_9_10_!AW32,EL_DEL_CD2_L_STAB_!AW32)</f>
        <v>0</v>
      </c>
      <c r="AX32" s="102" t="str">
        <f t="shared" si="24"/>
        <v>-</v>
      </c>
      <c r="AY32" s="151"/>
      <c r="AZ32" s="116" t="str">
        <f t="shared" si="1"/>
        <v/>
      </c>
      <c r="BA32" s="117" t="str">
        <f t="shared" si="2"/>
        <v/>
      </c>
      <c r="BB32" s="116" t="str">
        <f t="shared" si="3"/>
        <v/>
      </c>
      <c r="BC32" s="151"/>
      <c r="BD32" s="118" t="str">
        <f t="shared" si="4"/>
        <v/>
      </c>
      <c r="BE32" s="119" t="str">
        <f t="shared" si="5"/>
        <v/>
      </c>
      <c r="BF32" s="119" t="str">
        <f t="shared" si="6"/>
        <v/>
      </c>
      <c r="BG32" s="119" t="str">
        <f>+IF(SUM(AO32:AR32)&gt;0,AO32/AN32,"")</f>
        <v/>
      </c>
      <c r="BH32" s="119" t="str">
        <f t="shared" si="8"/>
        <v/>
      </c>
      <c r="BI32" s="120" t="str">
        <f>+IF(SUM(AO32:AR32)&gt;0,AQ32/AN32,"")</f>
        <v/>
      </c>
      <c r="BJ32" s="151"/>
      <c r="BK32" s="121" t="str">
        <f t="shared" si="9"/>
        <v/>
      </c>
      <c r="BL32" s="122" t="str">
        <f t="shared" si="10"/>
        <v/>
      </c>
      <c r="BM32" s="122" t="str">
        <f t="shared" si="11"/>
        <v/>
      </c>
      <c r="BN32" s="123" t="str">
        <f t="shared" si="12"/>
        <v/>
      </c>
      <c r="BO32" s="151"/>
      <c r="BP32" s="124" t="str">
        <f t="shared" si="13"/>
        <v/>
      </c>
      <c r="BQ32" s="125">
        <v>0</v>
      </c>
      <c r="BR32" s="125" t="str">
        <f>IF(AJ32&gt;0,(AK32/AJ32),"")</f>
        <v/>
      </c>
      <c r="BS32" s="125" t="str">
        <f>IF(AJ32&gt;0,(AK32/AJ32),"")</f>
        <v/>
      </c>
      <c r="BT32" s="126" t="str">
        <f t="shared" si="14"/>
        <v/>
      </c>
      <c r="BU32" s="151"/>
      <c r="BV32" s="127" t="e">
        <f t="shared" si="15"/>
        <v>#DIV/0!</v>
      </c>
      <c r="BW32" s="127" t="e">
        <f t="shared" si="16"/>
        <v>#DIV/0!</v>
      </c>
      <c r="BX32" s="127" t="e">
        <f t="shared" si="17"/>
        <v>#DIV/0!</v>
      </c>
      <c r="BY32" s="127" t="e">
        <f t="shared" si="18"/>
        <v>#DIV/0!</v>
      </c>
      <c r="BZ32" s="127" t="e">
        <f>IF(AN32&gt;0,(AJ32/AN32),"")</f>
        <v>#DIV/0!</v>
      </c>
      <c r="CA32" s="128" t="e">
        <f>IF(AN32&gt;0,(AK32/AN32),"")</f>
        <v>#DIV/0!</v>
      </c>
      <c r="CB32" s="151"/>
      <c r="CC32" s="129" t="str">
        <f t="shared" si="19"/>
        <v>-</v>
      </c>
      <c r="CD32" s="130" t="str">
        <f t="shared" si="20"/>
        <v>-</v>
      </c>
      <c r="CE32" s="130" t="str">
        <f t="shared" si="21"/>
        <v>-</v>
      </c>
      <c r="CF32" s="130" t="str">
        <f t="shared" si="22"/>
        <v>-</v>
      </c>
      <c r="CG32" s="131" t="str">
        <f t="shared" si="23"/>
        <v>-</v>
      </c>
      <c r="CH32" s="151"/>
    </row>
    <row r="33" spans="1:86" s="115" customFormat="1" ht="12.4" customHeight="1" thickBot="1" x14ac:dyDescent="0.25">
      <c r="A33" s="96">
        <f t="shared" si="30"/>
        <v>46325</v>
      </c>
      <c r="B33" s="97" t="str">
        <f>+TEXT(A33,"DDD")</f>
        <v>Fri</v>
      </c>
      <c r="C33" s="98">
        <f>+SUM(EL_DEL_CD2_JO_!C33,EL_DEL_CD2_SBI_1_4_!C33,EL_DEL_CD2_SBI_5_6_!C33,EL_DEL_CD2_SBI_7_8_!C33,EL_DEL_CD2_SBI_9_10_!C33,EL_DEL_CD2_STAB_!C33,EL_DEL_CD2_JO_L_!C33,EL_DEL_CD2_SBI_L_1_4_!C33,EL_DEL_CD2_SBI_L_5_6_!C33,EL_DEL_CD2_SBI_L_7_8_!C33,EL_DEL_CD2_SBI_L_9_10_!C33,EL_DEL_CD2_L_STAB_!C33)</f>
        <v>0</v>
      </c>
      <c r="D33" s="98">
        <f>+SUM(EL_DEL_CD2_JO_!D33,EL_DEL_CD2_SBI_1_4_!D33,EL_DEL_CD2_SBI_5_6_!D33,EL_DEL_CD2_SBI_7_8_!D33,EL_DEL_CD2_SBI_9_10_!D33,EL_DEL_CD2_STAB_!D33,EL_DEL_CD2_JO_L_!D33,EL_DEL_CD2_SBI_L_1_4_!D33,EL_DEL_CD2_SBI_L_5_6_!D33,EL_DEL_CD2_SBI_L_7_8_!D33,EL_DEL_CD2_SBI_L_9_10_!D33,EL_DEL_CD2_L_STAB_!D33)</f>
        <v>0</v>
      </c>
      <c r="E33" s="98">
        <f>+SUM(EL_DEL_CD2_JO_!E33,EL_DEL_CD2_SBI_1_4_!E33,EL_DEL_CD2_SBI_5_6_!E33,EL_DEL_CD2_SBI_7_8_!E33,EL_DEL_CD2_SBI_9_10_!E33,EL_DEL_CD2_STAB_!E33,EL_DEL_CD2_JO_L_!E33,EL_DEL_CD2_SBI_L_1_4_!E33,EL_DEL_CD2_SBI_L_5_6_!E33,EL_DEL_CD2_SBI_L_7_8_!E33,EL_DEL_CD2_SBI_L_9_10_!E33,EL_DEL_CD2_L_STAB_!E33)</f>
        <v>0</v>
      </c>
      <c r="F33" s="98">
        <f>+SUM(EL_DEL_CD2_JO_!F33,EL_DEL_CD2_SBI_1_4_!F33,EL_DEL_CD2_SBI_5_6_!F33,EL_DEL_CD2_SBI_7_8_!F33,EL_DEL_CD2_SBI_9_10_!F33,EL_DEL_CD2_STAB_!F33,EL_DEL_CD2_JO_L_!F33,EL_DEL_CD2_SBI_L_1_4_!F33,EL_DEL_CD2_SBI_L_5_6_!F33,EL_DEL_CD2_SBI_L_7_8_!F33,EL_DEL_CD2_SBI_L_9_10_!F33,EL_DEL_CD2_L_STAB_!F33)</f>
        <v>0</v>
      </c>
      <c r="G33" s="98">
        <f>+SUM(EL_DEL_CD2_JO_!G33,EL_DEL_CD2_SBI_1_4_!G33,EL_DEL_CD2_SBI_5_6_!G33,EL_DEL_CD2_SBI_7_8_!G33,EL_DEL_CD2_SBI_9_10_!G33,EL_DEL_CD2_STAB_!G33,EL_DEL_CD2_JO_L_!G33,EL_DEL_CD2_SBI_L_1_4_!G33,EL_DEL_CD2_SBI_L_5_6_!G33,EL_DEL_CD2_SBI_L_7_8_!G33,EL_DEL_CD2_SBI_L_9_10_!G33,EL_DEL_CD2_L_STAB_!G33)</f>
        <v>0</v>
      </c>
      <c r="H33" s="98">
        <f>+SUM(EL_DEL_CD2_JO_!H33,EL_DEL_CD2_SBI_1_4_!H33,EL_DEL_CD2_SBI_5_6_!H33,EL_DEL_CD2_SBI_7_8_!H33,EL_DEL_CD2_SBI_9_10_!H33,EL_DEL_CD2_STAB_!H33,EL_DEL_CD2_JO_L_!H33,EL_DEL_CD2_SBI_L_1_4_!H33,EL_DEL_CD2_SBI_L_5_6_!H33,EL_DEL_CD2_SBI_L_7_8_!H33,EL_DEL_CD2_SBI_L_9_10_!H33,EL_DEL_CD2_L_STAB_!H33)</f>
        <v>0</v>
      </c>
      <c r="I33" s="98">
        <f>+SUM(EL_DEL_CD2_JO_!I33,EL_DEL_CD2_SBI_1_4_!I33,EL_DEL_CD2_SBI_5_6_!I33,EL_DEL_CD2_SBI_7_8_!I33,EL_DEL_CD2_SBI_9_10_!I33,EL_DEL_CD2_STAB_!I33,EL_DEL_CD2_JO_L_!I33,EL_DEL_CD2_SBI_L_1_4_!I33,EL_DEL_CD2_SBI_L_5_6_!I33,EL_DEL_CD2_SBI_L_7_8_!I33,EL_DEL_CD2_SBI_L_9_10_!I33,EL_DEL_CD2_L_STAB_!I33)</f>
        <v>0</v>
      </c>
      <c r="J33" s="98">
        <f>+SUM(EL_DEL_CD2_JO_!J33,EL_DEL_CD2_SBI_1_4_!J33,EL_DEL_CD2_SBI_5_6_!J33,EL_DEL_CD2_SBI_7_8_!J33,EL_DEL_CD2_SBI_9_10_!J33,EL_DEL_CD2_STAB_!J33,EL_DEL_CD2_JO_L_!J33,EL_DEL_CD2_SBI_L_1_4_!J33,EL_DEL_CD2_SBI_L_5_6_!J33,EL_DEL_CD2_SBI_L_7_8_!J33,EL_DEL_CD2_SBI_L_9_10_!J33,EL_DEL_CD2_L_STAB_!J33)</f>
        <v>0</v>
      </c>
      <c r="K33" s="98">
        <f>+SUM(EL_DEL_CD2_JO_!K33,EL_DEL_CD2_SBI_1_4_!K33,EL_DEL_CD2_SBI_5_6_!K33,EL_DEL_CD2_SBI_7_8_!K33,EL_DEL_CD2_SBI_9_10_!K33,EL_DEL_CD2_STAB_!K33,EL_DEL_CD2_JO_L_!K33,EL_DEL_CD2_SBI_L_1_4_!K33,EL_DEL_CD2_SBI_L_5_6_!K33,EL_DEL_CD2_SBI_L_7_8_!K33,EL_DEL_CD2_SBI_L_9_10_!K33,EL_DEL_CD2_L_STAB_!K33)</f>
        <v>0</v>
      </c>
      <c r="L33" s="98">
        <f>+SUM(EL_DEL_CD2_JO_!L33,EL_DEL_CD2_SBI_1_4_!L33,EL_DEL_CD2_SBI_5_6_!L33,EL_DEL_CD2_SBI_7_8_!L33,EL_DEL_CD2_SBI_9_10_!L33,EL_DEL_CD2_STAB_!L33,EL_DEL_CD2_JO_L_!L33,EL_DEL_CD2_SBI_L_1_4_!L33,EL_DEL_CD2_SBI_L_5_6_!L33,EL_DEL_CD2_SBI_L_7_8_!L33,EL_DEL_CD2_SBI_L_9_10_!L33,EL_DEL_CD2_L_STAB_!L33)</f>
        <v>0</v>
      </c>
      <c r="M33" s="98">
        <f>+SUM(EL_DEL_CD2_JO_!M33,EL_DEL_CD2_SBI_1_4_!M33,EL_DEL_CD2_SBI_5_6_!M33,EL_DEL_CD2_SBI_7_8_!M33,EL_DEL_CD2_SBI_9_10_!M33,EL_DEL_CD2_STAB_!M33,EL_DEL_CD2_JO_L_!M33,EL_DEL_CD2_SBI_L_1_4_!M33,EL_DEL_CD2_SBI_L_5_6_!M33,EL_DEL_CD2_SBI_L_7_8_!M33,EL_DEL_CD2_SBI_L_9_10_!M33,EL_DEL_CD2_L_STAB_!M33)</f>
        <v>0</v>
      </c>
      <c r="N33" s="98">
        <f>+SUM(EL_DEL_CD2_JO_!N33,EL_DEL_CD2_SBI_1_4_!N33,EL_DEL_CD2_SBI_5_6_!N33,EL_DEL_CD2_SBI_7_8_!N33,EL_DEL_CD2_SBI_9_10_!N33,EL_DEL_CD2_STAB_!N33,EL_DEL_CD2_JO_L_!N33,EL_DEL_CD2_SBI_L_1_4_!N33,EL_DEL_CD2_SBI_L_5_6_!N33,EL_DEL_CD2_SBI_L_7_8_!N33,EL_DEL_CD2_SBI_L_9_10_!N33,EL_DEL_CD2_L_STAB_!N33)</f>
        <v>0</v>
      </c>
      <c r="O33" s="98">
        <f>+SUM(EL_DEL_CD2_JO_!O33,EL_DEL_CD2_SBI_1_4_!O33,EL_DEL_CD2_SBI_5_6_!O33,EL_DEL_CD2_SBI_7_8_!O33,EL_DEL_CD2_SBI_9_10_!O33,EL_DEL_CD2_STAB_!O33,EL_DEL_CD2_JO_L_!O33,EL_DEL_CD2_SBI_L_1_4_!O33,EL_DEL_CD2_SBI_L_5_6_!O33,EL_DEL_CD2_SBI_L_7_8_!O33,EL_DEL_CD2_SBI_L_9_10_!O33,EL_DEL_CD2_L_STAB_!O33)</f>
        <v>0</v>
      </c>
      <c r="P33" s="98">
        <f>+SUM(EL_DEL_CD2_JO_!P33,EL_DEL_CD2_SBI_1_4_!P33,EL_DEL_CD2_SBI_5_6_!P33,EL_DEL_CD2_SBI_7_8_!P33,EL_DEL_CD2_SBI_9_10_!P33,EL_DEL_CD2_STAB_!P33,EL_DEL_CD2_JO_L_!P33,EL_DEL_CD2_SBI_L_1_4_!P33,EL_DEL_CD2_SBI_L_5_6_!P33,EL_DEL_CD2_SBI_L_7_8_!P33,EL_DEL_CD2_SBI_L_9_10_!P33,EL_DEL_CD2_L_STAB_!P33)</f>
        <v>0</v>
      </c>
      <c r="Q33" s="98">
        <f>+SUM(EL_DEL_CD2_JO_!Q33,EL_DEL_CD2_SBI_1_4_!Q33,EL_DEL_CD2_SBI_5_6_!Q33,EL_DEL_CD2_SBI_7_8_!Q33,EL_DEL_CD2_SBI_9_10_!Q33,EL_DEL_CD2_STAB_!Q33,EL_DEL_CD2_JO_L_!Q33,EL_DEL_CD2_SBI_L_1_4_!Q33,EL_DEL_CD2_SBI_L_5_6_!Q33,EL_DEL_CD2_SBI_L_7_8_!Q33,EL_DEL_CD2_SBI_L_9_10_!Q33,EL_DEL_CD2_L_STAB_!Q33)</f>
        <v>0</v>
      </c>
      <c r="R33" s="98">
        <f>+SUM(EL_DEL_CD2_JO_!R33,EL_DEL_CD2_SBI_1_4_!R33,EL_DEL_CD2_SBI_5_6_!R33,EL_DEL_CD2_SBI_7_8_!R33,EL_DEL_CD2_SBI_9_10_!R33,EL_DEL_CD2_STAB_!R33,EL_DEL_CD2_JO_L_!R33,EL_DEL_CD2_SBI_L_1_4_!R33,EL_DEL_CD2_SBI_L_5_6_!R33,EL_DEL_CD2_SBI_L_7_8_!R33,EL_DEL_CD2_SBI_L_9_10_!R33,EL_DEL_CD2_L_STAB_!R33)</f>
        <v>0</v>
      </c>
      <c r="S33" s="98">
        <f>+SUM(EL_DEL_CD2_JO_!S33,EL_DEL_CD2_SBI_1_4_!S33,EL_DEL_CD2_SBI_5_6_!S33,EL_DEL_CD2_SBI_7_8_!S33,EL_DEL_CD2_SBI_9_10_!S33,EL_DEL_CD2_STAB_!S33,EL_DEL_CD2_JO_L_!S33,EL_DEL_CD2_SBI_L_1_4_!S33,EL_DEL_CD2_SBI_L_5_6_!S33,EL_DEL_CD2_SBI_L_7_8_!S33,EL_DEL_CD2_SBI_L_9_10_!S33,EL_DEL_CD2_L_STAB_!S33)</f>
        <v>0</v>
      </c>
      <c r="T33" s="98">
        <f>+SUM(EL_DEL_CD2_JO_!T33,EL_DEL_CD2_SBI_1_4_!T33,EL_DEL_CD2_SBI_5_6_!T33,EL_DEL_CD2_SBI_7_8_!T33,EL_DEL_CD2_SBI_9_10_!T33,EL_DEL_CD2_STAB_!T33,EL_DEL_CD2_JO_L_!T33,EL_DEL_CD2_SBI_L_1_4_!T33,EL_DEL_CD2_SBI_L_5_6_!T33,EL_DEL_CD2_SBI_L_7_8_!T33,EL_DEL_CD2_SBI_L_9_10_!T33,EL_DEL_CD2_L_STAB_!T33)</f>
        <v>0</v>
      </c>
      <c r="U33" s="98">
        <f>+SUM(EL_DEL_CD2_JO_!U33,EL_DEL_CD2_SBI_1_4_!U33,EL_DEL_CD2_SBI_5_6_!U33,EL_DEL_CD2_SBI_7_8_!U33,EL_DEL_CD2_SBI_9_10_!U33,EL_DEL_CD2_STAB_!U33,EL_DEL_CD2_JO_L_!U33,EL_DEL_CD2_SBI_L_1_4_!U33,EL_DEL_CD2_SBI_L_5_6_!U33,EL_DEL_CD2_SBI_L_7_8_!U33,EL_DEL_CD2_SBI_L_9_10_!U33,EL_DEL_CD2_L_STAB_!U33)</f>
        <v>0</v>
      </c>
      <c r="V33" s="98">
        <f>+SUM(EL_DEL_CD2_JO_!V33,EL_DEL_CD2_SBI_1_4_!V33,EL_DEL_CD2_SBI_5_6_!V33,EL_DEL_CD2_SBI_7_8_!V33,EL_DEL_CD2_SBI_9_10_!V33,EL_DEL_CD2_STAB_!V33,EL_DEL_CD2_JO_L_!V33,EL_DEL_CD2_SBI_L_1_4_!V33,EL_DEL_CD2_SBI_L_5_6_!V33,EL_DEL_CD2_SBI_L_7_8_!V33,EL_DEL_CD2_SBI_L_9_10_!V33,EL_DEL_CD2_L_STAB_!V33)</f>
        <v>0</v>
      </c>
      <c r="W33" s="98">
        <f>+SUM(EL_DEL_CD2_JO_!W33,EL_DEL_CD2_SBI_1_4_!W33,EL_DEL_CD2_SBI_5_6_!W33,EL_DEL_CD2_SBI_7_8_!W33,EL_DEL_CD2_SBI_9_10_!W33,EL_DEL_CD2_STAB_!W33,EL_DEL_CD2_JO_L_!W33,EL_DEL_CD2_SBI_L_1_4_!W33,EL_DEL_CD2_SBI_L_5_6_!W33,EL_DEL_CD2_SBI_L_7_8_!W33,EL_DEL_CD2_SBI_L_9_10_!W33,EL_DEL_CD2_L_STAB_!W33)</f>
        <v>0</v>
      </c>
      <c r="X33" s="98">
        <f>+SUM(EL_DEL_CD2_JO_!X33,EL_DEL_CD2_SBI_1_4_!X33,EL_DEL_CD2_SBI_5_6_!X33,EL_DEL_CD2_SBI_7_8_!X33,EL_DEL_CD2_SBI_9_10_!X33,EL_DEL_CD2_STAB_!X33,EL_DEL_CD2_JO_L_!X33,EL_DEL_CD2_SBI_L_1_4_!X33,EL_DEL_CD2_SBI_L_5_6_!X33,EL_DEL_CD2_SBI_L_7_8_!X33,EL_DEL_CD2_SBI_L_9_10_!X33,EL_DEL_CD2_L_STAB_!X33)</f>
        <v>0</v>
      </c>
      <c r="Y33" s="98">
        <f>+SUM(EL_DEL_CD2_JO_!Y33,EL_DEL_CD2_SBI_1_4_!Y33,EL_DEL_CD2_SBI_5_6_!Y33,EL_DEL_CD2_SBI_7_8_!Y33,EL_DEL_CD2_SBI_9_10_!Y33,EL_DEL_CD2_STAB_!Y33,EL_DEL_CD2_JO_L_!Y33,EL_DEL_CD2_SBI_L_1_4_!Y33,EL_DEL_CD2_SBI_L_5_6_!Y33,EL_DEL_CD2_SBI_L_7_8_!Y33,EL_DEL_CD2_SBI_L_9_10_!Y33,EL_DEL_CD2_L_STAB_!Y33)</f>
        <v>0</v>
      </c>
      <c r="Z33" s="98">
        <f>+SUM(EL_DEL_CD2_JO_!Z33,EL_DEL_CD2_SBI_1_4_!Z33,EL_DEL_CD2_SBI_5_6_!Z33,EL_DEL_CD2_SBI_7_8_!Z33,EL_DEL_CD2_SBI_9_10_!Z33,EL_DEL_CD2_STAB_!Z33,EL_DEL_CD2_JO_L_!Z33,EL_DEL_CD2_SBI_L_1_4_!Z33,EL_DEL_CD2_SBI_L_5_6_!Z33,EL_DEL_CD2_SBI_L_7_8_!Z33,EL_DEL_CD2_SBI_L_9_10_!Z33,EL_DEL_CD2_L_STAB_!Z33)</f>
        <v>0</v>
      </c>
      <c r="AA33" s="98">
        <f>+SUM(EL_DEL_CD2_JO_!AA33,EL_DEL_CD2_SBI_1_4_!AA33,EL_DEL_CD2_SBI_5_6_!AA33,EL_DEL_CD2_SBI_7_8_!AA33,EL_DEL_CD2_SBI_9_10_!AA33,EL_DEL_CD2_STAB_!AA33,EL_DEL_CD2_JO_L_!AA33,EL_DEL_CD2_SBI_L_1_4_!AA33,EL_DEL_CD2_SBI_L_5_6_!AA33,EL_DEL_CD2_SBI_L_7_8_!AA33,EL_DEL_CD2_SBI_L_9_10_!AA33,EL_DEL_CD2_L_STAB_!AA33)</f>
        <v>0</v>
      </c>
      <c r="AB33" s="98">
        <f>+SUM(EL_DEL_CD2_JO_!AB33,EL_DEL_CD2_SBI_1_4_!AB33,EL_DEL_CD2_SBI_5_6_!AB33,EL_DEL_CD2_SBI_7_8_!AB33,EL_DEL_CD2_SBI_9_10_!AB33,EL_DEL_CD2_STAB_!AB33,EL_DEL_CD2_JO_L_!AB33,EL_DEL_CD2_SBI_L_1_4_!AB33,EL_DEL_CD2_SBI_L_5_6_!AB33,EL_DEL_CD2_SBI_L_7_8_!AB33,EL_DEL_CD2_SBI_L_9_10_!AB33,EL_DEL_CD2_L_STAB_!AB33)</f>
        <v>0</v>
      </c>
      <c r="AC33" s="98">
        <f>+SUM(EL_DEL_CD2_JO_!AC33,EL_DEL_CD2_SBI_1_4_!AC33,EL_DEL_CD2_SBI_5_6_!AC33,EL_DEL_CD2_SBI_7_8_!AC33,EL_DEL_CD2_SBI_9_10_!AC33,EL_DEL_CD2_STAB_!AC33,EL_DEL_CD2_JO_L_!AC33,EL_DEL_CD2_SBI_L_1_4_!AC33,EL_DEL_CD2_SBI_L_5_6_!AC33,EL_DEL_CD2_SBI_L_7_8_!AC33,EL_DEL_CD2_SBI_L_9_10_!AC33,EL_DEL_CD2_L_STAB_!AC33)</f>
        <v>0</v>
      </c>
      <c r="AD33" s="98">
        <f>+SUM(EL_DEL_CD2_JO_!AD33,EL_DEL_CD2_SBI_1_4_!AD33,EL_DEL_CD2_SBI_5_6_!AD33,EL_DEL_CD2_SBI_7_8_!AD33,EL_DEL_CD2_SBI_9_10_!AD33,EL_DEL_CD2_STAB_!AD33,EL_DEL_CD2_JO_L_!AD33,EL_DEL_CD2_SBI_L_1_4_!AD33,EL_DEL_CD2_SBI_L_5_6_!AD33,EL_DEL_CD2_SBI_L_7_8_!AD33,EL_DEL_CD2_SBI_L_9_10_!AD33,EL_DEL_CD2_L_STAB_!AD33)</f>
        <v>0</v>
      </c>
      <c r="AE33" s="98">
        <f>+SUM(EL_DEL_CD2_JO_!AE33,EL_DEL_CD2_SBI_1_4_!AE33,EL_DEL_CD2_SBI_5_6_!AE33,EL_DEL_CD2_SBI_7_8_!AE33,EL_DEL_CD2_SBI_9_10_!AE33,EL_DEL_CD2_STAB_!AE33,EL_DEL_CD2_JO_L_!AE33,EL_DEL_CD2_SBI_L_1_4_!AE33,EL_DEL_CD2_SBI_L_5_6_!AE33,EL_DEL_CD2_SBI_L_7_8_!AE33,EL_DEL_CD2_SBI_L_9_10_!AE33,EL_DEL_CD2_L_STAB_!AE33)</f>
        <v>0</v>
      </c>
      <c r="AF33" s="98">
        <f>+SUM(EL_DEL_CD2_JO_!AF33,EL_DEL_CD2_SBI_1_4_!AF33,EL_DEL_CD2_SBI_5_6_!AF33,EL_DEL_CD2_SBI_7_8_!AF33,EL_DEL_CD2_SBI_9_10_!AF33,EL_DEL_CD2_STAB_!AF33,EL_DEL_CD2_JO_L_!AF33,EL_DEL_CD2_SBI_L_1_4_!AF33,EL_DEL_CD2_SBI_L_5_6_!AF33,EL_DEL_CD2_SBI_L_7_8_!AF33,EL_DEL_CD2_SBI_L_9_10_!AF33,EL_DEL_CD2_L_STAB_!AF33)</f>
        <v>0</v>
      </c>
      <c r="AG33" s="98">
        <f>+SUM(EL_DEL_CD2_JO_!AG33,EL_DEL_CD2_SBI_1_4_!AG33,EL_DEL_CD2_SBI_5_6_!AG33,EL_DEL_CD2_SBI_7_8_!AG33,EL_DEL_CD2_SBI_9_10_!AG33,EL_DEL_CD2_STAB_!AG33,EL_DEL_CD2_JO_L_!AG33,EL_DEL_CD2_SBI_L_1_4_!AG33,EL_DEL_CD2_SBI_L_5_6_!AG33,EL_DEL_CD2_SBI_L_7_8_!AG33,EL_DEL_CD2_SBI_L_9_10_!AG33,EL_DEL_CD2_L_STAB_!AG33)</f>
        <v>0</v>
      </c>
      <c r="AH33" s="98">
        <f>+SUM(EL_DEL_CD2_JO_!AH33,EL_DEL_CD2_SBI_1_4_!AH33,EL_DEL_CD2_SBI_5_6_!AH33,EL_DEL_CD2_SBI_7_8_!AH33,EL_DEL_CD2_SBI_9_10_!AH33,EL_DEL_CD2_STAB_!AH33,EL_DEL_CD2_JO_L_!AH33,EL_DEL_CD2_SBI_L_1_4_!AH33,EL_DEL_CD2_SBI_L_5_6_!AH33,EL_DEL_CD2_SBI_L_7_8_!AH33,EL_DEL_CD2_SBI_L_9_10_!AH33,EL_DEL_CD2_L_STAB_!AH33)</f>
        <v>0</v>
      </c>
      <c r="AI33" s="98">
        <f>+SUM(EL_DEL_CD2_JO_!AI33,EL_DEL_CD2_SBI_1_4_!AI33,EL_DEL_CD2_SBI_5_6_!AI33,EL_DEL_CD2_SBI_7_8_!AI33,EL_DEL_CD2_SBI_9_10_!AI33,EL_DEL_CD2_STAB_!AI33,EL_DEL_CD2_JO_L_!AI33,EL_DEL_CD2_SBI_L_1_4_!AI33,EL_DEL_CD2_SBI_L_5_6_!AI33,EL_DEL_CD2_SBI_L_7_8_!AI33,EL_DEL_CD2_SBI_L_9_10_!AI33,EL_DEL_CD2_L_STAB_!AI33)</f>
        <v>0</v>
      </c>
      <c r="AJ33" s="98">
        <f>+SUM(EL_DEL_CD2_JO_!AJ33,EL_DEL_CD2_SBI_1_4_!AJ33,EL_DEL_CD2_SBI_5_6_!AJ33,EL_DEL_CD2_SBI_7_8_!AJ33,EL_DEL_CD2_SBI_9_10_!AJ33,EL_DEL_CD2_STAB_!AJ33,EL_DEL_CD2_JO_L_!AJ33,EL_DEL_CD2_SBI_L_1_4_!AJ33,EL_DEL_CD2_SBI_L_5_6_!AJ33,EL_DEL_CD2_SBI_L_7_8_!AJ33,EL_DEL_CD2_SBI_L_9_10_!AJ33,EL_DEL_CD2_L_STAB_!AJ33)</f>
        <v>0</v>
      </c>
      <c r="AK33" s="98">
        <f>+SUM(EL_DEL_CD2_JO_!AK33,EL_DEL_CD2_SBI_1_4_!AK33,EL_DEL_CD2_SBI_5_6_!AK33,EL_DEL_CD2_SBI_7_8_!AK33,EL_DEL_CD2_SBI_9_10_!AK33,EL_DEL_CD2_STAB_!AK33,EL_DEL_CD2_JO_L_!AK33,EL_DEL_CD2_SBI_L_1_4_!AK33,EL_DEL_CD2_SBI_L_5_6_!AK33,EL_DEL_CD2_SBI_L_7_8_!AK33,EL_DEL_CD2_SBI_L_9_10_!AK33,EL_DEL_CD2_L_STAB_!AK33)</f>
        <v>0</v>
      </c>
      <c r="AL33" s="152" t="str">
        <f>+IFERROR(AVERAGE(EL_DEL_CD2_JO_!AL33,EL_DEL_CD2_SBI_1_4_!AL33,EL_DEL_CD2_SBI_5_6_!AL33,EL_DEL_CD2_SBI_7_8_!AL33,EL_DEL_CD2_SBI_9_10_!AL33,EL_DEL_CD2_STAB_!AL33,EL_DEL_CD2_JO_L_!AL33,EL_DEL_CD2_SBI_L_1_4_!AL33,EL_DEL_CD2_SBI_L_5_6_!AL33,EL_DEL_CD2_SBI_L_7_8_!AL33,EL_DEL_CD2_SBI_L_9_10_!AL33,EL_DEL_CD2_L_STAB_!AL33),"0:00")</f>
        <v>0:00</v>
      </c>
      <c r="AM33" s="152" t="str">
        <f>+IFERROR(AVERAGE(EL_DEL_CD2_JO_!AM33,EL_DEL_CD2_SBI_1_4_!AM33,EL_DEL_CD2_SBI_5_6_!AM33,EL_DEL_CD2_SBI_7_8_!AM33,EL_DEL_CD2_SBI_9_10_!AM33,EL_DEL_CD2_STAB_!AM33,EL_DEL_CD2_JO_L_!AM33,EL_DEL_CD2_SBI_L_1_4_!AM33,EL_DEL_CD2_SBI_L_5_6_!AM33,EL_DEL_CD2_SBI_L_7_8_!AM33,EL_DEL_CD2_SBI_L_9_10_!AM33,EL_DEL_CD2_L_STAB_!AM33),"0:00")</f>
        <v>0:00</v>
      </c>
      <c r="AN33" s="152" t="str">
        <f>+IFERROR(AVERAGE(EL_DEL_CD2_JO_!AN33,EL_DEL_CD2_SBI_1_4_!AN33,EL_DEL_CD2_SBI_5_6_!AN33,EL_DEL_CD2_SBI_7_8_!AN33,EL_DEL_CD2_SBI_9_10_!AN33,EL_DEL_CD2_STAB_!AN33,EL_DEL_CD2_JO_L_!AN33,EL_DEL_CD2_SBI_L_1_4_!AN33,EL_DEL_CD2_SBI_L_5_6_!AN33,EL_DEL_CD2_SBI_L_7_8_!AN33,EL_DEL_CD2_SBI_L_9_10_!AN33,EL_DEL_CD2_L_STAB_!AN33),"0:00")</f>
        <v>0:00</v>
      </c>
      <c r="AO33" s="152" t="str">
        <f>+IFERROR(AVERAGE(EL_DEL_CD2_JO_!AO33,EL_DEL_CD2_SBI_1_4_!AO33,EL_DEL_CD2_SBI_5_6_!AO33,EL_DEL_CD2_SBI_7_8_!AO33,EL_DEL_CD2_SBI_9_10_!AO33,EL_DEL_CD2_STAB_!AO33,EL_DEL_CD2_JO_L_!AO33,EL_DEL_CD2_SBI_L_1_4_!AO33,EL_DEL_CD2_SBI_L_5_6_!AO33,EL_DEL_CD2_SBI_L_7_8_!AO33,EL_DEL_CD2_SBI_L_9_10_!AO33,EL_DEL_CD2_L_STAB_!AO33),"0:00")</f>
        <v>0:00</v>
      </c>
      <c r="AP33" s="98" t="str">
        <f>+IFERROR(AVERAGE(EL_DEL_CD2_JO_!AP33,EL_DEL_CD2_SBI_1_4_!AP33,EL_DEL_CD2_SBI_5_6_!AP33,EL_DEL_CD2_SBI_7_8_!AP33,EL_DEL_CD2_SBI_9_10_!AP33,EL_DEL_CD2_STAB_!AP33,EL_DEL_CD2_JO_L_!AP33,EL_DEL_CD2_SBI_L_1_4_!AP33,EL_DEL_CD2_SBI_L_5_6_!AP33,EL_DEL_CD2_SBI_L_7_8_!AP33,EL_DEL_CD2_SBI_L_9_10_!AP33,EL_DEL_CD2_L_STAB_!AP33),"0:00")</f>
        <v>0:00</v>
      </c>
      <c r="AQ33" s="152" t="str">
        <f>+IFERROR(AVERAGE(EL_DEL_CD2_JO_!AQ33,EL_DEL_CD2_SBI_1_4_!AQ33,EL_DEL_CD2_SBI_5_6_!AQ33,EL_DEL_CD2_SBI_7_8_!AQ33,EL_DEL_CD2_SBI_9_10_!AQ33,EL_DEL_CD2_STAB_!AQ33,EL_DEL_CD2_JO_L_!AQ33,EL_DEL_CD2_SBI_L_1_4_!AQ33,EL_DEL_CD2_SBI_L_5_6_!AQ33,EL_DEL_CD2_SBI_L_7_8_!AQ33,EL_DEL_CD2_SBI_L_9_10_!AQ33,EL_DEL_CD2_L_STAB_!AQ33),"0:00")</f>
        <v>0:00</v>
      </c>
      <c r="AR33" s="152" t="str">
        <f>+IFERROR(AVERAGE(EL_DEL_CD2_JO_!AR33,EL_DEL_CD2_SBI_1_4_!AR33,EL_DEL_CD2_SBI_5_6_!AR33,EL_DEL_CD2_SBI_7_8_!AR33,EL_DEL_CD2_SBI_9_10_!AR33,EL_DEL_CD2_STAB_!AR33,EL_DEL_CD2_JO_L_!AR33,EL_DEL_CD2_SBI_L_1_4_!AR33,EL_DEL_CD2_SBI_L_5_6_!AR33,EL_DEL_CD2_SBI_L_7_8_!AR33,EL_DEL_CD2_SBI_L_9_10_!AR33,EL_DEL_CD2_L_STAB_!AR33),"0:00")</f>
        <v>0:00</v>
      </c>
      <c r="AS33" s="152" t="str">
        <f>+IFERROR(AVERAGE(EL_DEL_CD2_JO_!AS33,EL_DEL_CD2_SBI_1_4_!AS33,EL_DEL_CD2_SBI_5_6_!AS33,EL_DEL_CD2_SBI_7_8_!AS33,EL_DEL_CD2_SBI_9_10_!AS33,EL_DEL_CD2_STAB_!AS33,EL_DEL_CD2_JO_L_!AS33,EL_DEL_CD2_SBI_L_1_4_!AS33,EL_DEL_CD2_SBI_L_5_6_!AS33,EL_DEL_CD2_SBI_L_7_8_!AS33,EL_DEL_CD2_SBI_L_9_10_!AS33,EL_DEL_CD2_L_STAB_!AS33),"0:00")</f>
        <v>0:00</v>
      </c>
      <c r="AT33" s="98">
        <f>+SUM(EL_DEL_CD2_JO_!AT33,EL_DEL_CD2_SBI_1_4_!AT33,EL_DEL_CD2_SBI_5_6_!AT33,EL_DEL_CD2_SBI_7_8_!AT33,EL_DEL_CD2_SBI_9_10_!AT33,EL_DEL_CD2_STAB_!AT33,EL_DEL_CD2_JO_L_!AT33,EL_DEL_CD2_SBI_L_1_4_!AT33,EL_DEL_CD2_SBI_L_5_6_!AT33,EL_DEL_CD2_SBI_L_7_8_!AT33,EL_DEL_CD2_SBI_L_9_10_!AT33,EL_DEL_CD2_L_STAB_!AT33)</f>
        <v>0</v>
      </c>
      <c r="AU33" s="98">
        <f>+SUM(EL_DEL_CD2_JO_!AU33,EL_DEL_CD2_SBI_1_4_!AU33,EL_DEL_CD2_SBI_5_6_!AU33,EL_DEL_CD2_SBI_7_8_!AU33,EL_DEL_CD2_SBI_9_10_!AU33,EL_DEL_CD2_STAB_!AU33,EL_DEL_CD2_JO_L_!AU33,EL_DEL_CD2_SBI_L_1_4_!AU33,EL_DEL_CD2_SBI_L_5_6_!AU33,EL_DEL_CD2_SBI_L_7_8_!AU33,EL_DEL_CD2_SBI_L_9_10_!AU33,EL_DEL_CD2_L_STAB_!AU33)</f>
        <v>0</v>
      </c>
      <c r="AV33" s="98">
        <f>+SUM(EL_DEL_CD2_JO_!AV33,EL_DEL_CD2_SBI_1_4_!AV33,EL_DEL_CD2_SBI_5_6_!AV33,EL_DEL_CD2_SBI_7_8_!AV33,EL_DEL_CD2_SBI_9_10_!AV33,EL_DEL_CD2_STAB_!AV33,EL_DEL_CD2_JO_L_!AV33,EL_DEL_CD2_SBI_L_1_4_!AV33,EL_DEL_CD2_SBI_L_5_6_!AV33,EL_DEL_CD2_SBI_L_7_8_!AV33,EL_DEL_CD2_SBI_L_9_10_!AV33,EL_DEL_CD2_L_STAB_!AV33)</f>
        <v>0</v>
      </c>
      <c r="AW33" s="167">
        <f>+SUM(EL_DEL_CD2_JO_!AW33,EL_DEL_CD2_SBI_1_4_!AW33,EL_DEL_CD2_SBI_5_6_!AW33,EL_DEL_CD2_SBI_7_8_!AW33,EL_DEL_CD2_SBI_9_10_!AW33,EL_DEL_CD2_STAB_!AW33,EL_DEL_CD2_JO_L_!AW33,EL_DEL_CD2_SBI_L_1_4_!AW33,EL_DEL_CD2_SBI_L_5_6_!AW33,EL_DEL_CD2_SBI_L_7_8_!AW33,EL_DEL_CD2_SBI_L_9_10_!AW33,EL_DEL_CD2_L_STAB_!AW33)</f>
        <v>0</v>
      </c>
      <c r="AX33" s="102" t="str">
        <f t="shared" ref="AX33" si="32">IFERROR(AN33/AW33,"-")</f>
        <v>-</v>
      </c>
      <c r="AY33" s="151"/>
      <c r="AZ33" s="116" t="str">
        <f>IF(E33&gt;0,F33/E33,"")</f>
        <v/>
      </c>
      <c r="BA33" s="117" t="str">
        <f>+IF(E33&gt;0,G33/E33,"")</f>
        <v/>
      </c>
      <c r="BB33" s="116" t="str">
        <f>+IF(E33&gt;0,AJ33/E33,"")</f>
        <v/>
      </c>
      <c r="BC33" s="151"/>
      <c r="BD33" s="118" t="str">
        <f>+IF(G33&gt;0,I33/G33,"")</f>
        <v/>
      </c>
      <c r="BE33" s="119" t="str">
        <f>+IF(G33&gt;0,J33/G33,"")</f>
        <v/>
      </c>
      <c r="BF33" s="119" t="str">
        <f>+IF(I33&gt;0,L33/I33,"")</f>
        <v/>
      </c>
      <c r="BG33" s="119" t="str">
        <f>+IF(SUM(AO33:AR33)&gt;0,AO33/AN33,"")</f>
        <v/>
      </c>
      <c r="BH33" s="119" t="str">
        <f>+IF(G33&gt;0,K33/G33,"")</f>
        <v/>
      </c>
      <c r="BI33" s="120" t="str">
        <f>+IF(SUM(AO33:AR33)&gt;0,AQ33/AN33,"")</f>
        <v/>
      </c>
      <c r="BJ33" s="151"/>
      <c r="BK33" s="121" t="str">
        <f>+IF(E33&gt;0,(AJ33/E33),"")</f>
        <v/>
      </c>
      <c r="BL33" s="122" t="str">
        <f>+IF(E33&gt;0,(AJ33/F33),"")</f>
        <v/>
      </c>
      <c r="BM33" s="122" t="str">
        <f>+IF(E33&gt;0,(AJ33/G33),"")</f>
        <v/>
      </c>
      <c r="BN33" s="123" t="str">
        <f>+IF(E33&gt;0,(AJ33/J33),"")</f>
        <v/>
      </c>
      <c r="BO33" s="151"/>
      <c r="BP33" s="124" t="str">
        <f>IF(AJ33&gt;0,(N33/AJ33),"")</f>
        <v/>
      </c>
      <c r="BQ33" s="125">
        <v>0</v>
      </c>
      <c r="BR33" s="125" t="str">
        <f>IF(AJ33&gt;0,(AK33/AJ33),"")</f>
        <v/>
      </c>
      <c r="BS33" s="125" t="str">
        <f>IF(AJ33&gt;0,(AK33/AJ33),"")</f>
        <v/>
      </c>
      <c r="BT33" s="126" t="str">
        <f>IF(J33&gt;0,AD33/J33,"")</f>
        <v/>
      </c>
      <c r="BU33" s="151"/>
      <c r="BV33" s="127" t="e">
        <f>IF(AN33&gt;0,(E33/AN33),"")</f>
        <v>#DIV/0!</v>
      </c>
      <c r="BW33" s="127" t="e">
        <f>IF(AN33&gt;0,(G33/AN33),"")</f>
        <v>#DIV/0!</v>
      </c>
      <c r="BX33" s="127" t="e">
        <f>IF(AN33&gt;0,(J33/AN33),"")</f>
        <v>#DIV/0!</v>
      </c>
      <c r="BY33" s="127" t="e">
        <f>IF(AN33&gt;0,(K33/AN33),"")</f>
        <v>#DIV/0!</v>
      </c>
      <c r="BZ33" s="127" t="e">
        <f>IF(AN33&gt;0,(AJ33/AN33),"")</f>
        <v>#DIV/0!</v>
      </c>
      <c r="CA33" s="128" t="e">
        <f>IF(AN33&gt;0,(AK33/AN33),"")</f>
        <v>#DIV/0!</v>
      </c>
      <c r="CB33" s="151"/>
      <c r="CC33" s="129" t="str">
        <f>IFERROR(((AN33-AO33)*3600)/J33,"-")</f>
        <v>-</v>
      </c>
      <c r="CD33" s="130" t="str">
        <f>IFERROR((AR33*3600)/J33,"-")</f>
        <v>-</v>
      </c>
      <c r="CE33" s="130" t="str">
        <f>IFERROR((AQ33*3600)/J33,"-")</f>
        <v>-</v>
      </c>
      <c r="CF33" s="130" t="str">
        <f>IFERROR((AO33*3600)/J33,"-")</f>
        <v>-</v>
      </c>
      <c r="CG33" s="131" t="str">
        <f>IFERROR((AP33*3600)/J33,"-")</f>
        <v>-</v>
      </c>
      <c r="CH33" s="151"/>
    </row>
    <row r="34" spans="1:86" s="115" customFormat="1" ht="12.4" customHeight="1" thickBot="1" x14ac:dyDescent="0.25">
      <c r="A34" s="96">
        <f t="shared" si="30"/>
        <v>46326</v>
      </c>
      <c r="B34" s="97" t="str">
        <f>+TEXT(A34,"DDD")</f>
        <v>Sat</v>
      </c>
      <c r="C34" s="98">
        <f>+SUM(EL_DEL_CD2_JO_!C34,EL_DEL_CD2_SBI_1_4_!C34,EL_DEL_CD2_SBI_5_6_!C34,EL_DEL_CD2_SBI_7_8_!C34,EL_DEL_CD2_SBI_9_10_!C34,EL_DEL_CD2_STAB_!C34,EL_DEL_CD2_JO_L_!C34,EL_DEL_CD2_SBI_L_1_4_!C34,EL_DEL_CD2_SBI_L_5_6_!C34,EL_DEL_CD2_SBI_L_7_8_!C34,EL_DEL_CD2_SBI_L_9_10_!C34,EL_DEL_CD2_L_STAB_!C34)</f>
        <v>0</v>
      </c>
      <c r="D34" s="98">
        <f>+SUM(EL_DEL_CD2_JO_!D34,EL_DEL_CD2_SBI_1_4_!D34,EL_DEL_CD2_SBI_5_6_!D34,EL_DEL_CD2_SBI_7_8_!D34,EL_DEL_CD2_SBI_9_10_!D34,EL_DEL_CD2_STAB_!D34,EL_DEL_CD2_JO_L_!D34,EL_DEL_CD2_SBI_L_1_4_!D34,EL_DEL_CD2_SBI_L_5_6_!D34,EL_DEL_CD2_SBI_L_7_8_!D34,EL_DEL_CD2_SBI_L_9_10_!D34,EL_DEL_CD2_L_STAB_!D34)</f>
        <v>0</v>
      </c>
      <c r="E34" s="98">
        <f>+SUM(EL_DEL_CD2_JO_!E34,EL_DEL_CD2_SBI_1_4_!E34,EL_DEL_CD2_SBI_5_6_!E34,EL_DEL_CD2_SBI_7_8_!E34,EL_DEL_CD2_SBI_9_10_!E34,EL_DEL_CD2_STAB_!E34,EL_DEL_CD2_JO_L_!E34,EL_DEL_CD2_SBI_L_1_4_!E34,EL_DEL_CD2_SBI_L_5_6_!E34,EL_DEL_CD2_SBI_L_7_8_!E34,EL_DEL_CD2_SBI_L_9_10_!E34,EL_DEL_CD2_L_STAB_!E34)</f>
        <v>0</v>
      </c>
      <c r="F34" s="98">
        <f>+SUM(EL_DEL_CD2_JO_!F34,EL_DEL_CD2_SBI_1_4_!F34,EL_DEL_CD2_SBI_5_6_!F34,EL_DEL_CD2_SBI_7_8_!F34,EL_DEL_CD2_SBI_9_10_!F34,EL_DEL_CD2_STAB_!F34,EL_DEL_CD2_JO_L_!F34,EL_DEL_CD2_SBI_L_1_4_!F34,EL_DEL_CD2_SBI_L_5_6_!F34,EL_DEL_CD2_SBI_L_7_8_!F34,EL_DEL_CD2_SBI_L_9_10_!F34,EL_DEL_CD2_L_STAB_!F34)</f>
        <v>0</v>
      </c>
      <c r="G34" s="98">
        <f>+SUM(EL_DEL_CD2_JO_!G34,EL_DEL_CD2_SBI_1_4_!G34,EL_DEL_CD2_SBI_5_6_!G34,EL_DEL_CD2_SBI_7_8_!G34,EL_DEL_CD2_SBI_9_10_!G34,EL_DEL_CD2_STAB_!G34,EL_DEL_CD2_JO_L_!G34,EL_DEL_CD2_SBI_L_1_4_!G34,EL_DEL_CD2_SBI_L_5_6_!G34,EL_DEL_CD2_SBI_L_7_8_!G34,EL_DEL_CD2_SBI_L_9_10_!G34,EL_DEL_CD2_L_STAB_!G34)</f>
        <v>0</v>
      </c>
      <c r="H34" s="98">
        <f>+SUM(EL_DEL_CD2_JO_!H34,EL_DEL_CD2_SBI_1_4_!H34,EL_DEL_CD2_SBI_5_6_!H34,EL_DEL_CD2_SBI_7_8_!H34,EL_DEL_CD2_SBI_9_10_!H34,EL_DEL_CD2_STAB_!H34,EL_DEL_CD2_JO_L_!H34,EL_DEL_CD2_SBI_L_1_4_!H34,EL_DEL_CD2_SBI_L_5_6_!H34,EL_DEL_CD2_SBI_L_7_8_!H34,EL_DEL_CD2_SBI_L_9_10_!H34,EL_DEL_CD2_L_STAB_!H34)</f>
        <v>0</v>
      </c>
      <c r="I34" s="98">
        <f>+SUM(EL_DEL_CD2_JO_!I34,EL_DEL_CD2_SBI_1_4_!I34,EL_DEL_CD2_SBI_5_6_!I34,EL_DEL_CD2_SBI_7_8_!I34,EL_DEL_CD2_SBI_9_10_!I34,EL_DEL_CD2_STAB_!I34,EL_DEL_CD2_JO_L_!I34,EL_DEL_CD2_SBI_L_1_4_!I34,EL_DEL_CD2_SBI_L_5_6_!I34,EL_DEL_CD2_SBI_L_7_8_!I34,EL_DEL_CD2_SBI_L_9_10_!I34,EL_DEL_CD2_L_STAB_!I34)</f>
        <v>0</v>
      </c>
      <c r="J34" s="98">
        <f>+SUM(EL_DEL_CD2_JO_!J34,EL_DEL_CD2_SBI_1_4_!J34,EL_DEL_CD2_SBI_5_6_!J34,EL_DEL_CD2_SBI_7_8_!J34,EL_DEL_CD2_SBI_9_10_!J34,EL_DEL_CD2_STAB_!J34,EL_DEL_CD2_JO_L_!J34,EL_DEL_CD2_SBI_L_1_4_!J34,EL_DEL_CD2_SBI_L_5_6_!J34,EL_DEL_CD2_SBI_L_7_8_!J34,EL_DEL_CD2_SBI_L_9_10_!J34,EL_DEL_CD2_L_STAB_!J34)</f>
        <v>0</v>
      </c>
      <c r="K34" s="98">
        <f>+SUM(EL_DEL_CD2_JO_!K34,EL_DEL_CD2_SBI_1_4_!K34,EL_DEL_CD2_SBI_5_6_!K34,EL_DEL_CD2_SBI_7_8_!K34,EL_DEL_CD2_SBI_9_10_!K34,EL_DEL_CD2_STAB_!K34,EL_DEL_CD2_JO_L_!K34,EL_DEL_CD2_SBI_L_1_4_!K34,EL_DEL_CD2_SBI_L_5_6_!K34,EL_DEL_CD2_SBI_L_7_8_!K34,EL_DEL_CD2_SBI_L_9_10_!K34,EL_DEL_CD2_L_STAB_!K34)</f>
        <v>0</v>
      </c>
      <c r="L34" s="98">
        <f>+SUM(EL_DEL_CD2_JO_!L34,EL_DEL_CD2_SBI_1_4_!L34,EL_DEL_CD2_SBI_5_6_!L34,EL_DEL_CD2_SBI_7_8_!L34,EL_DEL_CD2_SBI_9_10_!L34,EL_DEL_CD2_STAB_!L34,EL_DEL_CD2_JO_L_!L34,EL_DEL_CD2_SBI_L_1_4_!L34,EL_DEL_CD2_SBI_L_5_6_!L34,EL_DEL_CD2_SBI_L_7_8_!L34,EL_DEL_CD2_SBI_L_9_10_!L34,EL_DEL_CD2_L_STAB_!L34)</f>
        <v>0</v>
      </c>
      <c r="M34" s="98">
        <f>+SUM(EL_DEL_CD2_JO_!M34,EL_DEL_CD2_SBI_1_4_!M34,EL_DEL_CD2_SBI_5_6_!M34,EL_DEL_CD2_SBI_7_8_!M34,EL_DEL_CD2_SBI_9_10_!M34,EL_DEL_CD2_STAB_!M34,EL_DEL_CD2_JO_L_!M34,EL_DEL_CD2_SBI_L_1_4_!M34,EL_DEL_CD2_SBI_L_5_6_!M34,EL_DEL_CD2_SBI_L_7_8_!M34,EL_DEL_CD2_SBI_L_9_10_!M34,EL_DEL_CD2_L_STAB_!M34)</f>
        <v>0</v>
      </c>
      <c r="N34" s="98">
        <f>+SUM(EL_DEL_CD2_JO_!N34,EL_DEL_CD2_SBI_1_4_!N34,EL_DEL_CD2_SBI_5_6_!N34,EL_DEL_CD2_SBI_7_8_!N34,EL_DEL_CD2_SBI_9_10_!N34,EL_DEL_CD2_STAB_!N34,EL_DEL_CD2_JO_L_!N34,EL_DEL_CD2_SBI_L_1_4_!N34,EL_DEL_CD2_SBI_L_5_6_!N34,EL_DEL_CD2_SBI_L_7_8_!N34,EL_DEL_CD2_SBI_L_9_10_!N34,EL_DEL_CD2_L_STAB_!N34)</f>
        <v>0</v>
      </c>
      <c r="O34" s="98">
        <f>+SUM(EL_DEL_CD2_JO_!O34,EL_DEL_CD2_SBI_1_4_!O34,EL_DEL_CD2_SBI_5_6_!O34,EL_DEL_CD2_SBI_7_8_!O34,EL_DEL_CD2_SBI_9_10_!O34,EL_DEL_CD2_STAB_!O34,EL_DEL_CD2_JO_L_!O34,EL_DEL_CD2_SBI_L_1_4_!O34,EL_DEL_CD2_SBI_L_5_6_!O34,EL_DEL_CD2_SBI_L_7_8_!O34,EL_DEL_CD2_SBI_L_9_10_!O34,EL_DEL_CD2_L_STAB_!O34)</f>
        <v>0</v>
      </c>
      <c r="P34" s="98">
        <f>+SUM(EL_DEL_CD2_JO_!P34,EL_DEL_CD2_SBI_1_4_!P34,EL_DEL_CD2_SBI_5_6_!P34,EL_DEL_CD2_SBI_7_8_!P34,EL_DEL_CD2_SBI_9_10_!P34,EL_DEL_CD2_STAB_!P34,EL_DEL_CD2_JO_L_!P34,EL_DEL_CD2_SBI_L_1_4_!P34,EL_DEL_CD2_SBI_L_5_6_!P34,EL_DEL_CD2_SBI_L_7_8_!P34,EL_DEL_CD2_SBI_L_9_10_!P34,EL_DEL_CD2_L_STAB_!P34)</f>
        <v>0</v>
      </c>
      <c r="Q34" s="98">
        <f>+SUM(EL_DEL_CD2_JO_!Q34,EL_DEL_CD2_SBI_1_4_!Q34,EL_DEL_CD2_SBI_5_6_!Q34,EL_DEL_CD2_SBI_7_8_!Q34,EL_DEL_CD2_SBI_9_10_!Q34,EL_DEL_CD2_STAB_!Q34,EL_DEL_CD2_JO_L_!Q34,EL_DEL_CD2_SBI_L_1_4_!Q34,EL_DEL_CD2_SBI_L_5_6_!Q34,EL_DEL_CD2_SBI_L_7_8_!Q34,EL_DEL_CD2_SBI_L_9_10_!Q34,EL_DEL_CD2_L_STAB_!Q34)</f>
        <v>0</v>
      </c>
      <c r="R34" s="98">
        <f>+SUM(EL_DEL_CD2_JO_!R34,EL_DEL_CD2_SBI_1_4_!R34,EL_DEL_CD2_SBI_5_6_!R34,EL_DEL_CD2_SBI_7_8_!R34,EL_DEL_CD2_SBI_9_10_!R34,EL_DEL_CD2_STAB_!R34,EL_DEL_CD2_JO_L_!R34,EL_DEL_CD2_SBI_L_1_4_!R34,EL_DEL_CD2_SBI_L_5_6_!R34,EL_DEL_CD2_SBI_L_7_8_!R34,EL_DEL_CD2_SBI_L_9_10_!R34,EL_DEL_CD2_L_STAB_!R34)</f>
        <v>0</v>
      </c>
      <c r="S34" s="98">
        <f>+SUM(EL_DEL_CD2_JO_!S34,EL_DEL_CD2_SBI_1_4_!S34,EL_DEL_CD2_SBI_5_6_!S34,EL_DEL_CD2_SBI_7_8_!S34,EL_DEL_CD2_SBI_9_10_!S34,EL_DEL_CD2_STAB_!S34,EL_DEL_CD2_JO_L_!S34,EL_DEL_CD2_SBI_L_1_4_!S34,EL_DEL_CD2_SBI_L_5_6_!S34,EL_DEL_CD2_SBI_L_7_8_!S34,EL_DEL_CD2_SBI_L_9_10_!S34,EL_DEL_CD2_L_STAB_!S34)</f>
        <v>0</v>
      </c>
      <c r="T34" s="98">
        <f>+SUM(EL_DEL_CD2_JO_!T34,EL_DEL_CD2_SBI_1_4_!T34,EL_DEL_CD2_SBI_5_6_!T34,EL_DEL_CD2_SBI_7_8_!T34,EL_DEL_CD2_SBI_9_10_!T34,EL_DEL_CD2_STAB_!T34,EL_DEL_CD2_JO_L_!T34,EL_DEL_CD2_SBI_L_1_4_!T34,EL_DEL_CD2_SBI_L_5_6_!T34,EL_DEL_CD2_SBI_L_7_8_!T34,EL_DEL_CD2_SBI_L_9_10_!T34,EL_DEL_CD2_L_STAB_!T34)</f>
        <v>0</v>
      </c>
      <c r="U34" s="98">
        <f>+SUM(EL_DEL_CD2_JO_!U34,EL_DEL_CD2_SBI_1_4_!U34,EL_DEL_CD2_SBI_5_6_!U34,EL_DEL_CD2_SBI_7_8_!U34,EL_DEL_CD2_SBI_9_10_!U34,EL_DEL_CD2_STAB_!U34,EL_DEL_CD2_JO_L_!U34,EL_DEL_CD2_SBI_L_1_4_!U34,EL_DEL_CD2_SBI_L_5_6_!U34,EL_DEL_CD2_SBI_L_7_8_!U34,EL_DEL_CD2_SBI_L_9_10_!U34,EL_DEL_CD2_L_STAB_!U34)</f>
        <v>0</v>
      </c>
      <c r="V34" s="98">
        <f>+SUM(EL_DEL_CD2_JO_!V34,EL_DEL_CD2_SBI_1_4_!V34,EL_DEL_CD2_SBI_5_6_!V34,EL_DEL_CD2_SBI_7_8_!V34,EL_DEL_CD2_SBI_9_10_!V34,EL_DEL_CD2_STAB_!V34,EL_DEL_CD2_JO_L_!V34,EL_DEL_CD2_SBI_L_1_4_!V34,EL_DEL_CD2_SBI_L_5_6_!V34,EL_DEL_CD2_SBI_L_7_8_!V34,EL_DEL_CD2_SBI_L_9_10_!V34,EL_DEL_CD2_L_STAB_!V34)</f>
        <v>0</v>
      </c>
      <c r="W34" s="98">
        <f>+SUM(EL_DEL_CD2_JO_!W34,EL_DEL_CD2_SBI_1_4_!W34,EL_DEL_CD2_SBI_5_6_!W34,EL_DEL_CD2_SBI_7_8_!W34,EL_DEL_CD2_SBI_9_10_!W34,EL_DEL_CD2_STAB_!W34,EL_DEL_CD2_JO_L_!W34,EL_DEL_CD2_SBI_L_1_4_!W34,EL_DEL_CD2_SBI_L_5_6_!W34,EL_DEL_CD2_SBI_L_7_8_!W34,EL_DEL_CD2_SBI_L_9_10_!W34,EL_DEL_CD2_L_STAB_!W34)</f>
        <v>0</v>
      </c>
      <c r="X34" s="98">
        <f>+SUM(EL_DEL_CD2_JO_!X34,EL_DEL_CD2_SBI_1_4_!X34,EL_DEL_CD2_SBI_5_6_!X34,EL_DEL_CD2_SBI_7_8_!X34,EL_DEL_CD2_SBI_9_10_!X34,EL_DEL_CD2_STAB_!X34,EL_DEL_CD2_JO_L_!X34,EL_DEL_CD2_SBI_L_1_4_!X34,EL_DEL_CD2_SBI_L_5_6_!X34,EL_DEL_CD2_SBI_L_7_8_!X34,EL_DEL_CD2_SBI_L_9_10_!X34,EL_DEL_CD2_L_STAB_!X34)</f>
        <v>0</v>
      </c>
      <c r="Y34" s="98">
        <f>+SUM(EL_DEL_CD2_JO_!Y34,EL_DEL_CD2_SBI_1_4_!Y34,EL_DEL_CD2_SBI_5_6_!Y34,EL_DEL_CD2_SBI_7_8_!Y34,EL_DEL_CD2_SBI_9_10_!Y34,EL_DEL_CD2_STAB_!Y34,EL_DEL_CD2_JO_L_!Y34,EL_DEL_CD2_SBI_L_1_4_!Y34,EL_DEL_CD2_SBI_L_5_6_!Y34,EL_DEL_CD2_SBI_L_7_8_!Y34,EL_DEL_CD2_SBI_L_9_10_!Y34,EL_DEL_CD2_L_STAB_!Y34)</f>
        <v>0</v>
      </c>
      <c r="Z34" s="98">
        <f>+SUM(EL_DEL_CD2_JO_!Z34,EL_DEL_CD2_SBI_1_4_!Z34,EL_DEL_CD2_SBI_5_6_!Z34,EL_DEL_CD2_SBI_7_8_!Z34,EL_DEL_CD2_SBI_9_10_!Z34,EL_DEL_CD2_STAB_!Z34,EL_DEL_CD2_JO_L_!Z34,EL_DEL_CD2_SBI_L_1_4_!Z34,EL_DEL_CD2_SBI_L_5_6_!Z34,EL_DEL_CD2_SBI_L_7_8_!Z34,EL_DEL_CD2_SBI_L_9_10_!Z34,EL_DEL_CD2_L_STAB_!Z34)</f>
        <v>0</v>
      </c>
      <c r="AA34" s="98">
        <f>+SUM(EL_DEL_CD2_JO_!AA34,EL_DEL_CD2_SBI_1_4_!AA34,EL_DEL_CD2_SBI_5_6_!AA34,EL_DEL_CD2_SBI_7_8_!AA34,EL_DEL_CD2_SBI_9_10_!AA34,EL_DEL_CD2_STAB_!AA34,EL_DEL_CD2_JO_L_!AA34,EL_DEL_CD2_SBI_L_1_4_!AA34,EL_DEL_CD2_SBI_L_5_6_!AA34,EL_DEL_CD2_SBI_L_7_8_!AA34,EL_DEL_CD2_SBI_L_9_10_!AA34,EL_DEL_CD2_L_STAB_!AA34)</f>
        <v>0</v>
      </c>
      <c r="AB34" s="98">
        <f>+SUM(EL_DEL_CD2_JO_!AB34,EL_DEL_CD2_SBI_1_4_!AB34,EL_DEL_CD2_SBI_5_6_!AB34,EL_DEL_CD2_SBI_7_8_!AB34,EL_DEL_CD2_SBI_9_10_!AB34,EL_DEL_CD2_STAB_!AB34,EL_DEL_CD2_JO_L_!AB34,EL_DEL_CD2_SBI_L_1_4_!AB34,EL_DEL_CD2_SBI_L_5_6_!AB34,EL_DEL_CD2_SBI_L_7_8_!AB34,EL_DEL_CD2_SBI_L_9_10_!AB34,EL_DEL_CD2_L_STAB_!AB34)</f>
        <v>0</v>
      </c>
      <c r="AC34" s="98">
        <f>+SUM(EL_DEL_CD2_JO_!AC34,EL_DEL_CD2_SBI_1_4_!AC34,EL_DEL_CD2_SBI_5_6_!AC34,EL_DEL_CD2_SBI_7_8_!AC34,EL_DEL_CD2_SBI_9_10_!AC34,EL_DEL_CD2_STAB_!AC34,EL_DEL_CD2_JO_L_!AC34,EL_DEL_CD2_SBI_L_1_4_!AC34,EL_DEL_CD2_SBI_L_5_6_!AC34,EL_DEL_CD2_SBI_L_7_8_!AC34,EL_DEL_CD2_SBI_L_9_10_!AC34,EL_DEL_CD2_L_STAB_!AC34)</f>
        <v>0</v>
      </c>
      <c r="AD34" s="98">
        <f>+SUM(EL_DEL_CD2_JO_!AD34,EL_DEL_CD2_SBI_1_4_!AD34,EL_DEL_CD2_SBI_5_6_!AD34,EL_DEL_CD2_SBI_7_8_!AD34,EL_DEL_CD2_SBI_9_10_!AD34,EL_DEL_CD2_STAB_!AD34,EL_DEL_CD2_JO_L_!AD34,EL_DEL_CD2_SBI_L_1_4_!AD34,EL_DEL_CD2_SBI_L_5_6_!AD34,EL_DEL_CD2_SBI_L_7_8_!AD34,EL_DEL_CD2_SBI_L_9_10_!AD34,EL_DEL_CD2_L_STAB_!AD34)</f>
        <v>0</v>
      </c>
      <c r="AE34" s="98">
        <f>+SUM(EL_DEL_CD2_JO_!AE34,EL_DEL_CD2_SBI_1_4_!AE34,EL_DEL_CD2_SBI_5_6_!AE34,EL_DEL_CD2_SBI_7_8_!AE34,EL_DEL_CD2_SBI_9_10_!AE34,EL_DEL_CD2_STAB_!AE34,EL_DEL_CD2_JO_L_!AE34,EL_DEL_CD2_SBI_L_1_4_!AE34,EL_DEL_CD2_SBI_L_5_6_!AE34,EL_DEL_CD2_SBI_L_7_8_!AE34,EL_DEL_CD2_SBI_L_9_10_!AE34,EL_DEL_CD2_L_STAB_!AE34)</f>
        <v>0</v>
      </c>
      <c r="AF34" s="98">
        <f>+SUM(EL_DEL_CD2_JO_!AF34,EL_DEL_CD2_SBI_1_4_!AF34,EL_DEL_CD2_SBI_5_6_!AF34,EL_DEL_CD2_SBI_7_8_!AF34,EL_DEL_CD2_SBI_9_10_!AF34,EL_DEL_CD2_STAB_!AF34,EL_DEL_CD2_JO_L_!AF34,EL_DEL_CD2_SBI_L_1_4_!AF34,EL_DEL_CD2_SBI_L_5_6_!AF34,EL_DEL_CD2_SBI_L_7_8_!AF34,EL_DEL_CD2_SBI_L_9_10_!AF34,EL_DEL_CD2_L_STAB_!AF34)</f>
        <v>0</v>
      </c>
      <c r="AG34" s="98">
        <f>+SUM(EL_DEL_CD2_JO_!AG34,EL_DEL_CD2_SBI_1_4_!AG34,EL_DEL_CD2_SBI_5_6_!AG34,EL_DEL_CD2_SBI_7_8_!AG34,EL_DEL_CD2_SBI_9_10_!AG34,EL_DEL_CD2_STAB_!AG34,EL_DEL_CD2_JO_L_!AG34,EL_DEL_CD2_SBI_L_1_4_!AG34,EL_DEL_CD2_SBI_L_5_6_!AG34,EL_DEL_CD2_SBI_L_7_8_!AG34,EL_DEL_CD2_SBI_L_9_10_!AG34,EL_DEL_CD2_L_STAB_!AG34)</f>
        <v>0</v>
      </c>
      <c r="AH34" s="98">
        <f>+SUM(EL_DEL_CD2_JO_!AH34,EL_DEL_CD2_SBI_1_4_!AH34,EL_DEL_CD2_SBI_5_6_!AH34,EL_DEL_CD2_SBI_7_8_!AH34,EL_DEL_CD2_SBI_9_10_!AH34,EL_DEL_CD2_STAB_!AH34,EL_DEL_CD2_JO_L_!AH34,EL_DEL_CD2_SBI_L_1_4_!AH34,EL_DEL_CD2_SBI_L_5_6_!AH34,EL_DEL_CD2_SBI_L_7_8_!AH34,EL_DEL_CD2_SBI_L_9_10_!AH34,EL_DEL_CD2_L_STAB_!AH34)</f>
        <v>0</v>
      </c>
      <c r="AI34" s="98">
        <f>+SUM(EL_DEL_CD2_JO_!AI34,EL_DEL_CD2_SBI_1_4_!AI34,EL_DEL_CD2_SBI_5_6_!AI34,EL_DEL_CD2_SBI_7_8_!AI34,EL_DEL_CD2_SBI_9_10_!AI34,EL_DEL_CD2_STAB_!AI34,EL_DEL_CD2_JO_L_!AI34,EL_DEL_CD2_SBI_L_1_4_!AI34,EL_DEL_CD2_SBI_L_5_6_!AI34,EL_DEL_CD2_SBI_L_7_8_!AI34,EL_DEL_CD2_SBI_L_9_10_!AI34,EL_DEL_CD2_L_STAB_!AI34)</f>
        <v>0</v>
      </c>
      <c r="AJ34" s="98">
        <f>+SUM(EL_DEL_CD2_JO_!AJ34,EL_DEL_CD2_SBI_1_4_!AJ34,EL_DEL_CD2_SBI_5_6_!AJ34,EL_DEL_CD2_SBI_7_8_!AJ34,EL_DEL_CD2_SBI_9_10_!AJ34,EL_DEL_CD2_STAB_!AJ34,EL_DEL_CD2_JO_L_!AJ34,EL_DEL_CD2_SBI_L_1_4_!AJ34,EL_DEL_CD2_SBI_L_5_6_!AJ34,EL_DEL_CD2_SBI_L_7_8_!AJ34,EL_DEL_CD2_SBI_L_9_10_!AJ34,EL_DEL_CD2_L_STAB_!AJ34)</f>
        <v>0</v>
      </c>
      <c r="AK34" s="98">
        <f>+SUM(EL_DEL_CD2_JO_!AK34,EL_DEL_CD2_SBI_1_4_!AK34,EL_DEL_CD2_SBI_5_6_!AK34,EL_DEL_CD2_SBI_7_8_!AK34,EL_DEL_CD2_SBI_9_10_!AK34,EL_DEL_CD2_STAB_!AK34,EL_DEL_CD2_JO_L_!AK34,EL_DEL_CD2_SBI_L_1_4_!AK34,EL_DEL_CD2_SBI_L_5_6_!AK34,EL_DEL_CD2_SBI_L_7_8_!AK34,EL_DEL_CD2_SBI_L_9_10_!AK34,EL_DEL_CD2_L_STAB_!AK34)</f>
        <v>0</v>
      </c>
      <c r="AL34" s="152" t="str">
        <f>+IFERROR(AVERAGE(EL_DEL_CD2_JO_!AL34,EL_DEL_CD2_SBI_1_4_!AL34,EL_DEL_CD2_SBI_5_6_!AL34,EL_DEL_CD2_SBI_7_8_!AL34,EL_DEL_CD2_SBI_9_10_!AL34,EL_DEL_CD2_STAB_!AL34,EL_DEL_CD2_JO_L_!AL34,EL_DEL_CD2_SBI_L_1_4_!AL34,EL_DEL_CD2_SBI_L_5_6_!AL34,EL_DEL_CD2_SBI_L_7_8_!AL34,EL_DEL_CD2_SBI_L_9_10_!AL34,EL_DEL_CD2_L_STAB_!AL34),"0:00")</f>
        <v>0:00</v>
      </c>
      <c r="AM34" s="152" t="str">
        <f>+IFERROR(AVERAGE(EL_DEL_CD2_JO_!AM34,EL_DEL_CD2_SBI_1_4_!AM34,EL_DEL_CD2_SBI_5_6_!AM34,EL_DEL_CD2_SBI_7_8_!AM34,EL_DEL_CD2_SBI_9_10_!AM34,EL_DEL_CD2_STAB_!AM34,EL_DEL_CD2_JO_L_!AM34,EL_DEL_CD2_SBI_L_1_4_!AM34,EL_DEL_CD2_SBI_L_5_6_!AM34,EL_DEL_CD2_SBI_L_7_8_!AM34,EL_DEL_CD2_SBI_L_9_10_!AM34,EL_DEL_CD2_L_STAB_!AM34),"0:00")</f>
        <v>0:00</v>
      </c>
      <c r="AN34" s="152" t="str">
        <f>+IFERROR(AVERAGE(EL_DEL_CD2_JO_!AN34,EL_DEL_CD2_SBI_1_4_!AN34,EL_DEL_CD2_SBI_5_6_!AN34,EL_DEL_CD2_SBI_7_8_!AN34,EL_DEL_CD2_SBI_9_10_!AN34,EL_DEL_CD2_STAB_!AN34,EL_DEL_CD2_JO_L_!AN34,EL_DEL_CD2_SBI_L_1_4_!AN34,EL_DEL_CD2_SBI_L_5_6_!AN34,EL_DEL_CD2_SBI_L_7_8_!AN34,EL_DEL_CD2_SBI_L_9_10_!AN34,EL_DEL_CD2_L_STAB_!AN34),"0:00")</f>
        <v>0:00</v>
      </c>
      <c r="AO34" s="152" t="str">
        <f>+IFERROR(AVERAGE(EL_DEL_CD2_JO_!AO34,EL_DEL_CD2_SBI_1_4_!AO34,EL_DEL_CD2_SBI_5_6_!AO34,EL_DEL_CD2_SBI_7_8_!AO34,EL_DEL_CD2_SBI_9_10_!AO34,EL_DEL_CD2_STAB_!AO34,EL_DEL_CD2_JO_L_!AO34,EL_DEL_CD2_SBI_L_1_4_!AO34,EL_DEL_CD2_SBI_L_5_6_!AO34,EL_DEL_CD2_SBI_L_7_8_!AO34,EL_DEL_CD2_SBI_L_9_10_!AO34,EL_DEL_CD2_L_STAB_!AO34),"0:00")</f>
        <v>0:00</v>
      </c>
      <c r="AP34" s="98" t="str">
        <f>+IFERROR(AVERAGE(EL_DEL_CD2_JO_!AP34,EL_DEL_CD2_SBI_1_4_!AP34,EL_DEL_CD2_SBI_5_6_!AP34,EL_DEL_CD2_SBI_7_8_!AP34,EL_DEL_CD2_SBI_9_10_!AP34,EL_DEL_CD2_STAB_!AP34,EL_DEL_CD2_JO_L_!AP34,EL_DEL_CD2_SBI_L_1_4_!AP34,EL_DEL_CD2_SBI_L_5_6_!AP34,EL_DEL_CD2_SBI_L_7_8_!AP34,EL_DEL_CD2_SBI_L_9_10_!AP34,EL_DEL_CD2_L_STAB_!AP34),"0:00")</f>
        <v>0:00</v>
      </c>
      <c r="AQ34" s="152" t="str">
        <f>+IFERROR(AVERAGE(EL_DEL_CD2_JO_!AQ34,EL_DEL_CD2_SBI_1_4_!AQ34,EL_DEL_CD2_SBI_5_6_!AQ34,EL_DEL_CD2_SBI_7_8_!AQ34,EL_DEL_CD2_SBI_9_10_!AQ34,EL_DEL_CD2_STAB_!AQ34,EL_DEL_CD2_JO_L_!AQ34,EL_DEL_CD2_SBI_L_1_4_!AQ34,EL_DEL_CD2_SBI_L_5_6_!AQ34,EL_DEL_CD2_SBI_L_7_8_!AQ34,EL_DEL_CD2_SBI_L_9_10_!AQ34,EL_DEL_CD2_L_STAB_!AQ34),"0:00")</f>
        <v>0:00</v>
      </c>
      <c r="AR34" s="152" t="str">
        <f>+IFERROR(AVERAGE(EL_DEL_CD2_JO_!AR34,EL_DEL_CD2_SBI_1_4_!AR34,EL_DEL_CD2_SBI_5_6_!AR34,EL_DEL_CD2_SBI_7_8_!AR34,EL_DEL_CD2_SBI_9_10_!AR34,EL_DEL_CD2_STAB_!AR34,EL_DEL_CD2_JO_L_!AR34,EL_DEL_CD2_SBI_L_1_4_!AR34,EL_DEL_CD2_SBI_L_5_6_!AR34,EL_DEL_CD2_SBI_L_7_8_!AR34,EL_DEL_CD2_SBI_L_9_10_!AR34,EL_DEL_CD2_L_STAB_!AR34),"0:00")</f>
        <v>0:00</v>
      </c>
      <c r="AS34" s="152" t="str">
        <f>+IFERROR(AVERAGE(EL_DEL_CD2_JO_!AS34,EL_DEL_CD2_SBI_1_4_!AS34,EL_DEL_CD2_SBI_5_6_!AS34,EL_DEL_CD2_SBI_7_8_!AS34,EL_DEL_CD2_SBI_9_10_!AS34,EL_DEL_CD2_STAB_!AS34,EL_DEL_CD2_JO_L_!AS34,EL_DEL_CD2_SBI_L_1_4_!AS34,EL_DEL_CD2_SBI_L_5_6_!AS34,EL_DEL_CD2_SBI_L_7_8_!AS34,EL_DEL_CD2_SBI_L_9_10_!AS34,EL_DEL_CD2_L_STAB_!AS34),"0:00")</f>
        <v>0:00</v>
      </c>
      <c r="AT34" s="98">
        <f>+SUM(EL_DEL_CD2_JO_!AT34,EL_DEL_CD2_SBI_1_4_!AT34,EL_DEL_CD2_SBI_5_6_!AT34,EL_DEL_CD2_SBI_7_8_!AT34,EL_DEL_CD2_SBI_9_10_!AT34,EL_DEL_CD2_STAB_!AT34,EL_DEL_CD2_JO_L_!AT34,EL_DEL_CD2_SBI_L_1_4_!AT34,EL_DEL_CD2_SBI_L_5_6_!AT34,EL_DEL_CD2_SBI_L_7_8_!AT34,EL_DEL_CD2_SBI_L_9_10_!AT34,EL_DEL_CD2_L_STAB_!AT34)</f>
        <v>0</v>
      </c>
      <c r="AU34" s="98">
        <f>+SUM(EL_DEL_CD2_JO_!AU34,EL_DEL_CD2_SBI_1_4_!AU34,EL_DEL_CD2_SBI_5_6_!AU34,EL_DEL_CD2_SBI_7_8_!AU34,EL_DEL_CD2_SBI_9_10_!AU34,EL_DEL_CD2_STAB_!AU34,EL_DEL_CD2_JO_L_!AU34,EL_DEL_CD2_SBI_L_1_4_!AU34,EL_DEL_CD2_SBI_L_5_6_!AU34,EL_DEL_CD2_SBI_L_7_8_!AU34,EL_DEL_CD2_SBI_L_9_10_!AU34,EL_DEL_CD2_L_STAB_!AU34)</f>
        <v>0</v>
      </c>
      <c r="AV34" s="98">
        <f>+SUM(EL_DEL_CD2_JO_!AV34,EL_DEL_CD2_SBI_1_4_!AV34,EL_DEL_CD2_SBI_5_6_!AV34,EL_DEL_CD2_SBI_7_8_!AV34,EL_DEL_CD2_SBI_9_10_!AV34,EL_DEL_CD2_STAB_!AV34,EL_DEL_CD2_JO_L_!AV34,EL_DEL_CD2_SBI_L_1_4_!AV34,EL_DEL_CD2_SBI_L_5_6_!AV34,EL_DEL_CD2_SBI_L_7_8_!AV34,EL_DEL_CD2_SBI_L_9_10_!AV34,EL_DEL_CD2_L_STAB_!AV34)</f>
        <v>0</v>
      </c>
      <c r="AW34" s="167">
        <f>+SUM(EL_DEL_CD2_JO_!AW34,EL_DEL_CD2_SBI_1_4_!AW34,EL_DEL_CD2_SBI_5_6_!AW34,EL_DEL_CD2_SBI_7_8_!AW34,EL_DEL_CD2_SBI_9_10_!AW34,EL_DEL_CD2_STAB_!AW34,EL_DEL_CD2_JO_L_!AW34,EL_DEL_CD2_SBI_L_1_4_!AW34,EL_DEL_CD2_SBI_L_5_6_!AW34,EL_DEL_CD2_SBI_L_7_8_!AW34,EL_DEL_CD2_SBI_L_9_10_!AW34,EL_DEL_CD2_L_STAB_!AW34)</f>
        <v>0</v>
      </c>
      <c r="AX34" s="102" t="str">
        <f t="shared" si="24"/>
        <v>-</v>
      </c>
      <c r="AY34" s="151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51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>+IF(SUM(AO34:AR34)&gt;0,AO34/AN34,"")</f>
        <v/>
      </c>
      <c r="BH34" s="119" t="str">
        <f t="shared" si="8"/>
        <v/>
      </c>
      <c r="BI34" s="120" t="str">
        <f>+IF(SUM(AO34:AR34)&gt;0,AQ34/AN34,"")</f>
        <v/>
      </c>
      <c r="BJ34" s="151"/>
      <c r="BK34" s="121" t="str">
        <f t="shared" si="9"/>
        <v/>
      </c>
      <c r="BL34" s="122" t="str">
        <f t="shared" si="10"/>
        <v/>
      </c>
      <c r="BM34" s="122" t="str">
        <f t="shared" si="11"/>
        <v/>
      </c>
      <c r="BN34" s="123" t="str">
        <f t="shared" si="12"/>
        <v/>
      </c>
      <c r="BO34" s="151"/>
      <c r="BP34" s="124" t="str">
        <f t="shared" si="13"/>
        <v/>
      </c>
      <c r="BQ34" s="125">
        <v>0</v>
      </c>
      <c r="BR34" s="125" t="str">
        <f>IF(AJ34&gt;0,(AK34/AJ34),"")</f>
        <v/>
      </c>
      <c r="BS34" s="125" t="str">
        <f>IF(AJ34&gt;0,(AK34/AJ34),"")</f>
        <v/>
      </c>
      <c r="BT34" s="126" t="str">
        <f t="shared" si="14"/>
        <v/>
      </c>
      <c r="BU34" s="151"/>
      <c r="BV34" s="127" t="e">
        <f t="shared" si="15"/>
        <v>#DIV/0!</v>
      </c>
      <c r="BW34" s="127" t="e">
        <f t="shared" si="16"/>
        <v>#DIV/0!</v>
      </c>
      <c r="BX34" s="127" t="e">
        <f t="shared" si="17"/>
        <v>#DIV/0!</v>
      </c>
      <c r="BY34" s="127" t="e">
        <f t="shared" si="18"/>
        <v>#DIV/0!</v>
      </c>
      <c r="BZ34" s="127" t="e">
        <f>IF(AN34&gt;0,(AJ34/AN34),"")</f>
        <v>#DIV/0!</v>
      </c>
      <c r="CA34" s="128" t="e">
        <f>IF(AN34&gt;0,(AK34/AN34),"")</f>
        <v>#DIV/0!</v>
      </c>
      <c r="CB34" s="151"/>
      <c r="CC34" s="129" t="str">
        <f t="shared" si="19"/>
        <v>-</v>
      </c>
      <c r="CD34" s="130" t="str">
        <f t="shared" si="20"/>
        <v>-</v>
      </c>
      <c r="CE34" s="130" t="str">
        <f t="shared" si="21"/>
        <v>-</v>
      </c>
      <c r="CF34" s="130" t="str">
        <f t="shared" si="22"/>
        <v>-</v>
      </c>
      <c r="CG34" s="131" t="str">
        <f t="shared" si="23"/>
        <v>-</v>
      </c>
      <c r="CH34" s="151"/>
    </row>
    <row r="35" spans="1:86" ht="12" thickBot="1" x14ac:dyDescent="0.25">
      <c r="A35" s="235" t="s">
        <v>68</v>
      </c>
      <c r="B35" s="236"/>
      <c r="C35" s="109">
        <f t="shared" ref="C35:AW35" si="33">AVERAGE(C4:C34)</f>
        <v>0</v>
      </c>
      <c r="D35" s="109">
        <f t="shared" si="33"/>
        <v>0</v>
      </c>
      <c r="E35" s="109">
        <f t="shared" si="33"/>
        <v>0</v>
      </c>
      <c r="F35" s="109">
        <f t="shared" si="33"/>
        <v>0</v>
      </c>
      <c r="G35" s="109">
        <f t="shared" si="33"/>
        <v>0</v>
      </c>
      <c r="H35" s="109">
        <f t="shared" si="33"/>
        <v>0</v>
      </c>
      <c r="I35" s="109">
        <f t="shared" si="33"/>
        <v>0</v>
      </c>
      <c r="J35" s="109">
        <f t="shared" si="33"/>
        <v>0</v>
      </c>
      <c r="K35" s="109">
        <f t="shared" si="33"/>
        <v>0</v>
      </c>
      <c r="L35" s="109">
        <f t="shared" si="33"/>
        <v>0</v>
      </c>
      <c r="M35" s="109">
        <f t="shared" si="33"/>
        <v>0</v>
      </c>
      <c r="N35" s="109">
        <f t="shared" si="33"/>
        <v>0</v>
      </c>
      <c r="O35" s="109">
        <f t="shared" si="33"/>
        <v>0</v>
      </c>
      <c r="P35" s="109">
        <f t="shared" si="33"/>
        <v>0</v>
      </c>
      <c r="Q35" s="109">
        <f t="shared" si="33"/>
        <v>0</v>
      </c>
      <c r="R35" s="109">
        <f t="shared" si="33"/>
        <v>0</v>
      </c>
      <c r="S35" s="109">
        <f t="shared" si="33"/>
        <v>0</v>
      </c>
      <c r="T35" s="109">
        <f t="shared" si="33"/>
        <v>0</v>
      </c>
      <c r="U35" s="109">
        <f t="shared" si="33"/>
        <v>0</v>
      </c>
      <c r="V35" s="109">
        <f t="shared" si="33"/>
        <v>0</v>
      </c>
      <c r="W35" s="109">
        <f t="shared" si="33"/>
        <v>0</v>
      </c>
      <c r="X35" s="109">
        <f t="shared" si="33"/>
        <v>0</v>
      </c>
      <c r="Y35" s="109">
        <f t="shared" si="33"/>
        <v>0</v>
      </c>
      <c r="Z35" s="109">
        <f t="shared" si="33"/>
        <v>0</v>
      </c>
      <c r="AA35" s="109">
        <f t="shared" si="33"/>
        <v>0</v>
      </c>
      <c r="AB35" s="109">
        <f t="shared" si="33"/>
        <v>0</v>
      </c>
      <c r="AC35" s="109">
        <f t="shared" si="33"/>
        <v>0</v>
      </c>
      <c r="AD35" s="109">
        <f t="shared" si="33"/>
        <v>0</v>
      </c>
      <c r="AE35" s="109">
        <f t="shared" si="33"/>
        <v>0</v>
      </c>
      <c r="AF35" s="109">
        <f t="shared" si="33"/>
        <v>0</v>
      </c>
      <c r="AG35" s="109">
        <f t="shared" si="33"/>
        <v>0</v>
      </c>
      <c r="AH35" s="109">
        <f t="shared" si="33"/>
        <v>0</v>
      </c>
      <c r="AI35" s="109">
        <f t="shared" si="33"/>
        <v>0</v>
      </c>
      <c r="AJ35" s="109">
        <f t="shared" si="33"/>
        <v>0</v>
      </c>
      <c r="AK35" s="109">
        <f t="shared" si="33"/>
        <v>0</v>
      </c>
      <c r="AL35" s="109" t="e">
        <f t="shared" si="33"/>
        <v>#DIV/0!</v>
      </c>
      <c r="AM35" s="109" t="e">
        <f t="shared" si="33"/>
        <v>#DIV/0!</v>
      </c>
      <c r="AN35" s="109" t="e">
        <f t="shared" si="33"/>
        <v>#DIV/0!</v>
      </c>
      <c r="AO35" s="109" t="e">
        <f t="shared" si="33"/>
        <v>#DIV/0!</v>
      </c>
      <c r="AP35" s="109" t="e">
        <f t="shared" si="33"/>
        <v>#DIV/0!</v>
      </c>
      <c r="AQ35" s="109" t="e">
        <f t="shared" si="33"/>
        <v>#DIV/0!</v>
      </c>
      <c r="AR35" s="109" t="e">
        <f t="shared" si="33"/>
        <v>#DIV/0!</v>
      </c>
      <c r="AS35" s="109" t="e">
        <f t="shared" si="33"/>
        <v>#DIV/0!</v>
      </c>
      <c r="AT35" s="109">
        <f t="shared" si="33"/>
        <v>0</v>
      </c>
      <c r="AU35" s="109">
        <f t="shared" si="33"/>
        <v>0</v>
      </c>
      <c r="AV35" s="109">
        <f t="shared" si="33"/>
        <v>0</v>
      </c>
      <c r="AW35" s="109">
        <f t="shared" si="33"/>
        <v>0</v>
      </c>
      <c r="AX35" s="153" t="str">
        <f>IFERROR(AN35/AW35,"-")</f>
        <v>-</v>
      </c>
      <c r="AY35" s="151"/>
      <c r="AZ35" s="133" t="str">
        <f t="shared" si="1"/>
        <v/>
      </c>
      <c r="BA35" s="134" t="str">
        <f t="shared" si="2"/>
        <v/>
      </c>
      <c r="BB35" s="135" t="str">
        <f t="shared" si="3"/>
        <v/>
      </c>
      <c r="BC35" s="151"/>
      <c r="BD35" s="133" t="str">
        <f t="shared" si="4"/>
        <v/>
      </c>
      <c r="BE35" s="136" t="str">
        <f t="shared" si="5"/>
        <v/>
      </c>
      <c r="BF35" s="136" t="str">
        <f t="shared" si="6"/>
        <v/>
      </c>
      <c r="BG35" s="136" t="e">
        <f>+IF(SUM(AO35:AR35)&gt;0,AO35/AN35,"")</f>
        <v>#DIV/0!</v>
      </c>
      <c r="BH35" s="136" t="str">
        <f t="shared" si="8"/>
        <v/>
      </c>
      <c r="BI35" s="135" t="e">
        <f>+IF(SUM(AO35:AR35)&gt;0,AQ35/AN35,"")</f>
        <v>#DIV/0!</v>
      </c>
      <c r="BJ35" s="151"/>
      <c r="BK35" s="133" t="str">
        <f t="shared" si="9"/>
        <v/>
      </c>
      <c r="BL35" s="136" t="str">
        <f t="shared" si="10"/>
        <v/>
      </c>
      <c r="BM35" s="136" t="str">
        <f t="shared" si="11"/>
        <v/>
      </c>
      <c r="BN35" s="135" t="str">
        <f t="shared" si="12"/>
        <v/>
      </c>
      <c r="BO35" s="151"/>
      <c r="BP35" s="133" t="str">
        <f t="shared" si="13"/>
        <v/>
      </c>
      <c r="BQ35" s="136">
        <v>0</v>
      </c>
      <c r="BR35" s="136" t="str">
        <f>IF(AJ35&gt;0,(AK35/AJ35),"")</f>
        <v/>
      </c>
      <c r="BS35" s="136" t="str">
        <f>IF(AJ35&gt;0,(AK35/AJ35),"")</f>
        <v/>
      </c>
      <c r="BT35" s="135" t="str">
        <f t="shared" si="14"/>
        <v/>
      </c>
      <c r="BU35" s="151"/>
      <c r="BV35" s="137" t="e">
        <f t="shared" si="15"/>
        <v>#DIV/0!</v>
      </c>
      <c r="BW35" s="138" t="e">
        <f t="shared" si="16"/>
        <v>#DIV/0!</v>
      </c>
      <c r="BX35" s="138" t="e">
        <f t="shared" si="17"/>
        <v>#DIV/0!</v>
      </c>
      <c r="BY35" s="138" t="e">
        <f t="shared" si="18"/>
        <v>#DIV/0!</v>
      </c>
      <c r="BZ35" s="138" t="e">
        <f>IF(AN35&gt;0,(AJ35/AN35),"")</f>
        <v>#DIV/0!</v>
      </c>
      <c r="CA35" s="139" t="e">
        <f>IF(AN35&gt;0,(AK35/AN35),"")</f>
        <v>#DIV/0!</v>
      </c>
      <c r="CB35" s="151"/>
      <c r="CC35" s="137" t="str">
        <f t="shared" si="19"/>
        <v>-</v>
      </c>
      <c r="CD35" s="138" t="str">
        <f t="shared" si="20"/>
        <v>-</v>
      </c>
      <c r="CE35" s="138" t="str">
        <f t="shared" si="21"/>
        <v>-</v>
      </c>
      <c r="CF35" s="138" t="str">
        <f t="shared" si="22"/>
        <v>-</v>
      </c>
      <c r="CG35" s="139" t="str">
        <f t="shared" si="23"/>
        <v>-</v>
      </c>
      <c r="CH35" s="151"/>
    </row>
    <row r="36" spans="1:86" ht="12" thickBot="1" x14ac:dyDescent="0.25">
      <c r="A36" s="235" t="s">
        <v>69</v>
      </c>
      <c r="B36" s="236"/>
      <c r="C36" s="111">
        <f t="shared" ref="C36:AW36" si="34">SUM(C4:C34)</f>
        <v>0</v>
      </c>
      <c r="D36" s="111">
        <f t="shared" si="34"/>
        <v>0</v>
      </c>
      <c r="E36" s="111">
        <f t="shared" si="34"/>
        <v>0</v>
      </c>
      <c r="F36" s="111">
        <f t="shared" si="34"/>
        <v>0</v>
      </c>
      <c r="G36" s="111">
        <f t="shared" si="34"/>
        <v>0</v>
      </c>
      <c r="H36" s="111">
        <f t="shared" si="34"/>
        <v>0</v>
      </c>
      <c r="I36" s="111">
        <f t="shared" si="34"/>
        <v>0</v>
      </c>
      <c r="J36" s="111">
        <f t="shared" si="34"/>
        <v>0</v>
      </c>
      <c r="K36" s="111">
        <f t="shared" si="34"/>
        <v>0</v>
      </c>
      <c r="L36" s="111">
        <f t="shared" si="34"/>
        <v>0</v>
      </c>
      <c r="M36" s="111">
        <f t="shared" si="34"/>
        <v>0</v>
      </c>
      <c r="N36" s="111">
        <f t="shared" si="34"/>
        <v>0</v>
      </c>
      <c r="O36" s="111">
        <f t="shared" si="34"/>
        <v>0</v>
      </c>
      <c r="P36" s="111">
        <f t="shared" si="34"/>
        <v>0</v>
      </c>
      <c r="Q36" s="111">
        <f t="shared" si="34"/>
        <v>0</v>
      </c>
      <c r="R36" s="111">
        <f t="shared" si="34"/>
        <v>0</v>
      </c>
      <c r="S36" s="111">
        <f t="shared" si="34"/>
        <v>0</v>
      </c>
      <c r="T36" s="111">
        <f t="shared" si="34"/>
        <v>0</v>
      </c>
      <c r="U36" s="111">
        <f t="shared" si="34"/>
        <v>0</v>
      </c>
      <c r="V36" s="111">
        <f t="shared" si="34"/>
        <v>0</v>
      </c>
      <c r="W36" s="111">
        <f t="shared" si="34"/>
        <v>0</v>
      </c>
      <c r="X36" s="111">
        <f t="shared" si="34"/>
        <v>0</v>
      </c>
      <c r="Y36" s="111">
        <f t="shared" si="34"/>
        <v>0</v>
      </c>
      <c r="Z36" s="111">
        <f t="shared" si="34"/>
        <v>0</v>
      </c>
      <c r="AA36" s="111">
        <f t="shared" si="34"/>
        <v>0</v>
      </c>
      <c r="AB36" s="111">
        <f t="shared" si="34"/>
        <v>0</v>
      </c>
      <c r="AC36" s="111">
        <f t="shared" si="34"/>
        <v>0</v>
      </c>
      <c r="AD36" s="111">
        <f t="shared" si="34"/>
        <v>0</v>
      </c>
      <c r="AE36" s="111">
        <f t="shared" si="34"/>
        <v>0</v>
      </c>
      <c r="AF36" s="111">
        <f t="shared" si="34"/>
        <v>0</v>
      </c>
      <c r="AG36" s="111">
        <f t="shared" si="34"/>
        <v>0</v>
      </c>
      <c r="AH36" s="111">
        <f t="shared" si="34"/>
        <v>0</v>
      </c>
      <c r="AI36" s="111">
        <f t="shared" si="34"/>
        <v>0</v>
      </c>
      <c r="AJ36" s="111">
        <f t="shared" si="34"/>
        <v>0</v>
      </c>
      <c r="AK36" s="111">
        <f t="shared" si="34"/>
        <v>0</v>
      </c>
      <c r="AL36" s="111">
        <f t="shared" si="34"/>
        <v>0</v>
      </c>
      <c r="AM36" s="111">
        <f t="shared" si="34"/>
        <v>0</v>
      </c>
      <c r="AN36" s="111">
        <f t="shared" si="34"/>
        <v>0</v>
      </c>
      <c r="AO36" s="111">
        <f t="shared" si="34"/>
        <v>0</v>
      </c>
      <c r="AP36" s="111">
        <f t="shared" si="34"/>
        <v>0</v>
      </c>
      <c r="AQ36" s="111">
        <f t="shared" si="34"/>
        <v>0</v>
      </c>
      <c r="AR36" s="111">
        <f t="shared" si="34"/>
        <v>0</v>
      </c>
      <c r="AS36" s="111">
        <f t="shared" si="34"/>
        <v>0</v>
      </c>
      <c r="AT36" s="111">
        <f t="shared" si="34"/>
        <v>0</v>
      </c>
      <c r="AU36" s="111">
        <f t="shared" si="34"/>
        <v>0</v>
      </c>
      <c r="AV36" s="111">
        <f t="shared" si="34"/>
        <v>0</v>
      </c>
      <c r="AW36" s="111">
        <f t="shared" si="34"/>
        <v>0</v>
      </c>
      <c r="AX36" s="155" t="str">
        <f>IFERROR(AN36/AW36,"-")</f>
        <v>-</v>
      </c>
      <c r="AY36" s="156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56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>+IF(SUM(AO36:AR36)&gt;0,AO36/AN36,"")</f>
        <v/>
      </c>
      <c r="BH36" s="144" t="str">
        <f t="shared" si="8"/>
        <v/>
      </c>
      <c r="BI36" s="143" t="str">
        <f>+IF(SUM(AO36:AR36)&gt;0,AQ36/AN36,"")</f>
        <v/>
      </c>
      <c r="BJ36" s="156"/>
      <c r="BK36" s="141" t="str">
        <f t="shared" si="9"/>
        <v/>
      </c>
      <c r="BL36" s="144" t="str">
        <f t="shared" si="10"/>
        <v/>
      </c>
      <c r="BM36" s="144" t="str">
        <f t="shared" si="11"/>
        <v/>
      </c>
      <c r="BN36" s="143" t="str">
        <f t="shared" si="12"/>
        <v/>
      </c>
      <c r="BO36" s="156"/>
      <c r="BP36" s="141" t="str">
        <f t="shared" si="13"/>
        <v/>
      </c>
      <c r="BQ36" s="144">
        <v>0</v>
      </c>
      <c r="BR36" s="144" t="str">
        <f>IF(AJ36&gt;0,(AK36/AJ36),"")</f>
        <v/>
      </c>
      <c r="BS36" s="144" t="str">
        <f>IF(AJ36&gt;0,(AK36/AJ36),"")</f>
        <v/>
      </c>
      <c r="BT36" s="143" t="str">
        <f t="shared" si="14"/>
        <v/>
      </c>
      <c r="BU36" s="156"/>
      <c r="BV36" s="145" t="str">
        <f t="shared" si="15"/>
        <v/>
      </c>
      <c r="BW36" s="146" t="str">
        <f t="shared" si="16"/>
        <v/>
      </c>
      <c r="BX36" s="146" t="str">
        <f t="shared" si="17"/>
        <v/>
      </c>
      <c r="BY36" s="146" t="str">
        <f t="shared" si="18"/>
        <v/>
      </c>
      <c r="BZ36" s="146" t="str">
        <f>IF(AN36&gt;0,(AJ36/AN36),"")</f>
        <v/>
      </c>
      <c r="CA36" s="147" t="str">
        <f>IF(AN36&gt;0,(AK36/AN36),"")</f>
        <v/>
      </c>
      <c r="CB36" s="156"/>
      <c r="CC36" s="145" t="str">
        <f t="shared" si="19"/>
        <v>-</v>
      </c>
      <c r="CD36" s="146" t="str">
        <f t="shared" si="20"/>
        <v>-</v>
      </c>
      <c r="CE36" s="146" t="str">
        <f t="shared" si="21"/>
        <v>-</v>
      </c>
      <c r="CF36" s="146" t="str">
        <f t="shared" si="22"/>
        <v>-</v>
      </c>
      <c r="CG36" s="147" t="str">
        <f t="shared" si="23"/>
        <v>-</v>
      </c>
      <c r="CH36" s="156"/>
    </row>
    <row r="37" spans="1:86" x14ac:dyDescent="0.2"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</sheetData>
  <mergeCells count="88"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  <mergeCell ref="BP1:BT1"/>
    <mergeCell ref="BV1:CA1"/>
    <mergeCell ref="V2:V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AH2:AH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BH2:BH3"/>
    <mergeCell ref="AU2:AU3"/>
    <mergeCell ref="AV2:AV3"/>
    <mergeCell ref="AW2:AW3"/>
    <mergeCell ref="AX2:AX3"/>
    <mergeCell ref="AZ2:AZ3"/>
    <mergeCell ref="BA2:BA3"/>
    <mergeCell ref="BB2:BB3"/>
    <mergeCell ref="BD2:BD3"/>
    <mergeCell ref="BE2:BE3"/>
    <mergeCell ref="BF2:BF3"/>
    <mergeCell ref="BG2:BG3"/>
    <mergeCell ref="BW2:BW3"/>
    <mergeCell ref="BI2:BI3"/>
    <mergeCell ref="BK2:BK3"/>
    <mergeCell ref="BL2:BL3"/>
    <mergeCell ref="BM2:BM3"/>
    <mergeCell ref="BN2:BN3"/>
    <mergeCell ref="BP2:BP3"/>
    <mergeCell ref="A35:B35"/>
    <mergeCell ref="A36:B36"/>
    <mergeCell ref="CE2:CE3"/>
    <mergeCell ref="CF2:CF3"/>
    <mergeCell ref="CG2:CG3"/>
    <mergeCell ref="BX2:BX3"/>
    <mergeCell ref="BY2:BY3"/>
    <mergeCell ref="BZ2:BZ3"/>
    <mergeCell ref="CA2:CA3"/>
    <mergeCell ref="CC2:CC3"/>
    <mergeCell ref="CD2:CD3"/>
    <mergeCell ref="BQ2:BQ3"/>
    <mergeCell ref="BR2:BR3"/>
    <mergeCell ref="BS2:BS3"/>
    <mergeCell ref="BT2:BT3"/>
    <mergeCell ref="BV2:BV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4"/>
  <sheetViews>
    <sheetView showGridLines="0" zoomScaleNormal="100" workbookViewId="0">
      <selection activeCell="A4" sqref="A4"/>
    </sheetView>
  </sheetViews>
  <sheetFormatPr defaultColWidth="0" defaultRowHeight="11.25" x14ac:dyDescent="0.2"/>
  <cols>
    <col min="1" max="1" width="9.7109375" style="36" customWidth="1"/>
    <col min="2" max="2" width="4.5703125" style="36" customWidth="1"/>
    <col min="3" max="4" width="9.42578125" style="36" customWidth="1"/>
    <col min="5" max="5" width="10.5703125" style="36" customWidth="1"/>
    <col min="6" max="6" width="9.42578125" style="36" customWidth="1"/>
    <col min="7" max="7" width="7.7109375" style="36" customWidth="1"/>
    <col min="8" max="8" width="13.28515625" style="36" customWidth="1"/>
    <col min="9" max="9" width="8.7109375" style="36" customWidth="1"/>
    <col min="10" max="10" width="9.42578125" style="36" customWidth="1"/>
    <col min="11" max="11" width="5.7109375" style="36" customWidth="1"/>
    <col min="12" max="12" width="7.28515625" style="36" customWidth="1"/>
    <col min="13" max="33" width="5.7109375" style="36" customWidth="1"/>
    <col min="34" max="34" width="6.7109375" style="36" customWidth="1"/>
    <col min="35" max="35" width="9" style="36" customWidth="1"/>
    <col min="36" max="36" width="9.5703125" style="36" customWidth="1"/>
    <col min="37" max="37" width="13" style="36" bestFit="1" customWidth="1"/>
    <col min="38" max="39" width="13.7109375" style="36" bestFit="1" customWidth="1"/>
    <col min="40" max="44" width="10.7109375" style="36" customWidth="1"/>
    <col min="45" max="45" width="10.85546875" style="38" bestFit="1" customWidth="1"/>
    <col min="46" max="46" width="9.7109375" style="36" customWidth="1"/>
    <col min="47" max="47" width="10.7109375" style="36" customWidth="1"/>
    <col min="48" max="49" width="8.7109375" style="36" customWidth="1"/>
    <col min="50" max="50" width="1.28515625" style="36" customWidth="1"/>
    <col min="51" max="51" width="14.140625" style="36" bestFit="1" customWidth="1"/>
    <col min="52" max="52" width="10.28515625" style="36" bestFit="1" customWidth="1"/>
    <col min="53" max="53" width="11.28515625" style="36" bestFit="1" customWidth="1"/>
    <col min="54" max="54" width="1.28515625" style="36" customWidth="1"/>
    <col min="55" max="55" width="11.28515625" style="36" bestFit="1" customWidth="1"/>
    <col min="56" max="56" width="11.7109375" style="36" bestFit="1" customWidth="1"/>
    <col min="57" max="57" width="17.7109375" style="36" bestFit="1" customWidth="1"/>
    <col min="58" max="58" width="8.28515625" style="36" bestFit="1" customWidth="1"/>
    <col min="59" max="59" width="12.7109375" style="36" bestFit="1" customWidth="1"/>
    <col min="60" max="60" width="9.42578125" style="36" bestFit="1" customWidth="1"/>
    <col min="61" max="61" width="1.28515625" style="36" customWidth="1"/>
    <col min="62" max="62" width="17.5703125" style="36" bestFit="1" customWidth="1"/>
    <col min="63" max="63" width="21.28515625" style="36" bestFit="1" customWidth="1"/>
    <col min="64" max="64" width="11.7109375" style="36" bestFit="1" customWidth="1"/>
    <col min="65" max="65" width="15.5703125" style="36" bestFit="1" customWidth="1"/>
    <col min="66" max="66" width="1.28515625" style="36" customWidth="1"/>
    <col min="67" max="67" width="8.28515625" style="36" bestFit="1" customWidth="1"/>
    <col min="68" max="68" width="11.28515625" style="36" bestFit="1" customWidth="1"/>
    <col min="69" max="69" width="12.42578125" style="36" bestFit="1" customWidth="1"/>
    <col min="70" max="70" width="11.7109375" style="36" bestFit="1" customWidth="1"/>
    <col min="71" max="71" width="7.28515625" style="36" bestFit="1" customWidth="1"/>
    <col min="72" max="72" width="1.28515625" style="36" customWidth="1"/>
    <col min="73" max="76" width="12.7109375" style="36" customWidth="1"/>
    <col min="77" max="78" width="10.7109375" style="36" customWidth="1"/>
    <col min="79" max="79" width="1.28515625" style="36" customWidth="1"/>
    <col min="80" max="81" width="10.7109375" style="36" customWidth="1"/>
    <col min="82" max="82" width="7" style="36" customWidth="1"/>
    <col min="83" max="84" width="10.7109375" style="36" customWidth="1"/>
    <col min="85" max="85" width="1.28515625" style="36" customWidth="1"/>
    <col min="86" max="103" width="0" style="36" hidden="1" customWidth="1"/>
    <col min="104" max="16384" width="10.7109375" style="36" hidden="1"/>
  </cols>
  <sheetData>
    <row r="1" spans="1:85" s="27" customFormat="1" ht="13.15" customHeight="1" thickBot="1" x14ac:dyDescent="0.25">
      <c r="A1" s="269" t="s">
        <v>0</v>
      </c>
      <c r="B1" s="27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2"/>
      <c r="AX1" s="39"/>
      <c r="AY1" s="271" t="s">
        <v>1</v>
      </c>
      <c r="AZ1" s="272"/>
      <c r="BA1" s="273"/>
      <c r="BB1" s="39"/>
      <c r="BC1" s="256" t="s">
        <v>2</v>
      </c>
      <c r="BD1" s="257"/>
      <c r="BE1" s="257"/>
      <c r="BF1" s="257"/>
      <c r="BG1" s="257"/>
      <c r="BH1" s="258"/>
      <c r="BI1" s="39"/>
      <c r="BJ1" s="256" t="s">
        <v>3</v>
      </c>
      <c r="BK1" s="257"/>
      <c r="BL1" s="257"/>
      <c r="BM1" s="258"/>
      <c r="BN1" s="39"/>
      <c r="BO1" s="256" t="s">
        <v>4</v>
      </c>
      <c r="BP1" s="257"/>
      <c r="BQ1" s="257"/>
      <c r="BR1" s="257"/>
      <c r="BS1" s="258"/>
      <c r="BT1" s="39"/>
      <c r="BU1" s="256" t="s">
        <v>5</v>
      </c>
      <c r="BV1" s="257"/>
      <c r="BW1" s="257"/>
      <c r="BX1" s="257"/>
      <c r="BY1" s="257"/>
      <c r="BZ1" s="258"/>
      <c r="CA1" s="39"/>
      <c r="CB1" s="256" t="s">
        <v>6</v>
      </c>
      <c r="CC1" s="257"/>
      <c r="CD1" s="257"/>
      <c r="CE1" s="257"/>
      <c r="CF1" s="258"/>
      <c r="CG1" s="39"/>
    </row>
    <row r="2" spans="1:85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78</v>
      </c>
      <c r="V2" s="259" t="s">
        <v>24</v>
      </c>
      <c r="W2" s="259" t="s">
        <v>85</v>
      </c>
      <c r="X2" s="259" t="s">
        <v>25</v>
      </c>
      <c r="Y2" s="259" t="s">
        <v>70</v>
      </c>
      <c r="Z2" s="259" t="s">
        <v>79</v>
      </c>
      <c r="AA2" s="259" t="s">
        <v>76</v>
      </c>
      <c r="AB2" s="259" t="s">
        <v>77</v>
      </c>
      <c r="AC2" s="259" t="s">
        <v>80</v>
      </c>
      <c r="AD2" s="259" t="s">
        <v>75</v>
      </c>
      <c r="AE2" s="259" t="s">
        <v>74</v>
      </c>
      <c r="AF2" s="259" t="s">
        <v>72</v>
      </c>
      <c r="AG2" s="259" t="s">
        <v>73</v>
      </c>
      <c r="AH2" s="259" t="s">
        <v>26</v>
      </c>
      <c r="AI2" s="259" t="s">
        <v>27</v>
      </c>
      <c r="AJ2" s="259" t="s">
        <v>28</v>
      </c>
      <c r="AK2" s="276" t="s">
        <v>29</v>
      </c>
      <c r="AL2" s="276" t="s">
        <v>30</v>
      </c>
      <c r="AM2" s="286" t="s">
        <v>31</v>
      </c>
      <c r="AN2" s="286" t="s">
        <v>32</v>
      </c>
      <c r="AO2" s="286" t="s">
        <v>33</v>
      </c>
      <c r="AP2" s="286" t="s">
        <v>34</v>
      </c>
      <c r="AQ2" s="286" t="s">
        <v>35</v>
      </c>
      <c r="AR2" s="286" t="s">
        <v>36</v>
      </c>
      <c r="AS2" s="315" t="s">
        <v>37</v>
      </c>
      <c r="AT2" s="278" t="s">
        <v>82</v>
      </c>
      <c r="AU2" s="278" t="s">
        <v>81</v>
      </c>
      <c r="AV2" s="280" t="s">
        <v>38</v>
      </c>
      <c r="AW2" s="282" t="s">
        <v>39</v>
      </c>
      <c r="AX2" s="39"/>
      <c r="AY2" s="284" t="s">
        <v>40</v>
      </c>
      <c r="AZ2" s="311" t="s">
        <v>41</v>
      </c>
      <c r="BA2" s="313" t="s">
        <v>42</v>
      </c>
      <c r="BB2" s="39"/>
      <c r="BC2" s="292" t="s">
        <v>43</v>
      </c>
      <c r="BD2" s="294" t="s">
        <v>44</v>
      </c>
      <c r="BE2" s="294" t="s">
        <v>45</v>
      </c>
      <c r="BF2" s="294" t="s">
        <v>46</v>
      </c>
      <c r="BG2" s="294" t="s">
        <v>47</v>
      </c>
      <c r="BH2" s="298" t="s">
        <v>48</v>
      </c>
      <c r="BI2" s="39"/>
      <c r="BJ2" s="302" t="s">
        <v>49</v>
      </c>
      <c r="BK2" s="303" t="s">
        <v>50</v>
      </c>
      <c r="BL2" s="303" t="s">
        <v>51</v>
      </c>
      <c r="BM2" s="310" t="s">
        <v>52</v>
      </c>
      <c r="BN2" s="39"/>
      <c r="BO2" s="292" t="s">
        <v>53</v>
      </c>
      <c r="BP2" s="294" t="s">
        <v>54</v>
      </c>
      <c r="BQ2" s="296" t="s">
        <v>67</v>
      </c>
      <c r="BR2" s="294" t="s">
        <v>55</v>
      </c>
      <c r="BS2" s="298" t="s">
        <v>86</v>
      </c>
      <c r="BT2" s="39"/>
      <c r="BU2" s="300" t="s">
        <v>56</v>
      </c>
      <c r="BV2" s="290" t="s">
        <v>57</v>
      </c>
      <c r="BW2" s="290" t="s">
        <v>58</v>
      </c>
      <c r="BX2" s="259" t="s">
        <v>59</v>
      </c>
      <c r="BY2" s="290" t="s">
        <v>60</v>
      </c>
      <c r="BZ2" s="306" t="s">
        <v>61</v>
      </c>
      <c r="CA2" s="39"/>
      <c r="CB2" s="308" t="s">
        <v>62</v>
      </c>
      <c r="CC2" s="296" t="s">
        <v>63</v>
      </c>
      <c r="CD2" s="296" t="s">
        <v>64</v>
      </c>
      <c r="CE2" s="296" t="s">
        <v>65</v>
      </c>
      <c r="CF2" s="304" t="s">
        <v>66</v>
      </c>
      <c r="CG2" s="39"/>
    </row>
    <row r="3" spans="1:85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77"/>
      <c r="AL3" s="277"/>
      <c r="AM3" s="287"/>
      <c r="AN3" s="287"/>
      <c r="AO3" s="287"/>
      <c r="AP3" s="287"/>
      <c r="AQ3" s="287"/>
      <c r="AR3" s="287"/>
      <c r="AS3" s="316"/>
      <c r="AT3" s="279"/>
      <c r="AU3" s="279"/>
      <c r="AV3" s="281"/>
      <c r="AW3" s="283" t="s">
        <v>38</v>
      </c>
      <c r="AX3" s="39"/>
      <c r="AY3" s="285"/>
      <c r="AZ3" s="312"/>
      <c r="BA3" s="314"/>
      <c r="BB3" s="39"/>
      <c r="BC3" s="293"/>
      <c r="BD3" s="295"/>
      <c r="BE3" s="295"/>
      <c r="BF3" s="295"/>
      <c r="BG3" s="295"/>
      <c r="BH3" s="299"/>
      <c r="BI3" s="39"/>
      <c r="BJ3" s="293"/>
      <c r="BK3" s="295"/>
      <c r="BL3" s="295"/>
      <c r="BM3" s="299"/>
      <c r="BN3" s="39"/>
      <c r="BO3" s="293"/>
      <c r="BP3" s="295"/>
      <c r="BQ3" s="297"/>
      <c r="BR3" s="295"/>
      <c r="BS3" s="299"/>
      <c r="BT3" s="39"/>
      <c r="BU3" s="301"/>
      <c r="BV3" s="291"/>
      <c r="BW3" s="291"/>
      <c r="BX3" s="260"/>
      <c r="BY3" s="291"/>
      <c r="BZ3" s="307"/>
      <c r="CA3" s="39"/>
      <c r="CB3" s="309"/>
      <c r="CC3" s="297"/>
      <c r="CD3" s="297"/>
      <c r="CE3" s="297"/>
      <c r="CF3" s="305"/>
      <c r="CG3" s="39"/>
    </row>
    <row r="4" spans="1:85" s="27" customFormat="1" ht="12.4" customHeight="1" thickBot="1" x14ac:dyDescent="0.25">
      <c r="A4" s="43">
        <f>EL_DEL_CD2_JO_!A4</f>
        <v>46296</v>
      </c>
      <c r="B4" s="44" t="str">
        <f t="shared" ref="B4:B30" si="0">+TEXT(A4,"DDD")</f>
        <v>Thu</v>
      </c>
      <c r="C4" s="2"/>
      <c r="D4" s="2"/>
      <c r="E4" s="3"/>
      <c r="F4" s="2"/>
      <c r="G4" s="2"/>
      <c r="H4" s="4"/>
      <c r="I4" s="4"/>
      <c r="J4" s="58"/>
      <c r="K4" s="5"/>
      <c r="L4" s="2"/>
      <c r="M4" s="2"/>
      <c r="N4" s="2"/>
      <c r="O4" s="2"/>
      <c r="P4" s="3"/>
      <c r="Q4" s="2"/>
      <c r="R4" s="2"/>
      <c r="S4" s="2"/>
      <c r="T4" s="2"/>
      <c r="U4" s="3"/>
      <c r="V4" s="3"/>
      <c r="W4" s="2"/>
      <c r="X4" s="2"/>
      <c r="Y4" s="2"/>
      <c r="Z4" s="2"/>
      <c r="AA4" s="2"/>
      <c r="AB4" s="2"/>
      <c r="AC4" s="2"/>
      <c r="AD4" s="2"/>
      <c r="AE4" s="3"/>
      <c r="AF4" s="3"/>
      <c r="AG4" s="2"/>
      <c r="AH4" s="6"/>
      <c r="AI4" s="7"/>
      <c r="AJ4" s="6"/>
      <c r="AK4" s="59"/>
      <c r="AL4" s="59"/>
      <c r="AM4" s="59"/>
      <c r="AN4" s="59"/>
      <c r="AO4" s="59"/>
      <c r="AP4" s="59"/>
      <c r="AQ4" s="59"/>
      <c r="AR4" s="59"/>
      <c r="AS4" s="8"/>
      <c r="AT4" s="8"/>
      <c r="AU4" s="9"/>
      <c r="AV4" s="8"/>
      <c r="AW4" s="10" t="e">
        <f>AM4/AV4</f>
        <v>#DIV/0!</v>
      </c>
      <c r="AX4" s="39"/>
      <c r="AY4" s="1" t="str">
        <f>IF(E4&gt;0,F4/E4,"")</f>
        <v/>
      </c>
      <c r="AZ4" s="11" t="str">
        <f>+IF(E4&gt;0,G4/E4,"")</f>
        <v/>
      </c>
      <c r="BA4" s="1" t="str">
        <f>+IF(E4&gt;0,AI4/E4,"")</f>
        <v/>
      </c>
      <c r="BB4" s="39"/>
      <c r="BC4" s="53" t="str">
        <f>+IF(G4&gt;0,I4/G4,"")</f>
        <v/>
      </c>
      <c r="BD4" s="12" t="str">
        <f>+IF(G4&gt;0,J4/G4,"")</f>
        <v/>
      </c>
      <c r="BE4" s="12" t="str">
        <f>+IF(I4&gt;0,L4/I4,"")</f>
        <v/>
      </c>
      <c r="BF4" s="12" t="str">
        <f>+IF(SUM(AN4:AQ4)&gt;0,AN4/AM4,"")</f>
        <v/>
      </c>
      <c r="BG4" s="12" t="str">
        <f>+IF(G4&gt;0,K4/G4,"")</f>
        <v/>
      </c>
      <c r="BH4" s="54" t="str">
        <f>+IF(SUM(AN4:AQ4)&gt;0,AP4/AM4,"")</f>
        <v/>
      </c>
      <c r="BI4" s="39"/>
      <c r="BJ4" s="55" t="str">
        <f>+IF(E4&gt;0,(AI4/E4),"")</f>
        <v/>
      </c>
      <c r="BK4" s="13" t="str">
        <f>+IF(E4&gt;0,(AI4/F4),"")</f>
        <v/>
      </c>
      <c r="BL4" s="13" t="str">
        <f>+IF(E4&gt;0,(AI4/G4),"")</f>
        <v/>
      </c>
      <c r="BM4" s="56" t="str">
        <f>+IF(E4&gt;0,(AI4/J4),"")</f>
        <v/>
      </c>
      <c r="BN4" s="39"/>
      <c r="BO4" s="14" t="str">
        <f>IF(AI4&gt;0,(N4/AI4),"")</f>
        <v/>
      </c>
      <c r="BP4" s="15">
        <v>0</v>
      </c>
      <c r="BQ4" s="15" t="str">
        <f>IF(AI4&gt;0,(AJ4/AI4),"")</f>
        <v/>
      </c>
      <c r="BR4" s="15" t="str">
        <f>IF(AI4&gt;0,(AJ4/AI4),"")</f>
        <v/>
      </c>
      <c r="BS4" s="16" t="str">
        <f>IF(J4&gt;0,AC4/J4,"")</f>
        <v/>
      </c>
      <c r="BT4" s="39"/>
      <c r="BU4" s="28" t="str">
        <f>IF(AM4&gt;0,(E4/AM4),"")</f>
        <v/>
      </c>
      <c r="BV4" s="28" t="str">
        <f>IF(AM4&gt;0,(G4/AM4),"")</f>
        <v/>
      </c>
      <c r="BW4" s="28" t="str">
        <f>IF(AM4&gt;0,(J4/AM4),"")</f>
        <v/>
      </c>
      <c r="BX4" s="28" t="str">
        <f>IF(AM4&gt;0,(K4/AM4),"")</f>
        <v/>
      </c>
      <c r="BY4" s="28" t="str">
        <f>IF(AM4&gt;0,(AI4/AM4),"")</f>
        <v/>
      </c>
      <c r="BZ4" s="52" t="str">
        <f>IF(AM4&gt;0,(AJ4/AM4),"")</f>
        <v/>
      </c>
      <c r="CA4" s="39"/>
      <c r="CB4" s="49" t="str">
        <f>IFERROR(((AM4-AN4)*3600)/J4,"-")</f>
        <v>-</v>
      </c>
      <c r="CC4" s="29" t="str">
        <f>IFERROR((AQ4*3600)/J4,"-")</f>
        <v>-</v>
      </c>
      <c r="CD4" s="29" t="str">
        <f>IFERROR((AP4*3600)/J4,"-")</f>
        <v>-</v>
      </c>
      <c r="CE4" s="29" t="str">
        <f>IFERROR((AN4*3600)/J4,"-")</f>
        <v>-</v>
      </c>
      <c r="CF4" s="50" t="str">
        <f>IFERROR((AO4*3600)/J4,"-")</f>
        <v>-</v>
      </c>
      <c r="CG4" s="39"/>
    </row>
    <row r="5" spans="1:85" s="27" customFormat="1" ht="12.4" customHeight="1" thickBot="1" x14ac:dyDescent="0.25">
      <c r="A5" s="43">
        <f>A4+1</f>
        <v>46297</v>
      </c>
      <c r="B5" s="44" t="str">
        <f t="shared" si="0"/>
        <v>Fri</v>
      </c>
      <c r="C5" s="2"/>
      <c r="D5" s="2"/>
      <c r="E5" s="3"/>
      <c r="F5" s="2"/>
      <c r="G5" s="2"/>
      <c r="H5" s="4"/>
      <c r="I5" s="4"/>
      <c r="J5" s="58"/>
      <c r="K5" s="5"/>
      <c r="L5" s="2"/>
      <c r="M5" s="2"/>
      <c r="N5" s="2"/>
      <c r="O5" s="2"/>
      <c r="P5" s="3"/>
      <c r="Q5" s="2"/>
      <c r="R5" s="2"/>
      <c r="S5" s="2"/>
      <c r="T5" s="2"/>
      <c r="U5" s="3"/>
      <c r="V5" s="3"/>
      <c r="W5" s="2"/>
      <c r="X5" s="2"/>
      <c r="Y5" s="2"/>
      <c r="Z5" s="2"/>
      <c r="AA5" s="2"/>
      <c r="AB5" s="2"/>
      <c r="AC5" s="2"/>
      <c r="AD5" s="2"/>
      <c r="AE5" s="3"/>
      <c r="AF5" s="3"/>
      <c r="AG5" s="2"/>
      <c r="AH5" s="6"/>
      <c r="AI5" s="7"/>
      <c r="AJ5" s="6"/>
      <c r="AK5" s="59"/>
      <c r="AL5" s="59"/>
      <c r="AM5" s="59"/>
      <c r="AN5" s="59"/>
      <c r="AO5" s="59"/>
      <c r="AP5" s="59"/>
      <c r="AQ5" s="59"/>
      <c r="AR5" s="59"/>
      <c r="AS5" s="8"/>
      <c r="AT5" s="8"/>
      <c r="AU5" s="9"/>
      <c r="AV5" s="8"/>
      <c r="AW5" s="10" t="e">
        <f t="shared" ref="AW5:AW31" si="1">AM5/AV5</f>
        <v>#DIV/0!</v>
      </c>
      <c r="AX5" s="39"/>
      <c r="AY5" s="1" t="str">
        <f t="shared" ref="AY5:AY33" si="2">IF(E5&gt;0,F5/E5,"")</f>
        <v/>
      </c>
      <c r="AZ5" s="11" t="str">
        <f t="shared" ref="AZ5:AZ33" si="3">+IF(E5&gt;0,G5/E5,"")</f>
        <v/>
      </c>
      <c r="BA5" s="1" t="str">
        <f t="shared" ref="BA5:BA33" si="4">+IF(E5&gt;0,AI5/E5,"")</f>
        <v/>
      </c>
      <c r="BB5" s="39"/>
      <c r="BC5" s="53" t="str">
        <f t="shared" ref="BC5:BC33" si="5">+IF(G5&gt;0,I5/G5,"")</f>
        <v/>
      </c>
      <c r="BD5" s="12" t="str">
        <f t="shared" ref="BD5:BD33" si="6">+IF(G5&gt;0,J5/G5,"")</f>
        <v/>
      </c>
      <c r="BE5" s="12" t="str">
        <f t="shared" ref="BE5:BE33" si="7">+IF(I5&gt;0,L5/I5,"")</f>
        <v/>
      </c>
      <c r="BF5" s="12" t="str">
        <f t="shared" ref="BF5:BF33" si="8">+IF(SUM(AN5:AQ5)&gt;0,AN5/AM5,"")</f>
        <v/>
      </c>
      <c r="BG5" s="12" t="str">
        <f t="shared" ref="BG5:BG33" si="9">+IF(G5&gt;0,K5/G5,"")</f>
        <v/>
      </c>
      <c r="BH5" s="54" t="str">
        <f t="shared" ref="BH5:BH33" si="10">+IF(SUM(AN5:AQ5)&gt;0,AP5/AM5,"")</f>
        <v/>
      </c>
      <c r="BI5" s="39"/>
      <c r="BJ5" s="55" t="str">
        <f t="shared" ref="BJ5:BJ33" si="11">+IF(E5&gt;0,(AI5/E5),"")</f>
        <v/>
      </c>
      <c r="BK5" s="13" t="str">
        <f t="shared" ref="BK5:BK33" si="12">+IF(E5&gt;0,(AI5/F5),"")</f>
        <v/>
      </c>
      <c r="BL5" s="13" t="str">
        <f t="shared" ref="BL5:BL33" si="13">+IF(E5&gt;0,(AI5/G5),"")</f>
        <v/>
      </c>
      <c r="BM5" s="56" t="str">
        <f t="shared" ref="BM5:BM33" si="14">+IF(E5&gt;0,(AI5/J5),"")</f>
        <v/>
      </c>
      <c r="BN5" s="39"/>
      <c r="BO5" s="14" t="str">
        <f t="shared" ref="BO5:BO33" si="15">IF(AI5&gt;0,(N5/AI5),"")</f>
        <v/>
      </c>
      <c r="BP5" s="15">
        <v>0</v>
      </c>
      <c r="BQ5" s="15" t="str">
        <f t="shared" ref="BQ5:BQ33" si="16">IF(AI5&gt;0,(AJ5/AI5),"")</f>
        <v/>
      </c>
      <c r="BR5" s="15" t="str">
        <f t="shared" ref="BR5:BR33" si="17">IF(AI5&gt;0,(AJ5/AI5),"")</f>
        <v/>
      </c>
      <c r="BS5" s="16" t="str">
        <f t="shared" ref="BS5:BS33" si="18">IF(J5&gt;0,AC5/J5,"")</f>
        <v/>
      </c>
      <c r="BT5" s="39"/>
      <c r="BU5" s="51" t="str">
        <f t="shared" ref="BU5:BU33" si="19">IF(AM5&gt;0,(E5/AM5),"")</f>
        <v/>
      </c>
      <c r="BV5" s="28" t="str">
        <f t="shared" ref="BV5:BV33" si="20">IF(AM5&gt;0,(G5/AM5),"")</f>
        <v/>
      </c>
      <c r="BW5" s="28" t="str">
        <f t="shared" ref="BW5:BW33" si="21">IF(AM5&gt;0,(J5/AM5),"")</f>
        <v/>
      </c>
      <c r="BX5" s="28" t="str">
        <f t="shared" ref="BX5:BX33" si="22">IF(AM5&gt;0,(K5/AM5),"")</f>
        <v/>
      </c>
      <c r="BY5" s="28" t="str">
        <f t="shared" ref="BY5:BY33" si="23">IF(AM5&gt;0,(AI5/AM5),"")</f>
        <v/>
      </c>
      <c r="BZ5" s="52" t="str">
        <f t="shared" ref="BZ5:BZ33" si="24">IF(AM5&gt;0,(AJ5/AM5),"")</f>
        <v/>
      </c>
      <c r="CA5" s="39"/>
      <c r="CB5" s="49" t="str">
        <f t="shared" ref="CB5:CB33" si="25">IFERROR(((AM5-AN5)*3600)/J5,"-")</f>
        <v>-</v>
      </c>
      <c r="CC5" s="29" t="str">
        <f t="shared" ref="CC5:CC33" si="26">IFERROR((AQ5*3600)/J5,"-")</f>
        <v>-</v>
      </c>
      <c r="CD5" s="29" t="str">
        <f t="shared" ref="CD5:CD33" si="27">IFERROR((AP5*3600)/J5,"-")</f>
        <v>-</v>
      </c>
      <c r="CE5" s="29" t="str">
        <f t="shared" ref="CE5:CE33" si="28">IFERROR((AN5*3600)/J5,"-")</f>
        <v>-</v>
      </c>
      <c r="CF5" s="50" t="str">
        <f t="shared" ref="CF5:CF33" si="29">IFERROR((AO5*3600)/J5,"-")</f>
        <v>-</v>
      </c>
      <c r="CG5" s="39"/>
    </row>
    <row r="6" spans="1:85" s="27" customFormat="1" ht="12.4" customHeight="1" thickBot="1" x14ac:dyDescent="0.25">
      <c r="A6" s="43">
        <f t="shared" ref="A6:A31" si="30">A5+1</f>
        <v>46298</v>
      </c>
      <c r="B6" s="44" t="str">
        <f t="shared" si="0"/>
        <v>Sat</v>
      </c>
      <c r="C6" s="2"/>
      <c r="D6" s="2"/>
      <c r="E6" s="3"/>
      <c r="F6" s="2"/>
      <c r="G6" s="2"/>
      <c r="H6" s="4"/>
      <c r="I6" s="4"/>
      <c r="J6" s="58"/>
      <c r="K6" s="5"/>
      <c r="L6" s="2"/>
      <c r="M6" s="2"/>
      <c r="N6" s="2"/>
      <c r="O6" s="2"/>
      <c r="P6" s="3"/>
      <c r="Q6" s="2"/>
      <c r="R6" s="2"/>
      <c r="S6" s="2"/>
      <c r="T6" s="2"/>
      <c r="U6" s="3"/>
      <c r="V6" s="3"/>
      <c r="W6" s="2"/>
      <c r="X6" s="2"/>
      <c r="Y6" s="2"/>
      <c r="Z6" s="2"/>
      <c r="AA6" s="2"/>
      <c r="AB6" s="2"/>
      <c r="AC6" s="2"/>
      <c r="AD6" s="2"/>
      <c r="AE6" s="3"/>
      <c r="AF6" s="3"/>
      <c r="AG6" s="2"/>
      <c r="AH6" s="6"/>
      <c r="AI6" s="7"/>
      <c r="AJ6" s="6"/>
      <c r="AK6" s="59"/>
      <c r="AL6" s="59"/>
      <c r="AM6" s="59"/>
      <c r="AN6" s="59"/>
      <c r="AO6" s="59"/>
      <c r="AP6" s="59"/>
      <c r="AQ6" s="59"/>
      <c r="AR6" s="59"/>
      <c r="AS6" s="8"/>
      <c r="AT6" s="8"/>
      <c r="AU6" s="9"/>
      <c r="AV6" s="8"/>
      <c r="AW6" s="10" t="e">
        <f t="shared" si="1"/>
        <v>#DIV/0!</v>
      </c>
      <c r="AX6" s="39"/>
      <c r="AY6" s="1" t="str">
        <f t="shared" si="2"/>
        <v/>
      </c>
      <c r="AZ6" s="11" t="str">
        <f t="shared" si="3"/>
        <v/>
      </c>
      <c r="BA6" s="1" t="str">
        <f t="shared" si="4"/>
        <v/>
      </c>
      <c r="BB6" s="39"/>
      <c r="BC6" s="53" t="str">
        <f t="shared" si="5"/>
        <v/>
      </c>
      <c r="BD6" s="12" t="str">
        <f t="shared" si="6"/>
        <v/>
      </c>
      <c r="BE6" s="12" t="str">
        <f t="shared" si="7"/>
        <v/>
      </c>
      <c r="BF6" s="12" t="str">
        <f t="shared" si="8"/>
        <v/>
      </c>
      <c r="BG6" s="12" t="str">
        <f t="shared" si="9"/>
        <v/>
      </c>
      <c r="BH6" s="54" t="str">
        <f t="shared" si="10"/>
        <v/>
      </c>
      <c r="BI6" s="39"/>
      <c r="BJ6" s="55" t="str">
        <f t="shared" si="11"/>
        <v/>
      </c>
      <c r="BK6" s="13" t="str">
        <f t="shared" si="12"/>
        <v/>
      </c>
      <c r="BL6" s="13" t="str">
        <f t="shared" si="13"/>
        <v/>
      </c>
      <c r="BM6" s="56" t="str">
        <f t="shared" si="14"/>
        <v/>
      </c>
      <c r="BN6" s="39"/>
      <c r="BO6" s="14" t="str">
        <f t="shared" si="15"/>
        <v/>
      </c>
      <c r="BP6" s="15">
        <v>0</v>
      </c>
      <c r="BQ6" s="15" t="str">
        <f t="shared" si="16"/>
        <v/>
      </c>
      <c r="BR6" s="15" t="str">
        <f t="shared" si="17"/>
        <v/>
      </c>
      <c r="BS6" s="16" t="str">
        <f t="shared" si="18"/>
        <v/>
      </c>
      <c r="BT6" s="39"/>
      <c r="BU6" s="51" t="str">
        <f t="shared" si="19"/>
        <v/>
      </c>
      <c r="BV6" s="28" t="str">
        <f t="shared" si="20"/>
        <v/>
      </c>
      <c r="BW6" s="28" t="str">
        <f t="shared" si="21"/>
        <v/>
      </c>
      <c r="BX6" s="28" t="str">
        <f t="shared" si="22"/>
        <v/>
      </c>
      <c r="BY6" s="28" t="str">
        <f t="shared" si="23"/>
        <v/>
      </c>
      <c r="BZ6" s="52" t="str">
        <f t="shared" si="24"/>
        <v/>
      </c>
      <c r="CA6" s="39"/>
      <c r="CB6" s="49" t="str">
        <f t="shared" si="25"/>
        <v>-</v>
      </c>
      <c r="CC6" s="29" t="str">
        <f t="shared" si="26"/>
        <v>-</v>
      </c>
      <c r="CD6" s="29" t="str">
        <f t="shared" si="27"/>
        <v>-</v>
      </c>
      <c r="CE6" s="29" t="str">
        <f t="shared" si="28"/>
        <v>-</v>
      </c>
      <c r="CF6" s="50" t="str">
        <f t="shared" si="29"/>
        <v>-</v>
      </c>
      <c r="CG6" s="39"/>
    </row>
    <row r="7" spans="1:85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2"/>
      <c r="D7" s="2"/>
      <c r="E7" s="3"/>
      <c r="F7" s="2"/>
      <c r="G7" s="2"/>
      <c r="H7" s="4"/>
      <c r="I7" s="4"/>
      <c r="J7" s="58"/>
      <c r="K7" s="5"/>
      <c r="L7" s="2"/>
      <c r="M7" s="2"/>
      <c r="N7" s="2"/>
      <c r="O7" s="2"/>
      <c r="P7" s="3"/>
      <c r="Q7" s="2"/>
      <c r="R7" s="2"/>
      <c r="S7" s="2"/>
      <c r="T7" s="2"/>
      <c r="U7" s="3"/>
      <c r="V7" s="3"/>
      <c r="W7" s="2"/>
      <c r="X7" s="2"/>
      <c r="Y7" s="2"/>
      <c r="Z7" s="2"/>
      <c r="AA7" s="2"/>
      <c r="AB7" s="2"/>
      <c r="AC7" s="2"/>
      <c r="AD7" s="2"/>
      <c r="AE7" s="3"/>
      <c r="AF7" s="3"/>
      <c r="AG7" s="2"/>
      <c r="AH7" s="6"/>
      <c r="AI7" s="7"/>
      <c r="AJ7" s="6"/>
      <c r="AK7" s="59"/>
      <c r="AL7" s="59"/>
      <c r="AM7" s="59"/>
      <c r="AN7" s="59"/>
      <c r="AO7" s="59"/>
      <c r="AP7" s="59"/>
      <c r="AQ7" s="59"/>
      <c r="AR7" s="59"/>
      <c r="AS7" s="8"/>
      <c r="AT7" s="8"/>
      <c r="AU7" s="9"/>
      <c r="AV7" s="8"/>
      <c r="AW7" s="10" t="e">
        <f t="shared" si="1"/>
        <v>#DIV/0!</v>
      </c>
      <c r="AX7" s="39"/>
      <c r="AY7" s="1" t="str">
        <f t="shared" si="2"/>
        <v/>
      </c>
      <c r="AZ7" s="11" t="str">
        <f t="shared" si="3"/>
        <v/>
      </c>
      <c r="BA7" s="1" t="str">
        <f t="shared" si="4"/>
        <v/>
      </c>
      <c r="BB7" s="39"/>
      <c r="BC7" s="53" t="str">
        <f t="shared" si="5"/>
        <v/>
      </c>
      <c r="BD7" s="12" t="str">
        <f t="shared" si="6"/>
        <v/>
      </c>
      <c r="BE7" s="12" t="str">
        <f t="shared" si="7"/>
        <v/>
      </c>
      <c r="BF7" s="12" t="str">
        <f t="shared" si="8"/>
        <v/>
      </c>
      <c r="BG7" s="12" t="str">
        <f t="shared" si="9"/>
        <v/>
      </c>
      <c r="BH7" s="54" t="str">
        <f t="shared" si="10"/>
        <v/>
      </c>
      <c r="BI7" s="39"/>
      <c r="BJ7" s="55" t="str">
        <f t="shared" si="11"/>
        <v/>
      </c>
      <c r="BK7" s="13" t="str">
        <f t="shared" si="12"/>
        <v/>
      </c>
      <c r="BL7" s="13" t="str">
        <f t="shared" si="13"/>
        <v/>
      </c>
      <c r="BM7" s="56" t="str">
        <f t="shared" si="14"/>
        <v/>
      </c>
      <c r="BN7" s="39"/>
      <c r="BO7" s="14" t="str">
        <f t="shared" si="15"/>
        <v/>
      </c>
      <c r="BP7" s="15">
        <v>0</v>
      </c>
      <c r="BQ7" s="15" t="str">
        <f t="shared" si="16"/>
        <v/>
      </c>
      <c r="BR7" s="15" t="str">
        <f t="shared" si="17"/>
        <v/>
      </c>
      <c r="BS7" s="16" t="str">
        <f t="shared" si="18"/>
        <v/>
      </c>
      <c r="BT7" s="39"/>
      <c r="BU7" s="51" t="str">
        <f t="shared" si="19"/>
        <v/>
      </c>
      <c r="BV7" s="28" t="str">
        <f t="shared" si="20"/>
        <v/>
      </c>
      <c r="BW7" s="28" t="str">
        <f t="shared" si="21"/>
        <v/>
      </c>
      <c r="BX7" s="28" t="str">
        <f t="shared" si="22"/>
        <v/>
      </c>
      <c r="BY7" s="28" t="str">
        <f t="shared" si="23"/>
        <v/>
      </c>
      <c r="BZ7" s="52" t="str">
        <f t="shared" si="24"/>
        <v/>
      </c>
      <c r="CA7" s="39"/>
      <c r="CB7" s="49" t="str">
        <f t="shared" si="25"/>
        <v>-</v>
      </c>
      <c r="CC7" s="29" t="str">
        <f t="shared" si="26"/>
        <v>-</v>
      </c>
      <c r="CD7" s="29" t="str">
        <f t="shared" si="27"/>
        <v>-</v>
      </c>
      <c r="CE7" s="29" t="str">
        <f t="shared" si="28"/>
        <v>-</v>
      </c>
      <c r="CF7" s="50" t="str">
        <f t="shared" si="29"/>
        <v>-</v>
      </c>
      <c r="CG7" s="39"/>
    </row>
    <row r="8" spans="1:85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2"/>
      <c r="D8" s="2"/>
      <c r="E8" s="3"/>
      <c r="F8" s="2"/>
      <c r="G8" s="2"/>
      <c r="H8" s="4"/>
      <c r="I8" s="4"/>
      <c r="J8" s="58"/>
      <c r="K8" s="5"/>
      <c r="L8" s="2"/>
      <c r="M8" s="2"/>
      <c r="N8" s="2"/>
      <c r="O8" s="2"/>
      <c r="P8" s="3"/>
      <c r="Q8" s="2"/>
      <c r="R8" s="2"/>
      <c r="S8" s="2"/>
      <c r="T8" s="2"/>
      <c r="U8" s="3"/>
      <c r="V8" s="3"/>
      <c r="W8" s="2"/>
      <c r="X8" s="2"/>
      <c r="Y8" s="2"/>
      <c r="Z8" s="2"/>
      <c r="AA8" s="2"/>
      <c r="AB8" s="2"/>
      <c r="AC8" s="2"/>
      <c r="AD8" s="2"/>
      <c r="AE8" s="3"/>
      <c r="AF8" s="3"/>
      <c r="AG8" s="2"/>
      <c r="AH8" s="6"/>
      <c r="AI8" s="7"/>
      <c r="AJ8" s="6"/>
      <c r="AK8" s="59"/>
      <c r="AL8" s="59"/>
      <c r="AM8" s="59"/>
      <c r="AN8" s="59"/>
      <c r="AO8" s="59"/>
      <c r="AP8" s="59"/>
      <c r="AQ8" s="59"/>
      <c r="AR8" s="59"/>
      <c r="AS8" s="8"/>
      <c r="AT8" s="8"/>
      <c r="AU8" s="9"/>
      <c r="AV8" s="8"/>
      <c r="AW8" s="10" t="e">
        <f t="shared" si="1"/>
        <v>#DIV/0!</v>
      </c>
      <c r="AX8" s="39"/>
      <c r="AY8" s="1" t="str">
        <f t="shared" si="2"/>
        <v/>
      </c>
      <c r="AZ8" s="11" t="str">
        <f t="shared" si="3"/>
        <v/>
      </c>
      <c r="BA8" s="1" t="str">
        <f t="shared" si="4"/>
        <v/>
      </c>
      <c r="BB8" s="39"/>
      <c r="BC8" s="53" t="str">
        <f t="shared" si="5"/>
        <v/>
      </c>
      <c r="BD8" s="12" t="str">
        <f t="shared" si="6"/>
        <v/>
      </c>
      <c r="BE8" s="12" t="str">
        <f t="shared" si="7"/>
        <v/>
      </c>
      <c r="BF8" s="12" t="str">
        <f t="shared" si="8"/>
        <v/>
      </c>
      <c r="BG8" s="12" t="str">
        <f t="shared" si="9"/>
        <v/>
      </c>
      <c r="BH8" s="54" t="str">
        <f t="shared" si="10"/>
        <v/>
      </c>
      <c r="BI8" s="39"/>
      <c r="BJ8" s="55" t="str">
        <f t="shared" si="11"/>
        <v/>
      </c>
      <c r="BK8" s="13" t="str">
        <f t="shared" si="12"/>
        <v/>
      </c>
      <c r="BL8" s="13" t="str">
        <f t="shared" si="13"/>
        <v/>
      </c>
      <c r="BM8" s="56" t="str">
        <f t="shared" si="14"/>
        <v/>
      </c>
      <c r="BN8" s="39"/>
      <c r="BO8" s="14" t="str">
        <f t="shared" si="15"/>
        <v/>
      </c>
      <c r="BP8" s="15">
        <v>0</v>
      </c>
      <c r="BQ8" s="15" t="str">
        <f t="shared" si="16"/>
        <v/>
      </c>
      <c r="BR8" s="15" t="str">
        <f t="shared" si="17"/>
        <v/>
      </c>
      <c r="BS8" s="16" t="str">
        <f t="shared" si="18"/>
        <v/>
      </c>
      <c r="BT8" s="39"/>
      <c r="BU8" s="51" t="str">
        <f t="shared" si="19"/>
        <v/>
      </c>
      <c r="BV8" s="28" t="str">
        <f t="shared" si="20"/>
        <v/>
      </c>
      <c r="BW8" s="28" t="str">
        <f t="shared" si="21"/>
        <v/>
      </c>
      <c r="BX8" s="28" t="str">
        <f t="shared" si="22"/>
        <v/>
      </c>
      <c r="BY8" s="28" t="str">
        <f t="shared" si="23"/>
        <v/>
      </c>
      <c r="BZ8" s="52" t="str">
        <f t="shared" si="24"/>
        <v/>
      </c>
      <c r="CA8" s="39"/>
      <c r="CB8" s="49" t="str">
        <f t="shared" si="25"/>
        <v>-</v>
      </c>
      <c r="CC8" s="29" t="str">
        <f t="shared" si="26"/>
        <v>-</v>
      </c>
      <c r="CD8" s="29" t="str">
        <f t="shared" si="27"/>
        <v>-</v>
      </c>
      <c r="CE8" s="29" t="str">
        <f t="shared" si="28"/>
        <v>-</v>
      </c>
      <c r="CF8" s="50" t="str">
        <f t="shared" si="29"/>
        <v>-</v>
      </c>
      <c r="CG8" s="39"/>
    </row>
    <row r="9" spans="1:85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2"/>
      <c r="D9" s="2"/>
      <c r="E9" s="3"/>
      <c r="F9" s="2"/>
      <c r="G9" s="2"/>
      <c r="H9" s="4"/>
      <c r="I9" s="4"/>
      <c r="J9" s="58"/>
      <c r="K9" s="5"/>
      <c r="L9" s="2"/>
      <c r="M9" s="2"/>
      <c r="N9" s="2"/>
      <c r="O9" s="2"/>
      <c r="P9" s="3"/>
      <c r="Q9" s="2"/>
      <c r="R9" s="2"/>
      <c r="S9" s="2"/>
      <c r="T9" s="2"/>
      <c r="U9" s="3"/>
      <c r="V9" s="3"/>
      <c r="W9" s="2"/>
      <c r="X9" s="2"/>
      <c r="Y9" s="2"/>
      <c r="Z9" s="2"/>
      <c r="AA9" s="2"/>
      <c r="AB9" s="2"/>
      <c r="AC9" s="2"/>
      <c r="AD9" s="2"/>
      <c r="AE9" s="3"/>
      <c r="AF9" s="3"/>
      <c r="AG9" s="2"/>
      <c r="AH9" s="6"/>
      <c r="AI9" s="7"/>
      <c r="AJ9" s="6"/>
      <c r="AK9" s="59"/>
      <c r="AL9" s="59"/>
      <c r="AM9" s="59"/>
      <c r="AN9" s="59"/>
      <c r="AO9" s="59"/>
      <c r="AP9" s="59"/>
      <c r="AQ9" s="59"/>
      <c r="AR9" s="59"/>
      <c r="AS9" s="8"/>
      <c r="AT9" s="8"/>
      <c r="AU9" s="9"/>
      <c r="AV9" s="8"/>
      <c r="AW9" s="10" t="e">
        <f t="shared" si="1"/>
        <v>#DIV/0!</v>
      </c>
      <c r="AX9" s="39"/>
      <c r="AY9" s="1" t="str">
        <f t="shared" si="2"/>
        <v/>
      </c>
      <c r="AZ9" s="11" t="str">
        <f t="shared" si="3"/>
        <v/>
      </c>
      <c r="BA9" s="1" t="str">
        <f t="shared" si="4"/>
        <v/>
      </c>
      <c r="BB9" s="39"/>
      <c r="BC9" s="53" t="str">
        <f t="shared" si="5"/>
        <v/>
      </c>
      <c r="BD9" s="12" t="str">
        <f t="shared" si="6"/>
        <v/>
      </c>
      <c r="BE9" s="12" t="str">
        <f t="shared" si="7"/>
        <v/>
      </c>
      <c r="BF9" s="12" t="str">
        <f t="shared" si="8"/>
        <v/>
      </c>
      <c r="BG9" s="12" t="str">
        <f t="shared" si="9"/>
        <v/>
      </c>
      <c r="BH9" s="54" t="str">
        <f t="shared" si="10"/>
        <v/>
      </c>
      <c r="BI9" s="39"/>
      <c r="BJ9" s="55" t="str">
        <f t="shared" si="11"/>
        <v/>
      </c>
      <c r="BK9" s="13" t="str">
        <f t="shared" si="12"/>
        <v/>
      </c>
      <c r="BL9" s="13" t="str">
        <f t="shared" si="13"/>
        <v/>
      </c>
      <c r="BM9" s="56" t="str">
        <f t="shared" si="14"/>
        <v/>
      </c>
      <c r="BN9" s="39"/>
      <c r="BO9" s="14" t="str">
        <f t="shared" si="15"/>
        <v/>
      </c>
      <c r="BP9" s="15">
        <v>0</v>
      </c>
      <c r="BQ9" s="15" t="str">
        <f t="shared" si="16"/>
        <v/>
      </c>
      <c r="BR9" s="15" t="str">
        <f t="shared" si="17"/>
        <v/>
      </c>
      <c r="BS9" s="16" t="str">
        <f t="shared" si="18"/>
        <v/>
      </c>
      <c r="BT9" s="39"/>
      <c r="BU9" s="51" t="str">
        <f t="shared" si="19"/>
        <v/>
      </c>
      <c r="BV9" s="28" t="str">
        <f t="shared" si="20"/>
        <v/>
      </c>
      <c r="BW9" s="28" t="str">
        <f t="shared" si="21"/>
        <v/>
      </c>
      <c r="BX9" s="28" t="str">
        <f t="shared" si="22"/>
        <v/>
      </c>
      <c r="BY9" s="28" t="str">
        <f t="shared" si="23"/>
        <v/>
      </c>
      <c r="BZ9" s="52" t="str">
        <f t="shared" si="24"/>
        <v/>
      </c>
      <c r="CA9" s="39"/>
      <c r="CB9" s="49" t="str">
        <f t="shared" si="25"/>
        <v>-</v>
      </c>
      <c r="CC9" s="29" t="str">
        <f t="shared" si="26"/>
        <v>-</v>
      </c>
      <c r="CD9" s="29" t="str">
        <f t="shared" si="27"/>
        <v>-</v>
      </c>
      <c r="CE9" s="29" t="str">
        <f t="shared" si="28"/>
        <v>-</v>
      </c>
      <c r="CF9" s="50" t="str">
        <f t="shared" si="29"/>
        <v>-</v>
      </c>
      <c r="CG9" s="39"/>
    </row>
    <row r="10" spans="1:85" s="27" customFormat="1" ht="12.4" customHeight="1" thickBot="1" x14ac:dyDescent="0.25">
      <c r="A10" s="43">
        <f t="shared" si="30"/>
        <v>46302</v>
      </c>
      <c r="B10" s="44" t="str">
        <f>+TEXT(A10,"DDD")</f>
        <v>Wed</v>
      </c>
      <c r="C10" s="2"/>
      <c r="D10" s="2"/>
      <c r="E10" s="3"/>
      <c r="F10" s="2"/>
      <c r="G10" s="2"/>
      <c r="H10" s="4"/>
      <c r="I10" s="4"/>
      <c r="J10" s="58"/>
      <c r="K10" s="5"/>
      <c r="L10" s="2"/>
      <c r="M10" s="2"/>
      <c r="N10" s="2"/>
      <c r="O10" s="2"/>
      <c r="P10" s="3"/>
      <c r="Q10" s="2"/>
      <c r="R10" s="2"/>
      <c r="S10" s="2"/>
      <c r="T10" s="2"/>
      <c r="U10" s="3"/>
      <c r="V10" s="3"/>
      <c r="W10" s="2"/>
      <c r="X10" s="2"/>
      <c r="Y10" s="2"/>
      <c r="Z10" s="2"/>
      <c r="AA10" s="2"/>
      <c r="AB10" s="2"/>
      <c r="AC10" s="2"/>
      <c r="AD10" s="2"/>
      <c r="AE10" s="3"/>
      <c r="AF10" s="3"/>
      <c r="AG10" s="2"/>
      <c r="AH10" s="6"/>
      <c r="AI10" s="7"/>
      <c r="AJ10" s="6"/>
      <c r="AK10" s="59"/>
      <c r="AL10" s="59"/>
      <c r="AM10" s="59"/>
      <c r="AN10" s="59"/>
      <c r="AO10" s="59"/>
      <c r="AP10" s="59"/>
      <c r="AQ10" s="59"/>
      <c r="AR10" s="59"/>
      <c r="AS10" s="8"/>
      <c r="AT10" s="8"/>
      <c r="AU10" s="9"/>
      <c r="AV10" s="8"/>
      <c r="AW10" s="10" t="e">
        <f t="shared" si="1"/>
        <v>#DIV/0!</v>
      </c>
      <c r="AX10" s="39"/>
      <c r="AY10" s="1" t="str">
        <f t="shared" si="2"/>
        <v/>
      </c>
      <c r="AZ10" s="11" t="str">
        <f t="shared" si="3"/>
        <v/>
      </c>
      <c r="BA10" s="1" t="str">
        <f t="shared" si="4"/>
        <v/>
      </c>
      <c r="BB10" s="39"/>
      <c r="BC10" s="53" t="str">
        <f t="shared" si="5"/>
        <v/>
      </c>
      <c r="BD10" s="12" t="str">
        <f t="shared" si="6"/>
        <v/>
      </c>
      <c r="BE10" s="12" t="str">
        <f t="shared" si="7"/>
        <v/>
      </c>
      <c r="BF10" s="12" t="str">
        <f t="shared" si="8"/>
        <v/>
      </c>
      <c r="BG10" s="12" t="str">
        <f t="shared" si="9"/>
        <v/>
      </c>
      <c r="BH10" s="54" t="str">
        <f t="shared" si="10"/>
        <v/>
      </c>
      <c r="BI10" s="39"/>
      <c r="BJ10" s="55" t="str">
        <f t="shared" si="11"/>
        <v/>
      </c>
      <c r="BK10" s="13" t="str">
        <f t="shared" si="12"/>
        <v/>
      </c>
      <c r="BL10" s="13" t="str">
        <f t="shared" si="13"/>
        <v/>
      </c>
      <c r="BM10" s="56" t="str">
        <f t="shared" si="14"/>
        <v/>
      </c>
      <c r="BN10" s="39"/>
      <c r="BO10" s="14" t="str">
        <f t="shared" si="15"/>
        <v/>
      </c>
      <c r="BP10" s="15">
        <v>0</v>
      </c>
      <c r="BQ10" s="15" t="str">
        <f t="shared" si="16"/>
        <v/>
      </c>
      <c r="BR10" s="15" t="str">
        <f t="shared" si="17"/>
        <v/>
      </c>
      <c r="BS10" s="16" t="str">
        <f t="shared" si="18"/>
        <v/>
      </c>
      <c r="BT10" s="39"/>
      <c r="BU10" s="51" t="str">
        <f t="shared" si="19"/>
        <v/>
      </c>
      <c r="BV10" s="28" t="str">
        <f t="shared" si="20"/>
        <v/>
      </c>
      <c r="BW10" s="28" t="str">
        <f t="shared" si="21"/>
        <v/>
      </c>
      <c r="BX10" s="28" t="str">
        <f t="shared" si="22"/>
        <v/>
      </c>
      <c r="BY10" s="28" t="str">
        <f t="shared" si="23"/>
        <v/>
      </c>
      <c r="BZ10" s="52" t="str">
        <f t="shared" si="24"/>
        <v/>
      </c>
      <c r="CA10" s="39"/>
      <c r="CB10" s="49" t="str">
        <f t="shared" si="25"/>
        <v>-</v>
      </c>
      <c r="CC10" s="29" t="str">
        <f t="shared" si="26"/>
        <v>-</v>
      </c>
      <c r="CD10" s="29" t="str">
        <f t="shared" si="27"/>
        <v>-</v>
      </c>
      <c r="CE10" s="29" t="str">
        <f t="shared" si="28"/>
        <v>-</v>
      </c>
      <c r="CF10" s="50" t="str">
        <f t="shared" si="29"/>
        <v>-</v>
      </c>
      <c r="CG10" s="39"/>
    </row>
    <row r="11" spans="1:85" s="27" customFormat="1" ht="12.4" customHeight="1" thickBot="1" x14ac:dyDescent="0.25">
      <c r="A11" s="43">
        <f t="shared" si="30"/>
        <v>46303</v>
      </c>
      <c r="B11" s="44" t="str">
        <f>+TEXT(A11,"DDD")</f>
        <v>Thu</v>
      </c>
      <c r="C11" s="2"/>
      <c r="D11" s="2"/>
      <c r="E11" s="3"/>
      <c r="F11" s="2"/>
      <c r="G11" s="2"/>
      <c r="H11" s="4"/>
      <c r="I11" s="4"/>
      <c r="J11" s="58"/>
      <c r="K11" s="5"/>
      <c r="L11" s="2"/>
      <c r="M11" s="2"/>
      <c r="N11" s="2"/>
      <c r="O11" s="2"/>
      <c r="P11" s="3"/>
      <c r="Q11" s="2"/>
      <c r="R11" s="2"/>
      <c r="S11" s="2"/>
      <c r="T11" s="2"/>
      <c r="U11" s="3"/>
      <c r="V11" s="3"/>
      <c r="W11" s="2"/>
      <c r="X11" s="2"/>
      <c r="Y11" s="2"/>
      <c r="Z11" s="2"/>
      <c r="AA11" s="2"/>
      <c r="AB11" s="2"/>
      <c r="AC11" s="2"/>
      <c r="AD11" s="2"/>
      <c r="AE11" s="3"/>
      <c r="AF11" s="3"/>
      <c r="AG11" s="2"/>
      <c r="AH11" s="6"/>
      <c r="AI11" s="7"/>
      <c r="AJ11" s="6"/>
      <c r="AK11" s="59"/>
      <c r="AL11" s="59"/>
      <c r="AM11" s="59"/>
      <c r="AN11" s="59"/>
      <c r="AO11" s="59"/>
      <c r="AP11" s="59"/>
      <c r="AQ11" s="59"/>
      <c r="AR11" s="59"/>
      <c r="AS11" s="8"/>
      <c r="AT11" s="8"/>
      <c r="AU11" s="9"/>
      <c r="AV11" s="8"/>
      <c r="AW11" s="10" t="e">
        <f t="shared" si="1"/>
        <v>#DIV/0!</v>
      </c>
      <c r="AX11" s="39"/>
      <c r="AY11" s="1" t="str">
        <f t="shared" si="2"/>
        <v/>
      </c>
      <c r="AZ11" s="11" t="str">
        <f t="shared" si="3"/>
        <v/>
      </c>
      <c r="BA11" s="1" t="str">
        <f t="shared" si="4"/>
        <v/>
      </c>
      <c r="BB11" s="39"/>
      <c r="BC11" s="53" t="str">
        <f t="shared" si="5"/>
        <v/>
      </c>
      <c r="BD11" s="12" t="str">
        <f t="shared" si="6"/>
        <v/>
      </c>
      <c r="BE11" s="12" t="str">
        <f t="shared" si="7"/>
        <v/>
      </c>
      <c r="BF11" s="12" t="str">
        <f t="shared" si="8"/>
        <v/>
      </c>
      <c r="BG11" s="12" t="str">
        <f t="shared" si="9"/>
        <v/>
      </c>
      <c r="BH11" s="54" t="str">
        <f t="shared" si="10"/>
        <v/>
      </c>
      <c r="BI11" s="39"/>
      <c r="BJ11" s="55" t="str">
        <f t="shared" si="11"/>
        <v/>
      </c>
      <c r="BK11" s="13" t="str">
        <f t="shared" si="12"/>
        <v/>
      </c>
      <c r="BL11" s="13" t="str">
        <f t="shared" si="13"/>
        <v/>
      </c>
      <c r="BM11" s="56" t="str">
        <f t="shared" si="14"/>
        <v/>
      </c>
      <c r="BN11" s="39"/>
      <c r="BO11" s="14" t="str">
        <f t="shared" si="15"/>
        <v/>
      </c>
      <c r="BP11" s="15">
        <v>0</v>
      </c>
      <c r="BQ11" s="15" t="str">
        <f t="shared" si="16"/>
        <v/>
      </c>
      <c r="BR11" s="15" t="str">
        <f t="shared" si="17"/>
        <v/>
      </c>
      <c r="BS11" s="16" t="str">
        <f t="shared" si="18"/>
        <v/>
      </c>
      <c r="BT11" s="39"/>
      <c r="BU11" s="51" t="str">
        <f t="shared" si="19"/>
        <v/>
      </c>
      <c r="BV11" s="28" t="str">
        <f t="shared" si="20"/>
        <v/>
      </c>
      <c r="BW11" s="28" t="str">
        <f t="shared" si="21"/>
        <v/>
      </c>
      <c r="BX11" s="28" t="str">
        <f t="shared" si="22"/>
        <v/>
      </c>
      <c r="BY11" s="28" t="str">
        <f t="shared" si="23"/>
        <v/>
      </c>
      <c r="BZ11" s="52" t="str">
        <f t="shared" si="24"/>
        <v/>
      </c>
      <c r="CA11" s="39"/>
      <c r="CB11" s="49" t="str">
        <f t="shared" si="25"/>
        <v>-</v>
      </c>
      <c r="CC11" s="29" t="str">
        <f t="shared" si="26"/>
        <v>-</v>
      </c>
      <c r="CD11" s="29" t="str">
        <f t="shared" si="27"/>
        <v>-</v>
      </c>
      <c r="CE11" s="29" t="str">
        <f t="shared" si="28"/>
        <v>-</v>
      </c>
      <c r="CF11" s="50" t="str">
        <f t="shared" si="29"/>
        <v>-</v>
      </c>
      <c r="CG11" s="39"/>
    </row>
    <row r="12" spans="1:85" s="27" customFormat="1" ht="12.4" customHeight="1" thickBot="1" x14ac:dyDescent="0.25">
      <c r="A12" s="43">
        <f t="shared" si="30"/>
        <v>46304</v>
      </c>
      <c r="B12" s="44" t="str">
        <f>+TEXT(A12,"DDD")</f>
        <v>Fri</v>
      </c>
      <c r="C12" s="2"/>
      <c r="D12" s="2"/>
      <c r="E12" s="3"/>
      <c r="F12" s="2"/>
      <c r="G12" s="2"/>
      <c r="H12" s="4"/>
      <c r="I12" s="4"/>
      <c r="J12" s="58"/>
      <c r="K12" s="5"/>
      <c r="L12" s="2"/>
      <c r="M12" s="2"/>
      <c r="N12" s="2"/>
      <c r="O12" s="2"/>
      <c r="P12" s="3"/>
      <c r="Q12" s="2"/>
      <c r="R12" s="2"/>
      <c r="S12" s="2"/>
      <c r="T12" s="2"/>
      <c r="U12" s="3"/>
      <c r="V12" s="3"/>
      <c r="W12" s="2"/>
      <c r="X12" s="2"/>
      <c r="Y12" s="2"/>
      <c r="Z12" s="2"/>
      <c r="AA12" s="2"/>
      <c r="AB12" s="2"/>
      <c r="AC12" s="2"/>
      <c r="AD12" s="2"/>
      <c r="AE12" s="3"/>
      <c r="AF12" s="3"/>
      <c r="AG12" s="2"/>
      <c r="AH12" s="6"/>
      <c r="AI12" s="7"/>
      <c r="AJ12" s="6"/>
      <c r="AK12" s="59"/>
      <c r="AL12" s="59"/>
      <c r="AM12" s="59"/>
      <c r="AN12" s="59"/>
      <c r="AO12" s="59"/>
      <c r="AP12" s="59"/>
      <c r="AQ12" s="59"/>
      <c r="AR12" s="59"/>
      <c r="AS12" s="8"/>
      <c r="AT12" s="8"/>
      <c r="AU12" s="9"/>
      <c r="AV12" s="8"/>
      <c r="AW12" s="10" t="e">
        <f t="shared" si="1"/>
        <v>#DIV/0!</v>
      </c>
      <c r="AX12" s="39"/>
      <c r="AY12" s="1" t="str">
        <f t="shared" si="2"/>
        <v/>
      </c>
      <c r="AZ12" s="11" t="str">
        <f t="shared" si="3"/>
        <v/>
      </c>
      <c r="BA12" s="1" t="str">
        <f t="shared" si="4"/>
        <v/>
      </c>
      <c r="BB12" s="39"/>
      <c r="BC12" s="53" t="str">
        <f t="shared" si="5"/>
        <v/>
      </c>
      <c r="BD12" s="12" t="str">
        <f t="shared" si="6"/>
        <v/>
      </c>
      <c r="BE12" s="12" t="str">
        <f t="shared" si="7"/>
        <v/>
      </c>
      <c r="BF12" s="12" t="str">
        <f t="shared" si="8"/>
        <v/>
      </c>
      <c r="BG12" s="12" t="str">
        <f t="shared" si="9"/>
        <v/>
      </c>
      <c r="BH12" s="54" t="str">
        <f t="shared" si="10"/>
        <v/>
      </c>
      <c r="BI12" s="39"/>
      <c r="BJ12" s="55" t="str">
        <f t="shared" si="11"/>
        <v/>
      </c>
      <c r="BK12" s="13" t="str">
        <f t="shared" si="12"/>
        <v/>
      </c>
      <c r="BL12" s="13" t="str">
        <f t="shared" si="13"/>
        <v/>
      </c>
      <c r="BM12" s="56" t="str">
        <f t="shared" si="14"/>
        <v/>
      </c>
      <c r="BN12" s="39"/>
      <c r="BO12" s="14" t="str">
        <f t="shared" si="15"/>
        <v/>
      </c>
      <c r="BP12" s="15">
        <v>0</v>
      </c>
      <c r="BQ12" s="15" t="str">
        <f t="shared" si="16"/>
        <v/>
      </c>
      <c r="BR12" s="15" t="str">
        <f t="shared" si="17"/>
        <v/>
      </c>
      <c r="BS12" s="16" t="str">
        <f t="shared" si="18"/>
        <v/>
      </c>
      <c r="BT12" s="39"/>
      <c r="BU12" s="51" t="str">
        <f t="shared" si="19"/>
        <v/>
      </c>
      <c r="BV12" s="28" t="str">
        <f t="shared" si="20"/>
        <v/>
      </c>
      <c r="BW12" s="28" t="str">
        <f t="shared" si="21"/>
        <v/>
      </c>
      <c r="BX12" s="28" t="str">
        <f t="shared" si="22"/>
        <v/>
      </c>
      <c r="BY12" s="28" t="str">
        <f t="shared" si="23"/>
        <v/>
      </c>
      <c r="BZ12" s="52" t="str">
        <f t="shared" si="24"/>
        <v/>
      </c>
      <c r="CA12" s="39"/>
      <c r="CB12" s="49" t="str">
        <f t="shared" si="25"/>
        <v>-</v>
      </c>
      <c r="CC12" s="29" t="str">
        <f t="shared" si="26"/>
        <v>-</v>
      </c>
      <c r="CD12" s="29" t="str">
        <f t="shared" si="27"/>
        <v>-</v>
      </c>
      <c r="CE12" s="29" t="str">
        <f t="shared" si="28"/>
        <v>-</v>
      </c>
      <c r="CF12" s="50" t="str">
        <f t="shared" si="29"/>
        <v>-</v>
      </c>
      <c r="CG12" s="39"/>
    </row>
    <row r="13" spans="1:85" s="27" customFormat="1" ht="12.4" customHeight="1" thickBot="1" x14ac:dyDescent="0.25">
      <c r="A13" s="43">
        <f t="shared" si="30"/>
        <v>46305</v>
      </c>
      <c r="B13" s="44" t="str">
        <f>+TEXT(A13,"DDD")</f>
        <v>Sat</v>
      </c>
      <c r="C13" s="2"/>
      <c r="D13" s="2"/>
      <c r="E13" s="3"/>
      <c r="F13" s="2"/>
      <c r="G13" s="2"/>
      <c r="H13" s="4"/>
      <c r="I13" s="4"/>
      <c r="J13" s="58"/>
      <c r="K13" s="5"/>
      <c r="L13" s="2"/>
      <c r="M13" s="2"/>
      <c r="N13" s="2"/>
      <c r="O13" s="2"/>
      <c r="P13" s="3"/>
      <c r="Q13" s="2"/>
      <c r="R13" s="2"/>
      <c r="S13" s="2"/>
      <c r="T13" s="2"/>
      <c r="U13" s="3"/>
      <c r="V13" s="3"/>
      <c r="W13" s="2"/>
      <c r="X13" s="2"/>
      <c r="Y13" s="2"/>
      <c r="Z13" s="2"/>
      <c r="AA13" s="2"/>
      <c r="AB13" s="2"/>
      <c r="AC13" s="2"/>
      <c r="AD13" s="2"/>
      <c r="AE13" s="3"/>
      <c r="AF13" s="3"/>
      <c r="AG13" s="2"/>
      <c r="AH13" s="6"/>
      <c r="AI13" s="7"/>
      <c r="AJ13" s="6"/>
      <c r="AK13" s="59"/>
      <c r="AL13" s="59"/>
      <c r="AM13" s="59"/>
      <c r="AN13" s="59"/>
      <c r="AO13" s="59"/>
      <c r="AP13" s="59"/>
      <c r="AQ13" s="59"/>
      <c r="AR13" s="59"/>
      <c r="AS13" s="8"/>
      <c r="AT13" s="8"/>
      <c r="AU13" s="9"/>
      <c r="AV13" s="8"/>
      <c r="AW13" s="10" t="e">
        <f t="shared" si="1"/>
        <v>#DIV/0!</v>
      </c>
      <c r="AX13" s="39"/>
      <c r="AY13" s="1" t="str">
        <f t="shared" si="2"/>
        <v/>
      </c>
      <c r="AZ13" s="11" t="str">
        <f t="shared" si="3"/>
        <v/>
      </c>
      <c r="BA13" s="1" t="str">
        <f t="shared" si="4"/>
        <v/>
      </c>
      <c r="BB13" s="39"/>
      <c r="BC13" s="53" t="str">
        <f t="shared" si="5"/>
        <v/>
      </c>
      <c r="BD13" s="12" t="str">
        <f t="shared" si="6"/>
        <v/>
      </c>
      <c r="BE13" s="12" t="str">
        <f t="shared" si="7"/>
        <v/>
      </c>
      <c r="BF13" s="12" t="str">
        <f t="shared" si="8"/>
        <v/>
      </c>
      <c r="BG13" s="12" t="str">
        <f t="shared" si="9"/>
        <v/>
      </c>
      <c r="BH13" s="54" t="str">
        <f t="shared" si="10"/>
        <v/>
      </c>
      <c r="BI13" s="39"/>
      <c r="BJ13" s="55" t="str">
        <f t="shared" si="11"/>
        <v/>
      </c>
      <c r="BK13" s="13" t="str">
        <f t="shared" si="12"/>
        <v/>
      </c>
      <c r="BL13" s="13" t="str">
        <f t="shared" si="13"/>
        <v/>
      </c>
      <c r="BM13" s="56" t="str">
        <f t="shared" si="14"/>
        <v/>
      </c>
      <c r="BN13" s="39"/>
      <c r="BO13" s="14" t="str">
        <f t="shared" si="15"/>
        <v/>
      </c>
      <c r="BP13" s="15">
        <v>0</v>
      </c>
      <c r="BQ13" s="15" t="str">
        <f t="shared" si="16"/>
        <v/>
      </c>
      <c r="BR13" s="15" t="str">
        <f t="shared" si="17"/>
        <v/>
      </c>
      <c r="BS13" s="16" t="str">
        <f t="shared" si="18"/>
        <v/>
      </c>
      <c r="BT13" s="39"/>
      <c r="BU13" s="51" t="str">
        <f t="shared" si="19"/>
        <v/>
      </c>
      <c r="BV13" s="28" t="str">
        <f t="shared" si="20"/>
        <v/>
      </c>
      <c r="BW13" s="28" t="str">
        <f t="shared" si="21"/>
        <v/>
      </c>
      <c r="BX13" s="28" t="str">
        <f t="shared" si="22"/>
        <v/>
      </c>
      <c r="BY13" s="28" t="str">
        <f t="shared" si="23"/>
        <v/>
      </c>
      <c r="BZ13" s="52" t="str">
        <f t="shared" si="24"/>
        <v/>
      </c>
      <c r="CA13" s="39"/>
      <c r="CB13" s="49" t="str">
        <f t="shared" si="25"/>
        <v>-</v>
      </c>
      <c r="CC13" s="29" t="str">
        <f t="shared" si="26"/>
        <v>-</v>
      </c>
      <c r="CD13" s="29" t="str">
        <f t="shared" si="27"/>
        <v>-</v>
      </c>
      <c r="CE13" s="29" t="str">
        <f t="shared" si="28"/>
        <v>-</v>
      </c>
      <c r="CF13" s="50" t="str">
        <f t="shared" si="29"/>
        <v>-</v>
      </c>
      <c r="CG13" s="39"/>
    </row>
    <row r="14" spans="1:85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2"/>
      <c r="D14" s="2"/>
      <c r="E14" s="3"/>
      <c r="F14" s="2"/>
      <c r="G14" s="2"/>
      <c r="H14" s="4"/>
      <c r="I14" s="4"/>
      <c r="J14" s="58"/>
      <c r="K14" s="5"/>
      <c r="L14" s="2"/>
      <c r="M14" s="2"/>
      <c r="N14" s="2"/>
      <c r="O14" s="2"/>
      <c r="P14" s="3"/>
      <c r="Q14" s="2"/>
      <c r="R14" s="2"/>
      <c r="S14" s="2"/>
      <c r="T14" s="2"/>
      <c r="U14" s="3"/>
      <c r="V14" s="3"/>
      <c r="W14" s="2"/>
      <c r="X14" s="2"/>
      <c r="Y14" s="2"/>
      <c r="Z14" s="2"/>
      <c r="AA14" s="2"/>
      <c r="AB14" s="2"/>
      <c r="AC14" s="2"/>
      <c r="AD14" s="2"/>
      <c r="AE14" s="3"/>
      <c r="AF14" s="3"/>
      <c r="AG14" s="2"/>
      <c r="AH14" s="6"/>
      <c r="AI14" s="7"/>
      <c r="AJ14" s="6"/>
      <c r="AK14" s="59"/>
      <c r="AL14" s="59"/>
      <c r="AM14" s="59"/>
      <c r="AN14" s="59"/>
      <c r="AO14" s="59"/>
      <c r="AP14" s="59"/>
      <c r="AQ14" s="59"/>
      <c r="AR14" s="59"/>
      <c r="AS14" s="8"/>
      <c r="AT14" s="8"/>
      <c r="AU14" s="9"/>
      <c r="AV14" s="8"/>
      <c r="AW14" s="10" t="e">
        <f t="shared" si="1"/>
        <v>#DIV/0!</v>
      </c>
      <c r="AX14" s="39"/>
      <c r="AY14" s="1" t="str">
        <f t="shared" si="2"/>
        <v/>
      </c>
      <c r="AZ14" s="11" t="str">
        <f t="shared" si="3"/>
        <v/>
      </c>
      <c r="BA14" s="1" t="str">
        <f t="shared" si="4"/>
        <v/>
      </c>
      <c r="BB14" s="39"/>
      <c r="BC14" s="53" t="str">
        <f t="shared" si="5"/>
        <v/>
      </c>
      <c r="BD14" s="12" t="str">
        <f t="shared" si="6"/>
        <v/>
      </c>
      <c r="BE14" s="12" t="str">
        <f t="shared" si="7"/>
        <v/>
      </c>
      <c r="BF14" s="12" t="str">
        <f t="shared" si="8"/>
        <v/>
      </c>
      <c r="BG14" s="12" t="str">
        <f t="shared" si="9"/>
        <v/>
      </c>
      <c r="BH14" s="54" t="str">
        <f t="shared" si="10"/>
        <v/>
      </c>
      <c r="BI14" s="39"/>
      <c r="BJ14" s="55" t="str">
        <f t="shared" si="11"/>
        <v/>
      </c>
      <c r="BK14" s="13" t="str">
        <f t="shared" si="12"/>
        <v/>
      </c>
      <c r="BL14" s="13" t="str">
        <f t="shared" si="13"/>
        <v/>
      </c>
      <c r="BM14" s="56" t="str">
        <f t="shared" si="14"/>
        <v/>
      </c>
      <c r="BN14" s="39"/>
      <c r="BO14" s="14" t="str">
        <f t="shared" si="15"/>
        <v/>
      </c>
      <c r="BP14" s="15">
        <v>0</v>
      </c>
      <c r="BQ14" s="15" t="str">
        <f t="shared" si="16"/>
        <v/>
      </c>
      <c r="BR14" s="15" t="str">
        <f t="shared" si="17"/>
        <v/>
      </c>
      <c r="BS14" s="16" t="str">
        <f t="shared" si="18"/>
        <v/>
      </c>
      <c r="BT14" s="39"/>
      <c r="BU14" s="51" t="str">
        <f t="shared" si="19"/>
        <v/>
      </c>
      <c r="BV14" s="28" t="str">
        <f t="shared" si="20"/>
        <v/>
      </c>
      <c r="BW14" s="28" t="str">
        <f t="shared" si="21"/>
        <v/>
      </c>
      <c r="BX14" s="28" t="str">
        <f t="shared" si="22"/>
        <v/>
      </c>
      <c r="BY14" s="28" t="str">
        <f t="shared" si="23"/>
        <v/>
      </c>
      <c r="BZ14" s="52" t="str">
        <f t="shared" si="24"/>
        <v/>
      </c>
      <c r="CA14" s="39"/>
      <c r="CB14" s="49" t="str">
        <f t="shared" si="25"/>
        <v>-</v>
      </c>
      <c r="CC14" s="29" t="str">
        <f t="shared" si="26"/>
        <v>-</v>
      </c>
      <c r="CD14" s="29" t="str">
        <f t="shared" si="27"/>
        <v>-</v>
      </c>
      <c r="CE14" s="29" t="str">
        <f t="shared" si="28"/>
        <v>-</v>
      </c>
      <c r="CF14" s="50" t="str">
        <f t="shared" si="29"/>
        <v>-</v>
      </c>
      <c r="CG14" s="39"/>
    </row>
    <row r="15" spans="1:85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2"/>
      <c r="D15" s="2"/>
      <c r="E15" s="3"/>
      <c r="F15" s="2"/>
      <c r="G15" s="2"/>
      <c r="H15" s="4"/>
      <c r="I15" s="4"/>
      <c r="J15" s="58"/>
      <c r="K15" s="5"/>
      <c r="L15" s="2"/>
      <c r="M15" s="2"/>
      <c r="N15" s="2"/>
      <c r="O15" s="2"/>
      <c r="P15" s="3"/>
      <c r="Q15" s="2"/>
      <c r="R15" s="2"/>
      <c r="S15" s="2"/>
      <c r="T15" s="2"/>
      <c r="U15" s="3"/>
      <c r="V15" s="3"/>
      <c r="W15" s="2"/>
      <c r="X15" s="2"/>
      <c r="Y15" s="2"/>
      <c r="Z15" s="2"/>
      <c r="AA15" s="2"/>
      <c r="AB15" s="2"/>
      <c r="AC15" s="2"/>
      <c r="AD15" s="2"/>
      <c r="AE15" s="3"/>
      <c r="AF15" s="3"/>
      <c r="AG15" s="2"/>
      <c r="AH15" s="6"/>
      <c r="AI15" s="7"/>
      <c r="AJ15" s="6"/>
      <c r="AK15" s="59"/>
      <c r="AL15" s="59"/>
      <c r="AM15" s="59"/>
      <c r="AN15" s="59"/>
      <c r="AO15" s="59"/>
      <c r="AP15" s="59"/>
      <c r="AQ15" s="59"/>
      <c r="AR15" s="59"/>
      <c r="AS15" s="8"/>
      <c r="AT15" s="8"/>
      <c r="AU15" s="9"/>
      <c r="AV15" s="8"/>
      <c r="AW15" s="10" t="e">
        <f t="shared" si="1"/>
        <v>#DIV/0!</v>
      </c>
      <c r="AX15" s="39"/>
      <c r="AY15" s="1" t="str">
        <f t="shared" si="2"/>
        <v/>
      </c>
      <c r="AZ15" s="11" t="str">
        <f t="shared" si="3"/>
        <v/>
      </c>
      <c r="BA15" s="1" t="str">
        <f t="shared" si="4"/>
        <v/>
      </c>
      <c r="BB15" s="39"/>
      <c r="BC15" s="53" t="str">
        <f t="shared" si="5"/>
        <v/>
      </c>
      <c r="BD15" s="12" t="str">
        <f t="shared" si="6"/>
        <v/>
      </c>
      <c r="BE15" s="12" t="str">
        <f t="shared" si="7"/>
        <v/>
      </c>
      <c r="BF15" s="12" t="str">
        <f t="shared" si="8"/>
        <v/>
      </c>
      <c r="BG15" s="12" t="str">
        <f t="shared" si="9"/>
        <v/>
      </c>
      <c r="BH15" s="54" t="str">
        <f t="shared" si="10"/>
        <v/>
      </c>
      <c r="BI15" s="39"/>
      <c r="BJ15" s="55" t="str">
        <f t="shared" si="11"/>
        <v/>
      </c>
      <c r="BK15" s="13" t="str">
        <f t="shared" si="12"/>
        <v/>
      </c>
      <c r="BL15" s="13" t="str">
        <f t="shared" si="13"/>
        <v/>
      </c>
      <c r="BM15" s="56" t="str">
        <f t="shared" si="14"/>
        <v/>
      </c>
      <c r="BN15" s="39"/>
      <c r="BO15" s="14" t="str">
        <f t="shared" si="15"/>
        <v/>
      </c>
      <c r="BP15" s="15">
        <v>0</v>
      </c>
      <c r="BQ15" s="15" t="str">
        <f t="shared" si="16"/>
        <v/>
      </c>
      <c r="BR15" s="15" t="str">
        <f t="shared" si="17"/>
        <v/>
      </c>
      <c r="BS15" s="16" t="str">
        <f t="shared" si="18"/>
        <v/>
      </c>
      <c r="BT15" s="39"/>
      <c r="BU15" s="51" t="str">
        <f t="shared" si="19"/>
        <v/>
      </c>
      <c r="BV15" s="28" t="str">
        <f t="shared" si="20"/>
        <v/>
      </c>
      <c r="BW15" s="28" t="str">
        <f t="shared" si="21"/>
        <v/>
      </c>
      <c r="BX15" s="28" t="str">
        <f t="shared" si="22"/>
        <v/>
      </c>
      <c r="BY15" s="28" t="str">
        <f t="shared" si="23"/>
        <v/>
      </c>
      <c r="BZ15" s="52" t="str">
        <f t="shared" si="24"/>
        <v/>
      </c>
      <c r="CA15" s="39"/>
      <c r="CB15" s="49" t="str">
        <f t="shared" si="25"/>
        <v>-</v>
      </c>
      <c r="CC15" s="29" t="str">
        <f t="shared" si="26"/>
        <v>-</v>
      </c>
      <c r="CD15" s="29" t="str">
        <f t="shared" si="27"/>
        <v>-</v>
      </c>
      <c r="CE15" s="29" t="str">
        <f t="shared" si="28"/>
        <v>-</v>
      </c>
      <c r="CF15" s="50" t="str">
        <f t="shared" si="29"/>
        <v>-</v>
      </c>
      <c r="CG15" s="39"/>
    </row>
    <row r="16" spans="1:85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2"/>
      <c r="D16" s="2"/>
      <c r="E16" s="3"/>
      <c r="F16" s="2"/>
      <c r="G16" s="2"/>
      <c r="H16" s="4"/>
      <c r="I16" s="4"/>
      <c r="J16" s="67"/>
      <c r="K16" s="5"/>
      <c r="L16" s="2"/>
      <c r="M16" s="2"/>
      <c r="N16" s="2"/>
      <c r="O16" s="2"/>
      <c r="P16" s="3"/>
      <c r="Q16" s="2"/>
      <c r="R16" s="2"/>
      <c r="S16" s="2"/>
      <c r="T16" s="2"/>
      <c r="U16" s="3"/>
      <c r="V16" s="3"/>
      <c r="W16" s="2"/>
      <c r="X16" s="2"/>
      <c r="Y16" s="2"/>
      <c r="Z16" s="2"/>
      <c r="AA16" s="2"/>
      <c r="AB16" s="2"/>
      <c r="AC16" s="2"/>
      <c r="AD16" s="2"/>
      <c r="AE16" s="3"/>
      <c r="AF16" s="3"/>
      <c r="AG16" s="2"/>
      <c r="AH16" s="6"/>
      <c r="AI16" s="7"/>
      <c r="AJ16" s="6"/>
      <c r="AK16" s="59"/>
      <c r="AL16" s="59"/>
      <c r="AM16" s="59"/>
      <c r="AN16" s="59"/>
      <c r="AO16" s="59"/>
      <c r="AP16" s="59"/>
      <c r="AQ16" s="59"/>
      <c r="AR16" s="59"/>
      <c r="AS16" s="8"/>
      <c r="AT16" s="8"/>
      <c r="AU16" s="9"/>
      <c r="AV16" s="8"/>
      <c r="AW16" s="10" t="e">
        <f t="shared" si="1"/>
        <v>#DIV/0!</v>
      </c>
      <c r="AX16" s="39"/>
      <c r="AY16" s="1" t="str">
        <f t="shared" si="2"/>
        <v/>
      </c>
      <c r="AZ16" s="11" t="str">
        <f t="shared" si="3"/>
        <v/>
      </c>
      <c r="BA16" s="1" t="str">
        <f t="shared" si="4"/>
        <v/>
      </c>
      <c r="BB16" s="39"/>
      <c r="BC16" s="53" t="str">
        <f t="shared" si="5"/>
        <v/>
      </c>
      <c r="BD16" s="12" t="str">
        <f t="shared" si="6"/>
        <v/>
      </c>
      <c r="BE16" s="12" t="str">
        <f t="shared" si="7"/>
        <v/>
      </c>
      <c r="BF16" s="12" t="str">
        <f t="shared" si="8"/>
        <v/>
      </c>
      <c r="BG16" s="12" t="str">
        <f t="shared" si="9"/>
        <v/>
      </c>
      <c r="BH16" s="54" t="str">
        <f t="shared" si="10"/>
        <v/>
      </c>
      <c r="BI16" s="39"/>
      <c r="BJ16" s="55" t="str">
        <f t="shared" si="11"/>
        <v/>
      </c>
      <c r="BK16" s="13" t="str">
        <f t="shared" si="12"/>
        <v/>
      </c>
      <c r="BL16" s="13" t="str">
        <f t="shared" si="13"/>
        <v/>
      </c>
      <c r="BM16" s="56" t="str">
        <f t="shared" si="14"/>
        <v/>
      </c>
      <c r="BN16" s="39"/>
      <c r="BO16" s="14" t="str">
        <f t="shared" si="15"/>
        <v/>
      </c>
      <c r="BP16" s="15">
        <v>0</v>
      </c>
      <c r="BQ16" s="15" t="str">
        <f t="shared" si="16"/>
        <v/>
      </c>
      <c r="BR16" s="15" t="str">
        <f t="shared" si="17"/>
        <v/>
      </c>
      <c r="BS16" s="16" t="str">
        <f t="shared" si="18"/>
        <v/>
      </c>
      <c r="BT16" s="39"/>
      <c r="BU16" s="51" t="str">
        <f t="shared" si="19"/>
        <v/>
      </c>
      <c r="BV16" s="28" t="str">
        <f t="shared" si="20"/>
        <v/>
      </c>
      <c r="BW16" s="28" t="str">
        <f t="shared" si="21"/>
        <v/>
      </c>
      <c r="BX16" s="28" t="str">
        <f t="shared" si="22"/>
        <v/>
      </c>
      <c r="BY16" s="28" t="str">
        <f t="shared" si="23"/>
        <v/>
      </c>
      <c r="BZ16" s="52" t="str">
        <f t="shared" si="24"/>
        <v/>
      </c>
      <c r="CA16" s="39"/>
      <c r="CB16" s="49" t="str">
        <f t="shared" si="25"/>
        <v>-</v>
      </c>
      <c r="CC16" s="29" t="str">
        <f t="shared" si="26"/>
        <v>-</v>
      </c>
      <c r="CD16" s="29" t="str">
        <f t="shared" si="27"/>
        <v>-</v>
      </c>
      <c r="CE16" s="29" t="str">
        <f t="shared" si="28"/>
        <v>-</v>
      </c>
      <c r="CF16" s="50" t="str">
        <f t="shared" si="29"/>
        <v>-</v>
      </c>
      <c r="CG16" s="39"/>
    </row>
    <row r="17" spans="1:85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2"/>
      <c r="D17" s="2"/>
      <c r="E17" s="3"/>
      <c r="F17" s="2"/>
      <c r="G17" s="2"/>
      <c r="H17" s="4"/>
      <c r="I17" s="4"/>
      <c r="J17" s="58"/>
      <c r="K17" s="5"/>
      <c r="L17" s="2"/>
      <c r="M17" s="2"/>
      <c r="N17" s="2"/>
      <c r="O17" s="2"/>
      <c r="P17" s="3"/>
      <c r="Q17" s="2"/>
      <c r="R17" s="2"/>
      <c r="S17" s="2"/>
      <c r="T17" s="2"/>
      <c r="U17" s="3"/>
      <c r="V17" s="3"/>
      <c r="W17" s="2"/>
      <c r="X17" s="2"/>
      <c r="Y17" s="2"/>
      <c r="Z17" s="2"/>
      <c r="AA17" s="2"/>
      <c r="AB17" s="2"/>
      <c r="AC17" s="2"/>
      <c r="AD17" s="2"/>
      <c r="AE17" s="3"/>
      <c r="AF17" s="3"/>
      <c r="AG17" s="2"/>
      <c r="AH17" s="6"/>
      <c r="AI17" s="7"/>
      <c r="AJ17" s="6"/>
      <c r="AK17" s="59"/>
      <c r="AL17" s="59"/>
      <c r="AM17" s="59"/>
      <c r="AN17" s="59"/>
      <c r="AO17" s="59"/>
      <c r="AP17" s="59"/>
      <c r="AQ17" s="59"/>
      <c r="AR17" s="59"/>
      <c r="AS17" s="8"/>
      <c r="AT17" s="8"/>
      <c r="AU17" s="9"/>
      <c r="AV17" s="8"/>
      <c r="AW17" s="10" t="e">
        <f t="shared" si="1"/>
        <v>#DIV/0!</v>
      </c>
      <c r="AX17" s="39"/>
      <c r="AY17" s="1" t="str">
        <f t="shared" si="2"/>
        <v/>
      </c>
      <c r="AZ17" s="11" t="str">
        <f t="shared" si="3"/>
        <v/>
      </c>
      <c r="BA17" s="1" t="str">
        <f t="shared" si="4"/>
        <v/>
      </c>
      <c r="BB17" s="39"/>
      <c r="BC17" s="53" t="str">
        <f t="shared" si="5"/>
        <v/>
      </c>
      <c r="BD17" s="12" t="str">
        <f t="shared" si="6"/>
        <v/>
      </c>
      <c r="BE17" s="12" t="str">
        <f t="shared" si="7"/>
        <v/>
      </c>
      <c r="BF17" s="12" t="str">
        <f t="shared" si="8"/>
        <v/>
      </c>
      <c r="BG17" s="12" t="str">
        <f t="shared" si="9"/>
        <v/>
      </c>
      <c r="BH17" s="54" t="str">
        <f t="shared" si="10"/>
        <v/>
      </c>
      <c r="BI17" s="39"/>
      <c r="BJ17" s="55" t="str">
        <f t="shared" si="11"/>
        <v/>
      </c>
      <c r="BK17" s="13" t="str">
        <f t="shared" si="12"/>
        <v/>
      </c>
      <c r="BL17" s="13" t="str">
        <f t="shared" si="13"/>
        <v/>
      </c>
      <c r="BM17" s="56" t="str">
        <f t="shared" si="14"/>
        <v/>
      </c>
      <c r="BN17" s="39"/>
      <c r="BO17" s="14" t="str">
        <f t="shared" si="15"/>
        <v/>
      </c>
      <c r="BP17" s="15">
        <v>0</v>
      </c>
      <c r="BQ17" s="15" t="str">
        <f t="shared" si="16"/>
        <v/>
      </c>
      <c r="BR17" s="15" t="str">
        <f t="shared" si="17"/>
        <v/>
      </c>
      <c r="BS17" s="16" t="str">
        <f t="shared" si="18"/>
        <v/>
      </c>
      <c r="BT17" s="39"/>
      <c r="BU17" s="51" t="str">
        <f t="shared" si="19"/>
        <v/>
      </c>
      <c r="BV17" s="28" t="str">
        <f t="shared" si="20"/>
        <v/>
      </c>
      <c r="BW17" s="28" t="str">
        <f t="shared" si="21"/>
        <v/>
      </c>
      <c r="BX17" s="28" t="str">
        <f t="shared" si="22"/>
        <v/>
      </c>
      <c r="BY17" s="28" t="str">
        <f t="shared" si="23"/>
        <v/>
      </c>
      <c r="BZ17" s="52" t="str">
        <f t="shared" si="24"/>
        <v/>
      </c>
      <c r="CA17" s="39"/>
      <c r="CB17" s="49" t="str">
        <f t="shared" si="25"/>
        <v>-</v>
      </c>
      <c r="CC17" s="29" t="str">
        <f t="shared" si="26"/>
        <v>-</v>
      </c>
      <c r="CD17" s="29" t="str">
        <f t="shared" si="27"/>
        <v>-</v>
      </c>
      <c r="CE17" s="29" t="str">
        <f t="shared" si="28"/>
        <v>-</v>
      </c>
      <c r="CF17" s="50" t="str">
        <f t="shared" si="29"/>
        <v>-</v>
      </c>
      <c r="CG17" s="39"/>
    </row>
    <row r="18" spans="1:85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2"/>
      <c r="D18" s="2"/>
      <c r="E18" s="3"/>
      <c r="F18" s="2"/>
      <c r="G18" s="2"/>
      <c r="H18" s="4"/>
      <c r="I18" s="4"/>
      <c r="J18" s="58"/>
      <c r="K18" s="5"/>
      <c r="L18" s="2"/>
      <c r="M18" s="2"/>
      <c r="N18" s="2"/>
      <c r="O18" s="2"/>
      <c r="P18" s="3"/>
      <c r="Q18" s="2"/>
      <c r="R18" s="2"/>
      <c r="S18" s="2"/>
      <c r="T18" s="2"/>
      <c r="U18" s="3"/>
      <c r="V18" s="3"/>
      <c r="W18" s="2"/>
      <c r="X18" s="2"/>
      <c r="Y18" s="2"/>
      <c r="Z18" s="2"/>
      <c r="AA18" s="2"/>
      <c r="AB18" s="2"/>
      <c r="AC18" s="2"/>
      <c r="AD18" s="2"/>
      <c r="AE18" s="3"/>
      <c r="AF18" s="3"/>
      <c r="AG18" s="2"/>
      <c r="AH18" s="6"/>
      <c r="AI18" s="7"/>
      <c r="AJ18" s="6"/>
      <c r="AK18" s="59"/>
      <c r="AL18" s="59"/>
      <c r="AM18" s="59"/>
      <c r="AN18" s="59"/>
      <c r="AO18" s="59"/>
      <c r="AP18" s="59"/>
      <c r="AQ18" s="59"/>
      <c r="AR18" s="59"/>
      <c r="AS18" s="8"/>
      <c r="AT18" s="8"/>
      <c r="AU18" s="9"/>
      <c r="AV18" s="8"/>
      <c r="AW18" s="10" t="e">
        <f t="shared" si="1"/>
        <v>#DIV/0!</v>
      </c>
      <c r="AX18" s="39"/>
      <c r="AY18" s="1" t="str">
        <f t="shared" si="2"/>
        <v/>
      </c>
      <c r="AZ18" s="11" t="str">
        <f t="shared" si="3"/>
        <v/>
      </c>
      <c r="BA18" s="1" t="str">
        <f t="shared" si="4"/>
        <v/>
      </c>
      <c r="BB18" s="39"/>
      <c r="BC18" s="53" t="str">
        <f t="shared" si="5"/>
        <v/>
      </c>
      <c r="BD18" s="12" t="str">
        <f t="shared" si="6"/>
        <v/>
      </c>
      <c r="BE18" s="12" t="str">
        <f t="shared" si="7"/>
        <v/>
      </c>
      <c r="BF18" s="12" t="str">
        <f t="shared" si="8"/>
        <v/>
      </c>
      <c r="BG18" s="12" t="str">
        <f t="shared" si="9"/>
        <v/>
      </c>
      <c r="BH18" s="54" t="str">
        <f t="shared" si="10"/>
        <v/>
      </c>
      <c r="BI18" s="39"/>
      <c r="BJ18" s="55" t="str">
        <f t="shared" si="11"/>
        <v/>
      </c>
      <c r="BK18" s="13" t="str">
        <f t="shared" si="12"/>
        <v/>
      </c>
      <c r="BL18" s="13" t="str">
        <f t="shared" si="13"/>
        <v/>
      </c>
      <c r="BM18" s="56" t="str">
        <f t="shared" si="14"/>
        <v/>
      </c>
      <c r="BN18" s="39"/>
      <c r="BO18" s="14" t="str">
        <f t="shared" si="15"/>
        <v/>
      </c>
      <c r="BP18" s="15">
        <v>0</v>
      </c>
      <c r="BQ18" s="15" t="str">
        <f t="shared" si="16"/>
        <v/>
      </c>
      <c r="BR18" s="15" t="str">
        <f t="shared" si="17"/>
        <v/>
      </c>
      <c r="BS18" s="16" t="str">
        <f t="shared" si="18"/>
        <v/>
      </c>
      <c r="BT18" s="39"/>
      <c r="BU18" s="51" t="str">
        <f t="shared" si="19"/>
        <v/>
      </c>
      <c r="BV18" s="28" t="str">
        <f t="shared" si="20"/>
        <v/>
      </c>
      <c r="BW18" s="28" t="str">
        <f t="shared" si="21"/>
        <v/>
      </c>
      <c r="BX18" s="28" t="str">
        <f t="shared" si="22"/>
        <v/>
      </c>
      <c r="BY18" s="28" t="str">
        <f t="shared" si="23"/>
        <v/>
      </c>
      <c r="BZ18" s="52" t="str">
        <f t="shared" si="24"/>
        <v/>
      </c>
      <c r="CA18" s="39"/>
      <c r="CB18" s="49" t="str">
        <f t="shared" si="25"/>
        <v>-</v>
      </c>
      <c r="CC18" s="29" t="str">
        <f t="shared" si="26"/>
        <v>-</v>
      </c>
      <c r="CD18" s="29" t="str">
        <f t="shared" si="27"/>
        <v>-</v>
      </c>
      <c r="CE18" s="29" t="str">
        <f t="shared" si="28"/>
        <v>-</v>
      </c>
      <c r="CF18" s="50" t="str">
        <f t="shared" si="29"/>
        <v>-</v>
      </c>
      <c r="CG18" s="39"/>
    </row>
    <row r="19" spans="1:85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2"/>
      <c r="D19" s="2"/>
      <c r="E19" s="3"/>
      <c r="F19" s="2"/>
      <c r="G19" s="2"/>
      <c r="H19" s="4"/>
      <c r="I19" s="4"/>
      <c r="J19" s="58"/>
      <c r="K19" s="5"/>
      <c r="L19" s="2"/>
      <c r="M19" s="2"/>
      <c r="N19" s="2"/>
      <c r="O19" s="2"/>
      <c r="P19" s="3"/>
      <c r="Q19" s="2"/>
      <c r="R19" s="2"/>
      <c r="S19" s="2"/>
      <c r="T19" s="2"/>
      <c r="U19" s="3"/>
      <c r="V19" s="3"/>
      <c r="W19" s="2"/>
      <c r="X19" s="2"/>
      <c r="Y19" s="2"/>
      <c r="Z19" s="2"/>
      <c r="AA19" s="2"/>
      <c r="AB19" s="2"/>
      <c r="AC19" s="2"/>
      <c r="AD19" s="2"/>
      <c r="AE19" s="3"/>
      <c r="AF19" s="3"/>
      <c r="AG19" s="2"/>
      <c r="AH19" s="6"/>
      <c r="AI19" s="7"/>
      <c r="AJ19" s="6"/>
      <c r="AK19" s="59"/>
      <c r="AL19" s="59"/>
      <c r="AM19" s="59"/>
      <c r="AN19" s="59"/>
      <c r="AO19" s="59"/>
      <c r="AP19" s="59"/>
      <c r="AQ19" s="59"/>
      <c r="AR19" s="59"/>
      <c r="AS19" s="8"/>
      <c r="AT19" s="8"/>
      <c r="AU19" s="9"/>
      <c r="AV19" s="8"/>
      <c r="AW19" s="10" t="e">
        <f t="shared" si="1"/>
        <v>#DIV/0!</v>
      </c>
      <c r="AX19" s="39"/>
      <c r="AY19" s="1" t="str">
        <f t="shared" si="2"/>
        <v/>
      </c>
      <c r="AZ19" s="11" t="str">
        <f t="shared" si="3"/>
        <v/>
      </c>
      <c r="BA19" s="1" t="str">
        <f t="shared" si="4"/>
        <v/>
      </c>
      <c r="BB19" s="39"/>
      <c r="BC19" s="53" t="str">
        <f t="shared" si="5"/>
        <v/>
      </c>
      <c r="BD19" s="12" t="str">
        <f t="shared" si="6"/>
        <v/>
      </c>
      <c r="BE19" s="12" t="str">
        <f t="shared" si="7"/>
        <v/>
      </c>
      <c r="BF19" s="12" t="str">
        <f t="shared" si="8"/>
        <v/>
      </c>
      <c r="BG19" s="12" t="str">
        <f t="shared" si="9"/>
        <v/>
      </c>
      <c r="BH19" s="54" t="str">
        <f t="shared" si="10"/>
        <v/>
      </c>
      <c r="BI19" s="39"/>
      <c r="BJ19" s="55" t="str">
        <f t="shared" si="11"/>
        <v/>
      </c>
      <c r="BK19" s="13" t="str">
        <f t="shared" si="12"/>
        <v/>
      </c>
      <c r="BL19" s="13" t="str">
        <f t="shared" si="13"/>
        <v/>
      </c>
      <c r="BM19" s="56" t="str">
        <f t="shared" si="14"/>
        <v/>
      </c>
      <c r="BN19" s="39"/>
      <c r="BO19" s="14" t="str">
        <f t="shared" si="15"/>
        <v/>
      </c>
      <c r="BP19" s="15">
        <v>0</v>
      </c>
      <c r="BQ19" s="15" t="str">
        <f t="shared" si="16"/>
        <v/>
      </c>
      <c r="BR19" s="15" t="str">
        <f t="shared" si="17"/>
        <v/>
      </c>
      <c r="BS19" s="16" t="str">
        <f t="shared" si="18"/>
        <v/>
      </c>
      <c r="BT19" s="39"/>
      <c r="BU19" s="51" t="str">
        <f t="shared" si="19"/>
        <v/>
      </c>
      <c r="BV19" s="28" t="str">
        <f t="shared" si="20"/>
        <v/>
      </c>
      <c r="BW19" s="28" t="str">
        <f t="shared" si="21"/>
        <v/>
      </c>
      <c r="BX19" s="28" t="str">
        <f t="shared" si="22"/>
        <v/>
      </c>
      <c r="BY19" s="28" t="str">
        <f t="shared" si="23"/>
        <v/>
      </c>
      <c r="BZ19" s="52" t="str">
        <f t="shared" si="24"/>
        <v/>
      </c>
      <c r="CA19" s="39"/>
      <c r="CB19" s="49" t="str">
        <f t="shared" si="25"/>
        <v>-</v>
      </c>
      <c r="CC19" s="29" t="str">
        <f t="shared" si="26"/>
        <v>-</v>
      </c>
      <c r="CD19" s="29" t="str">
        <f t="shared" si="27"/>
        <v>-</v>
      </c>
      <c r="CE19" s="29" t="str">
        <f t="shared" si="28"/>
        <v>-</v>
      </c>
      <c r="CF19" s="50" t="str">
        <f t="shared" si="29"/>
        <v>-</v>
      </c>
      <c r="CG19" s="39"/>
    </row>
    <row r="20" spans="1:85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2"/>
      <c r="D20" s="2"/>
      <c r="E20" s="3"/>
      <c r="F20" s="2"/>
      <c r="G20" s="2"/>
      <c r="H20" s="4"/>
      <c r="I20" s="4"/>
      <c r="J20" s="58"/>
      <c r="K20" s="5"/>
      <c r="L20" s="2"/>
      <c r="M20" s="2"/>
      <c r="N20" s="2"/>
      <c r="O20" s="2"/>
      <c r="P20" s="3"/>
      <c r="Q20" s="2"/>
      <c r="R20" s="2"/>
      <c r="S20" s="2"/>
      <c r="T20" s="2"/>
      <c r="U20" s="3"/>
      <c r="V20" s="3"/>
      <c r="W20" s="2"/>
      <c r="X20" s="2"/>
      <c r="Y20" s="2"/>
      <c r="Z20" s="2"/>
      <c r="AA20" s="2"/>
      <c r="AB20" s="2"/>
      <c r="AC20" s="2"/>
      <c r="AD20" s="2"/>
      <c r="AE20" s="3"/>
      <c r="AF20" s="3"/>
      <c r="AG20" s="2"/>
      <c r="AH20" s="6"/>
      <c r="AI20" s="7"/>
      <c r="AJ20" s="6"/>
      <c r="AK20" s="59"/>
      <c r="AL20" s="59"/>
      <c r="AM20" s="59"/>
      <c r="AN20" s="59"/>
      <c r="AO20" s="59"/>
      <c r="AP20" s="59"/>
      <c r="AQ20" s="59"/>
      <c r="AR20" s="59"/>
      <c r="AS20" s="8"/>
      <c r="AT20" s="8"/>
      <c r="AU20" s="9"/>
      <c r="AV20" s="8"/>
      <c r="AW20" s="10" t="e">
        <f t="shared" si="1"/>
        <v>#DIV/0!</v>
      </c>
      <c r="AX20" s="39"/>
      <c r="AY20" s="1" t="str">
        <f t="shared" si="2"/>
        <v/>
      </c>
      <c r="AZ20" s="11" t="str">
        <f t="shared" si="3"/>
        <v/>
      </c>
      <c r="BA20" s="1" t="str">
        <f t="shared" si="4"/>
        <v/>
      </c>
      <c r="BB20" s="39"/>
      <c r="BC20" s="53" t="str">
        <f t="shared" si="5"/>
        <v/>
      </c>
      <c r="BD20" s="12" t="str">
        <f t="shared" si="6"/>
        <v/>
      </c>
      <c r="BE20" s="12" t="str">
        <f t="shared" si="7"/>
        <v/>
      </c>
      <c r="BF20" s="12" t="str">
        <f t="shared" si="8"/>
        <v/>
      </c>
      <c r="BG20" s="12" t="str">
        <f t="shared" si="9"/>
        <v/>
      </c>
      <c r="BH20" s="54" t="str">
        <f t="shared" si="10"/>
        <v/>
      </c>
      <c r="BI20" s="39"/>
      <c r="BJ20" s="55" t="str">
        <f t="shared" si="11"/>
        <v/>
      </c>
      <c r="BK20" s="13" t="str">
        <f t="shared" si="12"/>
        <v/>
      </c>
      <c r="BL20" s="13" t="str">
        <f t="shared" si="13"/>
        <v/>
      </c>
      <c r="BM20" s="56" t="str">
        <f t="shared" si="14"/>
        <v/>
      </c>
      <c r="BN20" s="39"/>
      <c r="BO20" s="14" t="str">
        <f t="shared" si="15"/>
        <v/>
      </c>
      <c r="BP20" s="15">
        <v>0</v>
      </c>
      <c r="BQ20" s="15" t="str">
        <f t="shared" si="16"/>
        <v/>
      </c>
      <c r="BR20" s="15" t="str">
        <f t="shared" si="17"/>
        <v/>
      </c>
      <c r="BS20" s="16" t="str">
        <f t="shared" si="18"/>
        <v/>
      </c>
      <c r="BT20" s="39"/>
      <c r="BU20" s="51" t="str">
        <f t="shared" si="19"/>
        <v/>
      </c>
      <c r="BV20" s="28" t="str">
        <f t="shared" si="20"/>
        <v/>
      </c>
      <c r="BW20" s="28" t="str">
        <f t="shared" si="21"/>
        <v/>
      </c>
      <c r="BX20" s="28" t="str">
        <f t="shared" si="22"/>
        <v/>
      </c>
      <c r="BY20" s="28" t="str">
        <f t="shared" si="23"/>
        <v/>
      </c>
      <c r="BZ20" s="52" t="str">
        <f t="shared" si="24"/>
        <v/>
      </c>
      <c r="CA20" s="39"/>
      <c r="CB20" s="49" t="str">
        <f t="shared" si="25"/>
        <v>-</v>
      </c>
      <c r="CC20" s="29" t="str">
        <f t="shared" si="26"/>
        <v>-</v>
      </c>
      <c r="CD20" s="29" t="str">
        <f t="shared" si="27"/>
        <v>-</v>
      </c>
      <c r="CE20" s="29" t="str">
        <f t="shared" si="28"/>
        <v>-</v>
      </c>
      <c r="CF20" s="50" t="str">
        <f t="shared" si="29"/>
        <v>-</v>
      </c>
      <c r="CG20" s="39"/>
    </row>
    <row r="21" spans="1:85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2"/>
      <c r="D21" s="2"/>
      <c r="E21" s="3"/>
      <c r="F21" s="2"/>
      <c r="G21" s="2"/>
      <c r="H21" s="4"/>
      <c r="I21" s="4"/>
      <c r="J21" s="58"/>
      <c r="K21" s="5"/>
      <c r="L21" s="2"/>
      <c r="M21" s="2"/>
      <c r="N21" s="2"/>
      <c r="O21" s="2"/>
      <c r="P21" s="3"/>
      <c r="Q21" s="2"/>
      <c r="R21" s="2"/>
      <c r="S21" s="2"/>
      <c r="T21" s="2"/>
      <c r="U21" s="3"/>
      <c r="V21" s="3"/>
      <c r="W21" s="2"/>
      <c r="X21" s="2"/>
      <c r="Y21" s="2"/>
      <c r="Z21" s="2"/>
      <c r="AA21" s="2"/>
      <c r="AB21" s="2"/>
      <c r="AC21" s="2"/>
      <c r="AD21" s="2"/>
      <c r="AE21" s="3"/>
      <c r="AF21" s="3"/>
      <c r="AG21" s="2"/>
      <c r="AH21" s="6"/>
      <c r="AI21" s="7"/>
      <c r="AJ21" s="6"/>
      <c r="AK21" s="59"/>
      <c r="AL21" s="59"/>
      <c r="AM21" s="59"/>
      <c r="AN21" s="59"/>
      <c r="AO21" s="59"/>
      <c r="AP21" s="59"/>
      <c r="AQ21" s="59"/>
      <c r="AR21" s="59"/>
      <c r="AS21" s="8"/>
      <c r="AT21" s="8"/>
      <c r="AU21" s="9"/>
      <c r="AV21" s="8"/>
      <c r="AW21" s="10" t="e">
        <f t="shared" si="1"/>
        <v>#DIV/0!</v>
      </c>
      <c r="AX21" s="39"/>
      <c r="AY21" s="1" t="str">
        <f t="shared" si="2"/>
        <v/>
      </c>
      <c r="AZ21" s="11" t="str">
        <f t="shared" si="3"/>
        <v/>
      </c>
      <c r="BA21" s="1" t="str">
        <f t="shared" si="4"/>
        <v/>
      </c>
      <c r="BB21" s="39"/>
      <c r="BC21" s="53" t="str">
        <f t="shared" si="5"/>
        <v/>
      </c>
      <c r="BD21" s="12" t="str">
        <f t="shared" si="6"/>
        <v/>
      </c>
      <c r="BE21" s="12" t="str">
        <f t="shared" si="7"/>
        <v/>
      </c>
      <c r="BF21" s="12" t="str">
        <f t="shared" si="8"/>
        <v/>
      </c>
      <c r="BG21" s="12" t="str">
        <f t="shared" si="9"/>
        <v/>
      </c>
      <c r="BH21" s="54" t="str">
        <f t="shared" si="10"/>
        <v/>
      </c>
      <c r="BI21" s="39"/>
      <c r="BJ21" s="55" t="str">
        <f t="shared" si="11"/>
        <v/>
      </c>
      <c r="BK21" s="13" t="str">
        <f t="shared" si="12"/>
        <v/>
      </c>
      <c r="BL21" s="13" t="str">
        <f t="shared" si="13"/>
        <v/>
      </c>
      <c r="BM21" s="56" t="str">
        <f t="shared" si="14"/>
        <v/>
      </c>
      <c r="BN21" s="39"/>
      <c r="BO21" s="14" t="str">
        <f t="shared" si="15"/>
        <v/>
      </c>
      <c r="BP21" s="15">
        <v>0</v>
      </c>
      <c r="BQ21" s="15" t="str">
        <f t="shared" si="16"/>
        <v/>
      </c>
      <c r="BR21" s="15" t="str">
        <f t="shared" si="17"/>
        <v/>
      </c>
      <c r="BS21" s="16" t="str">
        <f t="shared" si="18"/>
        <v/>
      </c>
      <c r="BT21" s="39"/>
      <c r="BU21" s="51" t="str">
        <f t="shared" si="19"/>
        <v/>
      </c>
      <c r="BV21" s="28" t="str">
        <f t="shared" si="20"/>
        <v/>
      </c>
      <c r="BW21" s="28" t="str">
        <f t="shared" si="21"/>
        <v/>
      </c>
      <c r="BX21" s="28" t="str">
        <f t="shared" si="22"/>
        <v/>
      </c>
      <c r="BY21" s="28" t="str">
        <f t="shared" si="23"/>
        <v/>
      </c>
      <c r="BZ21" s="52" t="str">
        <f t="shared" si="24"/>
        <v/>
      </c>
      <c r="CA21" s="39"/>
      <c r="CB21" s="49" t="str">
        <f t="shared" si="25"/>
        <v>-</v>
      </c>
      <c r="CC21" s="29" t="str">
        <f t="shared" si="26"/>
        <v>-</v>
      </c>
      <c r="CD21" s="29" t="str">
        <f t="shared" si="27"/>
        <v>-</v>
      </c>
      <c r="CE21" s="29" t="str">
        <f t="shared" si="28"/>
        <v>-</v>
      </c>
      <c r="CF21" s="50" t="str">
        <f t="shared" si="29"/>
        <v>-</v>
      </c>
      <c r="CG21" s="39"/>
    </row>
    <row r="22" spans="1:85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2"/>
      <c r="D22" s="2"/>
      <c r="E22" s="3"/>
      <c r="F22" s="2"/>
      <c r="G22" s="2"/>
      <c r="H22" s="4"/>
      <c r="I22" s="4"/>
      <c r="J22" s="58"/>
      <c r="K22" s="5"/>
      <c r="L22" s="2"/>
      <c r="M22" s="2"/>
      <c r="N22" s="2"/>
      <c r="O22" s="2"/>
      <c r="P22" s="3"/>
      <c r="Q22" s="2"/>
      <c r="R22" s="2"/>
      <c r="S22" s="2"/>
      <c r="T22" s="2"/>
      <c r="U22" s="3"/>
      <c r="V22" s="3"/>
      <c r="W22" s="2"/>
      <c r="X22" s="2"/>
      <c r="Y22" s="2"/>
      <c r="Z22" s="2"/>
      <c r="AA22" s="2"/>
      <c r="AB22" s="2"/>
      <c r="AC22" s="2"/>
      <c r="AD22" s="2"/>
      <c r="AE22" s="3"/>
      <c r="AF22" s="3"/>
      <c r="AG22" s="2"/>
      <c r="AH22" s="6"/>
      <c r="AI22" s="7"/>
      <c r="AJ22" s="6"/>
      <c r="AK22" s="59"/>
      <c r="AL22" s="59"/>
      <c r="AM22" s="59"/>
      <c r="AN22" s="59"/>
      <c r="AO22" s="59"/>
      <c r="AP22" s="59"/>
      <c r="AQ22" s="59"/>
      <c r="AR22" s="59"/>
      <c r="AS22" s="8"/>
      <c r="AT22" s="8"/>
      <c r="AU22" s="9"/>
      <c r="AV22" s="8"/>
      <c r="AW22" s="10" t="e">
        <f t="shared" si="1"/>
        <v>#DIV/0!</v>
      </c>
      <c r="AX22" s="39"/>
      <c r="AY22" s="1" t="str">
        <f t="shared" si="2"/>
        <v/>
      </c>
      <c r="AZ22" s="11" t="str">
        <f t="shared" si="3"/>
        <v/>
      </c>
      <c r="BA22" s="1" t="str">
        <f t="shared" si="4"/>
        <v/>
      </c>
      <c r="BB22" s="39"/>
      <c r="BC22" s="53" t="str">
        <f t="shared" si="5"/>
        <v/>
      </c>
      <c r="BD22" s="12" t="str">
        <f t="shared" si="6"/>
        <v/>
      </c>
      <c r="BE22" s="12" t="str">
        <f t="shared" si="7"/>
        <v/>
      </c>
      <c r="BF22" s="12" t="str">
        <f t="shared" si="8"/>
        <v/>
      </c>
      <c r="BG22" s="12" t="str">
        <f t="shared" si="9"/>
        <v/>
      </c>
      <c r="BH22" s="54" t="str">
        <f t="shared" si="10"/>
        <v/>
      </c>
      <c r="BI22" s="39"/>
      <c r="BJ22" s="55" t="str">
        <f t="shared" si="11"/>
        <v/>
      </c>
      <c r="BK22" s="13" t="str">
        <f t="shared" si="12"/>
        <v/>
      </c>
      <c r="BL22" s="13" t="str">
        <f t="shared" si="13"/>
        <v/>
      </c>
      <c r="BM22" s="56" t="str">
        <f t="shared" si="14"/>
        <v/>
      </c>
      <c r="BN22" s="39"/>
      <c r="BO22" s="14" t="str">
        <f t="shared" si="15"/>
        <v/>
      </c>
      <c r="BP22" s="15">
        <v>0</v>
      </c>
      <c r="BQ22" s="15" t="str">
        <f t="shared" si="16"/>
        <v/>
      </c>
      <c r="BR22" s="15" t="str">
        <f t="shared" si="17"/>
        <v/>
      </c>
      <c r="BS22" s="16" t="str">
        <f t="shared" si="18"/>
        <v/>
      </c>
      <c r="BT22" s="39"/>
      <c r="BU22" s="51" t="str">
        <f t="shared" si="19"/>
        <v/>
      </c>
      <c r="BV22" s="28" t="str">
        <f t="shared" si="20"/>
        <v/>
      </c>
      <c r="BW22" s="28" t="str">
        <f t="shared" si="21"/>
        <v/>
      </c>
      <c r="BX22" s="28" t="str">
        <f t="shared" si="22"/>
        <v/>
      </c>
      <c r="BY22" s="28" t="str">
        <f t="shared" si="23"/>
        <v/>
      </c>
      <c r="BZ22" s="52" t="str">
        <f t="shared" si="24"/>
        <v/>
      </c>
      <c r="CA22" s="39"/>
      <c r="CB22" s="49" t="str">
        <f t="shared" si="25"/>
        <v>-</v>
      </c>
      <c r="CC22" s="29" t="str">
        <f t="shared" si="26"/>
        <v>-</v>
      </c>
      <c r="CD22" s="29" t="str">
        <f t="shared" si="27"/>
        <v>-</v>
      </c>
      <c r="CE22" s="29" t="str">
        <f t="shared" si="28"/>
        <v>-</v>
      </c>
      <c r="CF22" s="50" t="str">
        <f t="shared" si="29"/>
        <v>-</v>
      </c>
      <c r="CG22" s="39"/>
    </row>
    <row r="23" spans="1:85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2"/>
      <c r="D23" s="2"/>
      <c r="E23" s="3"/>
      <c r="F23" s="2"/>
      <c r="G23" s="2"/>
      <c r="H23" s="4"/>
      <c r="I23" s="4"/>
      <c r="J23" s="58"/>
      <c r="K23" s="5"/>
      <c r="L23" s="2"/>
      <c r="M23" s="2"/>
      <c r="N23" s="2"/>
      <c r="O23" s="2"/>
      <c r="P23" s="3"/>
      <c r="Q23" s="2"/>
      <c r="R23" s="2"/>
      <c r="S23" s="2"/>
      <c r="T23" s="2"/>
      <c r="U23" s="3"/>
      <c r="V23" s="3"/>
      <c r="W23" s="2"/>
      <c r="X23" s="2"/>
      <c r="Y23" s="2"/>
      <c r="Z23" s="2"/>
      <c r="AA23" s="2"/>
      <c r="AB23" s="2"/>
      <c r="AC23" s="2"/>
      <c r="AD23" s="2"/>
      <c r="AE23" s="3"/>
      <c r="AF23" s="3"/>
      <c r="AG23" s="2"/>
      <c r="AH23" s="6"/>
      <c r="AI23" s="7"/>
      <c r="AJ23" s="6"/>
      <c r="AK23" s="59"/>
      <c r="AL23" s="59"/>
      <c r="AM23" s="59"/>
      <c r="AN23" s="59"/>
      <c r="AO23" s="59"/>
      <c r="AP23" s="59"/>
      <c r="AQ23" s="59"/>
      <c r="AR23" s="59"/>
      <c r="AS23" s="8"/>
      <c r="AT23" s="8"/>
      <c r="AU23" s="9"/>
      <c r="AV23" s="8"/>
      <c r="AW23" s="10" t="e">
        <f t="shared" si="1"/>
        <v>#DIV/0!</v>
      </c>
      <c r="AX23" s="39"/>
      <c r="AY23" s="1" t="str">
        <f t="shared" si="2"/>
        <v/>
      </c>
      <c r="AZ23" s="11" t="str">
        <f t="shared" si="3"/>
        <v/>
      </c>
      <c r="BA23" s="1" t="str">
        <f t="shared" si="4"/>
        <v/>
      </c>
      <c r="BB23" s="39"/>
      <c r="BC23" s="53" t="str">
        <f t="shared" si="5"/>
        <v/>
      </c>
      <c r="BD23" s="12" t="str">
        <f t="shared" si="6"/>
        <v/>
      </c>
      <c r="BE23" s="12" t="str">
        <f t="shared" si="7"/>
        <v/>
      </c>
      <c r="BF23" s="12" t="str">
        <f t="shared" si="8"/>
        <v/>
      </c>
      <c r="BG23" s="12" t="str">
        <f t="shared" si="9"/>
        <v/>
      </c>
      <c r="BH23" s="54" t="str">
        <f t="shared" si="10"/>
        <v/>
      </c>
      <c r="BI23" s="39"/>
      <c r="BJ23" s="55" t="str">
        <f t="shared" si="11"/>
        <v/>
      </c>
      <c r="BK23" s="13" t="str">
        <f t="shared" si="12"/>
        <v/>
      </c>
      <c r="BL23" s="13" t="str">
        <f t="shared" si="13"/>
        <v/>
      </c>
      <c r="BM23" s="56" t="str">
        <f t="shared" si="14"/>
        <v/>
      </c>
      <c r="BN23" s="39"/>
      <c r="BO23" s="14" t="str">
        <f t="shared" si="15"/>
        <v/>
      </c>
      <c r="BP23" s="15">
        <v>0</v>
      </c>
      <c r="BQ23" s="15" t="str">
        <f t="shared" si="16"/>
        <v/>
      </c>
      <c r="BR23" s="15" t="str">
        <f t="shared" si="17"/>
        <v/>
      </c>
      <c r="BS23" s="16" t="str">
        <f t="shared" si="18"/>
        <v/>
      </c>
      <c r="BT23" s="39"/>
      <c r="BU23" s="51" t="str">
        <f t="shared" si="19"/>
        <v/>
      </c>
      <c r="BV23" s="28" t="str">
        <f t="shared" si="20"/>
        <v/>
      </c>
      <c r="BW23" s="28" t="str">
        <f t="shared" si="21"/>
        <v/>
      </c>
      <c r="BX23" s="28" t="str">
        <f t="shared" si="22"/>
        <v/>
      </c>
      <c r="BY23" s="28" t="str">
        <f t="shared" si="23"/>
        <v/>
      </c>
      <c r="BZ23" s="52" t="str">
        <f t="shared" si="24"/>
        <v/>
      </c>
      <c r="CA23" s="39"/>
      <c r="CB23" s="49" t="str">
        <f t="shared" si="25"/>
        <v>-</v>
      </c>
      <c r="CC23" s="29" t="str">
        <f t="shared" si="26"/>
        <v>-</v>
      </c>
      <c r="CD23" s="29" t="str">
        <f t="shared" si="27"/>
        <v>-</v>
      </c>
      <c r="CE23" s="29" t="str">
        <f t="shared" si="28"/>
        <v>-</v>
      </c>
      <c r="CF23" s="50" t="str">
        <f t="shared" si="29"/>
        <v>-</v>
      </c>
      <c r="CG23" s="39"/>
    </row>
    <row r="24" spans="1:85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2"/>
      <c r="D24" s="2"/>
      <c r="E24" s="3"/>
      <c r="F24" s="2"/>
      <c r="G24" s="2"/>
      <c r="H24" s="4"/>
      <c r="I24" s="4"/>
      <c r="J24" s="58"/>
      <c r="K24" s="5"/>
      <c r="L24" s="2"/>
      <c r="M24" s="2"/>
      <c r="N24" s="2"/>
      <c r="O24" s="2"/>
      <c r="P24" s="3"/>
      <c r="Q24" s="2"/>
      <c r="R24" s="2"/>
      <c r="S24" s="2"/>
      <c r="T24" s="2"/>
      <c r="U24" s="3"/>
      <c r="V24" s="3"/>
      <c r="W24" s="2"/>
      <c r="X24" s="2"/>
      <c r="Y24" s="2"/>
      <c r="Z24" s="2"/>
      <c r="AA24" s="2"/>
      <c r="AB24" s="2"/>
      <c r="AC24" s="2"/>
      <c r="AD24" s="2"/>
      <c r="AE24" s="3"/>
      <c r="AF24" s="3"/>
      <c r="AG24" s="2"/>
      <c r="AH24" s="6"/>
      <c r="AI24" s="7"/>
      <c r="AJ24" s="6"/>
      <c r="AK24" s="59"/>
      <c r="AL24" s="59"/>
      <c r="AM24" s="59"/>
      <c r="AN24" s="59"/>
      <c r="AO24" s="59"/>
      <c r="AP24" s="59"/>
      <c r="AQ24" s="59"/>
      <c r="AR24" s="59"/>
      <c r="AS24" s="8"/>
      <c r="AT24" s="8"/>
      <c r="AU24" s="9"/>
      <c r="AV24" s="8"/>
      <c r="AW24" s="10" t="e">
        <f t="shared" si="1"/>
        <v>#DIV/0!</v>
      </c>
      <c r="AX24" s="39"/>
      <c r="AY24" s="1" t="str">
        <f t="shared" si="2"/>
        <v/>
      </c>
      <c r="AZ24" s="11" t="str">
        <f t="shared" si="3"/>
        <v/>
      </c>
      <c r="BA24" s="1" t="str">
        <f t="shared" si="4"/>
        <v/>
      </c>
      <c r="BB24" s="39"/>
      <c r="BC24" s="53" t="str">
        <f t="shared" si="5"/>
        <v/>
      </c>
      <c r="BD24" s="12" t="str">
        <f t="shared" si="6"/>
        <v/>
      </c>
      <c r="BE24" s="12" t="str">
        <f t="shared" si="7"/>
        <v/>
      </c>
      <c r="BF24" s="12" t="str">
        <f t="shared" si="8"/>
        <v/>
      </c>
      <c r="BG24" s="12" t="str">
        <f t="shared" si="9"/>
        <v/>
      </c>
      <c r="BH24" s="54" t="str">
        <f t="shared" si="10"/>
        <v/>
      </c>
      <c r="BI24" s="39"/>
      <c r="BJ24" s="55" t="str">
        <f t="shared" si="11"/>
        <v/>
      </c>
      <c r="BK24" s="13" t="str">
        <f t="shared" si="12"/>
        <v/>
      </c>
      <c r="BL24" s="13" t="str">
        <f t="shared" si="13"/>
        <v/>
      </c>
      <c r="BM24" s="56" t="str">
        <f t="shared" si="14"/>
        <v/>
      </c>
      <c r="BN24" s="39"/>
      <c r="BO24" s="14" t="str">
        <f t="shared" si="15"/>
        <v/>
      </c>
      <c r="BP24" s="15">
        <v>0</v>
      </c>
      <c r="BQ24" s="15" t="str">
        <f t="shared" si="16"/>
        <v/>
      </c>
      <c r="BR24" s="15" t="str">
        <f t="shared" si="17"/>
        <v/>
      </c>
      <c r="BS24" s="16" t="str">
        <f t="shared" si="18"/>
        <v/>
      </c>
      <c r="BT24" s="39"/>
      <c r="BU24" s="51" t="str">
        <f t="shared" si="19"/>
        <v/>
      </c>
      <c r="BV24" s="28" t="str">
        <f t="shared" si="20"/>
        <v/>
      </c>
      <c r="BW24" s="28" t="str">
        <f t="shared" si="21"/>
        <v/>
      </c>
      <c r="BX24" s="28" t="str">
        <f t="shared" si="22"/>
        <v/>
      </c>
      <c r="BY24" s="28" t="str">
        <f t="shared" si="23"/>
        <v/>
      </c>
      <c r="BZ24" s="52" t="str">
        <f t="shared" si="24"/>
        <v/>
      </c>
      <c r="CA24" s="39"/>
      <c r="CB24" s="49" t="str">
        <f t="shared" si="25"/>
        <v>-</v>
      </c>
      <c r="CC24" s="29" t="str">
        <f t="shared" si="26"/>
        <v>-</v>
      </c>
      <c r="CD24" s="29" t="str">
        <f t="shared" si="27"/>
        <v>-</v>
      </c>
      <c r="CE24" s="29" t="str">
        <f t="shared" si="28"/>
        <v>-</v>
      </c>
      <c r="CF24" s="50" t="str">
        <f t="shared" si="29"/>
        <v>-</v>
      </c>
      <c r="CG24" s="39"/>
    </row>
    <row r="25" spans="1:85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2"/>
      <c r="D25" s="2"/>
      <c r="E25" s="3"/>
      <c r="F25" s="2"/>
      <c r="G25" s="2"/>
      <c r="H25" s="4"/>
      <c r="I25" s="4"/>
      <c r="J25" s="58"/>
      <c r="K25" s="5"/>
      <c r="L25" s="2"/>
      <c r="M25" s="2"/>
      <c r="N25" s="2"/>
      <c r="O25" s="2"/>
      <c r="P25" s="3"/>
      <c r="Q25" s="2"/>
      <c r="R25" s="2"/>
      <c r="S25" s="2"/>
      <c r="T25" s="2"/>
      <c r="U25" s="3"/>
      <c r="V25" s="3"/>
      <c r="W25" s="2"/>
      <c r="X25" s="2"/>
      <c r="Y25" s="2"/>
      <c r="Z25" s="2"/>
      <c r="AA25" s="2"/>
      <c r="AB25" s="2"/>
      <c r="AC25" s="2"/>
      <c r="AD25" s="2"/>
      <c r="AE25" s="3"/>
      <c r="AF25" s="3"/>
      <c r="AG25" s="2"/>
      <c r="AH25" s="6"/>
      <c r="AI25" s="7"/>
      <c r="AJ25" s="6"/>
      <c r="AK25" s="59"/>
      <c r="AL25" s="59"/>
      <c r="AM25" s="59"/>
      <c r="AN25" s="59"/>
      <c r="AO25" s="59"/>
      <c r="AP25" s="59"/>
      <c r="AQ25" s="59"/>
      <c r="AR25" s="59"/>
      <c r="AS25" s="8"/>
      <c r="AT25" s="8"/>
      <c r="AU25" s="9"/>
      <c r="AV25" s="8"/>
      <c r="AW25" s="10" t="e">
        <f t="shared" si="1"/>
        <v>#DIV/0!</v>
      </c>
      <c r="AX25" s="39"/>
      <c r="AY25" s="1" t="str">
        <f t="shared" si="2"/>
        <v/>
      </c>
      <c r="AZ25" s="11" t="str">
        <f t="shared" si="3"/>
        <v/>
      </c>
      <c r="BA25" s="1" t="str">
        <f t="shared" si="4"/>
        <v/>
      </c>
      <c r="BB25" s="39"/>
      <c r="BC25" s="53" t="str">
        <f t="shared" si="5"/>
        <v/>
      </c>
      <c r="BD25" s="12" t="str">
        <f t="shared" si="6"/>
        <v/>
      </c>
      <c r="BE25" s="12" t="str">
        <f t="shared" si="7"/>
        <v/>
      </c>
      <c r="BF25" s="12" t="str">
        <f t="shared" si="8"/>
        <v/>
      </c>
      <c r="BG25" s="12" t="str">
        <f t="shared" si="9"/>
        <v/>
      </c>
      <c r="BH25" s="54" t="str">
        <f t="shared" si="10"/>
        <v/>
      </c>
      <c r="BI25" s="39"/>
      <c r="BJ25" s="55" t="str">
        <f t="shared" si="11"/>
        <v/>
      </c>
      <c r="BK25" s="13" t="str">
        <f t="shared" si="12"/>
        <v/>
      </c>
      <c r="BL25" s="13" t="str">
        <f t="shared" si="13"/>
        <v/>
      </c>
      <c r="BM25" s="56" t="str">
        <f t="shared" si="14"/>
        <v/>
      </c>
      <c r="BN25" s="39"/>
      <c r="BO25" s="14" t="str">
        <f t="shared" si="15"/>
        <v/>
      </c>
      <c r="BP25" s="15">
        <v>0</v>
      </c>
      <c r="BQ25" s="15" t="str">
        <f t="shared" si="16"/>
        <v/>
      </c>
      <c r="BR25" s="15" t="str">
        <f t="shared" si="17"/>
        <v/>
      </c>
      <c r="BS25" s="16" t="str">
        <f t="shared" si="18"/>
        <v/>
      </c>
      <c r="BT25" s="39"/>
      <c r="BU25" s="51" t="str">
        <f t="shared" si="19"/>
        <v/>
      </c>
      <c r="BV25" s="28" t="str">
        <f t="shared" si="20"/>
        <v/>
      </c>
      <c r="BW25" s="28" t="str">
        <f t="shared" si="21"/>
        <v/>
      </c>
      <c r="BX25" s="28" t="str">
        <f t="shared" si="22"/>
        <v/>
      </c>
      <c r="BY25" s="28" t="str">
        <f t="shared" si="23"/>
        <v/>
      </c>
      <c r="BZ25" s="52" t="str">
        <f t="shared" si="24"/>
        <v/>
      </c>
      <c r="CA25" s="39"/>
      <c r="CB25" s="49" t="str">
        <f t="shared" si="25"/>
        <v>-</v>
      </c>
      <c r="CC25" s="29" t="str">
        <f t="shared" si="26"/>
        <v>-</v>
      </c>
      <c r="CD25" s="29" t="str">
        <f t="shared" si="27"/>
        <v>-</v>
      </c>
      <c r="CE25" s="29" t="str">
        <f t="shared" si="28"/>
        <v>-</v>
      </c>
      <c r="CF25" s="50" t="str">
        <f t="shared" si="29"/>
        <v>-</v>
      </c>
      <c r="CG25" s="39"/>
    </row>
    <row r="26" spans="1:85" s="27" customFormat="1" ht="12.4" customHeight="1" thickBot="1" x14ac:dyDescent="0.25">
      <c r="A26" s="43">
        <f t="shared" si="30"/>
        <v>46318</v>
      </c>
      <c r="B26" s="44" t="str">
        <f>+TEXT(A26,"DDD")</f>
        <v>Fri</v>
      </c>
      <c r="C26" s="2"/>
      <c r="D26" s="2"/>
      <c r="E26" s="3"/>
      <c r="F26" s="2"/>
      <c r="G26" s="2"/>
      <c r="H26" s="4"/>
      <c r="I26" s="4"/>
      <c r="J26" s="58"/>
      <c r="K26" s="5"/>
      <c r="L26" s="2"/>
      <c r="M26" s="2"/>
      <c r="N26" s="2"/>
      <c r="O26" s="2"/>
      <c r="P26" s="3"/>
      <c r="Q26" s="2"/>
      <c r="R26" s="2"/>
      <c r="S26" s="2"/>
      <c r="T26" s="2"/>
      <c r="U26" s="3"/>
      <c r="V26" s="3"/>
      <c r="W26" s="2"/>
      <c r="X26" s="2"/>
      <c r="Y26" s="2"/>
      <c r="Z26" s="2"/>
      <c r="AA26" s="2"/>
      <c r="AB26" s="2"/>
      <c r="AC26" s="2"/>
      <c r="AD26" s="2"/>
      <c r="AE26" s="3"/>
      <c r="AF26" s="3"/>
      <c r="AG26" s="2"/>
      <c r="AH26" s="6"/>
      <c r="AI26" s="7"/>
      <c r="AJ26" s="6"/>
      <c r="AK26" s="59"/>
      <c r="AL26" s="59"/>
      <c r="AM26" s="59"/>
      <c r="AN26" s="59"/>
      <c r="AO26" s="59"/>
      <c r="AP26" s="59"/>
      <c r="AQ26" s="59"/>
      <c r="AR26" s="59"/>
      <c r="AS26" s="8"/>
      <c r="AT26" s="8"/>
      <c r="AU26" s="9"/>
      <c r="AV26" s="8"/>
      <c r="AW26" s="10" t="e">
        <f t="shared" si="1"/>
        <v>#DIV/0!</v>
      </c>
      <c r="AX26" s="39"/>
      <c r="AY26" s="1" t="str">
        <f t="shared" si="2"/>
        <v/>
      </c>
      <c r="AZ26" s="11" t="str">
        <f t="shared" si="3"/>
        <v/>
      </c>
      <c r="BA26" s="1" t="str">
        <f t="shared" si="4"/>
        <v/>
      </c>
      <c r="BB26" s="39"/>
      <c r="BC26" s="53" t="str">
        <f t="shared" si="5"/>
        <v/>
      </c>
      <c r="BD26" s="12" t="str">
        <f t="shared" si="6"/>
        <v/>
      </c>
      <c r="BE26" s="12" t="str">
        <f t="shared" si="7"/>
        <v/>
      </c>
      <c r="BF26" s="12" t="str">
        <f t="shared" si="8"/>
        <v/>
      </c>
      <c r="BG26" s="12" t="str">
        <f t="shared" si="9"/>
        <v/>
      </c>
      <c r="BH26" s="54" t="str">
        <f t="shared" si="10"/>
        <v/>
      </c>
      <c r="BI26" s="39"/>
      <c r="BJ26" s="55" t="str">
        <f t="shared" si="11"/>
        <v/>
      </c>
      <c r="BK26" s="13" t="str">
        <f t="shared" si="12"/>
        <v/>
      </c>
      <c r="BL26" s="13" t="str">
        <f t="shared" si="13"/>
        <v/>
      </c>
      <c r="BM26" s="56" t="str">
        <f t="shared" si="14"/>
        <v/>
      </c>
      <c r="BN26" s="39"/>
      <c r="BO26" s="14" t="str">
        <f t="shared" si="15"/>
        <v/>
      </c>
      <c r="BP26" s="15">
        <v>0</v>
      </c>
      <c r="BQ26" s="15" t="str">
        <f t="shared" si="16"/>
        <v/>
      </c>
      <c r="BR26" s="15" t="str">
        <f t="shared" si="17"/>
        <v/>
      </c>
      <c r="BS26" s="16" t="str">
        <f t="shared" si="18"/>
        <v/>
      </c>
      <c r="BT26" s="39"/>
      <c r="BU26" s="51" t="str">
        <f t="shared" si="19"/>
        <v/>
      </c>
      <c r="BV26" s="28" t="str">
        <f t="shared" si="20"/>
        <v/>
      </c>
      <c r="BW26" s="28" t="str">
        <f t="shared" si="21"/>
        <v/>
      </c>
      <c r="BX26" s="28" t="str">
        <f t="shared" si="22"/>
        <v/>
      </c>
      <c r="BY26" s="28" t="str">
        <f t="shared" si="23"/>
        <v/>
      </c>
      <c r="BZ26" s="52" t="str">
        <f t="shared" si="24"/>
        <v/>
      </c>
      <c r="CA26" s="39"/>
      <c r="CB26" s="49" t="str">
        <f t="shared" si="25"/>
        <v>-</v>
      </c>
      <c r="CC26" s="29" t="str">
        <f t="shared" si="26"/>
        <v>-</v>
      </c>
      <c r="CD26" s="29" t="str">
        <f t="shared" si="27"/>
        <v>-</v>
      </c>
      <c r="CE26" s="29" t="str">
        <f t="shared" si="28"/>
        <v>-</v>
      </c>
      <c r="CF26" s="50" t="str">
        <f t="shared" si="29"/>
        <v>-</v>
      </c>
      <c r="CG26" s="39"/>
    </row>
    <row r="27" spans="1:85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1"/>
      <c r="AL27" s="61"/>
      <c r="AM27" s="61"/>
      <c r="AN27" s="61"/>
      <c r="AO27" s="61"/>
      <c r="AP27" s="61"/>
      <c r="AQ27" s="61"/>
      <c r="AR27" s="61"/>
      <c r="AS27" s="60"/>
      <c r="AT27" s="60"/>
      <c r="AU27" s="60"/>
      <c r="AV27" s="60"/>
      <c r="AW27" s="10" t="e">
        <f t="shared" si="1"/>
        <v>#DIV/0!</v>
      </c>
      <c r="AX27" s="39"/>
      <c r="AY27" s="1" t="str">
        <f t="shared" si="2"/>
        <v/>
      </c>
      <c r="AZ27" s="11" t="str">
        <f t="shared" si="3"/>
        <v/>
      </c>
      <c r="BA27" s="1" t="str">
        <f t="shared" si="4"/>
        <v/>
      </c>
      <c r="BB27" s="39"/>
      <c r="BC27" s="53" t="str">
        <f t="shared" si="5"/>
        <v/>
      </c>
      <c r="BD27" s="12" t="str">
        <f t="shared" si="6"/>
        <v/>
      </c>
      <c r="BE27" s="12" t="str">
        <f t="shared" si="7"/>
        <v/>
      </c>
      <c r="BF27" s="12" t="str">
        <f t="shared" si="8"/>
        <v/>
      </c>
      <c r="BG27" s="12" t="str">
        <f t="shared" si="9"/>
        <v/>
      </c>
      <c r="BH27" s="54" t="str">
        <f t="shared" si="10"/>
        <v/>
      </c>
      <c r="BI27" s="39"/>
      <c r="BJ27" s="55" t="str">
        <f t="shared" si="11"/>
        <v/>
      </c>
      <c r="BK27" s="13" t="str">
        <f t="shared" si="12"/>
        <v/>
      </c>
      <c r="BL27" s="13" t="str">
        <f t="shared" si="13"/>
        <v/>
      </c>
      <c r="BM27" s="56" t="str">
        <f t="shared" si="14"/>
        <v/>
      </c>
      <c r="BN27" s="39"/>
      <c r="BO27" s="14" t="str">
        <f t="shared" si="15"/>
        <v/>
      </c>
      <c r="BP27" s="15">
        <v>0</v>
      </c>
      <c r="BQ27" s="15" t="str">
        <f t="shared" si="16"/>
        <v/>
      </c>
      <c r="BR27" s="15" t="str">
        <f t="shared" si="17"/>
        <v/>
      </c>
      <c r="BS27" s="16" t="str">
        <f t="shared" si="18"/>
        <v/>
      </c>
      <c r="BT27" s="39"/>
      <c r="BU27" s="51" t="str">
        <f t="shared" si="19"/>
        <v/>
      </c>
      <c r="BV27" s="28" t="str">
        <f t="shared" si="20"/>
        <v/>
      </c>
      <c r="BW27" s="28" t="str">
        <f t="shared" si="21"/>
        <v/>
      </c>
      <c r="BX27" s="28" t="str">
        <f t="shared" si="22"/>
        <v/>
      </c>
      <c r="BY27" s="28" t="str">
        <f t="shared" si="23"/>
        <v/>
      </c>
      <c r="BZ27" s="52" t="str">
        <f t="shared" si="24"/>
        <v/>
      </c>
      <c r="CA27" s="39"/>
      <c r="CB27" s="49" t="str">
        <f t="shared" si="25"/>
        <v>-</v>
      </c>
      <c r="CC27" s="29" t="str">
        <f t="shared" si="26"/>
        <v>-</v>
      </c>
      <c r="CD27" s="29" t="str">
        <f t="shared" si="27"/>
        <v>-</v>
      </c>
      <c r="CE27" s="29" t="str">
        <f t="shared" si="28"/>
        <v>-</v>
      </c>
      <c r="CF27" s="50" t="str">
        <f t="shared" si="29"/>
        <v>-</v>
      </c>
      <c r="CG27" s="39"/>
    </row>
    <row r="28" spans="1:85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2"/>
      <c r="D28" s="2"/>
      <c r="E28" s="3"/>
      <c r="F28" s="2"/>
      <c r="G28" s="2"/>
      <c r="H28" s="4"/>
      <c r="I28" s="4"/>
      <c r="J28" s="58"/>
      <c r="K28" s="5"/>
      <c r="L28" s="2"/>
      <c r="M28" s="2"/>
      <c r="N28" s="2"/>
      <c r="O28" s="2"/>
      <c r="P28" s="3"/>
      <c r="Q28" s="2"/>
      <c r="R28" s="2"/>
      <c r="S28" s="2"/>
      <c r="T28" s="2"/>
      <c r="U28" s="3"/>
      <c r="V28" s="3"/>
      <c r="W28" s="2"/>
      <c r="X28" s="2"/>
      <c r="Y28" s="2"/>
      <c r="Z28" s="2"/>
      <c r="AA28" s="2"/>
      <c r="AB28" s="2"/>
      <c r="AC28" s="2"/>
      <c r="AD28" s="2"/>
      <c r="AE28" s="3"/>
      <c r="AF28" s="3"/>
      <c r="AG28" s="2"/>
      <c r="AH28" s="6"/>
      <c r="AI28" s="7"/>
      <c r="AJ28" s="6"/>
      <c r="AK28" s="59"/>
      <c r="AL28" s="59"/>
      <c r="AM28" s="59"/>
      <c r="AN28" s="59"/>
      <c r="AO28" s="59"/>
      <c r="AP28" s="59"/>
      <c r="AQ28" s="59"/>
      <c r="AR28" s="59"/>
      <c r="AS28" s="8"/>
      <c r="AT28" s="8"/>
      <c r="AU28" s="9"/>
      <c r="AV28" s="8"/>
      <c r="AW28" s="10" t="e">
        <f t="shared" si="1"/>
        <v>#DIV/0!</v>
      </c>
      <c r="AX28" s="39"/>
      <c r="AY28" s="1" t="str">
        <f t="shared" si="2"/>
        <v/>
      </c>
      <c r="AZ28" s="11" t="str">
        <f t="shared" si="3"/>
        <v/>
      </c>
      <c r="BA28" s="1" t="str">
        <f t="shared" si="4"/>
        <v/>
      </c>
      <c r="BB28" s="39"/>
      <c r="BC28" s="53" t="str">
        <f t="shared" si="5"/>
        <v/>
      </c>
      <c r="BD28" s="12" t="str">
        <f t="shared" si="6"/>
        <v/>
      </c>
      <c r="BE28" s="12" t="str">
        <f t="shared" si="7"/>
        <v/>
      </c>
      <c r="BF28" s="12" t="str">
        <f t="shared" si="8"/>
        <v/>
      </c>
      <c r="BG28" s="12" t="str">
        <f t="shared" si="9"/>
        <v/>
      </c>
      <c r="BH28" s="54" t="str">
        <f t="shared" si="10"/>
        <v/>
      </c>
      <c r="BI28" s="39"/>
      <c r="BJ28" s="55" t="str">
        <f t="shared" si="11"/>
        <v/>
      </c>
      <c r="BK28" s="13" t="str">
        <f t="shared" si="12"/>
        <v/>
      </c>
      <c r="BL28" s="13" t="str">
        <f t="shared" si="13"/>
        <v/>
      </c>
      <c r="BM28" s="56" t="str">
        <f t="shared" si="14"/>
        <v/>
      </c>
      <c r="BN28" s="39"/>
      <c r="BO28" s="14" t="str">
        <f t="shared" si="15"/>
        <v/>
      </c>
      <c r="BP28" s="15">
        <v>0</v>
      </c>
      <c r="BQ28" s="15" t="str">
        <f t="shared" si="16"/>
        <v/>
      </c>
      <c r="BR28" s="15" t="str">
        <f t="shared" si="17"/>
        <v/>
      </c>
      <c r="BS28" s="16" t="str">
        <f t="shared" si="18"/>
        <v/>
      </c>
      <c r="BT28" s="39"/>
      <c r="BU28" s="51" t="str">
        <f t="shared" si="19"/>
        <v/>
      </c>
      <c r="BV28" s="28" t="str">
        <f t="shared" si="20"/>
        <v/>
      </c>
      <c r="BW28" s="28" t="str">
        <f t="shared" si="21"/>
        <v/>
      </c>
      <c r="BX28" s="28" t="str">
        <f t="shared" si="22"/>
        <v/>
      </c>
      <c r="BY28" s="28" t="str">
        <f t="shared" si="23"/>
        <v/>
      </c>
      <c r="BZ28" s="52" t="str">
        <f t="shared" si="24"/>
        <v/>
      </c>
      <c r="CA28" s="39"/>
      <c r="CB28" s="49" t="str">
        <f t="shared" si="25"/>
        <v>-</v>
      </c>
      <c r="CC28" s="29" t="str">
        <f t="shared" si="26"/>
        <v>-</v>
      </c>
      <c r="CD28" s="29" t="str">
        <f t="shared" si="27"/>
        <v>-</v>
      </c>
      <c r="CE28" s="29" t="str">
        <f t="shared" si="28"/>
        <v>-</v>
      </c>
      <c r="CF28" s="50" t="str">
        <f t="shared" si="29"/>
        <v>-</v>
      </c>
      <c r="CG28" s="39"/>
    </row>
    <row r="29" spans="1:85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2"/>
      <c r="D29" s="2"/>
      <c r="E29" s="3"/>
      <c r="F29" s="2"/>
      <c r="G29" s="2"/>
      <c r="H29" s="4"/>
      <c r="I29" s="4"/>
      <c r="J29" s="69"/>
      <c r="K29" s="5"/>
      <c r="L29" s="2"/>
      <c r="M29" s="2"/>
      <c r="N29" s="2"/>
      <c r="O29" s="2"/>
      <c r="P29" s="3"/>
      <c r="Q29" s="2"/>
      <c r="R29" s="2"/>
      <c r="S29" s="2"/>
      <c r="T29" s="2"/>
      <c r="U29" s="3"/>
      <c r="V29" s="3"/>
      <c r="W29" s="2"/>
      <c r="X29" s="2"/>
      <c r="Y29" s="2"/>
      <c r="Z29" s="2"/>
      <c r="AA29" s="2"/>
      <c r="AB29" s="2"/>
      <c r="AC29" s="2"/>
      <c r="AD29" s="2"/>
      <c r="AE29" s="3"/>
      <c r="AF29" s="3"/>
      <c r="AG29" s="2"/>
      <c r="AH29" s="6"/>
      <c r="AI29" s="7"/>
      <c r="AJ29" s="6"/>
      <c r="AK29" s="59"/>
      <c r="AL29" s="59"/>
      <c r="AM29" s="59"/>
      <c r="AN29" s="59"/>
      <c r="AO29" s="59"/>
      <c r="AP29" s="59"/>
      <c r="AQ29" s="59"/>
      <c r="AR29" s="59"/>
      <c r="AS29" s="8"/>
      <c r="AT29" s="8"/>
      <c r="AU29" s="9"/>
      <c r="AV29" s="8"/>
      <c r="AW29" s="10" t="e">
        <f t="shared" si="1"/>
        <v>#DIV/0!</v>
      </c>
      <c r="AX29" s="39"/>
      <c r="AY29" s="1" t="str">
        <f t="shared" si="2"/>
        <v/>
      </c>
      <c r="AZ29" s="11" t="str">
        <f t="shared" si="3"/>
        <v/>
      </c>
      <c r="BA29" s="1" t="str">
        <f t="shared" si="4"/>
        <v/>
      </c>
      <c r="BB29" s="39"/>
      <c r="BC29" s="53" t="str">
        <f t="shared" si="5"/>
        <v/>
      </c>
      <c r="BD29" s="12" t="str">
        <f t="shared" si="6"/>
        <v/>
      </c>
      <c r="BE29" s="12" t="str">
        <f t="shared" si="7"/>
        <v/>
      </c>
      <c r="BF29" s="12" t="str">
        <f t="shared" si="8"/>
        <v/>
      </c>
      <c r="BG29" s="12" t="str">
        <f t="shared" si="9"/>
        <v/>
      </c>
      <c r="BH29" s="54" t="str">
        <f t="shared" si="10"/>
        <v/>
      </c>
      <c r="BI29" s="39"/>
      <c r="BJ29" s="55" t="str">
        <f t="shared" si="11"/>
        <v/>
      </c>
      <c r="BK29" s="13" t="str">
        <f t="shared" si="12"/>
        <v/>
      </c>
      <c r="BL29" s="13" t="str">
        <f t="shared" si="13"/>
        <v/>
      </c>
      <c r="BM29" s="56" t="str">
        <f t="shared" si="14"/>
        <v/>
      </c>
      <c r="BN29" s="39"/>
      <c r="BO29" s="14" t="str">
        <f t="shared" si="15"/>
        <v/>
      </c>
      <c r="BP29" s="15">
        <v>0</v>
      </c>
      <c r="BQ29" s="15" t="str">
        <f t="shared" si="16"/>
        <v/>
      </c>
      <c r="BR29" s="15" t="str">
        <f t="shared" si="17"/>
        <v/>
      </c>
      <c r="BS29" s="16" t="str">
        <f t="shared" si="18"/>
        <v/>
      </c>
      <c r="BT29" s="39"/>
      <c r="BU29" s="51" t="str">
        <f t="shared" si="19"/>
        <v/>
      </c>
      <c r="BV29" s="28" t="str">
        <f t="shared" si="20"/>
        <v/>
      </c>
      <c r="BW29" s="28" t="str">
        <f t="shared" si="21"/>
        <v/>
      </c>
      <c r="BX29" s="28" t="str">
        <f t="shared" si="22"/>
        <v/>
      </c>
      <c r="BY29" s="28" t="str">
        <f t="shared" si="23"/>
        <v/>
      </c>
      <c r="BZ29" s="52" t="str">
        <f t="shared" si="24"/>
        <v/>
      </c>
      <c r="CA29" s="39"/>
      <c r="CB29" s="49" t="str">
        <f t="shared" si="25"/>
        <v>-</v>
      </c>
      <c r="CC29" s="29" t="str">
        <f t="shared" si="26"/>
        <v>-</v>
      </c>
      <c r="CD29" s="29" t="str">
        <f t="shared" si="27"/>
        <v>-</v>
      </c>
      <c r="CE29" s="29" t="str">
        <f t="shared" si="28"/>
        <v>-</v>
      </c>
      <c r="CF29" s="50" t="str">
        <f t="shared" si="29"/>
        <v>-</v>
      </c>
      <c r="CG29" s="39"/>
    </row>
    <row r="30" spans="1:85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2"/>
      <c r="D30" s="2"/>
      <c r="E30" s="3"/>
      <c r="F30" s="2"/>
      <c r="G30" s="2"/>
      <c r="H30" s="4"/>
      <c r="I30" s="4"/>
      <c r="J30" s="86"/>
      <c r="K30" s="5"/>
      <c r="L30" s="2"/>
      <c r="M30" s="2"/>
      <c r="N30" s="2"/>
      <c r="O30" s="2"/>
      <c r="P30" s="3"/>
      <c r="Q30" s="2"/>
      <c r="R30" s="2"/>
      <c r="S30" s="2"/>
      <c r="T30" s="2"/>
      <c r="U30" s="3"/>
      <c r="V30" s="3"/>
      <c r="W30" s="2"/>
      <c r="X30" s="2"/>
      <c r="Y30" s="2"/>
      <c r="Z30" s="2"/>
      <c r="AA30" s="2"/>
      <c r="AB30" s="2"/>
      <c r="AC30" s="2"/>
      <c r="AD30" s="2"/>
      <c r="AE30" s="3"/>
      <c r="AF30" s="3"/>
      <c r="AG30" s="2"/>
      <c r="AH30" s="6"/>
      <c r="AI30" s="7"/>
      <c r="AJ30" s="6"/>
      <c r="AK30" s="59"/>
      <c r="AL30" s="59"/>
      <c r="AM30" s="59"/>
      <c r="AN30" s="59"/>
      <c r="AO30" s="59"/>
      <c r="AP30" s="59"/>
      <c r="AQ30" s="59"/>
      <c r="AR30" s="59"/>
      <c r="AS30" s="8"/>
      <c r="AT30" s="8"/>
      <c r="AU30" s="9"/>
      <c r="AV30" s="8"/>
      <c r="AW30" s="10" t="e">
        <f t="shared" si="1"/>
        <v>#DIV/0!</v>
      </c>
      <c r="AX30" s="39"/>
      <c r="AY30" s="1" t="str">
        <f t="shared" si="2"/>
        <v/>
      </c>
      <c r="AZ30" s="11" t="str">
        <f t="shared" si="3"/>
        <v/>
      </c>
      <c r="BA30" s="1" t="str">
        <f t="shared" si="4"/>
        <v/>
      </c>
      <c r="BB30" s="39"/>
      <c r="BC30" s="53" t="str">
        <f t="shared" si="5"/>
        <v/>
      </c>
      <c r="BD30" s="12" t="str">
        <f t="shared" si="6"/>
        <v/>
      </c>
      <c r="BE30" s="12" t="str">
        <f t="shared" si="7"/>
        <v/>
      </c>
      <c r="BF30" s="12" t="str">
        <f t="shared" si="8"/>
        <v/>
      </c>
      <c r="BG30" s="12" t="str">
        <f t="shared" si="9"/>
        <v/>
      </c>
      <c r="BH30" s="54" t="str">
        <f t="shared" si="10"/>
        <v/>
      </c>
      <c r="BI30" s="39"/>
      <c r="BJ30" s="55" t="str">
        <f t="shared" si="11"/>
        <v/>
      </c>
      <c r="BK30" s="13" t="str">
        <f t="shared" si="12"/>
        <v/>
      </c>
      <c r="BL30" s="13" t="str">
        <f t="shared" si="13"/>
        <v/>
      </c>
      <c r="BM30" s="56" t="str">
        <f t="shared" si="14"/>
        <v/>
      </c>
      <c r="BN30" s="39"/>
      <c r="BO30" s="14" t="str">
        <f t="shared" si="15"/>
        <v/>
      </c>
      <c r="BP30" s="15">
        <v>0</v>
      </c>
      <c r="BQ30" s="15" t="str">
        <f t="shared" si="16"/>
        <v/>
      </c>
      <c r="BR30" s="15" t="str">
        <f t="shared" si="17"/>
        <v/>
      </c>
      <c r="BS30" s="16" t="str">
        <f t="shared" si="18"/>
        <v/>
      </c>
      <c r="BT30" s="39"/>
      <c r="BU30" s="51" t="str">
        <f t="shared" si="19"/>
        <v/>
      </c>
      <c r="BV30" s="28" t="str">
        <f t="shared" si="20"/>
        <v/>
      </c>
      <c r="BW30" s="28" t="str">
        <f t="shared" si="21"/>
        <v/>
      </c>
      <c r="BX30" s="28" t="str">
        <f t="shared" si="22"/>
        <v/>
      </c>
      <c r="BY30" s="28" t="str">
        <f t="shared" si="23"/>
        <v/>
      </c>
      <c r="BZ30" s="52" t="str">
        <f t="shared" si="24"/>
        <v/>
      </c>
      <c r="CA30" s="39"/>
      <c r="CB30" s="49" t="str">
        <f t="shared" si="25"/>
        <v>-</v>
      </c>
      <c r="CC30" s="29" t="str">
        <f t="shared" si="26"/>
        <v>-</v>
      </c>
      <c r="CD30" s="29" t="str">
        <f t="shared" si="27"/>
        <v>-</v>
      </c>
      <c r="CE30" s="29" t="str">
        <f t="shared" si="28"/>
        <v>-</v>
      </c>
      <c r="CF30" s="50" t="str">
        <f t="shared" si="29"/>
        <v>-</v>
      </c>
      <c r="CG30" s="39"/>
    </row>
    <row r="31" spans="1:85" s="27" customFormat="1" ht="12.4" customHeight="1" thickBot="1" x14ac:dyDescent="0.25">
      <c r="A31" s="43">
        <f t="shared" si="30"/>
        <v>46323</v>
      </c>
      <c r="B31" s="44" t="str">
        <f>+TEXT(A31,"DDD")</f>
        <v>Wed</v>
      </c>
      <c r="C31" s="2"/>
      <c r="D31" s="2"/>
      <c r="E31" s="3"/>
      <c r="F31" s="2"/>
      <c r="G31" s="2"/>
      <c r="H31" s="4"/>
      <c r="I31" s="4"/>
      <c r="J31" s="58"/>
      <c r="K31" s="5"/>
      <c r="L31" s="2"/>
      <c r="M31" s="2"/>
      <c r="N31" s="2"/>
      <c r="O31" s="2"/>
      <c r="P31" s="3"/>
      <c r="Q31" s="2"/>
      <c r="R31" s="2"/>
      <c r="S31" s="2"/>
      <c r="T31" s="2"/>
      <c r="U31" s="3"/>
      <c r="V31" s="3"/>
      <c r="W31" s="2"/>
      <c r="X31" s="2"/>
      <c r="Y31" s="2"/>
      <c r="Z31" s="2"/>
      <c r="AA31" s="2"/>
      <c r="AB31" s="2"/>
      <c r="AC31" s="2"/>
      <c r="AD31" s="2"/>
      <c r="AE31" s="3"/>
      <c r="AF31" s="3"/>
      <c r="AG31" s="2"/>
      <c r="AH31" s="6"/>
      <c r="AI31" s="7"/>
      <c r="AJ31" s="6"/>
      <c r="AK31" s="59"/>
      <c r="AL31" s="59"/>
      <c r="AM31" s="59"/>
      <c r="AN31" s="59"/>
      <c r="AO31" s="59"/>
      <c r="AP31" s="59"/>
      <c r="AQ31" s="59"/>
      <c r="AR31" s="59"/>
      <c r="AS31" s="8"/>
      <c r="AT31" s="8"/>
      <c r="AU31" s="9"/>
      <c r="AV31" s="8"/>
      <c r="AW31" s="10" t="e">
        <f t="shared" si="1"/>
        <v>#DIV/0!</v>
      </c>
      <c r="AX31" s="39"/>
      <c r="AY31" s="1" t="str">
        <f t="shared" si="2"/>
        <v/>
      </c>
      <c r="AZ31" s="11" t="str">
        <f t="shared" si="3"/>
        <v/>
      </c>
      <c r="BA31" s="1" t="str">
        <f t="shared" si="4"/>
        <v/>
      </c>
      <c r="BB31" s="39"/>
      <c r="BC31" s="53" t="str">
        <f t="shared" si="5"/>
        <v/>
      </c>
      <c r="BD31" s="12" t="str">
        <f t="shared" si="6"/>
        <v/>
      </c>
      <c r="BE31" s="12" t="str">
        <f t="shared" si="7"/>
        <v/>
      </c>
      <c r="BF31" s="12" t="str">
        <f t="shared" si="8"/>
        <v/>
      </c>
      <c r="BG31" s="12" t="str">
        <f t="shared" si="9"/>
        <v/>
      </c>
      <c r="BH31" s="54" t="str">
        <f t="shared" si="10"/>
        <v/>
      </c>
      <c r="BI31" s="39"/>
      <c r="BJ31" s="55" t="str">
        <f t="shared" si="11"/>
        <v/>
      </c>
      <c r="BK31" s="13" t="str">
        <f t="shared" si="12"/>
        <v/>
      </c>
      <c r="BL31" s="13" t="str">
        <f t="shared" si="13"/>
        <v/>
      </c>
      <c r="BM31" s="56" t="str">
        <f t="shared" si="14"/>
        <v/>
      </c>
      <c r="BN31" s="39"/>
      <c r="BO31" s="14" t="str">
        <f t="shared" si="15"/>
        <v/>
      </c>
      <c r="BP31" s="15">
        <v>0</v>
      </c>
      <c r="BQ31" s="15" t="str">
        <f t="shared" si="16"/>
        <v/>
      </c>
      <c r="BR31" s="15" t="str">
        <f t="shared" si="17"/>
        <v/>
      </c>
      <c r="BS31" s="16" t="str">
        <f t="shared" si="18"/>
        <v/>
      </c>
      <c r="BT31" s="39"/>
      <c r="BU31" s="51" t="str">
        <f t="shared" si="19"/>
        <v/>
      </c>
      <c r="BV31" s="28" t="str">
        <f t="shared" si="20"/>
        <v/>
      </c>
      <c r="BW31" s="28" t="str">
        <f t="shared" si="21"/>
        <v/>
      </c>
      <c r="BX31" s="28" t="str">
        <f t="shared" si="22"/>
        <v/>
      </c>
      <c r="BY31" s="28" t="str">
        <f t="shared" si="23"/>
        <v/>
      </c>
      <c r="BZ31" s="52" t="str">
        <f t="shared" si="24"/>
        <v/>
      </c>
      <c r="CA31" s="39"/>
      <c r="CB31" s="49" t="str">
        <f t="shared" si="25"/>
        <v>-</v>
      </c>
      <c r="CC31" s="29" t="str">
        <f t="shared" si="26"/>
        <v>-</v>
      </c>
      <c r="CD31" s="29" t="str">
        <f t="shared" si="27"/>
        <v>-</v>
      </c>
      <c r="CE31" s="29" t="str">
        <f t="shared" si="28"/>
        <v>-</v>
      </c>
      <c r="CF31" s="50" t="str">
        <f t="shared" si="29"/>
        <v>-</v>
      </c>
      <c r="CG31" s="39"/>
    </row>
    <row r="32" spans="1:85" s="27" customFormat="1" ht="13.15" customHeight="1" thickBot="1" x14ac:dyDescent="0.25">
      <c r="A32" s="288" t="s">
        <v>68</v>
      </c>
      <c r="B32" s="289"/>
      <c r="C32" s="45" t="e">
        <f t="shared" ref="C32:AV32" si="31">AVERAGE(C4:C31)</f>
        <v>#DIV/0!</v>
      </c>
      <c r="D32" s="17" t="e">
        <f t="shared" si="31"/>
        <v>#DIV/0!</v>
      </c>
      <c r="E32" s="17" t="e">
        <f t="shared" si="31"/>
        <v>#DIV/0!</v>
      </c>
      <c r="F32" s="17" t="e">
        <f t="shared" si="31"/>
        <v>#DIV/0!</v>
      </c>
      <c r="G32" s="17" t="e">
        <f t="shared" si="31"/>
        <v>#DIV/0!</v>
      </c>
      <c r="H32" s="17" t="e">
        <f t="shared" si="31"/>
        <v>#DIV/0!</v>
      </c>
      <c r="I32" s="17" t="e">
        <f t="shared" si="31"/>
        <v>#DIV/0!</v>
      </c>
      <c r="J32" s="17" t="e">
        <f t="shared" si="31"/>
        <v>#DIV/0!</v>
      </c>
      <c r="K32" s="17" t="e">
        <f t="shared" si="31"/>
        <v>#DIV/0!</v>
      </c>
      <c r="L32" s="17" t="e">
        <f t="shared" si="31"/>
        <v>#DIV/0!</v>
      </c>
      <c r="M32" s="17" t="e">
        <f t="shared" si="31"/>
        <v>#DIV/0!</v>
      </c>
      <c r="N32" s="17" t="e">
        <f t="shared" si="31"/>
        <v>#DIV/0!</v>
      </c>
      <c r="O32" s="17" t="e">
        <f t="shared" si="31"/>
        <v>#DIV/0!</v>
      </c>
      <c r="P32" s="17" t="e">
        <f t="shared" si="31"/>
        <v>#DIV/0!</v>
      </c>
      <c r="Q32" s="17" t="e">
        <f t="shared" si="31"/>
        <v>#DIV/0!</v>
      </c>
      <c r="R32" s="17" t="e">
        <f t="shared" si="31"/>
        <v>#DIV/0!</v>
      </c>
      <c r="S32" s="17" t="e">
        <f t="shared" si="31"/>
        <v>#DIV/0!</v>
      </c>
      <c r="T32" s="17" t="e">
        <f t="shared" si="31"/>
        <v>#DIV/0!</v>
      </c>
      <c r="U32" s="17" t="e">
        <f t="shared" si="31"/>
        <v>#DIV/0!</v>
      </c>
      <c r="V32" s="17" t="e">
        <f t="shared" si="31"/>
        <v>#DIV/0!</v>
      </c>
      <c r="W32" s="17" t="e">
        <f t="shared" si="31"/>
        <v>#DIV/0!</v>
      </c>
      <c r="X32" s="17" t="e">
        <f t="shared" si="31"/>
        <v>#DIV/0!</v>
      </c>
      <c r="Y32" s="17" t="e">
        <f t="shared" si="31"/>
        <v>#DIV/0!</v>
      </c>
      <c r="Z32" s="17" t="e">
        <f t="shared" si="31"/>
        <v>#DIV/0!</v>
      </c>
      <c r="AA32" s="17" t="e">
        <f t="shared" si="31"/>
        <v>#DIV/0!</v>
      </c>
      <c r="AB32" s="17" t="e">
        <f t="shared" si="31"/>
        <v>#DIV/0!</v>
      </c>
      <c r="AC32" s="17" t="e">
        <f t="shared" si="31"/>
        <v>#DIV/0!</v>
      </c>
      <c r="AD32" s="17" t="e">
        <f t="shared" si="31"/>
        <v>#DIV/0!</v>
      </c>
      <c r="AE32" s="17" t="e">
        <f t="shared" si="31"/>
        <v>#DIV/0!</v>
      </c>
      <c r="AF32" s="17" t="e">
        <f t="shared" si="31"/>
        <v>#DIV/0!</v>
      </c>
      <c r="AG32" s="17" t="e">
        <f t="shared" si="31"/>
        <v>#DIV/0!</v>
      </c>
      <c r="AH32" s="17" t="e">
        <f t="shared" si="31"/>
        <v>#DIV/0!</v>
      </c>
      <c r="AI32" s="17" t="e">
        <f t="shared" si="31"/>
        <v>#DIV/0!</v>
      </c>
      <c r="AJ32" s="17" t="e">
        <f t="shared" si="31"/>
        <v>#DIV/0!</v>
      </c>
      <c r="AK32" s="64" t="e">
        <f t="shared" si="31"/>
        <v>#DIV/0!</v>
      </c>
      <c r="AL32" s="64" t="e">
        <f t="shared" si="31"/>
        <v>#DIV/0!</v>
      </c>
      <c r="AM32" s="64" t="e">
        <f t="shared" si="31"/>
        <v>#DIV/0!</v>
      </c>
      <c r="AN32" s="64" t="e">
        <f t="shared" si="31"/>
        <v>#DIV/0!</v>
      </c>
      <c r="AO32" s="64" t="e">
        <f t="shared" si="31"/>
        <v>#DIV/0!</v>
      </c>
      <c r="AP32" s="64" t="e">
        <f t="shared" si="31"/>
        <v>#DIV/0!</v>
      </c>
      <c r="AQ32" s="64" t="e">
        <f t="shared" si="31"/>
        <v>#DIV/0!</v>
      </c>
      <c r="AR32" s="64" t="e">
        <f t="shared" si="31"/>
        <v>#DIV/0!</v>
      </c>
      <c r="AS32" s="17" t="e">
        <f t="shared" si="31"/>
        <v>#DIV/0!</v>
      </c>
      <c r="AT32" s="17" t="e">
        <f t="shared" si="31"/>
        <v>#DIV/0!</v>
      </c>
      <c r="AU32" s="17" t="e">
        <f t="shared" si="31"/>
        <v>#DIV/0!</v>
      </c>
      <c r="AV32" s="17" t="e">
        <f t="shared" si="31"/>
        <v>#DIV/0!</v>
      </c>
      <c r="AW32" s="46" t="str">
        <f>IFERROR(AM32/AV32,"-")</f>
        <v>-</v>
      </c>
      <c r="AX32" s="39"/>
      <c r="AY32" s="18" t="e">
        <f t="shared" si="2"/>
        <v>#DIV/0!</v>
      </c>
      <c r="AZ32" s="19" t="e">
        <f t="shared" si="3"/>
        <v>#DIV/0!</v>
      </c>
      <c r="BA32" s="20" t="e">
        <f t="shared" si="4"/>
        <v>#DIV/0!</v>
      </c>
      <c r="BB32" s="39"/>
      <c r="BC32" s="18" t="e">
        <f t="shared" si="5"/>
        <v>#DIV/0!</v>
      </c>
      <c r="BD32" s="21" t="e">
        <f t="shared" si="6"/>
        <v>#DIV/0!</v>
      </c>
      <c r="BE32" s="21" t="e">
        <f t="shared" si="7"/>
        <v>#DIV/0!</v>
      </c>
      <c r="BF32" s="21" t="e">
        <f t="shared" si="8"/>
        <v>#DIV/0!</v>
      </c>
      <c r="BG32" s="21" t="e">
        <f t="shared" si="9"/>
        <v>#DIV/0!</v>
      </c>
      <c r="BH32" s="20" t="e">
        <f t="shared" si="10"/>
        <v>#DIV/0!</v>
      </c>
      <c r="BI32" s="39"/>
      <c r="BJ32" s="18" t="e">
        <f t="shared" si="11"/>
        <v>#DIV/0!</v>
      </c>
      <c r="BK32" s="21" t="e">
        <f t="shared" si="12"/>
        <v>#DIV/0!</v>
      </c>
      <c r="BL32" s="21" t="e">
        <f t="shared" si="13"/>
        <v>#DIV/0!</v>
      </c>
      <c r="BM32" s="20" t="e">
        <f t="shared" si="14"/>
        <v>#DIV/0!</v>
      </c>
      <c r="BN32" s="39"/>
      <c r="BO32" s="18" t="e">
        <f t="shared" si="15"/>
        <v>#DIV/0!</v>
      </c>
      <c r="BP32" s="21">
        <v>0</v>
      </c>
      <c r="BQ32" s="21" t="e">
        <f t="shared" si="16"/>
        <v>#DIV/0!</v>
      </c>
      <c r="BR32" s="21" t="e">
        <f t="shared" si="17"/>
        <v>#DIV/0!</v>
      </c>
      <c r="BS32" s="20" t="e">
        <f t="shared" si="18"/>
        <v>#DIV/0!</v>
      </c>
      <c r="BT32" s="39"/>
      <c r="BU32" s="30" t="e">
        <f t="shared" si="19"/>
        <v>#DIV/0!</v>
      </c>
      <c r="BV32" s="31" t="e">
        <f t="shared" si="20"/>
        <v>#DIV/0!</v>
      </c>
      <c r="BW32" s="31" t="e">
        <f t="shared" si="21"/>
        <v>#DIV/0!</v>
      </c>
      <c r="BX32" s="31" t="e">
        <f t="shared" si="22"/>
        <v>#DIV/0!</v>
      </c>
      <c r="BY32" s="31" t="e">
        <f t="shared" si="23"/>
        <v>#DIV/0!</v>
      </c>
      <c r="BZ32" s="32" t="e">
        <f t="shared" si="24"/>
        <v>#DIV/0!</v>
      </c>
      <c r="CA32" s="39"/>
      <c r="CB32" s="30" t="str">
        <f t="shared" si="25"/>
        <v>-</v>
      </c>
      <c r="CC32" s="31" t="str">
        <f t="shared" si="26"/>
        <v>-</v>
      </c>
      <c r="CD32" s="31" t="str">
        <f t="shared" si="27"/>
        <v>-</v>
      </c>
      <c r="CE32" s="31" t="str">
        <f t="shared" si="28"/>
        <v>-</v>
      </c>
      <c r="CF32" s="32" t="str">
        <f t="shared" si="29"/>
        <v>-</v>
      </c>
      <c r="CG32" s="39"/>
    </row>
    <row r="33" spans="1:85" s="27" customFormat="1" ht="13.15" customHeight="1" thickBot="1" x14ac:dyDescent="0.25">
      <c r="A33" s="288" t="s">
        <v>69</v>
      </c>
      <c r="B33" s="289"/>
      <c r="C33" s="47">
        <f t="shared" ref="C33:AV33" si="32">SUM(C4:C31)</f>
        <v>0</v>
      </c>
      <c r="D33" s="22">
        <f t="shared" si="32"/>
        <v>0</v>
      </c>
      <c r="E33" s="22">
        <f t="shared" si="32"/>
        <v>0</v>
      </c>
      <c r="F33" s="22">
        <f t="shared" si="32"/>
        <v>0</v>
      </c>
      <c r="G33" s="22">
        <f t="shared" si="32"/>
        <v>0</v>
      </c>
      <c r="H33" s="22">
        <f t="shared" si="32"/>
        <v>0</v>
      </c>
      <c r="I33" s="22">
        <f t="shared" si="32"/>
        <v>0</v>
      </c>
      <c r="J33" s="22">
        <f t="shared" si="32"/>
        <v>0</v>
      </c>
      <c r="K33" s="22">
        <f t="shared" si="32"/>
        <v>0</v>
      </c>
      <c r="L33" s="22">
        <f t="shared" si="32"/>
        <v>0</v>
      </c>
      <c r="M33" s="22">
        <f t="shared" si="32"/>
        <v>0</v>
      </c>
      <c r="N33" s="22">
        <f t="shared" si="32"/>
        <v>0</v>
      </c>
      <c r="O33" s="22">
        <f t="shared" si="32"/>
        <v>0</v>
      </c>
      <c r="P33" s="22">
        <f t="shared" si="32"/>
        <v>0</v>
      </c>
      <c r="Q33" s="22">
        <f t="shared" si="32"/>
        <v>0</v>
      </c>
      <c r="R33" s="22">
        <f t="shared" si="32"/>
        <v>0</v>
      </c>
      <c r="S33" s="22">
        <f t="shared" si="32"/>
        <v>0</v>
      </c>
      <c r="T33" s="22">
        <f t="shared" si="32"/>
        <v>0</v>
      </c>
      <c r="U33" s="22">
        <f t="shared" si="32"/>
        <v>0</v>
      </c>
      <c r="V33" s="22">
        <f t="shared" si="32"/>
        <v>0</v>
      </c>
      <c r="W33" s="22">
        <f t="shared" si="32"/>
        <v>0</v>
      </c>
      <c r="X33" s="22">
        <f t="shared" si="32"/>
        <v>0</v>
      </c>
      <c r="Y33" s="22">
        <f t="shared" si="32"/>
        <v>0</v>
      </c>
      <c r="Z33" s="22">
        <f t="shared" si="32"/>
        <v>0</v>
      </c>
      <c r="AA33" s="22">
        <f t="shared" si="32"/>
        <v>0</v>
      </c>
      <c r="AB33" s="22">
        <f t="shared" si="32"/>
        <v>0</v>
      </c>
      <c r="AC33" s="22">
        <f t="shared" si="32"/>
        <v>0</v>
      </c>
      <c r="AD33" s="22">
        <f t="shared" si="32"/>
        <v>0</v>
      </c>
      <c r="AE33" s="22">
        <f t="shared" si="32"/>
        <v>0</v>
      </c>
      <c r="AF33" s="22">
        <f t="shared" si="32"/>
        <v>0</v>
      </c>
      <c r="AG33" s="22">
        <f t="shared" si="32"/>
        <v>0</v>
      </c>
      <c r="AH33" s="22">
        <f t="shared" si="32"/>
        <v>0</v>
      </c>
      <c r="AI33" s="22">
        <f t="shared" si="32"/>
        <v>0</v>
      </c>
      <c r="AJ33" s="22">
        <f t="shared" si="32"/>
        <v>0</v>
      </c>
      <c r="AK33" s="65">
        <f t="shared" si="32"/>
        <v>0</v>
      </c>
      <c r="AL33" s="65">
        <f t="shared" si="32"/>
        <v>0</v>
      </c>
      <c r="AM33" s="65">
        <f t="shared" si="32"/>
        <v>0</v>
      </c>
      <c r="AN33" s="65">
        <f t="shared" si="32"/>
        <v>0</v>
      </c>
      <c r="AO33" s="65">
        <f t="shared" si="32"/>
        <v>0</v>
      </c>
      <c r="AP33" s="65">
        <f t="shared" si="32"/>
        <v>0</v>
      </c>
      <c r="AQ33" s="65">
        <f t="shared" si="32"/>
        <v>0</v>
      </c>
      <c r="AR33" s="65">
        <f t="shared" si="32"/>
        <v>0</v>
      </c>
      <c r="AS33" s="22">
        <f t="shared" si="32"/>
        <v>0</v>
      </c>
      <c r="AT33" s="22">
        <f t="shared" si="32"/>
        <v>0</v>
      </c>
      <c r="AU33" s="22">
        <f t="shared" si="32"/>
        <v>0</v>
      </c>
      <c r="AV33" s="22">
        <f t="shared" si="32"/>
        <v>0</v>
      </c>
      <c r="AW33" s="48" t="str">
        <f>IFERROR(AM33/AV33,"-")</f>
        <v>-</v>
      </c>
      <c r="AX33" s="40"/>
      <c r="AY33" s="23" t="str">
        <f t="shared" si="2"/>
        <v/>
      </c>
      <c r="AZ33" s="24" t="str">
        <f t="shared" si="3"/>
        <v/>
      </c>
      <c r="BA33" s="25" t="str">
        <f t="shared" si="4"/>
        <v/>
      </c>
      <c r="BB33" s="40"/>
      <c r="BC33" s="23" t="str">
        <f t="shared" si="5"/>
        <v/>
      </c>
      <c r="BD33" s="26" t="str">
        <f t="shared" si="6"/>
        <v/>
      </c>
      <c r="BE33" s="26" t="str">
        <f t="shared" si="7"/>
        <v/>
      </c>
      <c r="BF33" s="26" t="str">
        <f t="shared" si="8"/>
        <v/>
      </c>
      <c r="BG33" s="26" t="str">
        <f t="shared" si="9"/>
        <v/>
      </c>
      <c r="BH33" s="25" t="str">
        <f t="shared" si="10"/>
        <v/>
      </c>
      <c r="BI33" s="40"/>
      <c r="BJ33" s="23" t="str">
        <f t="shared" si="11"/>
        <v/>
      </c>
      <c r="BK33" s="26" t="str">
        <f t="shared" si="12"/>
        <v/>
      </c>
      <c r="BL33" s="26" t="str">
        <f t="shared" si="13"/>
        <v/>
      </c>
      <c r="BM33" s="25" t="str">
        <f t="shared" si="14"/>
        <v/>
      </c>
      <c r="BN33" s="40"/>
      <c r="BO33" s="23" t="str">
        <f t="shared" si="15"/>
        <v/>
      </c>
      <c r="BP33" s="26">
        <v>0</v>
      </c>
      <c r="BQ33" s="26" t="str">
        <f t="shared" si="16"/>
        <v/>
      </c>
      <c r="BR33" s="26" t="str">
        <f t="shared" si="17"/>
        <v/>
      </c>
      <c r="BS33" s="25" t="str">
        <f t="shared" si="18"/>
        <v/>
      </c>
      <c r="BT33" s="40"/>
      <c r="BU33" s="33" t="str">
        <f t="shared" si="19"/>
        <v/>
      </c>
      <c r="BV33" s="34" t="str">
        <f t="shared" si="20"/>
        <v/>
      </c>
      <c r="BW33" s="34" t="str">
        <f t="shared" si="21"/>
        <v/>
      </c>
      <c r="BX33" s="34" t="str">
        <f t="shared" si="22"/>
        <v/>
      </c>
      <c r="BY33" s="34" t="str">
        <f t="shared" si="23"/>
        <v/>
      </c>
      <c r="BZ33" s="35" t="str">
        <f t="shared" si="24"/>
        <v/>
      </c>
      <c r="CA33" s="40"/>
      <c r="CB33" s="33" t="str">
        <f t="shared" si="25"/>
        <v>-</v>
      </c>
      <c r="CC33" s="34" t="str">
        <f t="shared" si="26"/>
        <v>-</v>
      </c>
      <c r="CD33" s="34" t="str">
        <f t="shared" si="27"/>
        <v>-</v>
      </c>
      <c r="CE33" s="34" t="str">
        <f t="shared" si="28"/>
        <v>-</v>
      </c>
      <c r="CF33" s="35" t="str">
        <f t="shared" si="29"/>
        <v>-</v>
      </c>
      <c r="CG33" s="40"/>
    </row>
    <row r="34" spans="1:85" x14ac:dyDescent="0.2"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</row>
  </sheetData>
  <mergeCells count="87">
    <mergeCell ref="CB1:C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Y1:BA1"/>
    <mergeCell ref="BC1:BH1"/>
    <mergeCell ref="BJ1:BM1"/>
    <mergeCell ref="BO1:BS1"/>
    <mergeCell ref="BU1:BZ1"/>
    <mergeCell ref="U2:U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G2:AG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S2:AS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BG2:BG3"/>
    <mergeCell ref="AT2:AT3"/>
    <mergeCell ref="AU2:AU3"/>
    <mergeCell ref="AV2:AV3"/>
    <mergeCell ref="AW2:AW3"/>
    <mergeCell ref="AY2:AY3"/>
    <mergeCell ref="AZ2:AZ3"/>
    <mergeCell ref="BA2:BA3"/>
    <mergeCell ref="BC2:BC3"/>
    <mergeCell ref="BD2:BD3"/>
    <mergeCell ref="BE2:BE3"/>
    <mergeCell ref="BF2:BF3"/>
    <mergeCell ref="BV2:BV3"/>
    <mergeCell ref="BH2:BH3"/>
    <mergeCell ref="BJ2:BJ3"/>
    <mergeCell ref="BK2:BK3"/>
    <mergeCell ref="BL2:BL3"/>
    <mergeCell ref="BM2:BM3"/>
    <mergeCell ref="BO2:BO3"/>
    <mergeCell ref="CD2:CD3"/>
    <mergeCell ref="CE2:CE3"/>
    <mergeCell ref="CF2:CF3"/>
    <mergeCell ref="A32:B32"/>
    <mergeCell ref="A33:B33"/>
    <mergeCell ref="BW2:BW3"/>
    <mergeCell ref="BX2:BX3"/>
    <mergeCell ref="BY2:BY3"/>
    <mergeCell ref="BZ2:BZ3"/>
    <mergeCell ref="CB2:CB3"/>
    <mergeCell ref="CC2:CC3"/>
    <mergeCell ref="BP2:BP3"/>
    <mergeCell ref="BQ2:BQ3"/>
    <mergeCell ref="BR2:BR3"/>
    <mergeCell ref="BS2:BS3"/>
    <mergeCell ref="BU2:BU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4"/>
  <sheetViews>
    <sheetView showGridLines="0" zoomScaleNormal="100" workbookViewId="0">
      <selection activeCell="A4" sqref="A4"/>
    </sheetView>
  </sheetViews>
  <sheetFormatPr defaultColWidth="0" defaultRowHeight="11.25" x14ac:dyDescent="0.2"/>
  <cols>
    <col min="1" max="1" width="9.7109375" style="36" customWidth="1"/>
    <col min="2" max="2" width="4.5703125" style="36" customWidth="1"/>
    <col min="3" max="4" width="9.42578125" style="36" customWidth="1"/>
    <col min="5" max="5" width="10.5703125" style="36" customWidth="1"/>
    <col min="6" max="6" width="9.42578125" style="36" customWidth="1"/>
    <col min="7" max="7" width="7.7109375" style="36" customWidth="1"/>
    <col min="8" max="8" width="13.28515625" style="36" customWidth="1"/>
    <col min="9" max="9" width="8.7109375" style="36" customWidth="1"/>
    <col min="10" max="10" width="9.42578125" style="36" customWidth="1"/>
    <col min="11" max="11" width="5.7109375" style="36" customWidth="1"/>
    <col min="12" max="12" width="7.28515625" style="36" customWidth="1"/>
    <col min="13" max="33" width="5.7109375" style="36" customWidth="1"/>
    <col min="34" max="34" width="6.7109375" style="36" customWidth="1"/>
    <col min="35" max="35" width="9" style="36" customWidth="1"/>
    <col min="36" max="36" width="9.5703125" style="36" customWidth="1"/>
    <col min="37" max="37" width="13" style="36" bestFit="1" customWidth="1"/>
    <col min="38" max="39" width="13.7109375" style="36" bestFit="1" customWidth="1"/>
    <col min="40" max="44" width="10.7109375" style="36" customWidth="1"/>
    <col min="45" max="45" width="13.28515625" style="38" bestFit="1" customWidth="1"/>
    <col min="46" max="46" width="9.7109375" style="36" customWidth="1"/>
    <col min="47" max="47" width="10.7109375" style="36" customWidth="1"/>
    <col min="48" max="49" width="8.7109375" style="36" customWidth="1"/>
    <col min="50" max="50" width="1.28515625" style="36" customWidth="1"/>
    <col min="51" max="51" width="14.140625" style="36" bestFit="1" customWidth="1"/>
    <col min="52" max="52" width="10.28515625" style="36" bestFit="1" customWidth="1"/>
    <col min="53" max="53" width="11.28515625" style="36" bestFit="1" customWidth="1"/>
    <col min="54" max="54" width="1.28515625" style="36" customWidth="1"/>
    <col min="55" max="55" width="11.28515625" style="36" bestFit="1" customWidth="1"/>
    <col min="56" max="56" width="11.7109375" style="36" bestFit="1" customWidth="1"/>
    <col min="57" max="57" width="17.7109375" style="36" bestFit="1" customWidth="1"/>
    <col min="58" max="58" width="8.28515625" style="36" bestFit="1" customWidth="1"/>
    <col min="59" max="59" width="12.7109375" style="36" bestFit="1" customWidth="1"/>
    <col min="60" max="60" width="9.42578125" style="36" bestFit="1" customWidth="1"/>
    <col min="61" max="61" width="1.28515625" style="36" customWidth="1"/>
    <col min="62" max="62" width="17.5703125" style="36" bestFit="1" customWidth="1"/>
    <col min="63" max="63" width="21.28515625" style="36" bestFit="1" customWidth="1"/>
    <col min="64" max="64" width="11.7109375" style="36" bestFit="1" customWidth="1"/>
    <col min="65" max="65" width="15.5703125" style="36" bestFit="1" customWidth="1"/>
    <col min="66" max="66" width="1.28515625" style="36" customWidth="1"/>
    <col min="67" max="67" width="8.28515625" style="36" bestFit="1" customWidth="1"/>
    <col min="68" max="68" width="11.28515625" style="36" bestFit="1" customWidth="1"/>
    <col min="69" max="69" width="12.42578125" style="36" bestFit="1" customWidth="1"/>
    <col min="70" max="70" width="11.7109375" style="36" bestFit="1" customWidth="1"/>
    <col min="71" max="71" width="7.28515625" style="36" bestFit="1" customWidth="1"/>
    <col min="72" max="72" width="1.28515625" style="36" customWidth="1"/>
    <col min="73" max="76" width="12.7109375" style="36" customWidth="1"/>
    <col min="77" max="78" width="10.7109375" style="36" customWidth="1"/>
    <col min="79" max="79" width="1.28515625" style="36" customWidth="1"/>
    <col min="80" max="81" width="10.7109375" style="36" customWidth="1"/>
    <col min="82" max="82" width="7" style="36" customWidth="1"/>
    <col min="83" max="84" width="10.7109375" style="36" customWidth="1"/>
    <col min="85" max="85" width="1.28515625" style="36" customWidth="1"/>
    <col min="86" max="103" width="0" style="36" hidden="1" customWidth="1"/>
    <col min="104" max="16384" width="10.7109375" style="36" hidden="1"/>
  </cols>
  <sheetData>
    <row r="1" spans="1:85" s="27" customFormat="1" ht="13.15" customHeight="1" thickBot="1" x14ac:dyDescent="0.25">
      <c r="A1" s="269" t="s">
        <v>0</v>
      </c>
      <c r="B1" s="27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2"/>
      <c r="AX1" s="39"/>
      <c r="AY1" s="271" t="s">
        <v>1</v>
      </c>
      <c r="AZ1" s="272"/>
      <c r="BA1" s="273"/>
      <c r="BB1" s="39"/>
      <c r="BC1" s="256" t="s">
        <v>2</v>
      </c>
      <c r="BD1" s="257"/>
      <c r="BE1" s="257"/>
      <c r="BF1" s="257"/>
      <c r="BG1" s="257"/>
      <c r="BH1" s="258"/>
      <c r="BI1" s="39"/>
      <c r="BJ1" s="256" t="s">
        <v>3</v>
      </c>
      <c r="BK1" s="257"/>
      <c r="BL1" s="257"/>
      <c r="BM1" s="258"/>
      <c r="BN1" s="39"/>
      <c r="BO1" s="256" t="s">
        <v>4</v>
      </c>
      <c r="BP1" s="257"/>
      <c r="BQ1" s="257"/>
      <c r="BR1" s="257"/>
      <c r="BS1" s="258"/>
      <c r="BT1" s="39"/>
      <c r="BU1" s="256" t="s">
        <v>5</v>
      </c>
      <c r="BV1" s="257"/>
      <c r="BW1" s="257"/>
      <c r="BX1" s="257"/>
      <c r="BY1" s="257"/>
      <c r="BZ1" s="258"/>
      <c r="CA1" s="39"/>
      <c r="CB1" s="256" t="s">
        <v>6</v>
      </c>
      <c r="CC1" s="257"/>
      <c r="CD1" s="257"/>
      <c r="CE1" s="257"/>
      <c r="CF1" s="258"/>
      <c r="CG1" s="39"/>
    </row>
    <row r="2" spans="1:85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78</v>
      </c>
      <c r="V2" s="259" t="s">
        <v>24</v>
      </c>
      <c r="W2" s="259" t="s">
        <v>85</v>
      </c>
      <c r="X2" s="259" t="s">
        <v>25</v>
      </c>
      <c r="Y2" s="259" t="s">
        <v>70</v>
      </c>
      <c r="Z2" s="259" t="s">
        <v>79</v>
      </c>
      <c r="AA2" s="259" t="s">
        <v>76</v>
      </c>
      <c r="AB2" s="259" t="s">
        <v>77</v>
      </c>
      <c r="AC2" s="259" t="s">
        <v>80</v>
      </c>
      <c r="AD2" s="259" t="s">
        <v>75</v>
      </c>
      <c r="AE2" s="259" t="s">
        <v>74</v>
      </c>
      <c r="AF2" s="259" t="s">
        <v>72</v>
      </c>
      <c r="AG2" s="259" t="s">
        <v>73</v>
      </c>
      <c r="AH2" s="259" t="s">
        <v>26</v>
      </c>
      <c r="AI2" s="259" t="s">
        <v>27</v>
      </c>
      <c r="AJ2" s="259" t="s">
        <v>28</v>
      </c>
      <c r="AK2" s="276" t="s">
        <v>29</v>
      </c>
      <c r="AL2" s="276" t="s">
        <v>30</v>
      </c>
      <c r="AM2" s="286" t="s">
        <v>31</v>
      </c>
      <c r="AN2" s="286" t="s">
        <v>32</v>
      </c>
      <c r="AO2" s="286" t="s">
        <v>33</v>
      </c>
      <c r="AP2" s="286" t="s">
        <v>34</v>
      </c>
      <c r="AQ2" s="286" t="s">
        <v>35</v>
      </c>
      <c r="AR2" s="286" t="s">
        <v>36</v>
      </c>
      <c r="AS2" s="315" t="s">
        <v>37</v>
      </c>
      <c r="AT2" s="278" t="s">
        <v>82</v>
      </c>
      <c r="AU2" s="278" t="s">
        <v>81</v>
      </c>
      <c r="AV2" s="280" t="s">
        <v>38</v>
      </c>
      <c r="AW2" s="282" t="s">
        <v>39</v>
      </c>
      <c r="AX2" s="39"/>
      <c r="AY2" s="284" t="s">
        <v>40</v>
      </c>
      <c r="AZ2" s="311" t="s">
        <v>41</v>
      </c>
      <c r="BA2" s="313" t="s">
        <v>42</v>
      </c>
      <c r="BB2" s="39"/>
      <c r="BC2" s="292" t="s">
        <v>43</v>
      </c>
      <c r="BD2" s="294" t="s">
        <v>44</v>
      </c>
      <c r="BE2" s="294" t="s">
        <v>45</v>
      </c>
      <c r="BF2" s="294" t="s">
        <v>46</v>
      </c>
      <c r="BG2" s="294" t="s">
        <v>47</v>
      </c>
      <c r="BH2" s="298" t="s">
        <v>48</v>
      </c>
      <c r="BI2" s="39"/>
      <c r="BJ2" s="302" t="s">
        <v>49</v>
      </c>
      <c r="BK2" s="303" t="s">
        <v>50</v>
      </c>
      <c r="BL2" s="303" t="s">
        <v>51</v>
      </c>
      <c r="BM2" s="310" t="s">
        <v>52</v>
      </c>
      <c r="BN2" s="39"/>
      <c r="BO2" s="292" t="s">
        <v>53</v>
      </c>
      <c r="BP2" s="294" t="s">
        <v>54</v>
      </c>
      <c r="BQ2" s="296" t="s">
        <v>67</v>
      </c>
      <c r="BR2" s="294" t="s">
        <v>55</v>
      </c>
      <c r="BS2" s="298" t="s">
        <v>86</v>
      </c>
      <c r="BT2" s="39"/>
      <c r="BU2" s="300" t="s">
        <v>56</v>
      </c>
      <c r="BV2" s="290" t="s">
        <v>57</v>
      </c>
      <c r="BW2" s="290" t="s">
        <v>58</v>
      </c>
      <c r="BX2" s="259" t="s">
        <v>59</v>
      </c>
      <c r="BY2" s="290" t="s">
        <v>60</v>
      </c>
      <c r="BZ2" s="306" t="s">
        <v>61</v>
      </c>
      <c r="CA2" s="39"/>
      <c r="CB2" s="308" t="s">
        <v>62</v>
      </c>
      <c r="CC2" s="296" t="s">
        <v>63</v>
      </c>
      <c r="CD2" s="296" t="s">
        <v>64</v>
      </c>
      <c r="CE2" s="296" t="s">
        <v>65</v>
      </c>
      <c r="CF2" s="304" t="s">
        <v>66</v>
      </c>
      <c r="CG2" s="39"/>
    </row>
    <row r="3" spans="1:85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77"/>
      <c r="AL3" s="277"/>
      <c r="AM3" s="287"/>
      <c r="AN3" s="287"/>
      <c r="AO3" s="287"/>
      <c r="AP3" s="287"/>
      <c r="AQ3" s="287"/>
      <c r="AR3" s="287"/>
      <c r="AS3" s="316"/>
      <c r="AT3" s="279"/>
      <c r="AU3" s="279"/>
      <c r="AV3" s="281"/>
      <c r="AW3" s="283" t="s">
        <v>38</v>
      </c>
      <c r="AX3" s="39"/>
      <c r="AY3" s="285"/>
      <c r="AZ3" s="312"/>
      <c r="BA3" s="314"/>
      <c r="BB3" s="39"/>
      <c r="BC3" s="293"/>
      <c r="BD3" s="295"/>
      <c r="BE3" s="295"/>
      <c r="BF3" s="295"/>
      <c r="BG3" s="295"/>
      <c r="BH3" s="299"/>
      <c r="BI3" s="39"/>
      <c r="BJ3" s="293"/>
      <c r="BK3" s="295"/>
      <c r="BL3" s="295"/>
      <c r="BM3" s="299"/>
      <c r="BN3" s="39"/>
      <c r="BO3" s="293"/>
      <c r="BP3" s="295"/>
      <c r="BQ3" s="297"/>
      <c r="BR3" s="295"/>
      <c r="BS3" s="299"/>
      <c r="BT3" s="39"/>
      <c r="BU3" s="301"/>
      <c r="BV3" s="291"/>
      <c r="BW3" s="291"/>
      <c r="BX3" s="260"/>
      <c r="BY3" s="291"/>
      <c r="BZ3" s="307"/>
      <c r="CA3" s="39"/>
      <c r="CB3" s="309"/>
      <c r="CC3" s="297"/>
      <c r="CD3" s="297"/>
      <c r="CE3" s="297"/>
      <c r="CF3" s="305"/>
      <c r="CG3" s="39"/>
    </row>
    <row r="4" spans="1:85" s="27" customFormat="1" ht="12.4" customHeight="1" thickBot="1" x14ac:dyDescent="0.25">
      <c r="A4" s="43">
        <f>EL_DEL_CD2_JO_!A4</f>
        <v>46296</v>
      </c>
      <c r="B4" s="44" t="str">
        <f t="shared" ref="B4:B30" si="0">+TEXT(A4,"DDD")</f>
        <v>Thu</v>
      </c>
      <c r="C4" s="2"/>
      <c r="D4" s="2"/>
      <c r="E4" s="3"/>
      <c r="F4" s="2"/>
      <c r="G4" s="2"/>
      <c r="H4" s="4"/>
      <c r="I4" s="4"/>
      <c r="J4" s="58"/>
      <c r="K4" s="5"/>
      <c r="L4" s="2"/>
      <c r="M4" s="2"/>
      <c r="N4" s="2"/>
      <c r="O4" s="2"/>
      <c r="P4" s="3"/>
      <c r="Q4" s="2"/>
      <c r="R4" s="2"/>
      <c r="S4" s="2"/>
      <c r="T4" s="2"/>
      <c r="U4" s="3"/>
      <c r="V4" s="3"/>
      <c r="W4" s="2"/>
      <c r="X4" s="2"/>
      <c r="Y4" s="2"/>
      <c r="Z4" s="2"/>
      <c r="AA4" s="2"/>
      <c r="AB4" s="2"/>
      <c r="AC4" s="2"/>
      <c r="AD4" s="2"/>
      <c r="AE4" s="3"/>
      <c r="AF4" s="3"/>
      <c r="AG4" s="2"/>
      <c r="AH4" s="6"/>
      <c r="AI4" s="7"/>
      <c r="AJ4" s="6"/>
      <c r="AK4" s="59"/>
      <c r="AL4" s="59"/>
      <c r="AM4" s="59"/>
      <c r="AN4" s="59"/>
      <c r="AO4" s="59"/>
      <c r="AP4" s="59"/>
      <c r="AQ4" s="59"/>
      <c r="AR4" s="59"/>
      <c r="AS4" s="8"/>
      <c r="AT4" s="8"/>
      <c r="AU4" s="9"/>
      <c r="AV4" s="8"/>
      <c r="AW4" s="10" t="e">
        <f>AM4/AV4</f>
        <v>#DIV/0!</v>
      </c>
      <c r="AX4" s="39"/>
      <c r="AY4" s="1" t="str">
        <f>IF(E4&gt;0,F4/E4,"")</f>
        <v/>
      </c>
      <c r="AZ4" s="11" t="str">
        <f>+IF(E4&gt;0,G4/E4,"")</f>
        <v/>
      </c>
      <c r="BA4" s="1" t="str">
        <f>+IF(E4&gt;0,AI4/E4,"")</f>
        <v/>
      </c>
      <c r="BB4" s="39"/>
      <c r="BC4" s="53" t="str">
        <f>+IF(G4&gt;0,I4/G4,"")</f>
        <v/>
      </c>
      <c r="BD4" s="12" t="str">
        <f>+IF(G4&gt;0,J4/G4,"")</f>
        <v/>
      </c>
      <c r="BE4" s="12" t="str">
        <f>+IF(I4&gt;0,L4/I4,"")</f>
        <v/>
      </c>
      <c r="BF4" s="12" t="str">
        <f>+IF(SUM(AN4:AQ4)&gt;0,AN4/AM4,"")</f>
        <v/>
      </c>
      <c r="BG4" s="12" t="str">
        <f>+IF(G4&gt;0,K4/G4,"")</f>
        <v/>
      </c>
      <c r="BH4" s="54" t="str">
        <f>+IF(SUM(AN4:AQ4)&gt;0,AP4/AM4,"")</f>
        <v/>
      </c>
      <c r="BI4" s="39"/>
      <c r="BJ4" s="55" t="str">
        <f>+IF(E4&gt;0,(AI4/E4),"")</f>
        <v/>
      </c>
      <c r="BK4" s="13" t="str">
        <f>+IF(E4&gt;0,(AI4/F4),"")</f>
        <v/>
      </c>
      <c r="BL4" s="13" t="str">
        <f>+IF(E4&gt;0,(AI4/G4),"")</f>
        <v/>
      </c>
      <c r="BM4" s="56" t="str">
        <f>+IF(E4&gt;0,(AI4/J4),"")</f>
        <v/>
      </c>
      <c r="BN4" s="39"/>
      <c r="BO4" s="14" t="str">
        <f>IF(AI4&gt;0,(N4/AI4),"")</f>
        <v/>
      </c>
      <c r="BP4" s="15">
        <v>0</v>
      </c>
      <c r="BQ4" s="15" t="str">
        <f>IF(AI4&gt;0,(AJ4/AI4),"")</f>
        <v/>
      </c>
      <c r="BR4" s="15" t="str">
        <f>IF(AI4&gt;0,(AJ4/AI4),"")</f>
        <v/>
      </c>
      <c r="BS4" s="16" t="str">
        <f>IF(J4&gt;0,AC4/J4,"")</f>
        <v/>
      </c>
      <c r="BT4" s="39"/>
      <c r="BU4" s="28" t="str">
        <f>IF(AM4&gt;0,(E4/AM4),"")</f>
        <v/>
      </c>
      <c r="BV4" s="28" t="str">
        <f>IF(AM4&gt;0,(G4/AM4),"")</f>
        <v/>
      </c>
      <c r="BW4" s="28" t="str">
        <f>IF(AM4&gt;0,(J4/AM4),"")</f>
        <v/>
      </c>
      <c r="BX4" s="28" t="str">
        <f>IF(AM4&gt;0,(K4/AM4),"")</f>
        <v/>
      </c>
      <c r="BY4" s="28" t="str">
        <f>IF(AM4&gt;0,(AI4/AM4),"")</f>
        <v/>
      </c>
      <c r="BZ4" s="52" t="str">
        <f>IF(AM4&gt;0,(AJ4/AM4),"")</f>
        <v/>
      </c>
      <c r="CA4" s="39"/>
      <c r="CB4" s="49" t="str">
        <f>IFERROR(((AM4-AN4)*3600)/J4,"-")</f>
        <v>-</v>
      </c>
      <c r="CC4" s="29" t="str">
        <f>IFERROR((AQ4*3600)/J4,"-")</f>
        <v>-</v>
      </c>
      <c r="CD4" s="29" t="str">
        <f>IFERROR((AP4*3600)/J4,"-")</f>
        <v>-</v>
      </c>
      <c r="CE4" s="29" t="str">
        <f>IFERROR((AN4*3600)/J4,"-")</f>
        <v>-</v>
      </c>
      <c r="CF4" s="50" t="str">
        <f>IFERROR((AO4*3600)/J4,"-")</f>
        <v>-</v>
      </c>
      <c r="CG4" s="39"/>
    </row>
    <row r="5" spans="1:85" s="27" customFormat="1" ht="12.4" customHeight="1" thickBot="1" x14ac:dyDescent="0.25">
      <c r="A5" s="43">
        <f>A4+1</f>
        <v>46297</v>
      </c>
      <c r="B5" s="44" t="str">
        <f t="shared" si="0"/>
        <v>Fri</v>
      </c>
      <c r="C5" s="2"/>
      <c r="D5" s="2"/>
      <c r="E5" s="3"/>
      <c r="F5" s="2"/>
      <c r="G5" s="2"/>
      <c r="H5" s="4"/>
      <c r="I5" s="4"/>
      <c r="J5" s="58"/>
      <c r="K5" s="5"/>
      <c r="L5" s="2"/>
      <c r="M5" s="2"/>
      <c r="N5" s="2"/>
      <c r="O5" s="2"/>
      <c r="P5" s="3"/>
      <c r="Q5" s="2"/>
      <c r="R5" s="2"/>
      <c r="S5" s="2"/>
      <c r="T5" s="2"/>
      <c r="U5" s="3"/>
      <c r="V5" s="3"/>
      <c r="W5" s="2"/>
      <c r="X5" s="2"/>
      <c r="Y5" s="2"/>
      <c r="Z5" s="2"/>
      <c r="AA5" s="2"/>
      <c r="AB5" s="2"/>
      <c r="AC5" s="2"/>
      <c r="AD5" s="2"/>
      <c r="AE5" s="3"/>
      <c r="AF5" s="3"/>
      <c r="AG5" s="2"/>
      <c r="AH5" s="6"/>
      <c r="AI5" s="7"/>
      <c r="AJ5" s="6"/>
      <c r="AK5" s="59"/>
      <c r="AL5" s="59"/>
      <c r="AM5" s="59"/>
      <c r="AN5" s="59"/>
      <c r="AO5" s="59"/>
      <c r="AP5" s="59"/>
      <c r="AQ5" s="59"/>
      <c r="AR5" s="59"/>
      <c r="AS5" s="8"/>
      <c r="AT5" s="8"/>
      <c r="AU5" s="9"/>
      <c r="AV5" s="8"/>
      <c r="AW5" s="10" t="e">
        <f t="shared" ref="AW5:AW31" si="1">AM5/AV5</f>
        <v>#DIV/0!</v>
      </c>
      <c r="AX5" s="39"/>
      <c r="AY5" s="1" t="str">
        <f t="shared" ref="AY5:AY33" si="2">IF(E5&gt;0,F5/E5,"")</f>
        <v/>
      </c>
      <c r="AZ5" s="11" t="str">
        <f t="shared" ref="AZ5:AZ33" si="3">+IF(E5&gt;0,G5/E5,"")</f>
        <v/>
      </c>
      <c r="BA5" s="1" t="str">
        <f t="shared" ref="BA5:BA33" si="4">+IF(E5&gt;0,AI5/E5,"")</f>
        <v/>
      </c>
      <c r="BB5" s="39"/>
      <c r="BC5" s="53" t="str">
        <f t="shared" ref="BC5:BC33" si="5">+IF(G5&gt;0,I5/G5,"")</f>
        <v/>
      </c>
      <c r="BD5" s="12" t="str">
        <f t="shared" ref="BD5:BD33" si="6">+IF(G5&gt;0,J5/G5,"")</f>
        <v/>
      </c>
      <c r="BE5" s="12" t="str">
        <f t="shared" ref="BE5:BE33" si="7">+IF(I5&gt;0,L5/I5,"")</f>
        <v/>
      </c>
      <c r="BF5" s="12" t="str">
        <f t="shared" ref="BF5:BF33" si="8">+IF(SUM(AN5:AQ5)&gt;0,AN5/AM5,"")</f>
        <v/>
      </c>
      <c r="BG5" s="12" t="str">
        <f t="shared" ref="BG5:BG33" si="9">+IF(G5&gt;0,K5/G5,"")</f>
        <v/>
      </c>
      <c r="BH5" s="54" t="str">
        <f t="shared" ref="BH5:BH33" si="10">+IF(SUM(AN5:AQ5)&gt;0,AP5/AM5,"")</f>
        <v/>
      </c>
      <c r="BI5" s="39"/>
      <c r="BJ5" s="55" t="str">
        <f t="shared" ref="BJ5:BJ33" si="11">+IF(E5&gt;0,(AI5/E5),"")</f>
        <v/>
      </c>
      <c r="BK5" s="13" t="str">
        <f t="shared" ref="BK5:BK33" si="12">+IF(E5&gt;0,(AI5/F5),"")</f>
        <v/>
      </c>
      <c r="BL5" s="13" t="str">
        <f t="shared" ref="BL5:BL33" si="13">+IF(E5&gt;0,(AI5/G5),"")</f>
        <v/>
      </c>
      <c r="BM5" s="56" t="str">
        <f t="shared" ref="BM5:BM33" si="14">+IF(E5&gt;0,(AI5/J5),"")</f>
        <v/>
      </c>
      <c r="BN5" s="39"/>
      <c r="BO5" s="14" t="str">
        <f t="shared" ref="BO5:BO33" si="15">IF(AI5&gt;0,(N5/AI5),"")</f>
        <v/>
      </c>
      <c r="BP5" s="15">
        <v>0</v>
      </c>
      <c r="BQ5" s="15" t="str">
        <f t="shared" ref="BQ5:BQ33" si="16">IF(AI5&gt;0,(AJ5/AI5),"")</f>
        <v/>
      </c>
      <c r="BR5" s="15" t="str">
        <f t="shared" ref="BR5:BR33" si="17">IF(AI5&gt;0,(AJ5/AI5),"")</f>
        <v/>
      </c>
      <c r="BS5" s="16" t="str">
        <f t="shared" ref="BS5:BS33" si="18">IF(J5&gt;0,AC5/J5,"")</f>
        <v/>
      </c>
      <c r="BT5" s="39"/>
      <c r="BU5" s="51" t="str">
        <f t="shared" ref="BU5:BU33" si="19">IF(AM5&gt;0,(E5/AM5),"")</f>
        <v/>
      </c>
      <c r="BV5" s="28" t="str">
        <f t="shared" ref="BV5:BV33" si="20">IF(AM5&gt;0,(G5/AM5),"")</f>
        <v/>
      </c>
      <c r="BW5" s="28" t="str">
        <f t="shared" ref="BW5:BW33" si="21">IF(AM5&gt;0,(J5/AM5),"")</f>
        <v/>
      </c>
      <c r="BX5" s="28" t="str">
        <f t="shared" ref="BX5:BX33" si="22">IF(AM5&gt;0,(K5/AM5),"")</f>
        <v/>
      </c>
      <c r="BY5" s="28" t="str">
        <f t="shared" ref="BY5:BY33" si="23">IF(AM5&gt;0,(AI5/AM5),"")</f>
        <v/>
      </c>
      <c r="BZ5" s="52" t="str">
        <f t="shared" ref="BZ5:BZ33" si="24">IF(AM5&gt;0,(AJ5/AM5),"")</f>
        <v/>
      </c>
      <c r="CA5" s="39"/>
      <c r="CB5" s="49" t="str">
        <f t="shared" ref="CB5:CB33" si="25">IFERROR(((AM5-AN5)*3600)/J5,"-")</f>
        <v>-</v>
      </c>
      <c r="CC5" s="29" t="str">
        <f t="shared" ref="CC5:CC33" si="26">IFERROR((AQ5*3600)/J5,"-")</f>
        <v>-</v>
      </c>
      <c r="CD5" s="29" t="str">
        <f t="shared" ref="CD5:CD33" si="27">IFERROR((AP5*3600)/J5,"-")</f>
        <v>-</v>
      </c>
      <c r="CE5" s="29" t="str">
        <f t="shared" ref="CE5:CE33" si="28">IFERROR((AN5*3600)/J5,"-")</f>
        <v>-</v>
      </c>
      <c r="CF5" s="50" t="str">
        <f t="shared" ref="CF5:CF33" si="29">IFERROR((AO5*3600)/J5,"-")</f>
        <v>-</v>
      </c>
      <c r="CG5" s="39"/>
    </row>
    <row r="6" spans="1:85" s="27" customFormat="1" ht="12.4" customHeight="1" thickBot="1" x14ac:dyDescent="0.25">
      <c r="A6" s="43">
        <f t="shared" ref="A6:A31" si="30">A5+1</f>
        <v>46298</v>
      </c>
      <c r="B6" s="44" t="str">
        <f t="shared" si="0"/>
        <v>Sat</v>
      </c>
      <c r="C6" s="2"/>
      <c r="D6" s="2"/>
      <c r="E6" s="3"/>
      <c r="F6" s="2"/>
      <c r="G6" s="2"/>
      <c r="H6" s="4"/>
      <c r="I6" s="4"/>
      <c r="J6" s="58"/>
      <c r="K6" s="5"/>
      <c r="L6" s="2"/>
      <c r="M6" s="2"/>
      <c r="N6" s="2"/>
      <c r="O6" s="2"/>
      <c r="P6" s="3"/>
      <c r="Q6" s="2"/>
      <c r="R6" s="2"/>
      <c r="S6" s="2"/>
      <c r="T6" s="2"/>
      <c r="U6" s="3"/>
      <c r="V6" s="3"/>
      <c r="W6" s="2"/>
      <c r="X6" s="2"/>
      <c r="Y6" s="2"/>
      <c r="Z6" s="2"/>
      <c r="AA6" s="2"/>
      <c r="AB6" s="2"/>
      <c r="AC6" s="2"/>
      <c r="AD6" s="2"/>
      <c r="AE6" s="3"/>
      <c r="AF6" s="3"/>
      <c r="AG6" s="2"/>
      <c r="AH6" s="6"/>
      <c r="AI6" s="7"/>
      <c r="AJ6" s="6"/>
      <c r="AK6" s="59"/>
      <c r="AL6" s="59"/>
      <c r="AM6" s="59"/>
      <c r="AN6" s="59"/>
      <c r="AO6" s="59"/>
      <c r="AP6" s="59"/>
      <c r="AQ6" s="59"/>
      <c r="AR6" s="59"/>
      <c r="AS6" s="8"/>
      <c r="AT6" s="8"/>
      <c r="AU6" s="9"/>
      <c r="AV6" s="8"/>
      <c r="AW6" s="10" t="e">
        <f t="shared" si="1"/>
        <v>#DIV/0!</v>
      </c>
      <c r="AX6" s="39"/>
      <c r="AY6" s="1" t="str">
        <f t="shared" si="2"/>
        <v/>
      </c>
      <c r="AZ6" s="11" t="str">
        <f t="shared" si="3"/>
        <v/>
      </c>
      <c r="BA6" s="1" t="str">
        <f t="shared" si="4"/>
        <v/>
      </c>
      <c r="BB6" s="39"/>
      <c r="BC6" s="53" t="str">
        <f t="shared" si="5"/>
        <v/>
      </c>
      <c r="BD6" s="12" t="str">
        <f t="shared" si="6"/>
        <v/>
      </c>
      <c r="BE6" s="12" t="str">
        <f t="shared" si="7"/>
        <v/>
      </c>
      <c r="BF6" s="12" t="str">
        <f t="shared" si="8"/>
        <v/>
      </c>
      <c r="BG6" s="12" t="str">
        <f t="shared" si="9"/>
        <v/>
      </c>
      <c r="BH6" s="54" t="str">
        <f t="shared" si="10"/>
        <v/>
      </c>
      <c r="BI6" s="39"/>
      <c r="BJ6" s="55" t="str">
        <f t="shared" si="11"/>
        <v/>
      </c>
      <c r="BK6" s="13" t="str">
        <f t="shared" si="12"/>
        <v/>
      </c>
      <c r="BL6" s="13" t="str">
        <f t="shared" si="13"/>
        <v/>
      </c>
      <c r="BM6" s="56" t="str">
        <f t="shared" si="14"/>
        <v/>
      </c>
      <c r="BN6" s="39"/>
      <c r="BO6" s="14" t="str">
        <f t="shared" si="15"/>
        <v/>
      </c>
      <c r="BP6" s="15">
        <v>0</v>
      </c>
      <c r="BQ6" s="15" t="str">
        <f t="shared" si="16"/>
        <v/>
      </c>
      <c r="BR6" s="15" t="str">
        <f t="shared" si="17"/>
        <v/>
      </c>
      <c r="BS6" s="16" t="str">
        <f t="shared" si="18"/>
        <v/>
      </c>
      <c r="BT6" s="39"/>
      <c r="BU6" s="51" t="str">
        <f t="shared" si="19"/>
        <v/>
      </c>
      <c r="BV6" s="28" t="str">
        <f t="shared" si="20"/>
        <v/>
      </c>
      <c r="BW6" s="28" t="str">
        <f t="shared" si="21"/>
        <v/>
      </c>
      <c r="BX6" s="28" t="str">
        <f t="shared" si="22"/>
        <v/>
      </c>
      <c r="BY6" s="28" t="str">
        <f t="shared" si="23"/>
        <v/>
      </c>
      <c r="BZ6" s="52" t="str">
        <f t="shared" si="24"/>
        <v/>
      </c>
      <c r="CA6" s="39"/>
      <c r="CB6" s="49" t="str">
        <f t="shared" si="25"/>
        <v>-</v>
      </c>
      <c r="CC6" s="29" t="str">
        <f t="shared" si="26"/>
        <v>-</v>
      </c>
      <c r="CD6" s="29" t="str">
        <f t="shared" si="27"/>
        <v>-</v>
      </c>
      <c r="CE6" s="29" t="str">
        <f t="shared" si="28"/>
        <v>-</v>
      </c>
      <c r="CF6" s="50" t="str">
        <f t="shared" si="29"/>
        <v>-</v>
      </c>
      <c r="CG6" s="39"/>
    </row>
    <row r="7" spans="1:85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2"/>
      <c r="D7" s="2"/>
      <c r="E7" s="3"/>
      <c r="F7" s="2"/>
      <c r="G7" s="2"/>
      <c r="H7" s="4"/>
      <c r="I7" s="4"/>
      <c r="J7" s="58"/>
      <c r="K7" s="5"/>
      <c r="L7" s="2"/>
      <c r="M7" s="2"/>
      <c r="N7" s="2"/>
      <c r="O7" s="2"/>
      <c r="P7" s="3"/>
      <c r="Q7" s="2"/>
      <c r="R7" s="2"/>
      <c r="S7" s="2"/>
      <c r="T7" s="2"/>
      <c r="U7" s="3"/>
      <c r="V7" s="3"/>
      <c r="W7" s="2"/>
      <c r="X7" s="2"/>
      <c r="Y7" s="2"/>
      <c r="Z7" s="2"/>
      <c r="AA7" s="2"/>
      <c r="AB7" s="2"/>
      <c r="AC7" s="2"/>
      <c r="AD7" s="2"/>
      <c r="AE7" s="3"/>
      <c r="AF7" s="3"/>
      <c r="AG7" s="2"/>
      <c r="AH7" s="6"/>
      <c r="AI7" s="7"/>
      <c r="AJ7" s="6"/>
      <c r="AK7" s="59"/>
      <c r="AL7" s="59"/>
      <c r="AM7" s="59"/>
      <c r="AN7" s="59"/>
      <c r="AO7" s="59"/>
      <c r="AP7" s="59"/>
      <c r="AQ7" s="59"/>
      <c r="AR7" s="59"/>
      <c r="AS7" s="8"/>
      <c r="AT7" s="8"/>
      <c r="AU7" s="9"/>
      <c r="AV7" s="8"/>
      <c r="AW7" s="10" t="e">
        <f t="shared" si="1"/>
        <v>#DIV/0!</v>
      </c>
      <c r="AX7" s="39"/>
      <c r="AY7" s="1" t="str">
        <f t="shared" si="2"/>
        <v/>
      </c>
      <c r="AZ7" s="11" t="str">
        <f t="shared" si="3"/>
        <v/>
      </c>
      <c r="BA7" s="1" t="str">
        <f t="shared" si="4"/>
        <v/>
      </c>
      <c r="BB7" s="39"/>
      <c r="BC7" s="53" t="str">
        <f t="shared" si="5"/>
        <v/>
      </c>
      <c r="BD7" s="12" t="str">
        <f t="shared" si="6"/>
        <v/>
      </c>
      <c r="BE7" s="12" t="str">
        <f t="shared" si="7"/>
        <v/>
      </c>
      <c r="BF7" s="12" t="str">
        <f t="shared" si="8"/>
        <v/>
      </c>
      <c r="BG7" s="12" t="str">
        <f t="shared" si="9"/>
        <v/>
      </c>
      <c r="BH7" s="54" t="str">
        <f t="shared" si="10"/>
        <v/>
      </c>
      <c r="BI7" s="39"/>
      <c r="BJ7" s="55" t="str">
        <f t="shared" si="11"/>
        <v/>
      </c>
      <c r="BK7" s="13" t="str">
        <f t="shared" si="12"/>
        <v/>
      </c>
      <c r="BL7" s="13" t="str">
        <f t="shared" si="13"/>
        <v/>
      </c>
      <c r="BM7" s="56" t="str">
        <f t="shared" si="14"/>
        <v/>
      </c>
      <c r="BN7" s="39"/>
      <c r="BO7" s="14" t="str">
        <f t="shared" si="15"/>
        <v/>
      </c>
      <c r="BP7" s="15">
        <v>0</v>
      </c>
      <c r="BQ7" s="15" t="str">
        <f t="shared" si="16"/>
        <v/>
      </c>
      <c r="BR7" s="15" t="str">
        <f t="shared" si="17"/>
        <v/>
      </c>
      <c r="BS7" s="16" t="str">
        <f t="shared" si="18"/>
        <v/>
      </c>
      <c r="BT7" s="39"/>
      <c r="BU7" s="51" t="str">
        <f t="shared" si="19"/>
        <v/>
      </c>
      <c r="BV7" s="28" t="str">
        <f t="shared" si="20"/>
        <v/>
      </c>
      <c r="BW7" s="28" t="str">
        <f t="shared" si="21"/>
        <v/>
      </c>
      <c r="BX7" s="28" t="str">
        <f t="shared" si="22"/>
        <v/>
      </c>
      <c r="BY7" s="28" t="str">
        <f t="shared" si="23"/>
        <v/>
      </c>
      <c r="BZ7" s="52" t="str">
        <f t="shared" si="24"/>
        <v/>
      </c>
      <c r="CA7" s="39"/>
      <c r="CB7" s="49" t="str">
        <f t="shared" si="25"/>
        <v>-</v>
      </c>
      <c r="CC7" s="29" t="str">
        <f t="shared" si="26"/>
        <v>-</v>
      </c>
      <c r="CD7" s="29" t="str">
        <f t="shared" si="27"/>
        <v>-</v>
      </c>
      <c r="CE7" s="29" t="str">
        <f t="shared" si="28"/>
        <v>-</v>
      </c>
      <c r="CF7" s="50" t="str">
        <f t="shared" si="29"/>
        <v>-</v>
      </c>
      <c r="CG7" s="39"/>
    </row>
    <row r="8" spans="1:85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2"/>
      <c r="D8" s="2"/>
      <c r="E8" s="3"/>
      <c r="F8" s="2"/>
      <c r="G8" s="2"/>
      <c r="H8" s="4"/>
      <c r="I8" s="4"/>
      <c r="J8" s="58"/>
      <c r="K8" s="5"/>
      <c r="L8" s="2"/>
      <c r="M8" s="2"/>
      <c r="N8" s="2"/>
      <c r="O8" s="2"/>
      <c r="P8" s="3"/>
      <c r="Q8" s="2"/>
      <c r="R8" s="2"/>
      <c r="S8" s="2"/>
      <c r="T8" s="2"/>
      <c r="U8" s="3"/>
      <c r="V8" s="3"/>
      <c r="W8" s="2"/>
      <c r="X8" s="2"/>
      <c r="Y8" s="2"/>
      <c r="Z8" s="2"/>
      <c r="AA8" s="2"/>
      <c r="AB8" s="2"/>
      <c r="AC8" s="2"/>
      <c r="AD8" s="2"/>
      <c r="AE8" s="3"/>
      <c r="AF8" s="3"/>
      <c r="AG8" s="2"/>
      <c r="AH8" s="6"/>
      <c r="AI8" s="7"/>
      <c r="AJ8" s="6"/>
      <c r="AK8" s="59"/>
      <c r="AL8" s="59"/>
      <c r="AM8" s="59"/>
      <c r="AN8" s="59"/>
      <c r="AO8" s="59"/>
      <c r="AP8" s="59"/>
      <c r="AQ8" s="59"/>
      <c r="AR8" s="59"/>
      <c r="AS8" s="8"/>
      <c r="AT8" s="8"/>
      <c r="AU8" s="9"/>
      <c r="AV8" s="8"/>
      <c r="AW8" s="10" t="e">
        <f t="shared" si="1"/>
        <v>#DIV/0!</v>
      </c>
      <c r="AX8" s="39"/>
      <c r="AY8" s="1" t="str">
        <f t="shared" si="2"/>
        <v/>
      </c>
      <c r="AZ8" s="11" t="str">
        <f t="shared" si="3"/>
        <v/>
      </c>
      <c r="BA8" s="1" t="str">
        <f t="shared" si="4"/>
        <v/>
      </c>
      <c r="BB8" s="39"/>
      <c r="BC8" s="53" t="str">
        <f t="shared" si="5"/>
        <v/>
      </c>
      <c r="BD8" s="12" t="str">
        <f t="shared" si="6"/>
        <v/>
      </c>
      <c r="BE8" s="12" t="str">
        <f t="shared" si="7"/>
        <v/>
      </c>
      <c r="BF8" s="12" t="str">
        <f t="shared" si="8"/>
        <v/>
      </c>
      <c r="BG8" s="12" t="str">
        <f t="shared" si="9"/>
        <v/>
      </c>
      <c r="BH8" s="54" t="str">
        <f t="shared" si="10"/>
        <v/>
      </c>
      <c r="BI8" s="39"/>
      <c r="BJ8" s="55" t="str">
        <f t="shared" si="11"/>
        <v/>
      </c>
      <c r="BK8" s="13" t="str">
        <f t="shared" si="12"/>
        <v/>
      </c>
      <c r="BL8" s="13" t="str">
        <f t="shared" si="13"/>
        <v/>
      </c>
      <c r="BM8" s="56" t="str">
        <f t="shared" si="14"/>
        <v/>
      </c>
      <c r="BN8" s="39"/>
      <c r="BO8" s="14" t="str">
        <f t="shared" si="15"/>
        <v/>
      </c>
      <c r="BP8" s="15">
        <v>0</v>
      </c>
      <c r="BQ8" s="15" t="str">
        <f t="shared" si="16"/>
        <v/>
      </c>
      <c r="BR8" s="15" t="str">
        <f t="shared" si="17"/>
        <v/>
      </c>
      <c r="BS8" s="16" t="str">
        <f t="shared" si="18"/>
        <v/>
      </c>
      <c r="BT8" s="39"/>
      <c r="BU8" s="51" t="str">
        <f t="shared" si="19"/>
        <v/>
      </c>
      <c r="BV8" s="28" t="str">
        <f t="shared" si="20"/>
        <v/>
      </c>
      <c r="BW8" s="28" t="str">
        <f t="shared" si="21"/>
        <v/>
      </c>
      <c r="BX8" s="28" t="str">
        <f t="shared" si="22"/>
        <v/>
      </c>
      <c r="BY8" s="28" t="str">
        <f t="shared" si="23"/>
        <v/>
      </c>
      <c r="BZ8" s="52" t="str">
        <f t="shared" si="24"/>
        <v/>
      </c>
      <c r="CA8" s="39"/>
      <c r="CB8" s="49" t="str">
        <f t="shared" si="25"/>
        <v>-</v>
      </c>
      <c r="CC8" s="29" t="str">
        <f t="shared" si="26"/>
        <v>-</v>
      </c>
      <c r="CD8" s="29" t="str">
        <f t="shared" si="27"/>
        <v>-</v>
      </c>
      <c r="CE8" s="29" t="str">
        <f t="shared" si="28"/>
        <v>-</v>
      </c>
      <c r="CF8" s="50" t="str">
        <f t="shared" si="29"/>
        <v>-</v>
      </c>
      <c r="CG8" s="39"/>
    </row>
    <row r="9" spans="1:85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2"/>
      <c r="D9" s="2"/>
      <c r="E9" s="3"/>
      <c r="F9" s="2"/>
      <c r="G9" s="2"/>
      <c r="H9" s="4"/>
      <c r="I9" s="4"/>
      <c r="J9" s="58"/>
      <c r="K9" s="5"/>
      <c r="L9" s="2"/>
      <c r="M9" s="2"/>
      <c r="N9" s="2"/>
      <c r="O9" s="2"/>
      <c r="P9" s="3"/>
      <c r="Q9" s="2"/>
      <c r="R9" s="2"/>
      <c r="S9" s="2"/>
      <c r="T9" s="2"/>
      <c r="U9" s="3"/>
      <c r="V9" s="3"/>
      <c r="W9" s="2"/>
      <c r="X9" s="2"/>
      <c r="Y9" s="2"/>
      <c r="Z9" s="2"/>
      <c r="AA9" s="2"/>
      <c r="AB9" s="2"/>
      <c r="AC9" s="2"/>
      <c r="AD9" s="2"/>
      <c r="AE9" s="3"/>
      <c r="AF9" s="3"/>
      <c r="AG9" s="2"/>
      <c r="AH9" s="6"/>
      <c r="AI9" s="7"/>
      <c r="AJ9" s="6"/>
      <c r="AK9" s="59"/>
      <c r="AL9" s="59"/>
      <c r="AM9" s="59"/>
      <c r="AN9" s="59"/>
      <c r="AO9" s="59"/>
      <c r="AP9" s="59"/>
      <c r="AQ9" s="59"/>
      <c r="AR9" s="59"/>
      <c r="AS9" s="8"/>
      <c r="AT9" s="8"/>
      <c r="AU9" s="9"/>
      <c r="AV9" s="8"/>
      <c r="AW9" s="10" t="e">
        <f t="shared" si="1"/>
        <v>#DIV/0!</v>
      </c>
      <c r="AX9" s="39"/>
      <c r="AY9" s="1" t="str">
        <f t="shared" si="2"/>
        <v/>
      </c>
      <c r="AZ9" s="11" t="str">
        <f t="shared" si="3"/>
        <v/>
      </c>
      <c r="BA9" s="1" t="str">
        <f t="shared" si="4"/>
        <v/>
      </c>
      <c r="BB9" s="39"/>
      <c r="BC9" s="53" t="str">
        <f t="shared" si="5"/>
        <v/>
      </c>
      <c r="BD9" s="12" t="str">
        <f t="shared" si="6"/>
        <v/>
      </c>
      <c r="BE9" s="12" t="str">
        <f t="shared" si="7"/>
        <v/>
      </c>
      <c r="BF9" s="12" t="str">
        <f t="shared" si="8"/>
        <v/>
      </c>
      <c r="BG9" s="12" t="str">
        <f t="shared" si="9"/>
        <v/>
      </c>
      <c r="BH9" s="54" t="str">
        <f t="shared" si="10"/>
        <v/>
      </c>
      <c r="BI9" s="39"/>
      <c r="BJ9" s="55" t="str">
        <f t="shared" si="11"/>
        <v/>
      </c>
      <c r="BK9" s="13" t="str">
        <f t="shared" si="12"/>
        <v/>
      </c>
      <c r="BL9" s="13" t="str">
        <f t="shared" si="13"/>
        <v/>
      </c>
      <c r="BM9" s="56" t="str">
        <f t="shared" si="14"/>
        <v/>
      </c>
      <c r="BN9" s="39"/>
      <c r="BO9" s="14" t="str">
        <f t="shared" si="15"/>
        <v/>
      </c>
      <c r="BP9" s="15">
        <v>0</v>
      </c>
      <c r="BQ9" s="15" t="str">
        <f t="shared" si="16"/>
        <v/>
      </c>
      <c r="BR9" s="15" t="str">
        <f t="shared" si="17"/>
        <v/>
      </c>
      <c r="BS9" s="16" t="str">
        <f t="shared" si="18"/>
        <v/>
      </c>
      <c r="BT9" s="39"/>
      <c r="BU9" s="51" t="str">
        <f t="shared" si="19"/>
        <v/>
      </c>
      <c r="BV9" s="28" t="str">
        <f t="shared" si="20"/>
        <v/>
      </c>
      <c r="BW9" s="28" t="str">
        <f t="shared" si="21"/>
        <v/>
      </c>
      <c r="BX9" s="28" t="str">
        <f t="shared" si="22"/>
        <v/>
      </c>
      <c r="BY9" s="28" t="str">
        <f t="shared" si="23"/>
        <v/>
      </c>
      <c r="BZ9" s="52" t="str">
        <f t="shared" si="24"/>
        <v/>
      </c>
      <c r="CA9" s="39"/>
      <c r="CB9" s="49" t="str">
        <f t="shared" si="25"/>
        <v>-</v>
      </c>
      <c r="CC9" s="29" t="str">
        <f t="shared" si="26"/>
        <v>-</v>
      </c>
      <c r="CD9" s="29" t="str">
        <f t="shared" si="27"/>
        <v>-</v>
      </c>
      <c r="CE9" s="29" t="str">
        <f t="shared" si="28"/>
        <v>-</v>
      </c>
      <c r="CF9" s="50" t="str">
        <f t="shared" si="29"/>
        <v>-</v>
      </c>
      <c r="CG9" s="39"/>
    </row>
    <row r="10" spans="1:85" s="27" customFormat="1" ht="12.4" customHeight="1" thickBot="1" x14ac:dyDescent="0.25">
      <c r="A10" s="43">
        <f t="shared" si="30"/>
        <v>46302</v>
      </c>
      <c r="B10" s="44" t="str">
        <f>+TEXT(A10,"DDD")</f>
        <v>Wed</v>
      </c>
      <c r="C10" s="2"/>
      <c r="D10" s="2"/>
      <c r="E10" s="3"/>
      <c r="F10" s="2"/>
      <c r="G10" s="2"/>
      <c r="H10" s="4"/>
      <c r="I10" s="4"/>
      <c r="J10" s="58"/>
      <c r="K10" s="5"/>
      <c r="L10" s="2"/>
      <c r="M10" s="2"/>
      <c r="N10" s="2"/>
      <c r="O10" s="2"/>
      <c r="P10" s="3"/>
      <c r="Q10" s="2"/>
      <c r="R10" s="2"/>
      <c r="S10" s="2"/>
      <c r="T10" s="2"/>
      <c r="U10" s="3"/>
      <c r="V10" s="3"/>
      <c r="W10" s="2"/>
      <c r="X10" s="2"/>
      <c r="Y10" s="2"/>
      <c r="Z10" s="2"/>
      <c r="AA10" s="2"/>
      <c r="AB10" s="2"/>
      <c r="AC10" s="2"/>
      <c r="AD10" s="2"/>
      <c r="AE10" s="3"/>
      <c r="AF10" s="3"/>
      <c r="AG10" s="2"/>
      <c r="AH10" s="6"/>
      <c r="AI10" s="7"/>
      <c r="AJ10" s="6"/>
      <c r="AK10" s="59"/>
      <c r="AL10" s="59"/>
      <c r="AM10" s="59"/>
      <c r="AN10" s="59"/>
      <c r="AO10" s="59"/>
      <c r="AP10" s="59"/>
      <c r="AQ10" s="59"/>
      <c r="AR10" s="59"/>
      <c r="AS10" s="8"/>
      <c r="AT10" s="8"/>
      <c r="AU10" s="9"/>
      <c r="AV10" s="8"/>
      <c r="AW10" s="10" t="e">
        <f t="shared" si="1"/>
        <v>#DIV/0!</v>
      </c>
      <c r="AX10" s="39"/>
      <c r="AY10" s="1" t="str">
        <f t="shared" si="2"/>
        <v/>
      </c>
      <c r="AZ10" s="11" t="str">
        <f t="shared" si="3"/>
        <v/>
      </c>
      <c r="BA10" s="1" t="str">
        <f t="shared" si="4"/>
        <v/>
      </c>
      <c r="BB10" s="39"/>
      <c r="BC10" s="53" t="str">
        <f t="shared" si="5"/>
        <v/>
      </c>
      <c r="BD10" s="12" t="str">
        <f t="shared" si="6"/>
        <v/>
      </c>
      <c r="BE10" s="12" t="str">
        <f t="shared" si="7"/>
        <v/>
      </c>
      <c r="BF10" s="12" t="str">
        <f t="shared" si="8"/>
        <v/>
      </c>
      <c r="BG10" s="12" t="str">
        <f t="shared" si="9"/>
        <v/>
      </c>
      <c r="BH10" s="54" t="str">
        <f t="shared" si="10"/>
        <v/>
      </c>
      <c r="BI10" s="39"/>
      <c r="BJ10" s="55" t="str">
        <f t="shared" si="11"/>
        <v/>
      </c>
      <c r="BK10" s="13" t="str">
        <f t="shared" si="12"/>
        <v/>
      </c>
      <c r="BL10" s="13" t="str">
        <f t="shared" si="13"/>
        <v/>
      </c>
      <c r="BM10" s="56" t="str">
        <f t="shared" si="14"/>
        <v/>
      </c>
      <c r="BN10" s="39"/>
      <c r="BO10" s="14" t="str">
        <f t="shared" si="15"/>
        <v/>
      </c>
      <c r="BP10" s="15">
        <v>0</v>
      </c>
      <c r="BQ10" s="15" t="str">
        <f t="shared" si="16"/>
        <v/>
      </c>
      <c r="BR10" s="15" t="str">
        <f t="shared" si="17"/>
        <v/>
      </c>
      <c r="BS10" s="16" t="str">
        <f t="shared" si="18"/>
        <v/>
      </c>
      <c r="BT10" s="39"/>
      <c r="BU10" s="51" t="str">
        <f t="shared" si="19"/>
        <v/>
      </c>
      <c r="BV10" s="28" t="str">
        <f t="shared" si="20"/>
        <v/>
      </c>
      <c r="BW10" s="28" t="str">
        <f t="shared" si="21"/>
        <v/>
      </c>
      <c r="BX10" s="28" t="str">
        <f t="shared" si="22"/>
        <v/>
      </c>
      <c r="BY10" s="28" t="str">
        <f t="shared" si="23"/>
        <v/>
      </c>
      <c r="BZ10" s="52" t="str">
        <f t="shared" si="24"/>
        <v/>
      </c>
      <c r="CA10" s="39"/>
      <c r="CB10" s="49" t="str">
        <f t="shared" si="25"/>
        <v>-</v>
      </c>
      <c r="CC10" s="29" t="str">
        <f t="shared" si="26"/>
        <v>-</v>
      </c>
      <c r="CD10" s="29" t="str">
        <f t="shared" si="27"/>
        <v>-</v>
      </c>
      <c r="CE10" s="29" t="str">
        <f t="shared" si="28"/>
        <v>-</v>
      </c>
      <c r="CF10" s="50" t="str">
        <f t="shared" si="29"/>
        <v>-</v>
      </c>
      <c r="CG10" s="39"/>
    </row>
    <row r="11" spans="1:85" s="27" customFormat="1" ht="12.4" customHeight="1" thickBot="1" x14ac:dyDescent="0.25">
      <c r="A11" s="43">
        <f t="shared" si="30"/>
        <v>46303</v>
      </c>
      <c r="B11" s="44" t="str">
        <f>+TEXT(A11,"DDD")</f>
        <v>Thu</v>
      </c>
      <c r="C11" s="2"/>
      <c r="D11" s="2"/>
      <c r="E11" s="3"/>
      <c r="F11" s="2"/>
      <c r="G11" s="2"/>
      <c r="H11" s="4"/>
      <c r="I11" s="4"/>
      <c r="J11" s="58"/>
      <c r="K11" s="5"/>
      <c r="L11" s="2"/>
      <c r="M11" s="2"/>
      <c r="N11" s="2"/>
      <c r="O11" s="2"/>
      <c r="P11" s="3"/>
      <c r="Q11" s="2"/>
      <c r="R11" s="2"/>
      <c r="S11" s="2"/>
      <c r="T11" s="2"/>
      <c r="U11" s="3"/>
      <c r="V11" s="3"/>
      <c r="W11" s="2"/>
      <c r="X11" s="2"/>
      <c r="Y11" s="2"/>
      <c r="Z11" s="2"/>
      <c r="AA11" s="2"/>
      <c r="AB11" s="2"/>
      <c r="AC11" s="2"/>
      <c r="AD11" s="2"/>
      <c r="AE11" s="3"/>
      <c r="AF11" s="3"/>
      <c r="AG11" s="2"/>
      <c r="AH11" s="6"/>
      <c r="AI11" s="7"/>
      <c r="AJ11" s="6"/>
      <c r="AK11" s="59"/>
      <c r="AL11" s="59"/>
      <c r="AM11" s="59"/>
      <c r="AN11" s="59"/>
      <c r="AO11" s="59"/>
      <c r="AP11" s="59"/>
      <c r="AQ11" s="59"/>
      <c r="AR11" s="59"/>
      <c r="AS11" s="8"/>
      <c r="AT11" s="8"/>
      <c r="AU11" s="9"/>
      <c r="AV11" s="8"/>
      <c r="AW11" s="10" t="e">
        <f t="shared" si="1"/>
        <v>#DIV/0!</v>
      </c>
      <c r="AX11" s="39"/>
      <c r="AY11" s="1" t="str">
        <f t="shared" si="2"/>
        <v/>
      </c>
      <c r="AZ11" s="11" t="str">
        <f t="shared" si="3"/>
        <v/>
      </c>
      <c r="BA11" s="1" t="str">
        <f t="shared" si="4"/>
        <v/>
      </c>
      <c r="BB11" s="39"/>
      <c r="BC11" s="53" t="str">
        <f t="shared" si="5"/>
        <v/>
      </c>
      <c r="BD11" s="12" t="str">
        <f t="shared" si="6"/>
        <v/>
      </c>
      <c r="BE11" s="12" t="str">
        <f t="shared" si="7"/>
        <v/>
      </c>
      <c r="BF11" s="12" t="str">
        <f t="shared" si="8"/>
        <v/>
      </c>
      <c r="BG11" s="12" t="str">
        <f t="shared" si="9"/>
        <v/>
      </c>
      <c r="BH11" s="54" t="str">
        <f t="shared" si="10"/>
        <v/>
      </c>
      <c r="BI11" s="39"/>
      <c r="BJ11" s="55" t="str">
        <f t="shared" si="11"/>
        <v/>
      </c>
      <c r="BK11" s="13" t="str">
        <f t="shared" si="12"/>
        <v/>
      </c>
      <c r="BL11" s="13" t="str">
        <f t="shared" si="13"/>
        <v/>
      </c>
      <c r="BM11" s="56" t="str">
        <f t="shared" si="14"/>
        <v/>
      </c>
      <c r="BN11" s="39"/>
      <c r="BO11" s="14" t="str">
        <f t="shared" si="15"/>
        <v/>
      </c>
      <c r="BP11" s="15">
        <v>0</v>
      </c>
      <c r="BQ11" s="15" t="str">
        <f t="shared" si="16"/>
        <v/>
      </c>
      <c r="BR11" s="15" t="str">
        <f t="shared" si="17"/>
        <v/>
      </c>
      <c r="BS11" s="16" t="str">
        <f t="shared" si="18"/>
        <v/>
      </c>
      <c r="BT11" s="39"/>
      <c r="BU11" s="51" t="str">
        <f t="shared" si="19"/>
        <v/>
      </c>
      <c r="BV11" s="28" t="str">
        <f t="shared" si="20"/>
        <v/>
      </c>
      <c r="BW11" s="28" t="str">
        <f t="shared" si="21"/>
        <v/>
      </c>
      <c r="BX11" s="28" t="str">
        <f t="shared" si="22"/>
        <v/>
      </c>
      <c r="BY11" s="28" t="str">
        <f t="shared" si="23"/>
        <v/>
      </c>
      <c r="BZ11" s="52" t="str">
        <f t="shared" si="24"/>
        <v/>
      </c>
      <c r="CA11" s="39"/>
      <c r="CB11" s="49" t="str">
        <f t="shared" si="25"/>
        <v>-</v>
      </c>
      <c r="CC11" s="29" t="str">
        <f t="shared" si="26"/>
        <v>-</v>
      </c>
      <c r="CD11" s="29" t="str">
        <f t="shared" si="27"/>
        <v>-</v>
      </c>
      <c r="CE11" s="29" t="str">
        <f t="shared" si="28"/>
        <v>-</v>
      </c>
      <c r="CF11" s="50" t="str">
        <f t="shared" si="29"/>
        <v>-</v>
      </c>
      <c r="CG11" s="39"/>
    </row>
    <row r="12" spans="1:85" s="27" customFormat="1" ht="12.4" customHeight="1" thickBot="1" x14ac:dyDescent="0.25">
      <c r="A12" s="43">
        <f t="shared" si="30"/>
        <v>46304</v>
      </c>
      <c r="B12" s="44" t="str">
        <f>+TEXT(A12,"DDD")</f>
        <v>Fri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0"/>
      <c r="AT12" s="60"/>
      <c r="AU12" s="60"/>
      <c r="AV12" s="8"/>
      <c r="AW12" s="10" t="e">
        <f t="shared" si="1"/>
        <v>#DIV/0!</v>
      </c>
      <c r="AX12" s="39"/>
      <c r="AY12" s="1" t="str">
        <f t="shared" si="2"/>
        <v/>
      </c>
      <c r="AZ12" s="11" t="str">
        <f t="shared" si="3"/>
        <v/>
      </c>
      <c r="BA12" s="1" t="str">
        <f t="shared" si="4"/>
        <v/>
      </c>
      <c r="BB12" s="39"/>
      <c r="BC12" s="53" t="str">
        <f t="shared" si="5"/>
        <v/>
      </c>
      <c r="BD12" s="12" t="str">
        <f t="shared" si="6"/>
        <v/>
      </c>
      <c r="BE12" s="12" t="str">
        <f t="shared" si="7"/>
        <v/>
      </c>
      <c r="BF12" s="12" t="str">
        <f t="shared" si="8"/>
        <v/>
      </c>
      <c r="BG12" s="12" t="str">
        <f t="shared" si="9"/>
        <v/>
      </c>
      <c r="BH12" s="54" t="str">
        <f t="shared" si="10"/>
        <v/>
      </c>
      <c r="BI12" s="39"/>
      <c r="BJ12" s="55" t="str">
        <f t="shared" si="11"/>
        <v/>
      </c>
      <c r="BK12" s="13" t="str">
        <f t="shared" si="12"/>
        <v/>
      </c>
      <c r="BL12" s="13" t="str">
        <f t="shared" si="13"/>
        <v/>
      </c>
      <c r="BM12" s="56" t="str">
        <f t="shared" si="14"/>
        <v/>
      </c>
      <c r="BN12" s="39"/>
      <c r="BO12" s="14" t="str">
        <f t="shared" si="15"/>
        <v/>
      </c>
      <c r="BP12" s="15">
        <v>0</v>
      </c>
      <c r="BQ12" s="15" t="str">
        <f t="shared" si="16"/>
        <v/>
      </c>
      <c r="BR12" s="15" t="str">
        <f t="shared" si="17"/>
        <v/>
      </c>
      <c r="BS12" s="16" t="str">
        <f t="shared" si="18"/>
        <v/>
      </c>
      <c r="BT12" s="39"/>
      <c r="BU12" s="51" t="str">
        <f t="shared" si="19"/>
        <v/>
      </c>
      <c r="BV12" s="28" t="str">
        <f t="shared" si="20"/>
        <v/>
      </c>
      <c r="BW12" s="28" t="str">
        <f t="shared" si="21"/>
        <v/>
      </c>
      <c r="BX12" s="28" t="str">
        <f t="shared" si="22"/>
        <v/>
      </c>
      <c r="BY12" s="28" t="str">
        <f t="shared" si="23"/>
        <v/>
      </c>
      <c r="BZ12" s="52" t="str">
        <f t="shared" si="24"/>
        <v/>
      </c>
      <c r="CA12" s="39"/>
      <c r="CB12" s="49" t="str">
        <f t="shared" si="25"/>
        <v>-</v>
      </c>
      <c r="CC12" s="29" t="str">
        <f t="shared" si="26"/>
        <v>-</v>
      </c>
      <c r="CD12" s="29" t="str">
        <f t="shared" si="27"/>
        <v>-</v>
      </c>
      <c r="CE12" s="29" t="str">
        <f t="shared" si="28"/>
        <v>-</v>
      </c>
      <c r="CF12" s="50" t="str">
        <f t="shared" si="29"/>
        <v>-</v>
      </c>
      <c r="CG12" s="39"/>
    </row>
    <row r="13" spans="1:85" s="27" customFormat="1" ht="12.4" customHeight="1" thickBot="1" x14ac:dyDescent="0.25">
      <c r="A13" s="43">
        <f t="shared" si="30"/>
        <v>46305</v>
      </c>
      <c r="B13" s="44" t="str">
        <f>+TEXT(A13,"DDD")</f>
        <v>Sat</v>
      </c>
      <c r="C13" s="2"/>
      <c r="D13" s="2"/>
      <c r="E13" s="3"/>
      <c r="F13" s="2"/>
      <c r="G13" s="2"/>
      <c r="H13" s="4"/>
      <c r="I13" s="4"/>
      <c r="J13" s="58"/>
      <c r="K13" s="5"/>
      <c r="L13" s="2"/>
      <c r="M13" s="2"/>
      <c r="N13" s="2"/>
      <c r="O13" s="2"/>
      <c r="P13" s="3"/>
      <c r="Q13" s="2"/>
      <c r="R13" s="2"/>
      <c r="S13" s="2"/>
      <c r="T13" s="2"/>
      <c r="U13" s="3"/>
      <c r="V13" s="3"/>
      <c r="W13" s="2"/>
      <c r="X13" s="2"/>
      <c r="Y13" s="2"/>
      <c r="Z13" s="2"/>
      <c r="AA13" s="2"/>
      <c r="AB13" s="2"/>
      <c r="AC13" s="2"/>
      <c r="AD13" s="2"/>
      <c r="AE13" s="3"/>
      <c r="AF13" s="3"/>
      <c r="AG13" s="2"/>
      <c r="AH13" s="6"/>
      <c r="AI13" s="7"/>
      <c r="AJ13" s="6"/>
      <c r="AK13" s="59"/>
      <c r="AL13" s="59"/>
      <c r="AM13" s="59"/>
      <c r="AN13" s="59"/>
      <c r="AO13" s="59"/>
      <c r="AP13" s="59"/>
      <c r="AQ13" s="59"/>
      <c r="AR13" s="59"/>
      <c r="AS13" s="8"/>
      <c r="AT13" s="8"/>
      <c r="AU13" s="9"/>
      <c r="AV13" s="8"/>
      <c r="AW13" s="10" t="e">
        <f t="shared" si="1"/>
        <v>#DIV/0!</v>
      </c>
      <c r="AX13" s="39"/>
      <c r="AY13" s="1" t="str">
        <f t="shared" si="2"/>
        <v/>
      </c>
      <c r="AZ13" s="11" t="str">
        <f t="shared" si="3"/>
        <v/>
      </c>
      <c r="BA13" s="1" t="str">
        <f t="shared" si="4"/>
        <v/>
      </c>
      <c r="BB13" s="39"/>
      <c r="BC13" s="53" t="str">
        <f t="shared" si="5"/>
        <v/>
      </c>
      <c r="BD13" s="12" t="str">
        <f t="shared" si="6"/>
        <v/>
      </c>
      <c r="BE13" s="12" t="str">
        <f t="shared" si="7"/>
        <v/>
      </c>
      <c r="BF13" s="12" t="str">
        <f t="shared" si="8"/>
        <v/>
      </c>
      <c r="BG13" s="12" t="str">
        <f t="shared" si="9"/>
        <v/>
      </c>
      <c r="BH13" s="54" t="str">
        <f t="shared" si="10"/>
        <v/>
      </c>
      <c r="BI13" s="39"/>
      <c r="BJ13" s="55" t="str">
        <f t="shared" si="11"/>
        <v/>
      </c>
      <c r="BK13" s="13" t="str">
        <f t="shared" si="12"/>
        <v/>
      </c>
      <c r="BL13" s="13" t="str">
        <f t="shared" si="13"/>
        <v/>
      </c>
      <c r="BM13" s="56" t="str">
        <f t="shared" si="14"/>
        <v/>
      </c>
      <c r="BN13" s="39"/>
      <c r="BO13" s="14" t="str">
        <f t="shared" si="15"/>
        <v/>
      </c>
      <c r="BP13" s="15">
        <v>0</v>
      </c>
      <c r="BQ13" s="15" t="str">
        <f t="shared" si="16"/>
        <v/>
      </c>
      <c r="BR13" s="15" t="str">
        <f t="shared" si="17"/>
        <v/>
      </c>
      <c r="BS13" s="16" t="str">
        <f t="shared" si="18"/>
        <v/>
      </c>
      <c r="BT13" s="39"/>
      <c r="BU13" s="51" t="str">
        <f t="shared" si="19"/>
        <v/>
      </c>
      <c r="BV13" s="28" t="str">
        <f t="shared" si="20"/>
        <v/>
      </c>
      <c r="BW13" s="28" t="str">
        <f t="shared" si="21"/>
        <v/>
      </c>
      <c r="BX13" s="28" t="str">
        <f t="shared" si="22"/>
        <v/>
      </c>
      <c r="BY13" s="28" t="str">
        <f t="shared" si="23"/>
        <v/>
      </c>
      <c r="BZ13" s="52" t="str">
        <f t="shared" si="24"/>
        <v/>
      </c>
      <c r="CA13" s="39"/>
      <c r="CB13" s="49" t="str">
        <f t="shared" si="25"/>
        <v>-</v>
      </c>
      <c r="CC13" s="29" t="str">
        <f t="shared" si="26"/>
        <v>-</v>
      </c>
      <c r="CD13" s="29" t="str">
        <f t="shared" si="27"/>
        <v>-</v>
      </c>
      <c r="CE13" s="29" t="str">
        <f t="shared" si="28"/>
        <v>-</v>
      </c>
      <c r="CF13" s="50" t="str">
        <f t="shared" si="29"/>
        <v>-</v>
      </c>
      <c r="CG13" s="39"/>
    </row>
    <row r="14" spans="1:85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2"/>
      <c r="D14" s="2"/>
      <c r="E14" s="3"/>
      <c r="F14" s="2"/>
      <c r="G14" s="2"/>
      <c r="H14" s="4"/>
      <c r="I14" s="4"/>
      <c r="J14" s="58"/>
      <c r="K14" s="5"/>
      <c r="L14" s="2"/>
      <c r="M14" s="2"/>
      <c r="N14" s="2"/>
      <c r="O14" s="2"/>
      <c r="P14" s="3"/>
      <c r="Q14" s="2"/>
      <c r="R14" s="2"/>
      <c r="S14" s="2"/>
      <c r="T14" s="2"/>
      <c r="U14" s="3"/>
      <c r="V14" s="3"/>
      <c r="W14" s="2"/>
      <c r="X14" s="2"/>
      <c r="Y14" s="2"/>
      <c r="Z14" s="2"/>
      <c r="AA14" s="2"/>
      <c r="AB14" s="2"/>
      <c r="AC14" s="2"/>
      <c r="AD14" s="2"/>
      <c r="AE14" s="3"/>
      <c r="AF14" s="3"/>
      <c r="AG14" s="2"/>
      <c r="AH14" s="6"/>
      <c r="AI14" s="7"/>
      <c r="AJ14" s="6"/>
      <c r="AK14" s="59"/>
      <c r="AL14" s="59"/>
      <c r="AM14" s="59"/>
      <c r="AN14" s="59"/>
      <c r="AO14" s="59"/>
      <c r="AP14" s="59"/>
      <c r="AQ14" s="59"/>
      <c r="AR14" s="59"/>
      <c r="AS14" s="8"/>
      <c r="AT14" s="8"/>
      <c r="AU14" s="9"/>
      <c r="AV14" s="8"/>
      <c r="AW14" s="10" t="e">
        <f t="shared" si="1"/>
        <v>#DIV/0!</v>
      </c>
      <c r="AX14" s="39"/>
      <c r="AY14" s="1" t="str">
        <f t="shared" si="2"/>
        <v/>
      </c>
      <c r="AZ14" s="11" t="str">
        <f t="shared" si="3"/>
        <v/>
      </c>
      <c r="BA14" s="1" t="str">
        <f t="shared" si="4"/>
        <v/>
      </c>
      <c r="BB14" s="39"/>
      <c r="BC14" s="53" t="str">
        <f t="shared" si="5"/>
        <v/>
      </c>
      <c r="BD14" s="12" t="str">
        <f t="shared" si="6"/>
        <v/>
      </c>
      <c r="BE14" s="12" t="str">
        <f t="shared" si="7"/>
        <v/>
      </c>
      <c r="BF14" s="12" t="str">
        <f t="shared" si="8"/>
        <v/>
      </c>
      <c r="BG14" s="12" t="str">
        <f t="shared" si="9"/>
        <v/>
      </c>
      <c r="BH14" s="54" t="str">
        <f t="shared" si="10"/>
        <v/>
      </c>
      <c r="BI14" s="39"/>
      <c r="BJ14" s="55" t="str">
        <f t="shared" si="11"/>
        <v/>
      </c>
      <c r="BK14" s="13" t="str">
        <f t="shared" si="12"/>
        <v/>
      </c>
      <c r="BL14" s="13" t="str">
        <f t="shared" si="13"/>
        <v/>
      </c>
      <c r="BM14" s="56" t="str">
        <f t="shared" si="14"/>
        <v/>
      </c>
      <c r="BN14" s="39"/>
      <c r="BO14" s="14" t="str">
        <f t="shared" si="15"/>
        <v/>
      </c>
      <c r="BP14" s="15">
        <v>0</v>
      </c>
      <c r="BQ14" s="15" t="str">
        <f t="shared" si="16"/>
        <v/>
      </c>
      <c r="BR14" s="15" t="str">
        <f t="shared" si="17"/>
        <v/>
      </c>
      <c r="BS14" s="16" t="str">
        <f t="shared" si="18"/>
        <v/>
      </c>
      <c r="BT14" s="39"/>
      <c r="BU14" s="51" t="str">
        <f t="shared" si="19"/>
        <v/>
      </c>
      <c r="BV14" s="28" t="str">
        <f t="shared" si="20"/>
        <v/>
      </c>
      <c r="BW14" s="28" t="str">
        <f t="shared" si="21"/>
        <v/>
      </c>
      <c r="BX14" s="28" t="str">
        <f t="shared" si="22"/>
        <v/>
      </c>
      <c r="BY14" s="28" t="str">
        <f t="shared" si="23"/>
        <v/>
      </c>
      <c r="BZ14" s="52" t="str">
        <f t="shared" si="24"/>
        <v/>
      </c>
      <c r="CA14" s="39"/>
      <c r="CB14" s="49" t="str">
        <f t="shared" si="25"/>
        <v>-</v>
      </c>
      <c r="CC14" s="29" t="str">
        <f t="shared" si="26"/>
        <v>-</v>
      </c>
      <c r="CD14" s="29" t="str">
        <f t="shared" si="27"/>
        <v>-</v>
      </c>
      <c r="CE14" s="29" t="str">
        <f t="shared" si="28"/>
        <v>-</v>
      </c>
      <c r="CF14" s="50" t="str">
        <f t="shared" si="29"/>
        <v>-</v>
      </c>
      <c r="CG14" s="39"/>
    </row>
    <row r="15" spans="1:85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2"/>
      <c r="D15" s="2"/>
      <c r="E15" s="3"/>
      <c r="F15" s="2"/>
      <c r="G15" s="2"/>
      <c r="H15" s="4"/>
      <c r="I15" s="4"/>
      <c r="J15" s="58"/>
      <c r="K15" s="5"/>
      <c r="L15" s="2"/>
      <c r="M15" s="2"/>
      <c r="N15" s="2"/>
      <c r="O15" s="2"/>
      <c r="P15" s="3"/>
      <c r="Q15" s="2"/>
      <c r="R15" s="2"/>
      <c r="S15" s="2"/>
      <c r="T15" s="2"/>
      <c r="U15" s="3"/>
      <c r="V15" s="3"/>
      <c r="W15" s="2"/>
      <c r="X15" s="2"/>
      <c r="Y15" s="2"/>
      <c r="Z15" s="2"/>
      <c r="AA15" s="2"/>
      <c r="AB15" s="2"/>
      <c r="AC15" s="2"/>
      <c r="AD15" s="2"/>
      <c r="AE15" s="3"/>
      <c r="AF15" s="3"/>
      <c r="AG15" s="2"/>
      <c r="AH15" s="6"/>
      <c r="AI15" s="7"/>
      <c r="AJ15" s="6"/>
      <c r="AK15" s="59"/>
      <c r="AL15" s="59"/>
      <c r="AM15" s="59"/>
      <c r="AN15" s="59"/>
      <c r="AO15" s="59"/>
      <c r="AP15" s="59"/>
      <c r="AQ15" s="59"/>
      <c r="AR15" s="59"/>
      <c r="AS15" s="8"/>
      <c r="AT15" s="8"/>
      <c r="AU15" s="9"/>
      <c r="AV15" s="8"/>
      <c r="AW15" s="10" t="e">
        <f t="shared" si="1"/>
        <v>#DIV/0!</v>
      </c>
      <c r="AX15" s="39"/>
      <c r="AY15" s="1" t="str">
        <f t="shared" si="2"/>
        <v/>
      </c>
      <c r="AZ15" s="11" t="str">
        <f t="shared" si="3"/>
        <v/>
      </c>
      <c r="BA15" s="1" t="str">
        <f t="shared" si="4"/>
        <v/>
      </c>
      <c r="BB15" s="39"/>
      <c r="BC15" s="53" t="str">
        <f t="shared" si="5"/>
        <v/>
      </c>
      <c r="BD15" s="12" t="str">
        <f t="shared" si="6"/>
        <v/>
      </c>
      <c r="BE15" s="12" t="str">
        <f t="shared" si="7"/>
        <v/>
      </c>
      <c r="BF15" s="12" t="str">
        <f t="shared" si="8"/>
        <v/>
      </c>
      <c r="BG15" s="12" t="str">
        <f t="shared" si="9"/>
        <v/>
      </c>
      <c r="BH15" s="54" t="str">
        <f t="shared" si="10"/>
        <v/>
      </c>
      <c r="BI15" s="39"/>
      <c r="BJ15" s="55" t="str">
        <f t="shared" si="11"/>
        <v/>
      </c>
      <c r="BK15" s="13" t="str">
        <f t="shared" si="12"/>
        <v/>
      </c>
      <c r="BL15" s="13" t="str">
        <f t="shared" si="13"/>
        <v/>
      </c>
      <c r="BM15" s="56" t="str">
        <f t="shared" si="14"/>
        <v/>
      </c>
      <c r="BN15" s="39"/>
      <c r="BO15" s="14" t="str">
        <f t="shared" si="15"/>
        <v/>
      </c>
      <c r="BP15" s="15">
        <v>0</v>
      </c>
      <c r="BQ15" s="15" t="str">
        <f t="shared" si="16"/>
        <v/>
      </c>
      <c r="BR15" s="15" t="str">
        <f t="shared" si="17"/>
        <v/>
      </c>
      <c r="BS15" s="16" t="str">
        <f t="shared" si="18"/>
        <v/>
      </c>
      <c r="BT15" s="39"/>
      <c r="BU15" s="51" t="str">
        <f t="shared" si="19"/>
        <v/>
      </c>
      <c r="BV15" s="28" t="str">
        <f t="shared" si="20"/>
        <v/>
      </c>
      <c r="BW15" s="28" t="str">
        <f t="shared" si="21"/>
        <v/>
      </c>
      <c r="BX15" s="28" t="str">
        <f t="shared" si="22"/>
        <v/>
      </c>
      <c r="BY15" s="28" t="str">
        <f t="shared" si="23"/>
        <v/>
      </c>
      <c r="BZ15" s="52" t="str">
        <f t="shared" si="24"/>
        <v/>
      </c>
      <c r="CA15" s="39"/>
      <c r="CB15" s="49" t="str">
        <f t="shared" si="25"/>
        <v>-</v>
      </c>
      <c r="CC15" s="29" t="str">
        <f t="shared" si="26"/>
        <v>-</v>
      </c>
      <c r="CD15" s="29" t="str">
        <f t="shared" si="27"/>
        <v>-</v>
      </c>
      <c r="CE15" s="29" t="str">
        <f t="shared" si="28"/>
        <v>-</v>
      </c>
      <c r="CF15" s="50" t="str">
        <f t="shared" si="29"/>
        <v>-</v>
      </c>
      <c r="CG15" s="39"/>
    </row>
    <row r="16" spans="1:85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2"/>
      <c r="D16" s="2"/>
      <c r="E16" s="3"/>
      <c r="F16" s="2"/>
      <c r="G16" s="2"/>
      <c r="H16" s="4"/>
      <c r="I16" s="4"/>
      <c r="J16" s="67"/>
      <c r="K16" s="5"/>
      <c r="L16" s="2"/>
      <c r="M16" s="2"/>
      <c r="N16" s="2"/>
      <c r="O16" s="2"/>
      <c r="P16" s="3"/>
      <c r="Q16" s="2"/>
      <c r="R16" s="2"/>
      <c r="S16" s="2"/>
      <c r="T16" s="2"/>
      <c r="U16" s="3"/>
      <c r="V16" s="3"/>
      <c r="W16" s="2"/>
      <c r="X16" s="2"/>
      <c r="Y16" s="2"/>
      <c r="Z16" s="2"/>
      <c r="AA16" s="2"/>
      <c r="AB16" s="2"/>
      <c r="AC16" s="2"/>
      <c r="AD16" s="2"/>
      <c r="AE16" s="3"/>
      <c r="AF16" s="3"/>
      <c r="AG16" s="2"/>
      <c r="AH16" s="6"/>
      <c r="AI16" s="7"/>
      <c r="AJ16" s="6"/>
      <c r="AK16" s="59"/>
      <c r="AL16" s="59"/>
      <c r="AM16" s="59"/>
      <c r="AN16" s="59"/>
      <c r="AO16" s="59"/>
      <c r="AP16" s="59"/>
      <c r="AQ16" s="59"/>
      <c r="AR16" s="59"/>
      <c r="AS16" s="8"/>
      <c r="AT16" s="8"/>
      <c r="AU16" s="9"/>
      <c r="AV16" s="8"/>
      <c r="AW16" s="10" t="e">
        <f t="shared" si="1"/>
        <v>#DIV/0!</v>
      </c>
      <c r="AX16" s="39"/>
      <c r="AY16" s="1" t="str">
        <f t="shared" si="2"/>
        <v/>
      </c>
      <c r="AZ16" s="11" t="str">
        <f t="shared" si="3"/>
        <v/>
      </c>
      <c r="BA16" s="1" t="str">
        <f t="shared" si="4"/>
        <v/>
      </c>
      <c r="BB16" s="39"/>
      <c r="BC16" s="53" t="str">
        <f t="shared" si="5"/>
        <v/>
      </c>
      <c r="BD16" s="12" t="str">
        <f t="shared" si="6"/>
        <v/>
      </c>
      <c r="BE16" s="12" t="str">
        <f t="shared" si="7"/>
        <v/>
      </c>
      <c r="BF16" s="12" t="str">
        <f t="shared" si="8"/>
        <v/>
      </c>
      <c r="BG16" s="12" t="str">
        <f t="shared" si="9"/>
        <v/>
      </c>
      <c r="BH16" s="54" t="str">
        <f t="shared" si="10"/>
        <v/>
      </c>
      <c r="BI16" s="39"/>
      <c r="BJ16" s="55" t="str">
        <f t="shared" si="11"/>
        <v/>
      </c>
      <c r="BK16" s="13" t="str">
        <f t="shared" si="12"/>
        <v/>
      </c>
      <c r="BL16" s="13" t="str">
        <f t="shared" si="13"/>
        <v/>
      </c>
      <c r="BM16" s="56" t="str">
        <f t="shared" si="14"/>
        <v/>
      </c>
      <c r="BN16" s="39"/>
      <c r="BO16" s="14" t="str">
        <f t="shared" si="15"/>
        <v/>
      </c>
      <c r="BP16" s="15">
        <v>0</v>
      </c>
      <c r="BQ16" s="15" t="str">
        <f t="shared" si="16"/>
        <v/>
      </c>
      <c r="BR16" s="15" t="str">
        <f t="shared" si="17"/>
        <v/>
      </c>
      <c r="BS16" s="16" t="str">
        <f t="shared" si="18"/>
        <v/>
      </c>
      <c r="BT16" s="39"/>
      <c r="BU16" s="51" t="str">
        <f t="shared" si="19"/>
        <v/>
      </c>
      <c r="BV16" s="28" t="str">
        <f t="shared" si="20"/>
        <v/>
      </c>
      <c r="BW16" s="28" t="str">
        <f t="shared" si="21"/>
        <v/>
      </c>
      <c r="BX16" s="28" t="str">
        <f t="shared" si="22"/>
        <v/>
      </c>
      <c r="BY16" s="28" t="str">
        <f t="shared" si="23"/>
        <v/>
      </c>
      <c r="BZ16" s="52" t="str">
        <f t="shared" si="24"/>
        <v/>
      </c>
      <c r="CA16" s="39"/>
      <c r="CB16" s="49" t="str">
        <f t="shared" si="25"/>
        <v>-</v>
      </c>
      <c r="CC16" s="29" t="str">
        <f t="shared" si="26"/>
        <v>-</v>
      </c>
      <c r="CD16" s="29" t="str">
        <f t="shared" si="27"/>
        <v>-</v>
      </c>
      <c r="CE16" s="29" t="str">
        <f t="shared" si="28"/>
        <v>-</v>
      </c>
      <c r="CF16" s="50" t="str">
        <f t="shared" si="29"/>
        <v>-</v>
      </c>
      <c r="CG16" s="39"/>
    </row>
    <row r="17" spans="1:85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2"/>
      <c r="D17" s="2"/>
      <c r="E17" s="3"/>
      <c r="F17" s="2"/>
      <c r="G17" s="2"/>
      <c r="H17" s="4"/>
      <c r="I17" s="4"/>
      <c r="J17" s="58"/>
      <c r="K17" s="5"/>
      <c r="L17" s="2"/>
      <c r="M17" s="2"/>
      <c r="N17" s="2"/>
      <c r="O17" s="2"/>
      <c r="P17" s="3"/>
      <c r="Q17" s="2"/>
      <c r="R17" s="2"/>
      <c r="S17" s="2"/>
      <c r="T17" s="2"/>
      <c r="U17" s="3"/>
      <c r="V17" s="3"/>
      <c r="W17" s="2"/>
      <c r="X17" s="2"/>
      <c r="Y17" s="2"/>
      <c r="Z17" s="2"/>
      <c r="AA17" s="2"/>
      <c r="AB17" s="2"/>
      <c r="AC17" s="2"/>
      <c r="AD17" s="2"/>
      <c r="AE17" s="3"/>
      <c r="AF17" s="3"/>
      <c r="AG17" s="2"/>
      <c r="AH17" s="6"/>
      <c r="AI17" s="7"/>
      <c r="AJ17" s="6"/>
      <c r="AK17" s="59"/>
      <c r="AL17" s="59"/>
      <c r="AM17" s="59"/>
      <c r="AN17" s="59"/>
      <c r="AO17" s="59"/>
      <c r="AP17" s="59"/>
      <c r="AQ17" s="59"/>
      <c r="AR17" s="59"/>
      <c r="AS17" s="8"/>
      <c r="AT17" s="8"/>
      <c r="AU17" s="9"/>
      <c r="AV17" s="8"/>
      <c r="AW17" s="10" t="e">
        <f t="shared" si="1"/>
        <v>#DIV/0!</v>
      </c>
      <c r="AX17" s="39"/>
      <c r="AY17" s="1" t="str">
        <f t="shared" si="2"/>
        <v/>
      </c>
      <c r="AZ17" s="11" t="str">
        <f t="shared" si="3"/>
        <v/>
      </c>
      <c r="BA17" s="1" t="str">
        <f t="shared" si="4"/>
        <v/>
      </c>
      <c r="BB17" s="39"/>
      <c r="BC17" s="53" t="str">
        <f t="shared" si="5"/>
        <v/>
      </c>
      <c r="BD17" s="12" t="str">
        <f t="shared" si="6"/>
        <v/>
      </c>
      <c r="BE17" s="12" t="str">
        <f t="shared" si="7"/>
        <v/>
      </c>
      <c r="BF17" s="12" t="str">
        <f t="shared" si="8"/>
        <v/>
      </c>
      <c r="BG17" s="12" t="str">
        <f t="shared" si="9"/>
        <v/>
      </c>
      <c r="BH17" s="54" t="str">
        <f t="shared" si="10"/>
        <v/>
      </c>
      <c r="BI17" s="39"/>
      <c r="BJ17" s="55" t="str">
        <f t="shared" si="11"/>
        <v/>
      </c>
      <c r="BK17" s="13" t="str">
        <f t="shared" si="12"/>
        <v/>
      </c>
      <c r="BL17" s="13" t="str">
        <f t="shared" si="13"/>
        <v/>
      </c>
      <c r="BM17" s="56" t="str">
        <f t="shared" si="14"/>
        <v/>
      </c>
      <c r="BN17" s="39"/>
      <c r="BO17" s="14" t="str">
        <f t="shared" si="15"/>
        <v/>
      </c>
      <c r="BP17" s="15">
        <v>0</v>
      </c>
      <c r="BQ17" s="15" t="str">
        <f t="shared" si="16"/>
        <v/>
      </c>
      <c r="BR17" s="15" t="str">
        <f t="shared" si="17"/>
        <v/>
      </c>
      <c r="BS17" s="16" t="str">
        <f t="shared" si="18"/>
        <v/>
      </c>
      <c r="BT17" s="39"/>
      <c r="BU17" s="51" t="str">
        <f t="shared" si="19"/>
        <v/>
      </c>
      <c r="BV17" s="28" t="str">
        <f t="shared" si="20"/>
        <v/>
      </c>
      <c r="BW17" s="28" t="str">
        <f t="shared" si="21"/>
        <v/>
      </c>
      <c r="BX17" s="28" t="str">
        <f t="shared" si="22"/>
        <v/>
      </c>
      <c r="BY17" s="28" t="str">
        <f t="shared" si="23"/>
        <v/>
      </c>
      <c r="BZ17" s="52" t="str">
        <f t="shared" si="24"/>
        <v/>
      </c>
      <c r="CA17" s="39"/>
      <c r="CB17" s="49" t="str">
        <f t="shared" si="25"/>
        <v>-</v>
      </c>
      <c r="CC17" s="29" t="str">
        <f t="shared" si="26"/>
        <v>-</v>
      </c>
      <c r="CD17" s="29" t="str">
        <f t="shared" si="27"/>
        <v>-</v>
      </c>
      <c r="CE17" s="29" t="str">
        <f t="shared" si="28"/>
        <v>-</v>
      </c>
      <c r="CF17" s="50" t="str">
        <f t="shared" si="29"/>
        <v>-</v>
      </c>
      <c r="CG17" s="39"/>
    </row>
    <row r="18" spans="1:85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2"/>
      <c r="D18" s="2"/>
      <c r="E18" s="3"/>
      <c r="F18" s="2"/>
      <c r="G18" s="2"/>
      <c r="H18" s="4"/>
      <c r="I18" s="4"/>
      <c r="J18" s="58"/>
      <c r="K18" s="5"/>
      <c r="L18" s="2"/>
      <c r="M18" s="2"/>
      <c r="N18" s="2"/>
      <c r="O18" s="2"/>
      <c r="P18" s="3"/>
      <c r="Q18" s="2"/>
      <c r="R18" s="2"/>
      <c r="S18" s="2"/>
      <c r="T18" s="2"/>
      <c r="U18" s="3"/>
      <c r="V18" s="3"/>
      <c r="W18" s="2"/>
      <c r="X18" s="2"/>
      <c r="Y18" s="2"/>
      <c r="Z18" s="2"/>
      <c r="AA18" s="2"/>
      <c r="AB18" s="2"/>
      <c r="AC18" s="2"/>
      <c r="AD18" s="2"/>
      <c r="AE18" s="3"/>
      <c r="AF18" s="3"/>
      <c r="AG18" s="2"/>
      <c r="AH18" s="6"/>
      <c r="AI18" s="7"/>
      <c r="AJ18" s="6"/>
      <c r="AK18" s="59"/>
      <c r="AL18" s="59"/>
      <c r="AM18" s="59"/>
      <c r="AN18" s="59"/>
      <c r="AO18" s="59"/>
      <c r="AP18" s="59"/>
      <c r="AQ18" s="59"/>
      <c r="AR18" s="59"/>
      <c r="AS18" s="8"/>
      <c r="AT18" s="8"/>
      <c r="AU18" s="9"/>
      <c r="AV18" s="8"/>
      <c r="AW18" s="10" t="e">
        <f t="shared" si="1"/>
        <v>#DIV/0!</v>
      </c>
      <c r="AX18" s="39"/>
      <c r="AY18" s="1" t="str">
        <f t="shared" si="2"/>
        <v/>
      </c>
      <c r="AZ18" s="11" t="str">
        <f t="shared" si="3"/>
        <v/>
      </c>
      <c r="BA18" s="1" t="str">
        <f t="shared" si="4"/>
        <v/>
      </c>
      <c r="BB18" s="39"/>
      <c r="BC18" s="53" t="str">
        <f t="shared" si="5"/>
        <v/>
      </c>
      <c r="BD18" s="12" t="str">
        <f t="shared" si="6"/>
        <v/>
      </c>
      <c r="BE18" s="12" t="str">
        <f t="shared" si="7"/>
        <v/>
      </c>
      <c r="BF18" s="12" t="str">
        <f t="shared" si="8"/>
        <v/>
      </c>
      <c r="BG18" s="12" t="str">
        <f t="shared" si="9"/>
        <v/>
      </c>
      <c r="BH18" s="54" t="str">
        <f t="shared" si="10"/>
        <v/>
      </c>
      <c r="BI18" s="39"/>
      <c r="BJ18" s="55" t="str">
        <f t="shared" si="11"/>
        <v/>
      </c>
      <c r="BK18" s="13" t="str">
        <f t="shared" si="12"/>
        <v/>
      </c>
      <c r="BL18" s="13" t="str">
        <f t="shared" si="13"/>
        <v/>
      </c>
      <c r="BM18" s="56" t="str">
        <f t="shared" si="14"/>
        <v/>
      </c>
      <c r="BN18" s="39"/>
      <c r="BO18" s="14" t="str">
        <f t="shared" si="15"/>
        <v/>
      </c>
      <c r="BP18" s="15">
        <v>0</v>
      </c>
      <c r="BQ18" s="15" t="str">
        <f t="shared" si="16"/>
        <v/>
      </c>
      <c r="BR18" s="15" t="str">
        <f t="shared" si="17"/>
        <v/>
      </c>
      <c r="BS18" s="16" t="str">
        <f t="shared" si="18"/>
        <v/>
      </c>
      <c r="BT18" s="39"/>
      <c r="BU18" s="51" t="str">
        <f t="shared" si="19"/>
        <v/>
      </c>
      <c r="BV18" s="28" t="str">
        <f t="shared" si="20"/>
        <v/>
      </c>
      <c r="BW18" s="28" t="str">
        <f t="shared" si="21"/>
        <v/>
      </c>
      <c r="BX18" s="28" t="str">
        <f t="shared" si="22"/>
        <v/>
      </c>
      <c r="BY18" s="28" t="str">
        <f t="shared" si="23"/>
        <v/>
      </c>
      <c r="BZ18" s="52" t="str">
        <f t="shared" si="24"/>
        <v/>
      </c>
      <c r="CA18" s="39"/>
      <c r="CB18" s="49" t="str">
        <f t="shared" si="25"/>
        <v>-</v>
      </c>
      <c r="CC18" s="29" t="str">
        <f t="shared" si="26"/>
        <v>-</v>
      </c>
      <c r="CD18" s="29" t="str">
        <f t="shared" si="27"/>
        <v>-</v>
      </c>
      <c r="CE18" s="29" t="str">
        <f t="shared" si="28"/>
        <v>-</v>
      </c>
      <c r="CF18" s="50" t="str">
        <f t="shared" si="29"/>
        <v>-</v>
      </c>
      <c r="CG18" s="39"/>
    </row>
    <row r="19" spans="1:85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2"/>
      <c r="D19" s="2"/>
      <c r="E19" s="3"/>
      <c r="F19" s="2"/>
      <c r="G19" s="2"/>
      <c r="H19" s="4"/>
      <c r="I19" s="4"/>
      <c r="J19" s="58"/>
      <c r="K19" s="5"/>
      <c r="L19" s="2"/>
      <c r="M19" s="2"/>
      <c r="N19" s="2"/>
      <c r="O19" s="2"/>
      <c r="P19" s="3"/>
      <c r="Q19" s="2"/>
      <c r="R19" s="2"/>
      <c r="S19" s="2"/>
      <c r="T19" s="2"/>
      <c r="U19" s="3"/>
      <c r="V19" s="3"/>
      <c r="W19" s="2"/>
      <c r="X19" s="2"/>
      <c r="Y19" s="2"/>
      <c r="Z19" s="2"/>
      <c r="AA19" s="2"/>
      <c r="AB19" s="2"/>
      <c r="AC19" s="2"/>
      <c r="AD19" s="2"/>
      <c r="AE19" s="3"/>
      <c r="AF19" s="3"/>
      <c r="AG19" s="2"/>
      <c r="AH19" s="6"/>
      <c r="AI19" s="7"/>
      <c r="AJ19" s="6"/>
      <c r="AK19" s="59"/>
      <c r="AL19" s="59"/>
      <c r="AM19" s="59"/>
      <c r="AN19" s="59"/>
      <c r="AO19" s="59"/>
      <c r="AP19" s="59"/>
      <c r="AQ19" s="59"/>
      <c r="AR19" s="59"/>
      <c r="AS19" s="8"/>
      <c r="AT19" s="8"/>
      <c r="AU19" s="9"/>
      <c r="AV19" s="8"/>
      <c r="AW19" s="10" t="e">
        <f t="shared" si="1"/>
        <v>#DIV/0!</v>
      </c>
      <c r="AX19" s="39"/>
      <c r="AY19" s="1" t="str">
        <f t="shared" si="2"/>
        <v/>
      </c>
      <c r="AZ19" s="11" t="str">
        <f t="shared" si="3"/>
        <v/>
      </c>
      <c r="BA19" s="1" t="str">
        <f t="shared" si="4"/>
        <v/>
      </c>
      <c r="BB19" s="39"/>
      <c r="BC19" s="53" t="str">
        <f t="shared" si="5"/>
        <v/>
      </c>
      <c r="BD19" s="12" t="str">
        <f t="shared" si="6"/>
        <v/>
      </c>
      <c r="BE19" s="12" t="str">
        <f t="shared" si="7"/>
        <v/>
      </c>
      <c r="BF19" s="12" t="str">
        <f t="shared" si="8"/>
        <v/>
      </c>
      <c r="BG19" s="12" t="str">
        <f t="shared" si="9"/>
        <v/>
      </c>
      <c r="BH19" s="54" t="str">
        <f t="shared" si="10"/>
        <v/>
      </c>
      <c r="BI19" s="39"/>
      <c r="BJ19" s="55" t="str">
        <f t="shared" si="11"/>
        <v/>
      </c>
      <c r="BK19" s="13" t="str">
        <f t="shared" si="12"/>
        <v/>
      </c>
      <c r="BL19" s="13" t="str">
        <f t="shared" si="13"/>
        <v/>
      </c>
      <c r="BM19" s="56" t="str">
        <f t="shared" si="14"/>
        <v/>
      </c>
      <c r="BN19" s="39"/>
      <c r="BO19" s="14" t="str">
        <f t="shared" si="15"/>
        <v/>
      </c>
      <c r="BP19" s="15">
        <v>0</v>
      </c>
      <c r="BQ19" s="15" t="str">
        <f t="shared" si="16"/>
        <v/>
      </c>
      <c r="BR19" s="15" t="str">
        <f t="shared" si="17"/>
        <v/>
      </c>
      <c r="BS19" s="16" t="str">
        <f t="shared" si="18"/>
        <v/>
      </c>
      <c r="BT19" s="39"/>
      <c r="BU19" s="51" t="str">
        <f t="shared" si="19"/>
        <v/>
      </c>
      <c r="BV19" s="28" t="str">
        <f t="shared" si="20"/>
        <v/>
      </c>
      <c r="BW19" s="28" t="str">
        <f t="shared" si="21"/>
        <v/>
      </c>
      <c r="BX19" s="28" t="str">
        <f t="shared" si="22"/>
        <v/>
      </c>
      <c r="BY19" s="28" t="str">
        <f t="shared" si="23"/>
        <v/>
      </c>
      <c r="BZ19" s="52" t="str">
        <f t="shared" si="24"/>
        <v/>
      </c>
      <c r="CA19" s="39"/>
      <c r="CB19" s="49" t="str">
        <f t="shared" si="25"/>
        <v>-</v>
      </c>
      <c r="CC19" s="29" t="str">
        <f t="shared" si="26"/>
        <v>-</v>
      </c>
      <c r="CD19" s="29" t="str">
        <f t="shared" si="27"/>
        <v>-</v>
      </c>
      <c r="CE19" s="29" t="str">
        <f t="shared" si="28"/>
        <v>-</v>
      </c>
      <c r="CF19" s="50" t="str">
        <f t="shared" si="29"/>
        <v>-</v>
      </c>
      <c r="CG19" s="39"/>
    </row>
    <row r="20" spans="1:85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2"/>
      <c r="D20" s="2"/>
      <c r="E20" s="3"/>
      <c r="F20" s="2"/>
      <c r="G20" s="2"/>
      <c r="H20" s="4"/>
      <c r="I20" s="4"/>
      <c r="J20" s="58"/>
      <c r="K20" s="5"/>
      <c r="L20" s="2"/>
      <c r="M20" s="2"/>
      <c r="N20" s="2"/>
      <c r="O20" s="2"/>
      <c r="P20" s="3"/>
      <c r="Q20" s="2"/>
      <c r="R20" s="2"/>
      <c r="S20" s="2"/>
      <c r="T20" s="2"/>
      <c r="U20" s="3"/>
      <c r="V20" s="3"/>
      <c r="W20" s="2"/>
      <c r="X20" s="2"/>
      <c r="Y20" s="2"/>
      <c r="Z20" s="2"/>
      <c r="AA20" s="2"/>
      <c r="AB20" s="2"/>
      <c r="AC20" s="2"/>
      <c r="AD20" s="2"/>
      <c r="AE20" s="3"/>
      <c r="AF20" s="3"/>
      <c r="AG20" s="2"/>
      <c r="AH20" s="6"/>
      <c r="AI20" s="7"/>
      <c r="AJ20" s="6"/>
      <c r="AK20" s="59"/>
      <c r="AL20" s="59"/>
      <c r="AM20" s="59"/>
      <c r="AN20" s="59"/>
      <c r="AO20" s="59"/>
      <c r="AP20" s="59"/>
      <c r="AQ20" s="59"/>
      <c r="AR20" s="59"/>
      <c r="AS20" s="8"/>
      <c r="AT20" s="8"/>
      <c r="AU20" s="9"/>
      <c r="AV20" s="8"/>
      <c r="AW20" s="10" t="e">
        <f t="shared" si="1"/>
        <v>#DIV/0!</v>
      </c>
      <c r="AX20" s="39"/>
      <c r="AY20" s="1" t="str">
        <f t="shared" si="2"/>
        <v/>
      </c>
      <c r="AZ20" s="11" t="str">
        <f t="shared" si="3"/>
        <v/>
      </c>
      <c r="BA20" s="1" t="str">
        <f t="shared" si="4"/>
        <v/>
      </c>
      <c r="BB20" s="39"/>
      <c r="BC20" s="53" t="str">
        <f t="shared" si="5"/>
        <v/>
      </c>
      <c r="BD20" s="12" t="str">
        <f t="shared" si="6"/>
        <v/>
      </c>
      <c r="BE20" s="12" t="str">
        <f t="shared" si="7"/>
        <v/>
      </c>
      <c r="BF20" s="12" t="str">
        <f t="shared" si="8"/>
        <v/>
      </c>
      <c r="BG20" s="12" t="str">
        <f t="shared" si="9"/>
        <v/>
      </c>
      <c r="BH20" s="54" t="str">
        <f t="shared" si="10"/>
        <v/>
      </c>
      <c r="BI20" s="39"/>
      <c r="BJ20" s="55" t="str">
        <f t="shared" si="11"/>
        <v/>
      </c>
      <c r="BK20" s="13" t="str">
        <f t="shared" si="12"/>
        <v/>
      </c>
      <c r="BL20" s="13" t="str">
        <f t="shared" si="13"/>
        <v/>
      </c>
      <c r="BM20" s="56" t="str">
        <f t="shared" si="14"/>
        <v/>
      </c>
      <c r="BN20" s="39"/>
      <c r="BO20" s="14" t="str">
        <f t="shared" si="15"/>
        <v/>
      </c>
      <c r="BP20" s="15">
        <v>0</v>
      </c>
      <c r="BQ20" s="15" t="str">
        <f t="shared" si="16"/>
        <v/>
      </c>
      <c r="BR20" s="15" t="str">
        <f t="shared" si="17"/>
        <v/>
      </c>
      <c r="BS20" s="16" t="str">
        <f t="shared" si="18"/>
        <v/>
      </c>
      <c r="BT20" s="39"/>
      <c r="BU20" s="51" t="str">
        <f t="shared" si="19"/>
        <v/>
      </c>
      <c r="BV20" s="28" t="str">
        <f t="shared" si="20"/>
        <v/>
      </c>
      <c r="BW20" s="28" t="str">
        <f t="shared" si="21"/>
        <v/>
      </c>
      <c r="BX20" s="28" t="str">
        <f t="shared" si="22"/>
        <v/>
      </c>
      <c r="BY20" s="28" t="str">
        <f t="shared" si="23"/>
        <v/>
      </c>
      <c r="BZ20" s="52" t="str">
        <f t="shared" si="24"/>
        <v/>
      </c>
      <c r="CA20" s="39"/>
      <c r="CB20" s="49" t="str">
        <f t="shared" si="25"/>
        <v>-</v>
      </c>
      <c r="CC20" s="29" t="str">
        <f t="shared" si="26"/>
        <v>-</v>
      </c>
      <c r="CD20" s="29" t="str">
        <f t="shared" si="27"/>
        <v>-</v>
      </c>
      <c r="CE20" s="29" t="str">
        <f t="shared" si="28"/>
        <v>-</v>
      </c>
      <c r="CF20" s="50" t="str">
        <f t="shared" si="29"/>
        <v>-</v>
      </c>
      <c r="CG20" s="39"/>
    </row>
    <row r="21" spans="1:85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2"/>
      <c r="D21" s="2"/>
      <c r="E21" s="3"/>
      <c r="F21" s="2"/>
      <c r="G21" s="2"/>
      <c r="H21" s="4"/>
      <c r="I21" s="4"/>
      <c r="J21" s="58"/>
      <c r="K21" s="5"/>
      <c r="L21" s="2"/>
      <c r="M21" s="2"/>
      <c r="N21" s="2"/>
      <c r="O21" s="2"/>
      <c r="P21" s="3"/>
      <c r="Q21" s="2"/>
      <c r="R21" s="2"/>
      <c r="S21" s="2"/>
      <c r="T21" s="2"/>
      <c r="U21" s="3"/>
      <c r="V21" s="3"/>
      <c r="W21" s="2"/>
      <c r="X21" s="2"/>
      <c r="Y21" s="2"/>
      <c r="Z21" s="2"/>
      <c r="AA21" s="2"/>
      <c r="AB21" s="2"/>
      <c r="AC21" s="2"/>
      <c r="AD21" s="2"/>
      <c r="AE21" s="3"/>
      <c r="AF21" s="3"/>
      <c r="AG21" s="2"/>
      <c r="AH21" s="6"/>
      <c r="AI21" s="7"/>
      <c r="AJ21" s="6"/>
      <c r="AK21" s="59"/>
      <c r="AL21" s="59"/>
      <c r="AM21" s="59"/>
      <c r="AN21" s="59"/>
      <c r="AO21" s="59"/>
      <c r="AP21" s="59"/>
      <c r="AQ21" s="59"/>
      <c r="AR21" s="59"/>
      <c r="AS21" s="8"/>
      <c r="AT21" s="8"/>
      <c r="AU21" s="9"/>
      <c r="AV21" s="8"/>
      <c r="AW21" s="10" t="e">
        <f t="shared" si="1"/>
        <v>#DIV/0!</v>
      </c>
      <c r="AX21" s="39"/>
      <c r="AY21" s="1" t="str">
        <f t="shared" si="2"/>
        <v/>
      </c>
      <c r="AZ21" s="11" t="str">
        <f t="shared" si="3"/>
        <v/>
      </c>
      <c r="BA21" s="1" t="str">
        <f t="shared" si="4"/>
        <v/>
      </c>
      <c r="BB21" s="39"/>
      <c r="BC21" s="53" t="str">
        <f t="shared" si="5"/>
        <v/>
      </c>
      <c r="BD21" s="12" t="str">
        <f t="shared" si="6"/>
        <v/>
      </c>
      <c r="BE21" s="12" t="str">
        <f t="shared" si="7"/>
        <v/>
      </c>
      <c r="BF21" s="12" t="str">
        <f t="shared" si="8"/>
        <v/>
      </c>
      <c r="BG21" s="12" t="str">
        <f t="shared" si="9"/>
        <v/>
      </c>
      <c r="BH21" s="54" t="str">
        <f t="shared" si="10"/>
        <v/>
      </c>
      <c r="BI21" s="39"/>
      <c r="BJ21" s="55" t="str">
        <f t="shared" si="11"/>
        <v/>
      </c>
      <c r="BK21" s="13" t="str">
        <f t="shared" si="12"/>
        <v/>
      </c>
      <c r="BL21" s="13" t="str">
        <f t="shared" si="13"/>
        <v/>
      </c>
      <c r="BM21" s="56" t="str">
        <f t="shared" si="14"/>
        <v/>
      </c>
      <c r="BN21" s="39"/>
      <c r="BO21" s="14" t="str">
        <f t="shared" si="15"/>
        <v/>
      </c>
      <c r="BP21" s="15">
        <v>0</v>
      </c>
      <c r="BQ21" s="15" t="str">
        <f t="shared" si="16"/>
        <v/>
      </c>
      <c r="BR21" s="15" t="str">
        <f t="shared" si="17"/>
        <v/>
      </c>
      <c r="BS21" s="16" t="str">
        <f t="shared" si="18"/>
        <v/>
      </c>
      <c r="BT21" s="39"/>
      <c r="BU21" s="51" t="str">
        <f t="shared" si="19"/>
        <v/>
      </c>
      <c r="BV21" s="28" t="str">
        <f t="shared" si="20"/>
        <v/>
      </c>
      <c r="BW21" s="28" t="str">
        <f t="shared" si="21"/>
        <v/>
      </c>
      <c r="BX21" s="28" t="str">
        <f t="shared" si="22"/>
        <v/>
      </c>
      <c r="BY21" s="28" t="str">
        <f t="shared" si="23"/>
        <v/>
      </c>
      <c r="BZ21" s="52" t="str">
        <f t="shared" si="24"/>
        <v/>
      </c>
      <c r="CA21" s="39"/>
      <c r="CB21" s="49" t="str">
        <f t="shared" si="25"/>
        <v>-</v>
      </c>
      <c r="CC21" s="29" t="str">
        <f t="shared" si="26"/>
        <v>-</v>
      </c>
      <c r="CD21" s="29" t="str">
        <f t="shared" si="27"/>
        <v>-</v>
      </c>
      <c r="CE21" s="29" t="str">
        <f t="shared" si="28"/>
        <v>-</v>
      </c>
      <c r="CF21" s="50" t="str">
        <f t="shared" si="29"/>
        <v>-</v>
      </c>
      <c r="CG21" s="39"/>
    </row>
    <row r="22" spans="1:85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1"/>
      <c r="AL22" s="61"/>
      <c r="AM22" s="61"/>
      <c r="AN22" s="61"/>
      <c r="AO22" s="61"/>
      <c r="AP22" s="61"/>
      <c r="AQ22" s="61"/>
      <c r="AR22" s="61"/>
      <c r="AS22" s="60"/>
      <c r="AT22" s="60"/>
      <c r="AU22" s="60"/>
      <c r="AV22" s="60"/>
      <c r="AW22" s="10" t="e">
        <f t="shared" si="1"/>
        <v>#DIV/0!</v>
      </c>
      <c r="AX22" s="39"/>
      <c r="AY22" s="1" t="str">
        <f t="shared" si="2"/>
        <v/>
      </c>
      <c r="AZ22" s="11" t="str">
        <f t="shared" si="3"/>
        <v/>
      </c>
      <c r="BA22" s="1" t="str">
        <f t="shared" si="4"/>
        <v/>
      </c>
      <c r="BB22" s="39"/>
      <c r="BC22" s="53" t="str">
        <f t="shared" si="5"/>
        <v/>
      </c>
      <c r="BD22" s="12" t="str">
        <f t="shared" si="6"/>
        <v/>
      </c>
      <c r="BE22" s="12" t="str">
        <f t="shared" si="7"/>
        <v/>
      </c>
      <c r="BF22" s="12" t="str">
        <f t="shared" si="8"/>
        <v/>
      </c>
      <c r="BG22" s="12" t="str">
        <f t="shared" si="9"/>
        <v/>
      </c>
      <c r="BH22" s="54" t="str">
        <f t="shared" si="10"/>
        <v/>
      </c>
      <c r="BI22" s="39"/>
      <c r="BJ22" s="55" t="str">
        <f t="shared" si="11"/>
        <v/>
      </c>
      <c r="BK22" s="13" t="str">
        <f t="shared" si="12"/>
        <v/>
      </c>
      <c r="BL22" s="13" t="str">
        <f t="shared" si="13"/>
        <v/>
      </c>
      <c r="BM22" s="56" t="str">
        <f t="shared" si="14"/>
        <v/>
      </c>
      <c r="BN22" s="39"/>
      <c r="BO22" s="14" t="str">
        <f t="shared" si="15"/>
        <v/>
      </c>
      <c r="BP22" s="15">
        <v>0</v>
      </c>
      <c r="BQ22" s="15" t="str">
        <f t="shared" si="16"/>
        <v/>
      </c>
      <c r="BR22" s="15" t="str">
        <f t="shared" si="17"/>
        <v/>
      </c>
      <c r="BS22" s="16" t="str">
        <f t="shared" si="18"/>
        <v/>
      </c>
      <c r="BT22" s="39"/>
      <c r="BU22" s="51" t="str">
        <f t="shared" si="19"/>
        <v/>
      </c>
      <c r="BV22" s="28" t="str">
        <f t="shared" si="20"/>
        <v/>
      </c>
      <c r="BW22" s="28" t="str">
        <f t="shared" si="21"/>
        <v/>
      </c>
      <c r="BX22" s="28" t="str">
        <f t="shared" si="22"/>
        <v/>
      </c>
      <c r="BY22" s="28" t="str">
        <f t="shared" si="23"/>
        <v/>
      </c>
      <c r="BZ22" s="52" t="str">
        <f t="shared" si="24"/>
        <v/>
      </c>
      <c r="CA22" s="39"/>
      <c r="CB22" s="49" t="str">
        <f t="shared" si="25"/>
        <v>-</v>
      </c>
      <c r="CC22" s="29" t="str">
        <f t="shared" si="26"/>
        <v>-</v>
      </c>
      <c r="CD22" s="29" t="str">
        <f t="shared" si="27"/>
        <v>-</v>
      </c>
      <c r="CE22" s="29" t="str">
        <f t="shared" si="28"/>
        <v>-</v>
      </c>
      <c r="CF22" s="50" t="str">
        <f t="shared" si="29"/>
        <v>-</v>
      </c>
      <c r="CG22" s="39"/>
    </row>
    <row r="23" spans="1:85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2"/>
      <c r="D23" s="2"/>
      <c r="E23" s="3"/>
      <c r="F23" s="2"/>
      <c r="G23" s="2"/>
      <c r="H23" s="4"/>
      <c r="I23" s="4"/>
      <c r="J23" s="58"/>
      <c r="K23" s="5"/>
      <c r="L23" s="2"/>
      <c r="M23" s="2"/>
      <c r="N23" s="2"/>
      <c r="O23" s="2"/>
      <c r="P23" s="3"/>
      <c r="Q23" s="2"/>
      <c r="R23" s="2"/>
      <c r="S23" s="2"/>
      <c r="T23" s="2"/>
      <c r="U23" s="3"/>
      <c r="V23" s="3"/>
      <c r="W23" s="2"/>
      <c r="X23" s="2"/>
      <c r="Y23" s="2"/>
      <c r="Z23" s="2"/>
      <c r="AA23" s="2"/>
      <c r="AB23" s="2"/>
      <c r="AC23" s="2"/>
      <c r="AD23" s="2"/>
      <c r="AE23" s="3"/>
      <c r="AF23" s="3"/>
      <c r="AG23" s="2"/>
      <c r="AH23" s="6"/>
      <c r="AI23" s="7"/>
      <c r="AJ23" s="6"/>
      <c r="AK23" s="59"/>
      <c r="AL23" s="59"/>
      <c r="AM23" s="59"/>
      <c r="AN23" s="59"/>
      <c r="AO23" s="59"/>
      <c r="AP23" s="59"/>
      <c r="AQ23" s="59"/>
      <c r="AR23" s="59"/>
      <c r="AS23" s="8"/>
      <c r="AT23" s="8"/>
      <c r="AU23" s="9"/>
      <c r="AV23" s="8"/>
      <c r="AW23" s="10" t="e">
        <f t="shared" si="1"/>
        <v>#DIV/0!</v>
      </c>
      <c r="AX23" s="39"/>
      <c r="AY23" s="1" t="str">
        <f t="shared" si="2"/>
        <v/>
      </c>
      <c r="AZ23" s="11" t="str">
        <f t="shared" si="3"/>
        <v/>
      </c>
      <c r="BA23" s="1" t="str">
        <f t="shared" si="4"/>
        <v/>
      </c>
      <c r="BB23" s="39"/>
      <c r="BC23" s="53" t="str">
        <f t="shared" si="5"/>
        <v/>
      </c>
      <c r="BD23" s="12" t="str">
        <f t="shared" si="6"/>
        <v/>
      </c>
      <c r="BE23" s="12" t="str">
        <f t="shared" si="7"/>
        <v/>
      </c>
      <c r="BF23" s="12" t="str">
        <f t="shared" si="8"/>
        <v/>
      </c>
      <c r="BG23" s="12" t="str">
        <f t="shared" si="9"/>
        <v/>
      </c>
      <c r="BH23" s="54" t="str">
        <f t="shared" si="10"/>
        <v/>
      </c>
      <c r="BI23" s="39"/>
      <c r="BJ23" s="55" t="str">
        <f t="shared" si="11"/>
        <v/>
      </c>
      <c r="BK23" s="13" t="str">
        <f t="shared" si="12"/>
        <v/>
      </c>
      <c r="BL23" s="13" t="str">
        <f t="shared" si="13"/>
        <v/>
      </c>
      <c r="BM23" s="56" t="str">
        <f t="shared" si="14"/>
        <v/>
      </c>
      <c r="BN23" s="39"/>
      <c r="BO23" s="14" t="str">
        <f t="shared" si="15"/>
        <v/>
      </c>
      <c r="BP23" s="15">
        <v>0</v>
      </c>
      <c r="BQ23" s="15" t="str">
        <f t="shared" si="16"/>
        <v/>
      </c>
      <c r="BR23" s="15" t="str">
        <f t="shared" si="17"/>
        <v/>
      </c>
      <c r="BS23" s="16" t="str">
        <f t="shared" si="18"/>
        <v/>
      </c>
      <c r="BT23" s="39"/>
      <c r="BU23" s="51" t="str">
        <f t="shared" si="19"/>
        <v/>
      </c>
      <c r="BV23" s="28" t="str">
        <f t="shared" si="20"/>
        <v/>
      </c>
      <c r="BW23" s="28" t="str">
        <f t="shared" si="21"/>
        <v/>
      </c>
      <c r="BX23" s="28" t="str">
        <f t="shared" si="22"/>
        <v/>
      </c>
      <c r="BY23" s="28" t="str">
        <f t="shared" si="23"/>
        <v/>
      </c>
      <c r="BZ23" s="52" t="str">
        <f t="shared" si="24"/>
        <v/>
      </c>
      <c r="CA23" s="39"/>
      <c r="CB23" s="49" t="str">
        <f t="shared" si="25"/>
        <v>-</v>
      </c>
      <c r="CC23" s="29" t="str">
        <f t="shared" si="26"/>
        <v>-</v>
      </c>
      <c r="CD23" s="29" t="str">
        <f t="shared" si="27"/>
        <v>-</v>
      </c>
      <c r="CE23" s="29" t="str">
        <f t="shared" si="28"/>
        <v>-</v>
      </c>
      <c r="CF23" s="50" t="str">
        <f t="shared" si="29"/>
        <v>-</v>
      </c>
      <c r="CG23" s="39"/>
    </row>
    <row r="24" spans="1:85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2"/>
      <c r="D24" s="2"/>
      <c r="E24" s="3"/>
      <c r="F24" s="2"/>
      <c r="G24" s="2"/>
      <c r="H24" s="4"/>
      <c r="I24" s="4"/>
      <c r="J24" s="58"/>
      <c r="K24" s="5"/>
      <c r="L24" s="2"/>
      <c r="M24" s="2"/>
      <c r="N24" s="2"/>
      <c r="O24" s="2"/>
      <c r="P24" s="3"/>
      <c r="Q24" s="2"/>
      <c r="R24" s="2"/>
      <c r="S24" s="2"/>
      <c r="T24" s="2"/>
      <c r="U24" s="3"/>
      <c r="V24" s="3"/>
      <c r="W24" s="2"/>
      <c r="X24" s="2"/>
      <c r="Y24" s="2"/>
      <c r="Z24" s="2"/>
      <c r="AA24" s="2"/>
      <c r="AB24" s="2"/>
      <c r="AC24" s="2"/>
      <c r="AD24" s="2"/>
      <c r="AE24" s="3"/>
      <c r="AF24" s="3"/>
      <c r="AG24" s="2"/>
      <c r="AH24" s="6"/>
      <c r="AI24" s="7"/>
      <c r="AJ24" s="6"/>
      <c r="AK24" s="59"/>
      <c r="AL24" s="59"/>
      <c r="AM24" s="59"/>
      <c r="AN24" s="59"/>
      <c r="AO24" s="59"/>
      <c r="AP24" s="59"/>
      <c r="AQ24" s="59"/>
      <c r="AR24" s="59"/>
      <c r="AS24" s="8"/>
      <c r="AT24" s="8"/>
      <c r="AU24" s="9"/>
      <c r="AV24" s="8"/>
      <c r="AW24" s="10" t="e">
        <f t="shared" si="1"/>
        <v>#DIV/0!</v>
      </c>
      <c r="AX24" s="39"/>
      <c r="AY24" s="1" t="str">
        <f t="shared" si="2"/>
        <v/>
      </c>
      <c r="AZ24" s="11" t="str">
        <f t="shared" si="3"/>
        <v/>
      </c>
      <c r="BA24" s="1" t="str">
        <f t="shared" si="4"/>
        <v/>
      </c>
      <c r="BB24" s="39"/>
      <c r="BC24" s="53" t="str">
        <f t="shared" si="5"/>
        <v/>
      </c>
      <c r="BD24" s="12" t="str">
        <f t="shared" si="6"/>
        <v/>
      </c>
      <c r="BE24" s="12" t="str">
        <f t="shared" si="7"/>
        <v/>
      </c>
      <c r="BF24" s="12" t="str">
        <f t="shared" si="8"/>
        <v/>
      </c>
      <c r="BG24" s="12" t="str">
        <f t="shared" si="9"/>
        <v/>
      </c>
      <c r="BH24" s="54" t="str">
        <f t="shared" si="10"/>
        <v/>
      </c>
      <c r="BI24" s="39"/>
      <c r="BJ24" s="55" t="str">
        <f t="shared" si="11"/>
        <v/>
      </c>
      <c r="BK24" s="13" t="str">
        <f t="shared" si="12"/>
        <v/>
      </c>
      <c r="BL24" s="13" t="str">
        <f t="shared" si="13"/>
        <v/>
      </c>
      <c r="BM24" s="56" t="str">
        <f t="shared" si="14"/>
        <v/>
      </c>
      <c r="BN24" s="39"/>
      <c r="BO24" s="14" t="str">
        <f t="shared" si="15"/>
        <v/>
      </c>
      <c r="BP24" s="15">
        <v>0</v>
      </c>
      <c r="BQ24" s="15" t="str">
        <f t="shared" si="16"/>
        <v/>
      </c>
      <c r="BR24" s="15" t="str">
        <f t="shared" si="17"/>
        <v/>
      </c>
      <c r="BS24" s="16" t="str">
        <f t="shared" si="18"/>
        <v/>
      </c>
      <c r="BT24" s="39"/>
      <c r="BU24" s="51" t="str">
        <f t="shared" si="19"/>
        <v/>
      </c>
      <c r="BV24" s="28" t="str">
        <f t="shared" si="20"/>
        <v/>
      </c>
      <c r="BW24" s="28" t="str">
        <f t="shared" si="21"/>
        <v/>
      </c>
      <c r="BX24" s="28" t="str">
        <f t="shared" si="22"/>
        <v/>
      </c>
      <c r="BY24" s="28" t="str">
        <f t="shared" si="23"/>
        <v/>
      </c>
      <c r="BZ24" s="52" t="str">
        <f t="shared" si="24"/>
        <v/>
      </c>
      <c r="CA24" s="39"/>
      <c r="CB24" s="49" t="str">
        <f t="shared" si="25"/>
        <v>-</v>
      </c>
      <c r="CC24" s="29" t="str">
        <f t="shared" si="26"/>
        <v>-</v>
      </c>
      <c r="CD24" s="29" t="str">
        <f t="shared" si="27"/>
        <v>-</v>
      </c>
      <c r="CE24" s="29" t="str">
        <f t="shared" si="28"/>
        <v>-</v>
      </c>
      <c r="CF24" s="50" t="str">
        <f t="shared" si="29"/>
        <v>-</v>
      </c>
      <c r="CG24" s="39"/>
    </row>
    <row r="25" spans="1:85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2"/>
      <c r="D25" s="2"/>
      <c r="E25" s="3"/>
      <c r="F25" s="2"/>
      <c r="G25" s="2"/>
      <c r="H25" s="4"/>
      <c r="I25" s="4"/>
      <c r="J25" s="58"/>
      <c r="K25" s="5"/>
      <c r="L25" s="2"/>
      <c r="M25" s="2"/>
      <c r="N25" s="2"/>
      <c r="O25" s="2"/>
      <c r="P25" s="3"/>
      <c r="Q25" s="2"/>
      <c r="R25" s="2"/>
      <c r="S25" s="2"/>
      <c r="T25" s="2"/>
      <c r="U25" s="3"/>
      <c r="V25" s="3"/>
      <c r="W25" s="2"/>
      <c r="X25" s="2"/>
      <c r="Y25" s="2"/>
      <c r="Z25" s="2"/>
      <c r="AA25" s="2"/>
      <c r="AB25" s="2"/>
      <c r="AC25" s="2"/>
      <c r="AD25" s="2"/>
      <c r="AE25" s="3"/>
      <c r="AF25" s="3"/>
      <c r="AG25" s="2"/>
      <c r="AH25" s="6"/>
      <c r="AI25" s="7"/>
      <c r="AJ25" s="6"/>
      <c r="AK25" s="59"/>
      <c r="AL25" s="59"/>
      <c r="AM25" s="59"/>
      <c r="AN25" s="59"/>
      <c r="AO25" s="59"/>
      <c r="AP25" s="59"/>
      <c r="AQ25" s="59"/>
      <c r="AR25" s="59"/>
      <c r="AS25" s="8"/>
      <c r="AT25" s="8"/>
      <c r="AU25" s="9"/>
      <c r="AV25" s="8"/>
      <c r="AW25" s="10" t="e">
        <f t="shared" si="1"/>
        <v>#DIV/0!</v>
      </c>
      <c r="AX25" s="39"/>
      <c r="AY25" s="1" t="str">
        <f t="shared" si="2"/>
        <v/>
      </c>
      <c r="AZ25" s="11" t="str">
        <f t="shared" si="3"/>
        <v/>
      </c>
      <c r="BA25" s="1" t="str">
        <f t="shared" si="4"/>
        <v/>
      </c>
      <c r="BB25" s="39"/>
      <c r="BC25" s="53" t="str">
        <f t="shared" si="5"/>
        <v/>
      </c>
      <c r="BD25" s="12" t="str">
        <f t="shared" si="6"/>
        <v/>
      </c>
      <c r="BE25" s="12" t="str">
        <f t="shared" si="7"/>
        <v/>
      </c>
      <c r="BF25" s="12" t="str">
        <f t="shared" si="8"/>
        <v/>
      </c>
      <c r="BG25" s="12" t="str">
        <f t="shared" si="9"/>
        <v/>
      </c>
      <c r="BH25" s="54" t="str">
        <f t="shared" si="10"/>
        <v/>
      </c>
      <c r="BI25" s="39"/>
      <c r="BJ25" s="55" t="str">
        <f t="shared" si="11"/>
        <v/>
      </c>
      <c r="BK25" s="13" t="str">
        <f t="shared" si="12"/>
        <v/>
      </c>
      <c r="BL25" s="13" t="str">
        <f t="shared" si="13"/>
        <v/>
      </c>
      <c r="BM25" s="56" t="str">
        <f t="shared" si="14"/>
        <v/>
      </c>
      <c r="BN25" s="39"/>
      <c r="BO25" s="14" t="str">
        <f t="shared" si="15"/>
        <v/>
      </c>
      <c r="BP25" s="15">
        <v>0</v>
      </c>
      <c r="BQ25" s="15" t="str">
        <f t="shared" si="16"/>
        <v/>
      </c>
      <c r="BR25" s="15" t="str">
        <f t="shared" si="17"/>
        <v/>
      </c>
      <c r="BS25" s="16" t="str">
        <f t="shared" si="18"/>
        <v/>
      </c>
      <c r="BT25" s="39"/>
      <c r="BU25" s="51" t="str">
        <f t="shared" si="19"/>
        <v/>
      </c>
      <c r="BV25" s="28" t="str">
        <f t="shared" si="20"/>
        <v/>
      </c>
      <c r="BW25" s="28" t="str">
        <f t="shared" si="21"/>
        <v/>
      </c>
      <c r="BX25" s="28" t="str">
        <f t="shared" si="22"/>
        <v/>
      </c>
      <c r="BY25" s="28" t="str">
        <f t="shared" si="23"/>
        <v/>
      </c>
      <c r="BZ25" s="52" t="str">
        <f t="shared" si="24"/>
        <v/>
      </c>
      <c r="CA25" s="39"/>
      <c r="CB25" s="49" t="str">
        <f t="shared" si="25"/>
        <v>-</v>
      </c>
      <c r="CC25" s="29" t="str">
        <f t="shared" si="26"/>
        <v>-</v>
      </c>
      <c r="CD25" s="29" t="str">
        <f t="shared" si="27"/>
        <v>-</v>
      </c>
      <c r="CE25" s="29" t="str">
        <f t="shared" si="28"/>
        <v>-</v>
      </c>
      <c r="CF25" s="50" t="str">
        <f t="shared" si="29"/>
        <v>-</v>
      </c>
      <c r="CG25" s="39"/>
    </row>
    <row r="26" spans="1:85" s="27" customFormat="1" ht="12.4" customHeight="1" thickBot="1" x14ac:dyDescent="0.25">
      <c r="A26" s="43">
        <f t="shared" si="30"/>
        <v>46318</v>
      </c>
      <c r="B26" s="44" t="str">
        <f>+TEXT(A26,"DDD")</f>
        <v>Fri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1"/>
      <c r="AL26" s="61"/>
      <c r="AM26" s="61"/>
      <c r="AN26" s="61"/>
      <c r="AO26" s="61"/>
      <c r="AP26" s="61"/>
      <c r="AQ26" s="61"/>
      <c r="AR26" s="61"/>
      <c r="AS26" s="60"/>
      <c r="AT26" s="60"/>
      <c r="AU26" s="60"/>
      <c r="AV26" s="60"/>
      <c r="AW26" s="10" t="e">
        <f t="shared" si="1"/>
        <v>#DIV/0!</v>
      </c>
      <c r="AX26" s="39"/>
      <c r="AY26" s="1" t="str">
        <f t="shared" si="2"/>
        <v/>
      </c>
      <c r="AZ26" s="11" t="str">
        <f t="shared" si="3"/>
        <v/>
      </c>
      <c r="BA26" s="1" t="str">
        <f t="shared" si="4"/>
        <v/>
      </c>
      <c r="BB26" s="39"/>
      <c r="BC26" s="53" t="str">
        <f t="shared" si="5"/>
        <v/>
      </c>
      <c r="BD26" s="12" t="str">
        <f t="shared" si="6"/>
        <v/>
      </c>
      <c r="BE26" s="12" t="str">
        <f t="shared" si="7"/>
        <v/>
      </c>
      <c r="BF26" s="12" t="str">
        <f t="shared" si="8"/>
        <v/>
      </c>
      <c r="BG26" s="12" t="str">
        <f t="shared" si="9"/>
        <v/>
      </c>
      <c r="BH26" s="54" t="str">
        <f t="shared" si="10"/>
        <v/>
      </c>
      <c r="BI26" s="39"/>
      <c r="BJ26" s="55" t="str">
        <f t="shared" si="11"/>
        <v/>
      </c>
      <c r="BK26" s="13" t="str">
        <f t="shared" si="12"/>
        <v/>
      </c>
      <c r="BL26" s="13" t="str">
        <f t="shared" si="13"/>
        <v/>
      </c>
      <c r="BM26" s="56" t="str">
        <f t="shared" si="14"/>
        <v/>
      </c>
      <c r="BN26" s="39"/>
      <c r="BO26" s="14" t="str">
        <f t="shared" si="15"/>
        <v/>
      </c>
      <c r="BP26" s="15">
        <v>0</v>
      </c>
      <c r="BQ26" s="15" t="str">
        <f t="shared" si="16"/>
        <v/>
      </c>
      <c r="BR26" s="15" t="str">
        <f t="shared" si="17"/>
        <v/>
      </c>
      <c r="BS26" s="16" t="str">
        <f t="shared" si="18"/>
        <v/>
      </c>
      <c r="BT26" s="39"/>
      <c r="BU26" s="51" t="str">
        <f t="shared" si="19"/>
        <v/>
      </c>
      <c r="BV26" s="28" t="str">
        <f t="shared" si="20"/>
        <v/>
      </c>
      <c r="BW26" s="28" t="str">
        <f t="shared" si="21"/>
        <v/>
      </c>
      <c r="BX26" s="28" t="str">
        <f t="shared" si="22"/>
        <v/>
      </c>
      <c r="BY26" s="28" t="str">
        <f t="shared" si="23"/>
        <v/>
      </c>
      <c r="BZ26" s="52" t="str">
        <f t="shared" si="24"/>
        <v/>
      </c>
      <c r="CA26" s="39"/>
      <c r="CB26" s="49" t="str">
        <f t="shared" si="25"/>
        <v>-</v>
      </c>
      <c r="CC26" s="29" t="str">
        <f t="shared" si="26"/>
        <v>-</v>
      </c>
      <c r="CD26" s="29" t="str">
        <f t="shared" si="27"/>
        <v>-</v>
      </c>
      <c r="CE26" s="29" t="str">
        <f t="shared" si="28"/>
        <v>-</v>
      </c>
      <c r="CF26" s="50" t="str">
        <f t="shared" si="29"/>
        <v>-</v>
      </c>
      <c r="CG26" s="39"/>
    </row>
    <row r="27" spans="1:85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2"/>
      <c r="D27" s="2"/>
      <c r="E27" s="3"/>
      <c r="F27" s="2"/>
      <c r="G27" s="2"/>
      <c r="H27" s="4"/>
      <c r="I27" s="4"/>
      <c r="J27" s="58"/>
      <c r="K27" s="5"/>
      <c r="L27" s="2"/>
      <c r="M27" s="2"/>
      <c r="N27" s="2"/>
      <c r="O27" s="2"/>
      <c r="P27" s="3"/>
      <c r="Q27" s="2"/>
      <c r="R27" s="2"/>
      <c r="S27" s="2"/>
      <c r="T27" s="2"/>
      <c r="U27" s="3"/>
      <c r="V27" s="3"/>
      <c r="W27" s="2"/>
      <c r="X27" s="2"/>
      <c r="Y27" s="2"/>
      <c r="Z27" s="2"/>
      <c r="AA27" s="2"/>
      <c r="AB27" s="2"/>
      <c r="AC27" s="2"/>
      <c r="AD27" s="2"/>
      <c r="AE27" s="3"/>
      <c r="AF27" s="3"/>
      <c r="AG27" s="2"/>
      <c r="AH27" s="6"/>
      <c r="AI27" s="7"/>
      <c r="AJ27" s="6"/>
      <c r="AK27" s="59"/>
      <c r="AL27" s="59"/>
      <c r="AM27" s="59"/>
      <c r="AN27" s="59"/>
      <c r="AO27" s="59"/>
      <c r="AP27" s="59"/>
      <c r="AQ27" s="59"/>
      <c r="AR27" s="59"/>
      <c r="AS27" s="8"/>
      <c r="AT27" s="8"/>
      <c r="AU27" s="9"/>
      <c r="AV27" s="8"/>
      <c r="AW27" s="10" t="e">
        <f t="shared" si="1"/>
        <v>#DIV/0!</v>
      </c>
      <c r="AX27" s="39"/>
      <c r="AY27" s="1" t="str">
        <f t="shared" si="2"/>
        <v/>
      </c>
      <c r="AZ27" s="11" t="str">
        <f t="shared" si="3"/>
        <v/>
      </c>
      <c r="BA27" s="1" t="str">
        <f t="shared" si="4"/>
        <v/>
      </c>
      <c r="BB27" s="39"/>
      <c r="BC27" s="53" t="str">
        <f t="shared" si="5"/>
        <v/>
      </c>
      <c r="BD27" s="12" t="str">
        <f t="shared" si="6"/>
        <v/>
      </c>
      <c r="BE27" s="12" t="str">
        <f t="shared" si="7"/>
        <v/>
      </c>
      <c r="BF27" s="12" t="str">
        <f t="shared" si="8"/>
        <v/>
      </c>
      <c r="BG27" s="12" t="str">
        <f t="shared" si="9"/>
        <v/>
      </c>
      <c r="BH27" s="54" t="str">
        <f t="shared" si="10"/>
        <v/>
      </c>
      <c r="BI27" s="39"/>
      <c r="BJ27" s="55" t="str">
        <f t="shared" si="11"/>
        <v/>
      </c>
      <c r="BK27" s="13" t="str">
        <f t="shared" si="12"/>
        <v/>
      </c>
      <c r="BL27" s="13" t="str">
        <f t="shared" si="13"/>
        <v/>
      </c>
      <c r="BM27" s="56" t="str">
        <f t="shared" si="14"/>
        <v/>
      </c>
      <c r="BN27" s="39"/>
      <c r="BO27" s="14" t="str">
        <f t="shared" si="15"/>
        <v/>
      </c>
      <c r="BP27" s="15">
        <v>0</v>
      </c>
      <c r="BQ27" s="15" t="str">
        <f t="shared" si="16"/>
        <v/>
      </c>
      <c r="BR27" s="15" t="str">
        <f t="shared" si="17"/>
        <v/>
      </c>
      <c r="BS27" s="16" t="str">
        <f t="shared" si="18"/>
        <v/>
      </c>
      <c r="BT27" s="39"/>
      <c r="BU27" s="51" t="str">
        <f t="shared" si="19"/>
        <v/>
      </c>
      <c r="BV27" s="28" t="str">
        <f t="shared" si="20"/>
        <v/>
      </c>
      <c r="BW27" s="28" t="str">
        <f t="shared" si="21"/>
        <v/>
      </c>
      <c r="BX27" s="28" t="str">
        <f t="shared" si="22"/>
        <v/>
      </c>
      <c r="BY27" s="28" t="str">
        <f t="shared" si="23"/>
        <v/>
      </c>
      <c r="BZ27" s="52" t="str">
        <f t="shared" si="24"/>
        <v/>
      </c>
      <c r="CA27" s="39"/>
      <c r="CB27" s="49" t="str">
        <f t="shared" si="25"/>
        <v>-</v>
      </c>
      <c r="CC27" s="29" t="str">
        <f t="shared" si="26"/>
        <v>-</v>
      </c>
      <c r="CD27" s="29" t="str">
        <f t="shared" si="27"/>
        <v>-</v>
      </c>
      <c r="CE27" s="29" t="str">
        <f t="shared" si="28"/>
        <v>-</v>
      </c>
      <c r="CF27" s="50" t="str">
        <f t="shared" si="29"/>
        <v>-</v>
      </c>
      <c r="CG27" s="39"/>
    </row>
    <row r="28" spans="1:85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2"/>
      <c r="D28" s="2"/>
      <c r="E28" s="3"/>
      <c r="F28" s="2"/>
      <c r="G28" s="2"/>
      <c r="H28" s="4"/>
      <c r="I28" s="4"/>
      <c r="J28" s="58"/>
      <c r="K28" s="5"/>
      <c r="L28" s="2"/>
      <c r="M28" s="2"/>
      <c r="N28" s="2"/>
      <c r="O28" s="2"/>
      <c r="P28" s="3"/>
      <c r="Q28" s="2"/>
      <c r="R28" s="2"/>
      <c r="S28" s="2"/>
      <c r="T28" s="2"/>
      <c r="U28" s="3"/>
      <c r="V28" s="3"/>
      <c r="W28" s="2"/>
      <c r="X28" s="2"/>
      <c r="Y28" s="2"/>
      <c r="Z28" s="2"/>
      <c r="AA28" s="2"/>
      <c r="AB28" s="2"/>
      <c r="AC28" s="2"/>
      <c r="AD28" s="2"/>
      <c r="AE28" s="3"/>
      <c r="AF28" s="3"/>
      <c r="AG28" s="2"/>
      <c r="AH28" s="6"/>
      <c r="AI28" s="7"/>
      <c r="AJ28" s="6"/>
      <c r="AK28" s="59"/>
      <c r="AL28" s="59"/>
      <c r="AM28" s="59"/>
      <c r="AN28" s="59"/>
      <c r="AO28" s="59"/>
      <c r="AP28" s="59"/>
      <c r="AQ28" s="59"/>
      <c r="AR28" s="59"/>
      <c r="AS28" s="8"/>
      <c r="AT28" s="8"/>
      <c r="AU28" s="9"/>
      <c r="AV28" s="8"/>
      <c r="AW28" s="10" t="e">
        <f t="shared" si="1"/>
        <v>#DIV/0!</v>
      </c>
      <c r="AX28" s="39"/>
      <c r="AY28" s="1" t="str">
        <f t="shared" si="2"/>
        <v/>
      </c>
      <c r="AZ28" s="11" t="str">
        <f t="shared" si="3"/>
        <v/>
      </c>
      <c r="BA28" s="1" t="str">
        <f t="shared" si="4"/>
        <v/>
      </c>
      <c r="BB28" s="39"/>
      <c r="BC28" s="53" t="str">
        <f t="shared" si="5"/>
        <v/>
      </c>
      <c r="BD28" s="12" t="str">
        <f t="shared" si="6"/>
        <v/>
      </c>
      <c r="BE28" s="12" t="str">
        <f t="shared" si="7"/>
        <v/>
      </c>
      <c r="BF28" s="12" t="str">
        <f t="shared" si="8"/>
        <v/>
      </c>
      <c r="BG28" s="12" t="str">
        <f t="shared" si="9"/>
        <v/>
      </c>
      <c r="BH28" s="54" t="str">
        <f t="shared" si="10"/>
        <v/>
      </c>
      <c r="BI28" s="39"/>
      <c r="BJ28" s="55" t="str">
        <f t="shared" si="11"/>
        <v/>
      </c>
      <c r="BK28" s="13" t="str">
        <f t="shared" si="12"/>
        <v/>
      </c>
      <c r="BL28" s="13" t="str">
        <f t="shared" si="13"/>
        <v/>
      </c>
      <c r="BM28" s="56" t="str">
        <f t="shared" si="14"/>
        <v/>
      </c>
      <c r="BN28" s="39"/>
      <c r="BO28" s="14" t="str">
        <f t="shared" si="15"/>
        <v/>
      </c>
      <c r="BP28" s="15">
        <v>0</v>
      </c>
      <c r="BQ28" s="15" t="str">
        <f t="shared" si="16"/>
        <v/>
      </c>
      <c r="BR28" s="15" t="str">
        <f t="shared" si="17"/>
        <v/>
      </c>
      <c r="BS28" s="16" t="str">
        <f t="shared" si="18"/>
        <v/>
      </c>
      <c r="BT28" s="39"/>
      <c r="BU28" s="51" t="str">
        <f t="shared" si="19"/>
        <v/>
      </c>
      <c r="BV28" s="28" t="str">
        <f t="shared" si="20"/>
        <v/>
      </c>
      <c r="BW28" s="28" t="str">
        <f t="shared" si="21"/>
        <v/>
      </c>
      <c r="BX28" s="28" t="str">
        <f t="shared" si="22"/>
        <v/>
      </c>
      <c r="BY28" s="28" t="str">
        <f t="shared" si="23"/>
        <v/>
      </c>
      <c r="BZ28" s="52" t="str">
        <f t="shared" si="24"/>
        <v/>
      </c>
      <c r="CA28" s="39"/>
      <c r="CB28" s="49" t="str">
        <f t="shared" si="25"/>
        <v>-</v>
      </c>
      <c r="CC28" s="29" t="str">
        <f t="shared" si="26"/>
        <v>-</v>
      </c>
      <c r="CD28" s="29" t="str">
        <f t="shared" si="27"/>
        <v>-</v>
      </c>
      <c r="CE28" s="29" t="str">
        <f t="shared" si="28"/>
        <v>-</v>
      </c>
      <c r="CF28" s="50" t="str">
        <f t="shared" si="29"/>
        <v>-</v>
      </c>
      <c r="CG28" s="39"/>
    </row>
    <row r="29" spans="1:85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2"/>
      <c r="D29" s="2"/>
      <c r="E29" s="3"/>
      <c r="F29" s="2"/>
      <c r="G29" s="2"/>
      <c r="H29" s="4"/>
      <c r="I29" s="4"/>
      <c r="J29" s="69"/>
      <c r="K29" s="5"/>
      <c r="L29" s="2"/>
      <c r="M29" s="2"/>
      <c r="N29" s="2"/>
      <c r="O29" s="2"/>
      <c r="P29" s="3"/>
      <c r="Q29" s="2"/>
      <c r="R29" s="2"/>
      <c r="S29" s="2"/>
      <c r="T29" s="2"/>
      <c r="U29" s="3"/>
      <c r="V29" s="3"/>
      <c r="W29" s="2"/>
      <c r="X29" s="2"/>
      <c r="Y29" s="2"/>
      <c r="Z29" s="2"/>
      <c r="AA29" s="2"/>
      <c r="AB29" s="2"/>
      <c r="AC29" s="2"/>
      <c r="AD29" s="2"/>
      <c r="AE29" s="3"/>
      <c r="AF29" s="3"/>
      <c r="AG29" s="2"/>
      <c r="AH29" s="6"/>
      <c r="AI29" s="7"/>
      <c r="AJ29" s="6"/>
      <c r="AK29" s="59"/>
      <c r="AL29" s="59"/>
      <c r="AM29" s="59"/>
      <c r="AN29" s="59"/>
      <c r="AO29" s="59"/>
      <c r="AP29" s="59"/>
      <c r="AQ29" s="59"/>
      <c r="AR29" s="59"/>
      <c r="AS29" s="8"/>
      <c r="AT29" s="8"/>
      <c r="AU29" s="9"/>
      <c r="AV29" s="8"/>
      <c r="AW29" s="10" t="e">
        <f t="shared" si="1"/>
        <v>#DIV/0!</v>
      </c>
      <c r="AX29" s="39"/>
      <c r="AY29" s="1" t="str">
        <f t="shared" si="2"/>
        <v/>
      </c>
      <c r="AZ29" s="11" t="str">
        <f t="shared" si="3"/>
        <v/>
      </c>
      <c r="BA29" s="1" t="str">
        <f t="shared" si="4"/>
        <v/>
      </c>
      <c r="BB29" s="39"/>
      <c r="BC29" s="53" t="str">
        <f t="shared" si="5"/>
        <v/>
      </c>
      <c r="BD29" s="12" t="str">
        <f t="shared" si="6"/>
        <v/>
      </c>
      <c r="BE29" s="12" t="str">
        <f t="shared" si="7"/>
        <v/>
      </c>
      <c r="BF29" s="12" t="str">
        <f t="shared" si="8"/>
        <v/>
      </c>
      <c r="BG29" s="12" t="str">
        <f t="shared" si="9"/>
        <v/>
      </c>
      <c r="BH29" s="54" t="str">
        <f t="shared" si="10"/>
        <v/>
      </c>
      <c r="BI29" s="39"/>
      <c r="BJ29" s="55" t="str">
        <f t="shared" si="11"/>
        <v/>
      </c>
      <c r="BK29" s="13" t="str">
        <f t="shared" si="12"/>
        <v/>
      </c>
      <c r="BL29" s="13" t="str">
        <f t="shared" si="13"/>
        <v/>
      </c>
      <c r="BM29" s="56" t="str">
        <f t="shared" si="14"/>
        <v/>
      </c>
      <c r="BN29" s="39"/>
      <c r="BO29" s="14" t="str">
        <f t="shared" si="15"/>
        <v/>
      </c>
      <c r="BP29" s="15">
        <v>0</v>
      </c>
      <c r="BQ29" s="15" t="str">
        <f t="shared" si="16"/>
        <v/>
      </c>
      <c r="BR29" s="15" t="str">
        <f t="shared" si="17"/>
        <v/>
      </c>
      <c r="BS29" s="16" t="str">
        <f t="shared" si="18"/>
        <v/>
      </c>
      <c r="BT29" s="39"/>
      <c r="BU29" s="51" t="str">
        <f t="shared" si="19"/>
        <v/>
      </c>
      <c r="BV29" s="28" t="str">
        <f t="shared" si="20"/>
        <v/>
      </c>
      <c r="BW29" s="28" t="str">
        <f t="shared" si="21"/>
        <v/>
      </c>
      <c r="BX29" s="28" t="str">
        <f t="shared" si="22"/>
        <v/>
      </c>
      <c r="BY29" s="28" t="str">
        <f t="shared" si="23"/>
        <v/>
      </c>
      <c r="BZ29" s="52" t="str">
        <f t="shared" si="24"/>
        <v/>
      </c>
      <c r="CA29" s="39"/>
      <c r="CB29" s="49" t="str">
        <f t="shared" si="25"/>
        <v>-</v>
      </c>
      <c r="CC29" s="29" t="str">
        <f t="shared" si="26"/>
        <v>-</v>
      </c>
      <c r="CD29" s="29" t="str">
        <f t="shared" si="27"/>
        <v>-</v>
      </c>
      <c r="CE29" s="29" t="str">
        <f t="shared" si="28"/>
        <v>-</v>
      </c>
      <c r="CF29" s="50" t="str">
        <f t="shared" si="29"/>
        <v>-</v>
      </c>
      <c r="CG29" s="39"/>
    </row>
    <row r="30" spans="1:85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2"/>
      <c r="D30" s="2"/>
      <c r="E30" s="3"/>
      <c r="F30" s="2"/>
      <c r="G30" s="2"/>
      <c r="H30" s="4"/>
      <c r="I30" s="4"/>
      <c r="J30" s="86"/>
      <c r="K30" s="5"/>
      <c r="L30" s="2"/>
      <c r="M30" s="2"/>
      <c r="N30" s="2"/>
      <c r="O30" s="2"/>
      <c r="P30" s="3"/>
      <c r="Q30" s="2"/>
      <c r="R30" s="2"/>
      <c r="S30" s="2"/>
      <c r="T30" s="2"/>
      <c r="U30" s="3"/>
      <c r="V30" s="3"/>
      <c r="W30" s="2"/>
      <c r="X30" s="2"/>
      <c r="Y30" s="2"/>
      <c r="Z30" s="2"/>
      <c r="AA30" s="2"/>
      <c r="AB30" s="2"/>
      <c r="AC30" s="2"/>
      <c r="AD30" s="2"/>
      <c r="AE30" s="3"/>
      <c r="AF30" s="3"/>
      <c r="AG30" s="2"/>
      <c r="AH30" s="6"/>
      <c r="AI30" s="7"/>
      <c r="AJ30" s="6"/>
      <c r="AK30" s="59"/>
      <c r="AL30" s="59"/>
      <c r="AM30" s="59"/>
      <c r="AN30" s="59"/>
      <c r="AO30" s="59"/>
      <c r="AP30" s="59"/>
      <c r="AQ30" s="59"/>
      <c r="AR30" s="59"/>
      <c r="AS30" s="8"/>
      <c r="AT30" s="8"/>
      <c r="AU30" s="9"/>
      <c r="AV30" s="8"/>
      <c r="AW30" s="10" t="e">
        <f t="shared" si="1"/>
        <v>#DIV/0!</v>
      </c>
      <c r="AX30" s="39"/>
      <c r="AY30" s="1" t="str">
        <f t="shared" si="2"/>
        <v/>
      </c>
      <c r="AZ30" s="11" t="str">
        <f t="shared" si="3"/>
        <v/>
      </c>
      <c r="BA30" s="1" t="str">
        <f t="shared" si="4"/>
        <v/>
      </c>
      <c r="BB30" s="39"/>
      <c r="BC30" s="53" t="str">
        <f t="shared" si="5"/>
        <v/>
      </c>
      <c r="BD30" s="12" t="str">
        <f t="shared" si="6"/>
        <v/>
      </c>
      <c r="BE30" s="12" t="str">
        <f t="shared" si="7"/>
        <v/>
      </c>
      <c r="BF30" s="12" t="str">
        <f t="shared" si="8"/>
        <v/>
      </c>
      <c r="BG30" s="12" t="str">
        <f t="shared" si="9"/>
        <v/>
      </c>
      <c r="BH30" s="54" t="str">
        <f t="shared" si="10"/>
        <v/>
      </c>
      <c r="BI30" s="39"/>
      <c r="BJ30" s="55" t="str">
        <f t="shared" si="11"/>
        <v/>
      </c>
      <c r="BK30" s="13" t="str">
        <f t="shared" si="12"/>
        <v/>
      </c>
      <c r="BL30" s="13" t="str">
        <f t="shared" si="13"/>
        <v/>
      </c>
      <c r="BM30" s="56" t="str">
        <f t="shared" si="14"/>
        <v/>
      </c>
      <c r="BN30" s="39"/>
      <c r="BO30" s="14" t="str">
        <f t="shared" si="15"/>
        <v/>
      </c>
      <c r="BP30" s="15">
        <v>0</v>
      </c>
      <c r="BQ30" s="15" t="str">
        <f t="shared" si="16"/>
        <v/>
      </c>
      <c r="BR30" s="15" t="str">
        <f t="shared" si="17"/>
        <v/>
      </c>
      <c r="BS30" s="16" t="str">
        <f t="shared" si="18"/>
        <v/>
      </c>
      <c r="BT30" s="39"/>
      <c r="BU30" s="51" t="str">
        <f t="shared" si="19"/>
        <v/>
      </c>
      <c r="BV30" s="28" t="str">
        <f t="shared" si="20"/>
        <v/>
      </c>
      <c r="BW30" s="28" t="str">
        <f t="shared" si="21"/>
        <v/>
      </c>
      <c r="BX30" s="28" t="str">
        <f t="shared" si="22"/>
        <v/>
      </c>
      <c r="BY30" s="28" t="str">
        <f t="shared" si="23"/>
        <v/>
      </c>
      <c r="BZ30" s="52" t="str">
        <f t="shared" si="24"/>
        <v/>
      </c>
      <c r="CA30" s="39"/>
      <c r="CB30" s="49" t="str">
        <f t="shared" si="25"/>
        <v>-</v>
      </c>
      <c r="CC30" s="29" t="str">
        <f t="shared" si="26"/>
        <v>-</v>
      </c>
      <c r="CD30" s="29" t="str">
        <f t="shared" si="27"/>
        <v>-</v>
      </c>
      <c r="CE30" s="29" t="str">
        <f t="shared" si="28"/>
        <v>-</v>
      </c>
      <c r="CF30" s="50" t="str">
        <f t="shared" si="29"/>
        <v>-</v>
      </c>
      <c r="CG30" s="39"/>
    </row>
    <row r="31" spans="1:85" s="27" customFormat="1" ht="12.4" customHeight="1" thickBot="1" x14ac:dyDescent="0.25">
      <c r="A31" s="43">
        <f t="shared" si="30"/>
        <v>46323</v>
      </c>
      <c r="B31" s="44" t="str">
        <f>+TEXT(A31,"DDD")</f>
        <v>Wed</v>
      </c>
      <c r="C31" s="2"/>
      <c r="D31" s="2"/>
      <c r="E31" s="3"/>
      <c r="F31" s="2"/>
      <c r="G31" s="2"/>
      <c r="H31" s="4"/>
      <c r="I31" s="4"/>
      <c r="J31" s="58"/>
      <c r="K31" s="5"/>
      <c r="L31" s="2"/>
      <c r="M31" s="2"/>
      <c r="N31" s="2"/>
      <c r="O31" s="2"/>
      <c r="P31" s="3"/>
      <c r="Q31" s="2"/>
      <c r="R31" s="2"/>
      <c r="S31" s="2"/>
      <c r="T31" s="2"/>
      <c r="U31" s="3"/>
      <c r="V31" s="3"/>
      <c r="W31" s="2"/>
      <c r="X31" s="2"/>
      <c r="Y31" s="2"/>
      <c r="Z31" s="2"/>
      <c r="AA31" s="2"/>
      <c r="AB31" s="2"/>
      <c r="AC31" s="2"/>
      <c r="AD31" s="2"/>
      <c r="AE31" s="3"/>
      <c r="AF31" s="3"/>
      <c r="AG31" s="2"/>
      <c r="AH31" s="6"/>
      <c r="AI31" s="7"/>
      <c r="AJ31" s="6"/>
      <c r="AK31" s="59"/>
      <c r="AL31" s="59"/>
      <c r="AM31" s="59"/>
      <c r="AN31" s="59"/>
      <c r="AO31" s="59"/>
      <c r="AP31" s="59"/>
      <c r="AQ31" s="59"/>
      <c r="AR31" s="59"/>
      <c r="AS31" s="8"/>
      <c r="AT31" s="8"/>
      <c r="AU31" s="9"/>
      <c r="AV31" s="8"/>
      <c r="AW31" s="10" t="e">
        <f t="shared" si="1"/>
        <v>#DIV/0!</v>
      </c>
      <c r="AX31" s="39"/>
      <c r="AY31" s="1" t="str">
        <f t="shared" si="2"/>
        <v/>
      </c>
      <c r="AZ31" s="11" t="str">
        <f t="shared" si="3"/>
        <v/>
      </c>
      <c r="BA31" s="1" t="str">
        <f t="shared" si="4"/>
        <v/>
      </c>
      <c r="BB31" s="39"/>
      <c r="BC31" s="53" t="str">
        <f t="shared" si="5"/>
        <v/>
      </c>
      <c r="BD31" s="12" t="str">
        <f t="shared" si="6"/>
        <v/>
      </c>
      <c r="BE31" s="12" t="str">
        <f t="shared" si="7"/>
        <v/>
      </c>
      <c r="BF31" s="12" t="str">
        <f t="shared" si="8"/>
        <v/>
      </c>
      <c r="BG31" s="12" t="str">
        <f t="shared" si="9"/>
        <v/>
      </c>
      <c r="BH31" s="54" t="str">
        <f t="shared" si="10"/>
        <v/>
      </c>
      <c r="BI31" s="39"/>
      <c r="BJ31" s="55" t="str">
        <f t="shared" si="11"/>
        <v/>
      </c>
      <c r="BK31" s="13" t="str">
        <f t="shared" si="12"/>
        <v/>
      </c>
      <c r="BL31" s="13" t="str">
        <f t="shared" si="13"/>
        <v/>
      </c>
      <c r="BM31" s="56" t="str">
        <f t="shared" si="14"/>
        <v/>
      </c>
      <c r="BN31" s="39"/>
      <c r="BO31" s="14" t="str">
        <f t="shared" si="15"/>
        <v/>
      </c>
      <c r="BP31" s="15">
        <v>0</v>
      </c>
      <c r="BQ31" s="15" t="str">
        <f t="shared" si="16"/>
        <v/>
      </c>
      <c r="BR31" s="15" t="str">
        <f t="shared" si="17"/>
        <v/>
      </c>
      <c r="BS31" s="16" t="str">
        <f t="shared" si="18"/>
        <v/>
      </c>
      <c r="BT31" s="39"/>
      <c r="BU31" s="51" t="str">
        <f t="shared" si="19"/>
        <v/>
      </c>
      <c r="BV31" s="28" t="str">
        <f t="shared" si="20"/>
        <v/>
      </c>
      <c r="BW31" s="28" t="str">
        <f t="shared" si="21"/>
        <v/>
      </c>
      <c r="BX31" s="28" t="str">
        <f t="shared" si="22"/>
        <v/>
      </c>
      <c r="BY31" s="28" t="str">
        <f t="shared" si="23"/>
        <v/>
      </c>
      <c r="BZ31" s="52" t="str">
        <f t="shared" si="24"/>
        <v/>
      </c>
      <c r="CA31" s="39"/>
      <c r="CB31" s="49" t="str">
        <f t="shared" si="25"/>
        <v>-</v>
      </c>
      <c r="CC31" s="29" t="str">
        <f t="shared" si="26"/>
        <v>-</v>
      </c>
      <c r="CD31" s="29" t="str">
        <f t="shared" si="27"/>
        <v>-</v>
      </c>
      <c r="CE31" s="29" t="str">
        <f t="shared" si="28"/>
        <v>-</v>
      </c>
      <c r="CF31" s="50" t="str">
        <f t="shared" si="29"/>
        <v>-</v>
      </c>
      <c r="CG31" s="39"/>
    </row>
    <row r="32" spans="1:85" s="27" customFormat="1" ht="13.15" customHeight="1" thickBot="1" x14ac:dyDescent="0.25">
      <c r="A32" s="288" t="s">
        <v>68</v>
      </c>
      <c r="B32" s="289"/>
      <c r="C32" s="45" t="e">
        <f t="shared" ref="C32:AV32" si="31">AVERAGE(C4:C31)</f>
        <v>#DIV/0!</v>
      </c>
      <c r="D32" s="17" t="e">
        <f t="shared" si="31"/>
        <v>#DIV/0!</v>
      </c>
      <c r="E32" s="17" t="e">
        <f t="shared" si="31"/>
        <v>#DIV/0!</v>
      </c>
      <c r="F32" s="17" t="e">
        <f t="shared" si="31"/>
        <v>#DIV/0!</v>
      </c>
      <c r="G32" s="17" t="e">
        <f t="shared" si="31"/>
        <v>#DIV/0!</v>
      </c>
      <c r="H32" s="17" t="e">
        <f t="shared" si="31"/>
        <v>#DIV/0!</v>
      </c>
      <c r="I32" s="17" t="e">
        <f t="shared" si="31"/>
        <v>#DIV/0!</v>
      </c>
      <c r="J32" s="17" t="e">
        <f t="shared" si="31"/>
        <v>#DIV/0!</v>
      </c>
      <c r="K32" s="17" t="e">
        <f t="shared" si="31"/>
        <v>#DIV/0!</v>
      </c>
      <c r="L32" s="17" t="e">
        <f t="shared" si="31"/>
        <v>#DIV/0!</v>
      </c>
      <c r="M32" s="17" t="e">
        <f t="shared" si="31"/>
        <v>#DIV/0!</v>
      </c>
      <c r="N32" s="17" t="e">
        <f t="shared" si="31"/>
        <v>#DIV/0!</v>
      </c>
      <c r="O32" s="17" t="e">
        <f t="shared" si="31"/>
        <v>#DIV/0!</v>
      </c>
      <c r="P32" s="17" t="e">
        <f t="shared" si="31"/>
        <v>#DIV/0!</v>
      </c>
      <c r="Q32" s="17" t="e">
        <f t="shared" si="31"/>
        <v>#DIV/0!</v>
      </c>
      <c r="R32" s="17" t="e">
        <f t="shared" si="31"/>
        <v>#DIV/0!</v>
      </c>
      <c r="S32" s="17" t="e">
        <f t="shared" si="31"/>
        <v>#DIV/0!</v>
      </c>
      <c r="T32" s="17" t="e">
        <f t="shared" si="31"/>
        <v>#DIV/0!</v>
      </c>
      <c r="U32" s="17" t="e">
        <f t="shared" si="31"/>
        <v>#DIV/0!</v>
      </c>
      <c r="V32" s="17" t="e">
        <f t="shared" si="31"/>
        <v>#DIV/0!</v>
      </c>
      <c r="W32" s="17" t="e">
        <f t="shared" si="31"/>
        <v>#DIV/0!</v>
      </c>
      <c r="X32" s="17" t="e">
        <f t="shared" si="31"/>
        <v>#DIV/0!</v>
      </c>
      <c r="Y32" s="17" t="e">
        <f t="shared" si="31"/>
        <v>#DIV/0!</v>
      </c>
      <c r="Z32" s="17" t="e">
        <f t="shared" si="31"/>
        <v>#DIV/0!</v>
      </c>
      <c r="AA32" s="17" t="e">
        <f t="shared" si="31"/>
        <v>#DIV/0!</v>
      </c>
      <c r="AB32" s="17" t="e">
        <f t="shared" si="31"/>
        <v>#DIV/0!</v>
      </c>
      <c r="AC32" s="17" t="e">
        <f t="shared" si="31"/>
        <v>#DIV/0!</v>
      </c>
      <c r="AD32" s="17" t="e">
        <f t="shared" si="31"/>
        <v>#DIV/0!</v>
      </c>
      <c r="AE32" s="17" t="e">
        <f t="shared" si="31"/>
        <v>#DIV/0!</v>
      </c>
      <c r="AF32" s="17" t="e">
        <f t="shared" si="31"/>
        <v>#DIV/0!</v>
      </c>
      <c r="AG32" s="17" t="e">
        <f t="shared" si="31"/>
        <v>#DIV/0!</v>
      </c>
      <c r="AH32" s="17" t="e">
        <f t="shared" si="31"/>
        <v>#DIV/0!</v>
      </c>
      <c r="AI32" s="17" t="e">
        <f t="shared" si="31"/>
        <v>#DIV/0!</v>
      </c>
      <c r="AJ32" s="17" t="e">
        <f t="shared" si="31"/>
        <v>#DIV/0!</v>
      </c>
      <c r="AK32" s="64" t="e">
        <f t="shared" si="31"/>
        <v>#DIV/0!</v>
      </c>
      <c r="AL32" s="64" t="e">
        <f t="shared" si="31"/>
        <v>#DIV/0!</v>
      </c>
      <c r="AM32" s="64" t="e">
        <f t="shared" si="31"/>
        <v>#DIV/0!</v>
      </c>
      <c r="AN32" s="64" t="e">
        <f t="shared" si="31"/>
        <v>#DIV/0!</v>
      </c>
      <c r="AO32" s="64" t="e">
        <f t="shared" si="31"/>
        <v>#DIV/0!</v>
      </c>
      <c r="AP32" s="64" t="e">
        <f t="shared" si="31"/>
        <v>#DIV/0!</v>
      </c>
      <c r="AQ32" s="64" t="e">
        <f t="shared" si="31"/>
        <v>#DIV/0!</v>
      </c>
      <c r="AR32" s="64" t="e">
        <f t="shared" si="31"/>
        <v>#DIV/0!</v>
      </c>
      <c r="AS32" s="17" t="e">
        <f t="shared" si="31"/>
        <v>#DIV/0!</v>
      </c>
      <c r="AT32" s="17" t="e">
        <f t="shared" si="31"/>
        <v>#DIV/0!</v>
      </c>
      <c r="AU32" s="17" t="e">
        <f t="shared" si="31"/>
        <v>#DIV/0!</v>
      </c>
      <c r="AV32" s="17" t="e">
        <f t="shared" si="31"/>
        <v>#DIV/0!</v>
      </c>
      <c r="AW32" s="46" t="str">
        <f>IFERROR(AM32/AV32,"-")</f>
        <v>-</v>
      </c>
      <c r="AX32" s="39"/>
      <c r="AY32" s="18" t="e">
        <f t="shared" si="2"/>
        <v>#DIV/0!</v>
      </c>
      <c r="AZ32" s="19" t="e">
        <f t="shared" si="3"/>
        <v>#DIV/0!</v>
      </c>
      <c r="BA32" s="20" t="e">
        <f t="shared" si="4"/>
        <v>#DIV/0!</v>
      </c>
      <c r="BB32" s="39"/>
      <c r="BC32" s="18" t="e">
        <f t="shared" si="5"/>
        <v>#DIV/0!</v>
      </c>
      <c r="BD32" s="21" t="e">
        <f t="shared" si="6"/>
        <v>#DIV/0!</v>
      </c>
      <c r="BE32" s="21" t="e">
        <f t="shared" si="7"/>
        <v>#DIV/0!</v>
      </c>
      <c r="BF32" s="21" t="e">
        <f t="shared" si="8"/>
        <v>#DIV/0!</v>
      </c>
      <c r="BG32" s="21" t="e">
        <f t="shared" si="9"/>
        <v>#DIV/0!</v>
      </c>
      <c r="BH32" s="20" t="e">
        <f t="shared" si="10"/>
        <v>#DIV/0!</v>
      </c>
      <c r="BI32" s="39"/>
      <c r="BJ32" s="18" t="e">
        <f t="shared" si="11"/>
        <v>#DIV/0!</v>
      </c>
      <c r="BK32" s="21" t="e">
        <f t="shared" si="12"/>
        <v>#DIV/0!</v>
      </c>
      <c r="BL32" s="21" t="e">
        <f t="shared" si="13"/>
        <v>#DIV/0!</v>
      </c>
      <c r="BM32" s="20" t="e">
        <f t="shared" si="14"/>
        <v>#DIV/0!</v>
      </c>
      <c r="BN32" s="39"/>
      <c r="BO32" s="18" t="e">
        <f t="shared" si="15"/>
        <v>#DIV/0!</v>
      </c>
      <c r="BP32" s="21">
        <v>0</v>
      </c>
      <c r="BQ32" s="21" t="e">
        <f t="shared" si="16"/>
        <v>#DIV/0!</v>
      </c>
      <c r="BR32" s="21" t="e">
        <f t="shared" si="17"/>
        <v>#DIV/0!</v>
      </c>
      <c r="BS32" s="20" t="e">
        <f t="shared" si="18"/>
        <v>#DIV/0!</v>
      </c>
      <c r="BT32" s="39"/>
      <c r="BU32" s="30" t="e">
        <f t="shared" si="19"/>
        <v>#DIV/0!</v>
      </c>
      <c r="BV32" s="31" t="e">
        <f t="shared" si="20"/>
        <v>#DIV/0!</v>
      </c>
      <c r="BW32" s="31" t="e">
        <f t="shared" si="21"/>
        <v>#DIV/0!</v>
      </c>
      <c r="BX32" s="31" t="e">
        <f t="shared" si="22"/>
        <v>#DIV/0!</v>
      </c>
      <c r="BY32" s="31" t="e">
        <f t="shared" si="23"/>
        <v>#DIV/0!</v>
      </c>
      <c r="BZ32" s="32" t="e">
        <f t="shared" si="24"/>
        <v>#DIV/0!</v>
      </c>
      <c r="CA32" s="39"/>
      <c r="CB32" s="30" t="str">
        <f t="shared" si="25"/>
        <v>-</v>
      </c>
      <c r="CC32" s="31" t="str">
        <f t="shared" si="26"/>
        <v>-</v>
      </c>
      <c r="CD32" s="31" t="str">
        <f t="shared" si="27"/>
        <v>-</v>
      </c>
      <c r="CE32" s="31" t="str">
        <f t="shared" si="28"/>
        <v>-</v>
      </c>
      <c r="CF32" s="32" t="str">
        <f t="shared" si="29"/>
        <v>-</v>
      </c>
      <c r="CG32" s="39"/>
    </row>
    <row r="33" spans="1:85" s="27" customFormat="1" ht="13.15" customHeight="1" thickBot="1" x14ac:dyDescent="0.25">
      <c r="A33" s="288" t="s">
        <v>69</v>
      </c>
      <c r="B33" s="289"/>
      <c r="C33" s="47">
        <f t="shared" ref="C33:AV33" si="32">SUM(C4:C31)</f>
        <v>0</v>
      </c>
      <c r="D33" s="22">
        <f t="shared" si="32"/>
        <v>0</v>
      </c>
      <c r="E33" s="22">
        <f t="shared" si="32"/>
        <v>0</v>
      </c>
      <c r="F33" s="22">
        <f t="shared" si="32"/>
        <v>0</v>
      </c>
      <c r="G33" s="22">
        <f t="shared" si="32"/>
        <v>0</v>
      </c>
      <c r="H33" s="22">
        <f t="shared" si="32"/>
        <v>0</v>
      </c>
      <c r="I33" s="22">
        <f t="shared" si="32"/>
        <v>0</v>
      </c>
      <c r="J33" s="22">
        <f t="shared" si="32"/>
        <v>0</v>
      </c>
      <c r="K33" s="22">
        <f t="shared" si="32"/>
        <v>0</v>
      </c>
      <c r="L33" s="22">
        <f t="shared" si="32"/>
        <v>0</v>
      </c>
      <c r="M33" s="22">
        <f t="shared" si="32"/>
        <v>0</v>
      </c>
      <c r="N33" s="22">
        <f t="shared" si="32"/>
        <v>0</v>
      </c>
      <c r="O33" s="22">
        <f t="shared" si="32"/>
        <v>0</v>
      </c>
      <c r="P33" s="22">
        <f t="shared" si="32"/>
        <v>0</v>
      </c>
      <c r="Q33" s="22">
        <f t="shared" si="32"/>
        <v>0</v>
      </c>
      <c r="R33" s="22">
        <f t="shared" si="32"/>
        <v>0</v>
      </c>
      <c r="S33" s="22">
        <f t="shared" si="32"/>
        <v>0</v>
      </c>
      <c r="T33" s="22">
        <f t="shared" si="32"/>
        <v>0</v>
      </c>
      <c r="U33" s="22">
        <f t="shared" si="32"/>
        <v>0</v>
      </c>
      <c r="V33" s="22">
        <f t="shared" si="32"/>
        <v>0</v>
      </c>
      <c r="W33" s="22">
        <f t="shared" si="32"/>
        <v>0</v>
      </c>
      <c r="X33" s="22">
        <f t="shared" si="32"/>
        <v>0</v>
      </c>
      <c r="Y33" s="22">
        <f t="shared" si="32"/>
        <v>0</v>
      </c>
      <c r="Z33" s="22">
        <f t="shared" si="32"/>
        <v>0</v>
      </c>
      <c r="AA33" s="22">
        <f t="shared" si="32"/>
        <v>0</v>
      </c>
      <c r="AB33" s="22">
        <f t="shared" si="32"/>
        <v>0</v>
      </c>
      <c r="AC33" s="22">
        <f t="shared" si="32"/>
        <v>0</v>
      </c>
      <c r="AD33" s="22">
        <f t="shared" si="32"/>
        <v>0</v>
      </c>
      <c r="AE33" s="22">
        <f t="shared" si="32"/>
        <v>0</v>
      </c>
      <c r="AF33" s="22">
        <f t="shared" si="32"/>
        <v>0</v>
      </c>
      <c r="AG33" s="22">
        <f t="shared" si="32"/>
        <v>0</v>
      </c>
      <c r="AH33" s="22">
        <f t="shared" si="32"/>
        <v>0</v>
      </c>
      <c r="AI33" s="22">
        <f t="shared" si="32"/>
        <v>0</v>
      </c>
      <c r="AJ33" s="22">
        <f t="shared" si="32"/>
        <v>0</v>
      </c>
      <c r="AK33" s="65">
        <f t="shared" si="32"/>
        <v>0</v>
      </c>
      <c r="AL33" s="65">
        <f t="shared" si="32"/>
        <v>0</v>
      </c>
      <c r="AM33" s="65">
        <f t="shared" si="32"/>
        <v>0</v>
      </c>
      <c r="AN33" s="65">
        <f t="shared" si="32"/>
        <v>0</v>
      </c>
      <c r="AO33" s="65">
        <f t="shared" si="32"/>
        <v>0</v>
      </c>
      <c r="AP33" s="65">
        <f t="shared" si="32"/>
        <v>0</v>
      </c>
      <c r="AQ33" s="65">
        <f t="shared" si="32"/>
        <v>0</v>
      </c>
      <c r="AR33" s="65">
        <f t="shared" si="32"/>
        <v>0</v>
      </c>
      <c r="AS33" s="22">
        <f t="shared" si="32"/>
        <v>0</v>
      </c>
      <c r="AT33" s="22">
        <f t="shared" si="32"/>
        <v>0</v>
      </c>
      <c r="AU33" s="22">
        <f t="shared" si="32"/>
        <v>0</v>
      </c>
      <c r="AV33" s="22">
        <f t="shared" si="32"/>
        <v>0</v>
      </c>
      <c r="AW33" s="48" t="str">
        <f>IFERROR(AM33/AV33,"-")</f>
        <v>-</v>
      </c>
      <c r="AX33" s="40"/>
      <c r="AY33" s="23" t="str">
        <f t="shared" si="2"/>
        <v/>
      </c>
      <c r="AZ33" s="24" t="str">
        <f t="shared" si="3"/>
        <v/>
      </c>
      <c r="BA33" s="25" t="str">
        <f t="shared" si="4"/>
        <v/>
      </c>
      <c r="BB33" s="40"/>
      <c r="BC33" s="23" t="str">
        <f t="shared" si="5"/>
        <v/>
      </c>
      <c r="BD33" s="26" t="str">
        <f t="shared" si="6"/>
        <v/>
      </c>
      <c r="BE33" s="26" t="str">
        <f t="shared" si="7"/>
        <v/>
      </c>
      <c r="BF33" s="26" t="str">
        <f t="shared" si="8"/>
        <v/>
      </c>
      <c r="BG33" s="26" t="str">
        <f t="shared" si="9"/>
        <v/>
      </c>
      <c r="BH33" s="25" t="str">
        <f t="shared" si="10"/>
        <v/>
      </c>
      <c r="BI33" s="40"/>
      <c r="BJ33" s="23" t="str">
        <f t="shared" si="11"/>
        <v/>
      </c>
      <c r="BK33" s="26" t="str">
        <f t="shared" si="12"/>
        <v/>
      </c>
      <c r="BL33" s="26" t="str">
        <f t="shared" si="13"/>
        <v/>
      </c>
      <c r="BM33" s="25" t="str">
        <f t="shared" si="14"/>
        <v/>
      </c>
      <c r="BN33" s="40"/>
      <c r="BO33" s="23" t="str">
        <f t="shared" si="15"/>
        <v/>
      </c>
      <c r="BP33" s="26">
        <v>0</v>
      </c>
      <c r="BQ33" s="26" t="str">
        <f t="shared" si="16"/>
        <v/>
      </c>
      <c r="BR33" s="26" t="str">
        <f t="shared" si="17"/>
        <v/>
      </c>
      <c r="BS33" s="25" t="str">
        <f t="shared" si="18"/>
        <v/>
      </c>
      <c r="BT33" s="40"/>
      <c r="BU33" s="33" t="str">
        <f t="shared" si="19"/>
        <v/>
      </c>
      <c r="BV33" s="34" t="str">
        <f t="shared" si="20"/>
        <v/>
      </c>
      <c r="BW33" s="34" t="str">
        <f t="shared" si="21"/>
        <v/>
      </c>
      <c r="BX33" s="34" t="str">
        <f t="shared" si="22"/>
        <v/>
      </c>
      <c r="BY33" s="34" t="str">
        <f t="shared" si="23"/>
        <v/>
      </c>
      <c r="BZ33" s="35" t="str">
        <f t="shared" si="24"/>
        <v/>
      </c>
      <c r="CA33" s="40"/>
      <c r="CB33" s="33" t="str">
        <f t="shared" si="25"/>
        <v>-</v>
      </c>
      <c r="CC33" s="34" t="str">
        <f t="shared" si="26"/>
        <v>-</v>
      </c>
      <c r="CD33" s="34" t="str">
        <f t="shared" si="27"/>
        <v>-</v>
      </c>
      <c r="CE33" s="34" t="str">
        <f t="shared" si="28"/>
        <v>-</v>
      </c>
      <c r="CF33" s="35" t="str">
        <f t="shared" si="29"/>
        <v>-</v>
      </c>
      <c r="CG33" s="40"/>
    </row>
    <row r="34" spans="1:85" x14ac:dyDescent="0.2"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</row>
  </sheetData>
  <mergeCells count="87">
    <mergeCell ref="CB1:C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Y1:BA1"/>
    <mergeCell ref="BC1:BH1"/>
    <mergeCell ref="BJ1:BM1"/>
    <mergeCell ref="BO1:BS1"/>
    <mergeCell ref="BU1:BZ1"/>
    <mergeCell ref="U2:U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G2:AG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S2:AS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BG2:BG3"/>
    <mergeCell ref="AT2:AT3"/>
    <mergeCell ref="AU2:AU3"/>
    <mergeCell ref="AV2:AV3"/>
    <mergeCell ref="AW2:AW3"/>
    <mergeCell ref="AY2:AY3"/>
    <mergeCell ref="AZ2:AZ3"/>
    <mergeCell ref="BA2:BA3"/>
    <mergeCell ref="BC2:BC3"/>
    <mergeCell ref="BD2:BD3"/>
    <mergeCell ref="BE2:BE3"/>
    <mergeCell ref="BF2:BF3"/>
    <mergeCell ref="BV2:BV3"/>
    <mergeCell ref="BH2:BH3"/>
    <mergeCell ref="BJ2:BJ3"/>
    <mergeCell ref="BK2:BK3"/>
    <mergeCell ref="BL2:BL3"/>
    <mergeCell ref="BM2:BM3"/>
    <mergeCell ref="BO2:BO3"/>
    <mergeCell ref="CD2:CD3"/>
    <mergeCell ref="CE2:CE3"/>
    <mergeCell ref="CF2:CF3"/>
    <mergeCell ref="A32:B32"/>
    <mergeCell ref="A33:B33"/>
    <mergeCell ref="BW2:BW3"/>
    <mergeCell ref="BX2:BX3"/>
    <mergeCell ref="BY2:BY3"/>
    <mergeCell ref="BZ2:BZ3"/>
    <mergeCell ref="CB2:CB3"/>
    <mergeCell ref="CC2:CC3"/>
    <mergeCell ref="BP2:BP3"/>
    <mergeCell ref="BQ2:BQ3"/>
    <mergeCell ref="BR2:BR3"/>
    <mergeCell ref="BS2:BS3"/>
    <mergeCell ref="BU2:BU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CY34"/>
  <sheetViews>
    <sheetView showGridLines="0" topLeftCell="AC1" zoomScaleNormal="100" workbookViewId="0">
      <selection activeCell="AW4" sqref="AW4"/>
    </sheetView>
  </sheetViews>
  <sheetFormatPr defaultColWidth="0" defaultRowHeight="11.25" x14ac:dyDescent="0.2"/>
  <cols>
    <col min="1" max="1" width="9.7109375" style="36" customWidth="1"/>
    <col min="2" max="2" width="4.5703125" style="36" customWidth="1"/>
    <col min="3" max="4" width="9.42578125" style="36" customWidth="1"/>
    <col min="5" max="5" width="10.5703125" style="36" customWidth="1"/>
    <col min="6" max="6" width="9.42578125" style="36" customWidth="1"/>
    <col min="7" max="7" width="7.7109375" style="36" customWidth="1"/>
    <col min="8" max="8" width="13.28515625" style="36" customWidth="1"/>
    <col min="9" max="9" width="8.7109375" style="36" customWidth="1"/>
    <col min="10" max="10" width="9.42578125" style="36" customWidth="1"/>
    <col min="11" max="11" width="5.7109375" style="36" customWidth="1"/>
    <col min="12" max="12" width="7.28515625" style="36" customWidth="1"/>
    <col min="13" max="33" width="5.7109375" style="36" customWidth="1"/>
    <col min="34" max="34" width="6.7109375" style="36" customWidth="1"/>
    <col min="35" max="35" width="9" style="36" customWidth="1"/>
    <col min="36" max="36" width="9.5703125" style="36" customWidth="1"/>
    <col min="37" max="37" width="13" style="36" bestFit="1" customWidth="1"/>
    <col min="38" max="39" width="13.7109375" style="36" bestFit="1" customWidth="1"/>
    <col min="40" max="44" width="10.7109375" style="36" customWidth="1"/>
    <col min="45" max="45" width="10.42578125" style="38" bestFit="1" customWidth="1"/>
    <col min="46" max="46" width="10.7109375" style="36" bestFit="1" customWidth="1"/>
    <col min="47" max="47" width="10.7109375" style="36" customWidth="1"/>
    <col min="48" max="49" width="8.7109375" style="36" customWidth="1"/>
    <col min="50" max="50" width="1.28515625" style="36" customWidth="1"/>
    <col min="51" max="51" width="14.140625" style="36" bestFit="1" customWidth="1"/>
    <col min="52" max="52" width="10.28515625" style="36" bestFit="1" customWidth="1"/>
    <col min="53" max="53" width="11.28515625" style="36" bestFit="1" customWidth="1"/>
    <col min="54" max="54" width="1.28515625" style="36" customWidth="1"/>
    <col min="55" max="55" width="11.28515625" style="36" bestFit="1" customWidth="1"/>
    <col min="56" max="56" width="11.7109375" style="36" bestFit="1" customWidth="1"/>
    <col min="57" max="57" width="17.7109375" style="36" bestFit="1" customWidth="1"/>
    <col min="58" max="58" width="8.28515625" style="36" bestFit="1" customWidth="1"/>
    <col min="59" max="59" width="12.7109375" style="36" bestFit="1" customWidth="1"/>
    <col min="60" max="60" width="9.42578125" style="36" bestFit="1" customWidth="1"/>
    <col min="61" max="61" width="1.28515625" style="36" customWidth="1"/>
    <col min="62" max="62" width="17.5703125" style="36" bestFit="1" customWidth="1"/>
    <col min="63" max="63" width="21.28515625" style="36" bestFit="1" customWidth="1"/>
    <col min="64" max="64" width="11.7109375" style="36" bestFit="1" customWidth="1"/>
    <col min="65" max="65" width="15.5703125" style="36" bestFit="1" customWidth="1"/>
    <col min="66" max="66" width="1.28515625" style="36" customWidth="1"/>
    <col min="67" max="67" width="8.28515625" style="36" bestFit="1" customWidth="1"/>
    <col min="68" max="68" width="11.28515625" style="36" bestFit="1" customWidth="1"/>
    <col min="69" max="69" width="12.42578125" style="36" bestFit="1" customWidth="1"/>
    <col min="70" max="70" width="11.7109375" style="36" bestFit="1" customWidth="1"/>
    <col min="71" max="71" width="7.28515625" style="36" bestFit="1" customWidth="1"/>
    <col min="72" max="72" width="1.28515625" style="36" customWidth="1"/>
    <col min="73" max="76" width="12.7109375" style="36" customWidth="1"/>
    <col min="77" max="78" width="10.7109375" style="36" customWidth="1"/>
    <col min="79" max="79" width="1.28515625" style="36" customWidth="1"/>
    <col min="80" max="81" width="10.7109375" style="36" customWidth="1"/>
    <col min="82" max="82" width="7" style="36" customWidth="1"/>
    <col min="83" max="84" width="10.7109375" style="36" customWidth="1"/>
    <col min="85" max="85" width="1.28515625" style="36" customWidth="1"/>
    <col min="86" max="103" width="0" style="36" hidden="1" customWidth="1"/>
    <col min="104" max="16384" width="10.7109375" style="36" hidden="1"/>
  </cols>
  <sheetData>
    <row r="1" spans="1:85" s="27" customFormat="1" ht="13.15" customHeight="1" thickBot="1" x14ac:dyDescent="0.25">
      <c r="A1" s="269" t="s">
        <v>0</v>
      </c>
      <c r="B1" s="27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2"/>
      <c r="AX1" s="39"/>
      <c r="AY1" s="271" t="s">
        <v>1</v>
      </c>
      <c r="AZ1" s="272"/>
      <c r="BA1" s="273"/>
      <c r="BB1" s="39"/>
      <c r="BC1" s="256" t="s">
        <v>2</v>
      </c>
      <c r="BD1" s="257"/>
      <c r="BE1" s="257"/>
      <c r="BF1" s="257"/>
      <c r="BG1" s="257"/>
      <c r="BH1" s="258"/>
      <c r="BI1" s="39"/>
      <c r="BJ1" s="256" t="s">
        <v>3</v>
      </c>
      <c r="BK1" s="257"/>
      <c r="BL1" s="257"/>
      <c r="BM1" s="258"/>
      <c r="BN1" s="39"/>
      <c r="BO1" s="256" t="s">
        <v>4</v>
      </c>
      <c r="BP1" s="257"/>
      <c r="BQ1" s="257"/>
      <c r="BR1" s="257"/>
      <c r="BS1" s="258"/>
      <c r="BT1" s="39"/>
      <c r="BU1" s="256" t="s">
        <v>5</v>
      </c>
      <c r="BV1" s="257"/>
      <c r="BW1" s="257"/>
      <c r="BX1" s="257"/>
      <c r="BY1" s="257"/>
      <c r="BZ1" s="258"/>
      <c r="CA1" s="39"/>
      <c r="CB1" s="256" t="s">
        <v>6</v>
      </c>
      <c r="CC1" s="257"/>
      <c r="CD1" s="257"/>
      <c r="CE1" s="257"/>
      <c r="CF1" s="258"/>
      <c r="CG1" s="39"/>
    </row>
    <row r="2" spans="1:85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78</v>
      </c>
      <c r="V2" s="259" t="s">
        <v>24</v>
      </c>
      <c r="W2" s="259" t="s">
        <v>85</v>
      </c>
      <c r="X2" s="259" t="s">
        <v>25</v>
      </c>
      <c r="Y2" s="259" t="s">
        <v>70</v>
      </c>
      <c r="Z2" s="259" t="s">
        <v>79</v>
      </c>
      <c r="AA2" s="259" t="s">
        <v>76</v>
      </c>
      <c r="AB2" s="259" t="s">
        <v>77</v>
      </c>
      <c r="AC2" s="259" t="s">
        <v>80</v>
      </c>
      <c r="AD2" s="259" t="s">
        <v>75</v>
      </c>
      <c r="AE2" s="259" t="s">
        <v>74</v>
      </c>
      <c r="AF2" s="259" t="s">
        <v>72</v>
      </c>
      <c r="AG2" s="259" t="s">
        <v>73</v>
      </c>
      <c r="AH2" s="259" t="s">
        <v>26</v>
      </c>
      <c r="AI2" s="259" t="s">
        <v>27</v>
      </c>
      <c r="AJ2" s="259" t="s">
        <v>28</v>
      </c>
      <c r="AK2" s="276" t="s">
        <v>29</v>
      </c>
      <c r="AL2" s="276" t="s">
        <v>30</v>
      </c>
      <c r="AM2" s="286" t="s">
        <v>31</v>
      </c>
      <c r="AN2" s="286" t="s">
        <v>32</v>
      </c>
      <c r="AO2" s="286" t="s">
        <v>33</v>
      </c>
      <c r="AP2" s="286" t="s">
        <v>34</v>
      </c>
      <c r="AQ2" s="286" t="s">
        <v>35</v>
      </c>
      <c r="AR2" s="286" t="s">
        <v>36</v>
      </c>
      <c r="AS2" s="315" t="s">
        <v>37</v>
      </c>
      <c r="AT2" s="278" t="s">
        <v>82</v>
      </c>
      <c r="AU2" s="278" t="s">
        <v>81</v>
      </c>
      <c r="AV2" s="280" t="s">
        <v>38</v>
      </c>
      <c r="AW2" s="282" t="s">
        <v>39</v>
      </c>
      <c r="AX2" s="39"/>
      <c r="AY2" s="284" t="s">
        <v>40</v>
      </c>
      <c r="AZ2" s="311" t="s">
        <v>41</v>
      </c>
      <c r="BA2" s="313" t="s">
        <v>42</v>
      </c>
      <c r="BB2" s="39"/>
      <c r="BC2" s="292" t="s">
        <v>43</v>
      </c>
      <c r="BD2" s="294" t="s">
        <v>44</v>
      </c>
      <c r="BE2" s="294" t="s">
        <v>45</v>
      </c>
      <c r="BF2" s="294" t="s">
        <v>46</v>
      </c>
      <c r="BG2" s="294" t="s">
        <v>47</v>
      </c>
      <c r="BH2" s="298" t="s">
        <v>48</v>
      </c>
      <c r="BI2" s="39"/>
      <c r="BJ2" s="302" t="s">
        <v>49</v>
      </c>
      <c r="BK2" s="303" t="s">
        <v>50</v>
      </c>
      <c r="BL2" s="303" t="s">
        <v>51</v>
      </c>
      <c r="BM2" s="310" t="s">
        <v>52</v>
      </c>
      <c r="BN2" s="39"/>
      <c r="BO2" s="292" t="s">
        <v>53</v>
      </c>
      <c r="BP2" s="294" t="s">
        <v>54</v>
      </c>
      <c r="BQ2" s="296" t="s">
        <v>67</v>
      </c>
      <c r="BR2" s="294" t="s">
        <v>55</v>
      </c>
      <c r="BS2" s="298" t="s">
        <v>86</v>
      </c>
      <c r="BT2" s="39"/>
      <c r="BU2" s="300" t="s">
        <v>56</v>
      </c>
      <c r="BV2" s="290" t="s">
        <v>57</v>
      </c>
      <c r="BW2" s="290" t="s">
        <v>58</v>
      </c>
      <c r="BX2" s="259" t="s">
        <v>59</v>
      </c>
      <c r="BY2" s="290" t="s">
        <v>60</v>
      </c>
      <c r="BZ2" s="306" t="s">
        <v>61</v>
      </c>
      <c r="CA2" s="39"/>
      <c r="CB2" s="308" t="s">
        <v>62</v>
      </c>
      <c r="CC2" s="296" t="s">
        <v>63</v>
      </c>
      <c r="CD2" s="296" t="s">
        <v>64</v>
      </c>
      <c r="CE2" s="296" t="s">
        <v>65</v>
      </c>
      <c r="CF2" s="304" t="s">
        <v>66</v>
      </c>
      <c r="CG2" s="39"/>
    </row>
    <row r="3" spans="1:85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77"/>
      <c r="AL3" s="277"/>
      <c r="AM3" s="287"/>
      <c r="AN3" s="287"/>
      <c r="AO3" s="287"/>
      <c r="AP3" s="287"/>
      <c r="AQ3" s="287"/>
      <c r="AR3" s="287"/>
      <c r="AS3" s="316"/>
      <c r="AT3" s="279"/>
      <c r="AU3" s="279"/>
      <c r="AV3" s="281"/>
      <c r="AW3" s="283" t="s">
        <v>38</v>
      </c>
      <c r="AX3" s="39"/>
      <c r="AY3" s="285"/>
      <c r="AZ3" s="312"/>
      <c r="BA3" s="314"/>
      <c r="BB3" s="39"/>
      <c r="BC3" s="293"/>
      <c r="BD3" s="295"/>
      <c r="BE3" s="295"/>
      <c r="BF3" s="295"/>
      <c r="BG3" s="295"/>
      <c r="BH3" s="299"/>
      <c r="BI3" s="39"/>
      <c r="BJ3" s="293"/>
      <c r="BK3" s="295"/>
      <c r="BL3" s="295"/>
      <c r="BM3" s="299"/>
      <c r="BN3" s="39"/>
      <c r="BO3" s="293"/>
      <c r="BP3" s="295"/>
      <c r="BQ3" s="297"/>
      <c r="BR3" s="295"/>
      <c r="BS3" s="299"/>
      <c r="BT3" s="39"/>
      <c r="BU3" s="301"/>
      <c r="BV3" s="291"/>
      <c r="BW3" s="291"/>
      <c r="BX3" s="260"/>
      <c r="BY3" s="291"/>
      <c r="BZ3" s="307"/>
      <c r="CA3" s="39"/>
      <c r="CB3" s="309"/>
      <c r="CC3" s="297"/>
      <c r="CD3" s="297"/>
      <c r="CE3" s="297"/>
      <c r="CF3" s="305"/>
      <c r="CG3" s="39"/>
    </row>
    <row r="4" spans="1:85" s="27" customFormat="1" ht="12.4" customHeight="1" thickBot="1" x14ac:dyDescent="0.25">
      <c r="A4" s="43">
        <f>EL_DEL_CD2_JO_!A4</f>
        <v>46296</v>
      </c>
      <c r="B4" s="44" t="str">
        <f t="shared" ref="B4:B30" si="0">+TEXT(A4,"DDD")</f>
        <v>Thu</v>
      </c>
      <c r="C4" s="2"/>
      <c r="D4" s="2"/>
      <c r="E4" s="3"/>
      <c r="F4" s="2"/>
      <c r="G4" s="2"/>
      <c r="H4" s="4"/>
      <c r="I4" s="4"/>
      <c r="J4" s="57"/>
      <c r="K4" s="5"/>
      <c r="L4" s="2"/>
      <c r="M4" s="2"/>
      <c r="N4" s="2"/>
      <c r="O4" s="2"/>
      <c r="P4" s="3"/>
      <c r="Q4" s="2"/>
      <c r="R4" s="2"/>
      <c r="S4" s="2"/>
      <c r="T4" s="2"/>
      <c r="U4" s="3"/>
      <c r="V4" s="3"/>
      <c r="W4" s="2"/>
      <c r="X4" s="2"/>
      <c r="Y4" s="2"/>
      <c r="Z4" s="2"/>
      <c r="AA4" s="2"/>
      <c r="AB4" s="2"/>
      <c r="AC4" s="2"/>
      <c r="AD4" s="2"/>
      <c r="AE4" s="3"/>
      <c r="AF4" s="3"/>
      <c r="AG4" s="2"/>
      <c r="AH4" s="6"/>
      <c r="AI4" s="7"/>
      <c r="AJ4" s="6"/>
      <c r="AK4" s="59"/>
      <c r="AL4" s="59"/>
      <c r="AM4" s="59"/>
      <c r="AN4" s="59"/>
      <c r="AO4" s="59"/>
      <c r="AP4" s="59"/>
      <c r="AQ4" s="59"/>
      <c r="AR4" s="59"/>
      <c r="AS4" s="8"/>
      <c r="AT4" s="8"/>
      <c r="AU4" s="9"/>
      <c r="AV4" s="8"/>
      <c r="AW4" s="10" t="e">
        <f>AM4/AV4</f>
        <v>#DIV/0!</v>
      </c>
      <c r="AX4" s="39"/>
      <c r="AY4" s="1" t="str">
        <f>IF(E4&gt;0,F4/E4,"")</f>
        <v/>
      </c>
      <c r="AZ4" s="11" t="str">
        <f>+IF(E4&gt;0,G4/E4,"")</f>
        <v/>
      </c>
      <c r="BA4" s="1" t="str">
        <f>+IF(E4&gt;0,AI4/E4,"")</f>
        <v/>
      </c>
      <c r="BB4" s="39"/>
      <c r="BC4" s="53" t="str">
        <f>+IF(G4&gt;0,I4/G4,"")</f>
        <v/>
      </c>
      <c r="BD4" s="12" t="str">
        <f>+IF(G4&gt;0,J4/G4,"")</f>
        <v/>
      </c>
      <c r="BE4" s="12" t="str">
        <f>+IF(I4&gt;0,L4/I4,"")</f>
        <v/>
      </c>
      <c r="BF4" s="12" t="str">
        <f>+IF(SUM(AN4:AQ4)&gt;0,AN4/AM4,"")</f>
        <v/>
      </c>
      <c r="BG4" s="12" t="str">
        <f>+IF(G4&gt;0,K4/G4,"")</f>
        <v/>
      </c>
      <c r="BH4" s="54" t="str">
        <f>+IF(SUM(AN4:AQ4)&gt;0,AP4/AM4,"")</f>
        <v/>
      </c>
      <c r="BI4" s="39"/>
      <c r="BJ4" s="55" t="str">
        <f>+IF(E4&gt;0,(AI4/E4),"")</f>
        <v/>
      </c>
      <c r="BK4" s="13" t="str">
        <f>+IF(E4&gt;0,(AI4/F4),"")</f>
        <v/>
      </c>
      <c r="BL4" s="13" t="str">
        <f>+IF(E4&gt;0,(AI4/G4),"")</f>
        <v/>
      </c>
      <c r="BM4" s="56" t="str">
        <f>+IF(E4&gt;0,(AI4/J4),"")</f>
        <v/>
      </c>
      <c r="BN4" s="39"/>
      <c r="BO4" s="14" t="str">
        <f>IF(AI4&gt;0,(N4/AI4),"")</f>
        <v/>
      </c>
      <c r="BP4" s="15">
        <v>0</v>
      </c>
      <c r="BQ4" s="15" t="str">
        <f>IF(AI4&gt;0,(AJ4/AI4),"")</f>
        <v/>
      </c>
      <c r="BR4" s="15" t="str">
        <f>IF(AI4&gt;0,(AJ4/AI4),"")</f>
        <v/>
      </c>
      <c r="BS4" s="16" t="str">
        <f>IF(J4&gt;0,AC4/J4,"")</f>
        <v/>
      </c>
      <c r="BT4" s="39"/>
      <c r="BU4" s="28" t="str">
        <f>IF(AM4&gt;0,(E4/AM4),"")</f>
        <v/>
      </c>
      <c r="BV4" s="28" t="str">
        <f>IF(AM4&gt;0,(G4/AM4),"")</f>
        <v/>
      </c>
      <c r="BW4" s="28" t="str">
        <f>IF(AM4&gt;0,(J4/AM4),"")</f>
        <v/>
      </c>
      <c r="BX4" s="28" t="str">
        <f>IF(AM4&gt;0,(K4/AM4),"")</f>
        <v/>
      </c>
      <c r="BY4" s="28" t="str">
        <f>IF(AM4&gt;0,(AI4/AM4),"")</f>
        <v/>
      </c>
      <c r="BZ4" s="52" t="str">
        <f>IF(AM4&gt;0,(AJ4/AM4),"")</f>
        <v/>
      </c>
      <c r="CA4" s="39"/>
      <c r="CB4" s="49" t="str">
        <f>IFERROR(((AM4-AN4)*3600)/J4,"-")</f>
        <v>-</v>
      </c>
      <c r="CC4" s="29" t="str">
        <f>IFERROR((AQ4*3600)/J4,"-")</f>
        <v>-</v>
      </c>
      <c r="CD4" s="29" t="str">
        <f>IFERROR((AP4*3600)/J4,"-")</f>
        <v>-</v>
      </c>
      <c r="CE4" s="29" t="str">
        <f>IFERROR((AN4*3600)/J4,"-")</f>
        <v>-</v>
      </c>
      <c r="CF4" s="50" t="str">
        <f>IFERROR((AO4*3600)/J4,"-")</f>
        <v>-</v>
      </c>
      <c r="CG4" s="39"/>
    </row>
    <row r="5" spans="1:85" s="27" customFormat="1" ht="12.4" customHeight="1" thickBot="1" x14ac:dyDescent="0.25">
      <c r="A5" s="43">
        <f>A4+1</f>
        <v>46297</v>
      </c>
      <c r="B5" s="44" t="str">
        <f t="shared" si="0"/>
        <v>Fri</v>
      </c>
      <c r="C5" s="2"/>
      <c r="D5" s="2"/>
      <c r="E5" s="3"/>
      <c r="F5" s="2"/>
      <c r="G5" s="2"/>
      <c r="H5" s="4"/>
      <c r="I5" s="4"/>
      <c r="J5" s="57"/>
      <c r="K5" s="5"/>
      <c r="L5" s="2"/>
      <c r="M5" s="2"/>
      <c r="N5" s="2"/>
      <c r="O5" s="2"/>
      <c r="P5" s="3"/>
      <c r="Q5" s="2"/>
      <c r="R5" s="2"/>
      <c r="S5" s="2"/>
      <c r="T5" s="2"/>
      <c r="U5" s="3"/>
      <c r="V5" s="3"/>
      <c r="W5" s="2"/>
      <c r="X5" s="2"/>
      <c r="Y5" s="2"/>
      <c r="Z5" s="2"/>
      <c r="AA5" s="2"/>
      <c r="AB5" s="2"/>
      <c r="AC5" s="2"/>
      <c r="AD5" s="2"/>
      <c r="AE5" s="3"/>
      <c r="AF5" s="3"/>
      <c r="AG5" s="2"/>
      <c r="AH5" s="6"/>
      <c r="AI5" s="7"/>
      <c r="AJ5" s="6"/>
      <c r="AK5" s="59"/>
      <c r="AL5" s="59"/>
      <c r="AM5" s="59"/>
      <c r="AN5" s="59"/>
      <c r="AO5" s="59"/>
      <c r="AP5" s="59"/>
      <c r="AQ5" s="59"/>
      <c r="AR5" s="59"/>
      <c r="AS5" s="8"/>
      <c r="AT5" s="8"/>
      <c r="AU5" s="9"/>
      <c r="AV5" s="8"/>
      <c r="AW5" s="10" t="e">
        <f t="shared" ref="AW5:AW31" si="1">AM5/AV5</f>
        <v>#DIV/0!</v>
      </c>
      <c r="AX5" s="39"/>
      <c r="AY5" s="1" t="str">
        <f t="shared" ref="AY5:AY33" si="2">IF(E5&gt;0,F5/E5,"")</f>
        <v/>
      </c>
      <c r="AZ5" s="11" t="str">
        <f t="shared" ref="AZ5:AZ33" si="3">+IF(E5&gt;0,G5/E5,"")</f>
        <v/>
      </c>
      <c r="BA5" s="1" t="str">
        <f t="shared" ref="BA5:BA33" si="4">+IF(E5&gt;0,AI5/E5,"")</f>
        <v/>
      </c>
      <c r="BB5" s="39"/>
      <c r="BC5" s="53" t="str">
        <f t="shared" ref="BC5:BC33" si="5">+IF(G5&gt;0,I5/G5,"")</f>
        <v/>
      </c>
      <c r="BD5" s="12" t="str">
        <f t="shared" ref="BD5:BD33" si="6">+IF(G5&gt;0,J5/G5,"")</f>
        <v/>
      </c>
      <c r="BE5" s="12" t="str">
        <f t="shared" ref="BE5:BE33" si="7">+IF(I5&gt;0,L5/I5,"")</f>
        <v/>
      </c>
      <c r="BF5" s="12" t="str">
        <f t="shared" ref="BF5:BF33" si="8">+IF(SUM(AN5:AQ5)&gt;0,AN5/AM5,"")</f>
        <v/>
      </c>
      <c r="BG5" s="12" t="str">
        <f t="shared" ref="BG5:BG33" si="9">+IF(G5&gt;0,K5/G5,"")</f>
        <v/>
      </c>
      <c r="BH5" s="54" t="str">
        <f t="shared" ref="BH5:BH33" si="10">+IF(SUM(AN5:AQ5)&gt;0,AP5/AM5,"")</f>
        <v/>
      </c>
      <c r="BI5" s="39"/>
      <c r="BJ5" s="55" t="str">
        <f t="shared" ref="BJ5:BJ33" si="11">+IF(E5&gt;0,(AI5/E5),"")</f>
        <v/>
      </c>
      <c r="BK5" s="13" t="str">
        <f t="shared" ref="BK5:BK33" si="12">+IF(E5&gt;0,(AI5/F5),"")</f>
        <v/>
      </c>
      <c r="BL5" s="13" t="str">
        <f t="shared" ref="BL5:BL33" si="13">+IF(E5&gt;0,(AI5/G5),"")</f>
        <v/>
      </c>
      <c r="BM5" s="56" t="str">
        <f t="shared" ref="BM5:BM33" si="14">+IF(E5&gt;0,(AI5/J5),"")</f>
        <v/>
      </c>
      <c r="BN5" s="39"/>
      <c r="BO5" s="14" t="str">
        <f t="shared" ref="BO5:BO33" si="15">IF(AI5&gt;0,(N5/AI5),"")</f>
        <v/>
      </c>
      <c r="BP5" s="15">
        <v>0</v>
      </c>
      <c r="BQ5" s="15" t="str">
        <f t="shared" ref="BQ5:BQ33" si="16">IF(AI5&gt;0,(AJ5/AI5),"")</f>
        <v/>
      </c>
      <c r="BR5" s="15" t="str">
        <f t="shared" ref="BR5:BR33" si="17">IF(AI5&gt;0,(AJ5/AI5),"")</f>
        <v/>
      </c>
      <c r="BS5" s="16" t="str">
        <f t="shared" ref="BS5:BS33" si="18">IF(J5&gt;0,AC5/J5,"")</f>
        <v/>
      </c>
      <c r="BT5" s="39"/>
      <c r="BU5" s="51" t="str">
        <f t="shared" ref="BU5:BU33" si="19">IF(AM5&gt;0,(E5/AM5),"")</f>
        <v/>
      </c>
      <c r="BV5" s="28" t="str">
        <f t="shared" ref="BV5:BV33" si="20">IF(AM5&gt;0,(G5/AM5),"")</f>
        <v/>
      </c>
      <c r="BW5" s="28" t="str">
        <f t="shared" ref="BW5:BW33" si="21">IF(AM5&gt;0,(J5/AM5),"")</f>
        <v/>
      </c>
      <c r="BX5" s="28" t="str">
        <f t="shared" ref="BX5:BX33" si="22">IF(AM5&gt;0,(K5/AM5),"")</f>
        <v/>
      </c>
      <c r="BY5" s="28" t="str">
        <f t="shared" ref="BY5:BY33" si="23">IF(AM5&gt;0,(AI5/AM5),"")</f>
        <v/>
      </c>
      <c r="BZ5" s="52" t="str">
        <f t="shared" ref="BZ5:BZ33" si="24">IF(AM5&gt;0,(AJ5/AM5),"")</f>
        <v/>
      </c>
      <c r="CA5" s="39"/>
      <c r="CB5" s="49" t="str">
        <f t="shared" ref="CB5:CB33" si="25">IFERROR(((AM5-AN5)*3600)/J5,"-")</f>
        <v>-</v>
      </c>
      <c r="CC5" s="29" t="str">
        <f t="shared" ref="CC5:CC33" si="26">IFERROR((AQ5*3600)/J5,"-")</f>
        <v>-</v>
      </c>
      <c r="CD5" s="29" t="str">
        <f t="shared" ref="CD5:CD33" si="27">IFERROR((AP5*3600)/J5,"-")</f>
        <v>-</v>
      </c>
      <c r="CE5" s="29" t="str">
        <f t="shared" ref="CE5:CE33" si="28">IFERROR((AN5*3600)/J5,"-")</f>
        <v>-</v>
      </c>
      <c r="CF5" s="50" t="str">
        <f t="shared" ref="CF5:CF33" si="29">IFERROR((AO5*3600)/J5,"-")</f>
        <v>-</v>
      </c>
      <c r="CG5" s="39"/>
    </row>
    <row r="6" spans="1:85" s="27" customFormat="1" ht="12.4" customHeight="1" thickBot="1" x14ac:dyDescent="0.25">
      <c r="A6" s="43">
        <f t="shared" ref="A6:A31" si="30">A5+1</f>
        <v>46298</v>
      </c>
      <c r="B6" s="44" t="str">
        <f t="shared" si="0"/>
        <v>Sat</v>
      </c>
      <c r="C6" s="2"/>
      <c r="D6" s="2"/>
      <c r="E6" s="3"/>
      <c r="F6" s="2"/>
      <c r="G6" s="2"/>
      <c r="H6" s="4"/>
      <c r="I6" s="4"/>
      <c r="J6" s="57"/>
      <c r="K6" s="5"/>
      <c r="L6" s="2"/>
      <c r="M6" s="2"/>
      <c r="N6" s="2"/>
      <c r="O6" s="2"/>
      <c r="P6" s="3"/>
      <c r="Q6" s="2"/>
      <c r="R6" s="2"/>
      <c r="S6" s="2"/>
      <c r="T6" s="2"/>
      <c r="U6" s="3"/>
      <c r="V6" s="3"/>
      <c r="W6" s="2"/>
      <c r="X6" s="2"/>
      <c r="Y6" s="2"/>
      <c r="Z6" s="2"/>
      <c r="AA6" s="2"/>
      <c r="AB6" s="2"/>
      <c r="AC6" s="2"/>
      <c r="AD6" s="2"/>
      <c r="AE6" s="3"/>
      <c r="AF6" s="3"/>
      <c r="AG6" s="2"/>
      <c r="AH6" s="6"/>
      <c r="AI6" s="7"/>
      <c r="AJ6" s="6"/>
      <c r="AK6" s="59"/>
      <c r="AL6" s="59"/>
      <c r="AM6" s="59"/>
      <c r="AN6" s="59"/>
      <c r="AO6" s="59"/>
      <c r="AP6" s="59"/>
      <c r="AQ6" s="59"/>
      <c r="AR6" s="59"/>
      <c r="AS6" s="8"/>
      <c r="AT6" s="8"/>
      <c r="AU6" s="9"/>
      <c r="AV6" s="8"/>
      <c r="AW6" s="10" t="e">
        <f t="shared" si="1"/>
        <v>#DIV/0!</v>
      </c>
      <c r="AX6" s="39"/>
      <c r="AY6" s="1" t="str">
        <f t="shared" si="2"/>
        <v/>
      </c>
      <c r="AZ6" s="11" t="str">
        <f t="shared" si="3"/>
        <v/>
      </c>
      <c r="BA6" s="1" t="str">
        <f t="shared" si="4"/>
        <v/>
      </c>
      <c r="BB6" s="39"/>
      <c r="BC6" s="53" t="str">
        <f t="shared" si="5"/>
        <v/>
      </c>
      <c r="BD6" s="12" t="str">
        <f t="shared" si="6"/>
        <v/>
      </c>
      <c r="BE6" s="12" t="str">
        <f t="shared" si="7"/>
        <v/>
      </c>
      <c r="BF6" s="12" t="str">
        <f t="shared" si="8"/>
        <v/>
      </c>
      <c r="BG6" s="12" t="str">
        <f t="shared" si="9"/>
        <v/>
      </c>
      <c r="BH6" s="54" t="str">
        <f t="shared" si="10"/>
        <v/>
      </c>
      <c r="BI6" s="39"/>
      <c r="BJ6" s="55" t="str">
        <f t="shared" si="11"/>
        <v/>
      </c>
      <c r="BK6" s="13" t="str">
        <f t="shared" si="12"/>
        <v/>
      </c>
      <c r="BL6" s="13" t="str">
        <f t="shared" si="13"/>
        <v/>
      </c>
      <c r="BM6" s="56" t="str">
        <f t="shared" si="14"/>
        <v/>
      </c>
      <c r="BN6" s="39"/>
      <c r="BO6" s="14" t="str">
        <f t="shared" si="15"/>
        <v/>
      </c>
      <c r="BP6" s="15">
        <v>0</v>
      </c>
      <c r="BQ6" s="15" t="str">
        <f t="shared" si="16"/>
        <v/>
      </c>
      <c r="BR6" s="15" t="str">
        <f t="shared" si="17"/>
        <v/>
      </c>
      <c r="BS6" s="16" t="str">
        <f t="shared" si="18"/>
        <v/>
      </c>
      <c r="BT6" s="39"/>
      <c r="BU6" s="51" t="str">
        <f t="shared" si="19"/>
        <v/>
      </c>
      <c r="BV6" s="28" t="str">
        <f t="shared" si="20"/>
        <v/>
      </c>
      <c r="BW6" s="28" t="str">
        <f t="shared" si="21"/>
        <v/>
      </c>
      <c r="BX6" s="28" t="str">
        <f t="shared" si="22"/>
        <v/>
      </c>
      <c r="BY6" s="28" t="str">
        <f t="shared" si="23"/>
        <v/>
      </c>
      <c r="BZ6" s="52" t="str">
        <f t="shared" si="24"/>
        <v/>
      </c>
      <c r="CA6" s="39"/>
      <c r="CB6" s="49" t="str">
        <f t="shared" si="25"/>
        <v>-</v>
      </c>
      <c r="CC6" s="29" t="str">
        <f t="shared" si="26"/>
        <v>-</v>
      </c>
      <c r="CD6" s="29" t="str">
        <f t="shared" si="27"/>
        <v>-</v>
      </c>
      <c r="CE6" s="29" t="str">
        <f t="shared" si="28"/>
        <v>-</v>
      </c>
      <c r="CF6" s="50" t="str">
        <f t="shared" si="29"/>
        <v>-</v>
      </c>
      <c r="CG6" s="39"/>
    </row>
    <row r="7" spans="1:85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2"/>
      <c r="D7" s="2"/>
      <c r="E7" s="3"/>
      <c r="F7" s="2"/>
      <c r="G7" s="2"/>
      <c r="H7" s="4"/>
      <c r="I7" s="4"/>
      <c r="J7" s="57"/>
      <c r="K7" s="5"/>
      <c r="L7" s="2"/>
      <c r="M7" s="2"/>
      <c r="N7" s="2"/>
      <c r="O7" s="2"/>
      <c r="P7" s="3"/>
      <c r="Q7" s="2"/>
      <c r="R7" s="2"/>
      <c r="S7" s="2"/>
      <c r="T7" s="2"/>
      <c r="U7" s="3"/>
      <c r="V7" s="3"/>
      <c r="W7" s="2"/>
      <c r="X7" s="2"/>
      <c r="Y7" s="2"/>
      <c r="Z7" s="2"/>
      <c r="AA7" s="2"/>
      <c r="AB7" s="2"/>
      <c r="AC7" s="2"/>
      <c r="AD7" s="2"/>
      <c r="AE7" s="3"/>
      <c r="AF7" s="3"/>
      <c r="AG7" s="2"/>
      <c r="AH7" s="6"/>
      <c r="AI7" s="7"/>
      <c r="AJ7" s="6"/>
      <c r="AK7" s="59"/>
      <c r="AL7" s="59"/>
      <c r="AM7" s="59"/>
      <c r="AN7" s="59"/>
      <c r="AO7" s="59"/>
      <c r="AP7" s="59"/>
      <c r="AQ7" s="59"/>
      <c r="AR7" s="59"/>
      <c r="AS7" s="8"/>
      <c r="AT7" s="8"/>
      <c r="AU7" s="9"/>
      <c r="AV7" s="8"/>
      <c r="AW7" s="10" t="e">
        <f t="shared" si="1"/>
        <v>#DIV/0!</v>
      </c>
      <c r="AX7" s="39"/>
      <c r="AY7" s="1" t="str">
        <f t="shared" si="2"/>
        <v/>
      </c>
      <c r="AZ7" s="11" t="str">
        <f t="shared" si="3"/>
        <v/>
      </c>
      <c r="BA7" s="1" t="str">
        <f t="shared" si="4"/>
        <v/>
      </c>
      <c r="BB7" s="39"/>
      <c r="BC7" s="53" t="str">
        <f t="shared" si="5"/>
        <v/>
      </c>
      <c r="BD7" s="12" t="str">
        <f t="shared" si="6"/>
        <v/>
      </c>
      <c r="BE7" s="12" t="str">
        <f t="shared" si="7"/>
        <v/>
      </c>
      <c r="BF7" s="12" t="str">
        <f t="shared" si="8"/>
        <v/>
      </c>
      <c r="BG7" s="12" t="str">
        <f t="shared" si="9"/>
        <v/>
      </c>
      <c r="BH7" s="54" t="str">
        <f t="shared" si="10"/>
        <v/>
      </c>
      <c r="BI7" s="39"/>
      <c r="BJ7" s="55" t="str">
        <f t="shared" si="11"/>
        <v/>
      </c>
      <c r="BK7" s="13" t="str">
        <f t="shared" si="12"/>
        <v/>
      </c>
      <c r="BL7" s="13" t="str">
        <f t="shared" si="13"/>
        <v/>
      </c>
      <c r="BM7" s="56" t="str">
        <f t="shared" si="14"/>
        <v/>
      </c>
      <c r="BN7" s="39"/>
      <c r="BO7" s="14" t="str">
        <f t="shared" si="15"/>
        <v/>
      </c>
      <c r="BP7" s="15">
        <v>0</v>
      </c>
      <c r="BQ7" s="15" t="str">
        <f t="shared" si="16"/>
        <v/>
      </c>
      <c r="BR7" s="15" t="str">
        <f t="shared" si="17"/>
        <v/>
      </c>
      <c r="BS7" s="16" t="str">
        <f t="shared" si="18"/>
        <v/>
      </c>
      <c r="BT7" s="39"/>
      <c r="BU7" s="51" t="str">
        <f t="shared" si="19"/>
        <v/>
      </c>
      <c r="BV7" s="28" t="str">
        <f t="shared" si="20"/>
        <v/>
      </c>
      <c r="BW7" s="28" t="str">
        <f t="shared" si="21"/>
        <v/>
      </c>
      <c r="BX7" s="28" t="str">
        <f t="shared" si="22"/>
        <v/>
      </c>
      <c r="BY7" s="28" t="str">
        <f t="shared" si="23"/>
        <v/>
      </c>
      <c r="BZ7" s="52" t="str">
        <f t="shared" si="24"/>
        <v/>
      </c>
      <c r="CA7" s="39"/>
      <c r="CB7" s="49" t="str">
        <f t="shared" si="25"/>
        <v>-</v>
      </c>
      <c r="CC7" s="29" t="str">
        <f t="shared" si="26"/>
        <v>-</v>
      </c>
      <c r="CD7" s="29" t="str">
        <f t="shared" si="27"/>
        <v>-</v>
      </c>
      <c r="CE7" s="29" t="str">
        <f t="shared" si="28"/>
        <v>-</v>
      </c>
      <c r="CF7" s="50" t="str">
        <f t="shared" si="29"/>
        <v>-</v>
      </c>
      <c r="CG7" s="39"/>
    </row>
    <row r="8" spans="1:85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2"/>
      <c r="D8" s="2"/>
      <c r="E8" s="3"/>
      <c r="F8" s="2"/>
      <c r="G8" s="2"/>
      <c r="H8" s="4"/>
      <c r="I8" s="4"/>
      <c r="J8" s="57"/>
      <c r="K8" s="5"/>
      <c r="L8" s="2"/>
      <c r="M8" s="2"/>
      <c r="N8" s="2"/>
      <c r="O8" s="2"/>
      <c r="P8" s="3"/>
      <c r="Q8" s="2"/>
      <c r="R8" s="2"/>
      <c r="S8" s="2"/>
      <c r="T8" s="2"/>
      <c r="U8" s="3"/>
      <c r="V8" s="3"/>
      <c r="W8" s="2"/>
      <c r="X8" s="2"/>
      <c r="Y8" s="2"/>
      <c r="Z8" s="2"/>
      <c r="AA8" s="2"/>
      <c r="AB8" s="2"/>
      <c r="AC8" s="2"/>
      <c r="AD8" s="2"/>
      <c r="AE8" s="3"/>
      <c r="AF8" s="3"/>
      <c r="AG8" s="2"/>
      <c r="AH8" s="6"/>
      <c r="AI8" s="7"/>
      <c r="AJ8" s="6"/>
      <c r="AK8" s="59"/>
      <c r="AL8" s="59"/>
      <c r="AM8" s="59"/>
      <c r="AN8" s="59"/>
      <c r="AO8" s="59"/>
      <c r="AP8" s="59"/>
      <c r="AQ8" s="59"/>
      <c r="AR8" s="59"/>
      <c r="AS8" s="8"/>
      <c r="AT8" s="8"/>
      <c r="AU8" s="9"/>
      <c r="AV8" s="8"/>
      <c r="AW8" s="10" t="e">
        <f t="shared" si="1"/>
        <v>#DIV/0!</v>
      </c>
      <c r="AX8" s="39"/>
      <c r="AY8" s="1" t="str">
        <f t="shared" si="2"/>
        <v/>
      </c>
      <c r="AZ8" s="11" t="str">
        <f t="shared" si="3"/>
        <v/>
      </c>
      <c r="BA8" s="1" t="str">
        <f t="shared" si="4"/>
        <v/>
      </c>
      <c r="BB8" s="39"/>
      <c r="BC8" s="53" t="str">
        <f t="shared" si="5"/>
        <v/>
      </c>
      <c r="BD8" s="12" t="str">
        <f t="shared" si="6"/>
        <v/>
      </c>
      <c r="BE8" s="12" t="str">
        <f t="shared" si="7"/>
        <v/>
      </c>
      <c r="BF8" s="12" t="str">
        <f t="shared" si="8"/>
        <v/>
      </c>
      <c r="BG8" s="12" t="str">
        <f t="shared" si="9"/>
        <v/>
      </c>
      <c r="BH8" s="54" t="str">
        <f t="shared" si="10"/>
        <v/>
      </c>
      <c r="BI8" s="39"/>
      <c r="BJ8" s="55" t="str">
        <f t="shared" si="11"/>
        <v/>
      </c>
      <c r="BK8" s="13" t="str">
        <f t="shared" si="12"/>
        <v/>
      </c>
      <c r="BL8" s="13" t="str">
        <f t="shared" si="13"/>
        <v/>
      </c>
      <c r="BM8" s="56" t="str">
        <f t="shared" si="14"/>
        <v/>
      </c>
      <c r="BN8" s="39"/>
      <c r="BO8" s="14" t="str">
        <f t="shared" si="15"/>
        <v/>
      </c>
      <c r="BP8" s="15">
        <v>0</v>
      </c>
      <c r="BQ8" s="15" t="str">
        <f t="shared" si="16"/>
        <v/>
      </c>
      <c r="BR8" s="15" t="str">
        <f t="shared" si="17"/>
        <v/>
      </c>
      <c r="BS8" s="16" t="str">
        <f t="shared" si="18"/>
        <v/>
      </c>
      <c r="BT8" s="39"/>
      <c r="BU8" s="51" t="str">
        <f t="shared" si="19"/>
        <v/>
      </c>
      <c r="BV8" s="28" t="str">
        <f t="shared" si="20"/>
        <v/>
      </c>
      <c r="BW8" s="28" t="str">
        <f t="shared" si="21"/>
        <v/>
      </c>
      <c r="BX8" s="28" t="str">
        <f t="shared" si="22"/>
        <v/>
      </c>
      <c r="BY8" s="28" t="str">
        <f t="shared" si="23"/>
        <v/>
      </c>
      <c r="BZ8" s="52" t="str">
        <f t="shared" si="24"/>
        <v/>
      </c>
      <c r="CA8" s="39"/>
      <c r="CB8" s="49" t="str">
        <f t="shared" si="25"/>
        <v>-</v>
      </c>
      <c r="CC8" s="29" t="str">
        <f t="shared" si="26"/>
        <v>-</v>
      </c>
      <c r="CD8" s="29" t="str">
        <f t="shared" si="27"/>
        <v>-</v>
      </c>
      <c r="CE8" s="29" t="str">
        <f t="shared" si="28"/>
        <v>-</v>
      </c>
      <c r="CF8" s="50" t="str">
        <f t="shared" si="29"/>
        <v>-</v>
      </c>
      <c r="CG8" s="39"/>
    </row>
    <row r="9" spans="1:85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2"/>
      <c r="D9" s="2"/>
      <c r="E9" s="3"/>
      <c r="F9" s="2"/>
      <c r="G9" s="2"/>
      <c r="H9" s="4"/>
      <c r="I9" s="4"/>
      <c r="J9" s="57"/>
      <c r="K9" s="5"/>
      <c r="L9" s="2"/>
      <c r="M9" s="2"/>
      <c r="N9" s="2"/>
      <c r="O9" s="2"/>
      <c r="P9" s="3"/>
      <c r="Q9" s="2"/>
      <c r="R9" s="2"/>
      <c r="S9" s="2"/>
      <c r="T9" s="2"/>
      <c r="U9" s="3"/>
      <c r="V9" s="3"/>
      <c r="W9" s="2"/>
      <c r="X9" s="2"/>
      <c r="Y9" s="2"/>
      <c r="Z9" s="2"/>
      <c r="AA9" s="2"/>
      <c r="AB9" s="2"/>
      <c r="AC9" s="2"/>
      <c r="AD9" s="2"/>
      <c r="AE9" s="3"/>
      <c r="AF9" s="3"/>
      <c r="AG9" s="2"/>
      <c r="AH9" s="6"/>
      <c r="AI9" s="7"/>
      <c r="AJ9" s="6"/>
      <c r="AK9" s="59"/>
      <c r="AL9" s="59"/>
      <c r="AM9" s="59"/>
      <c r="AN9" s="59"/>
      <c r="AO9" s="59"/>
      <c r="AP9" s="59"/>
      <c r="AQ9" s="59"/>
      <c r="AR9" s="59"/>
      <c r="AS9" s="8"/>
      <c r="AT9" s="8"/>
      <c r="AU9" s="9"/>
      <c r="AV9" s="8"/>
      <c r="AW9" s="10" t="e">
        <f t="shared" si="1"/>
        <v>#DIV/0!</v>
      </c>
      <c r="AX9" s="39"/>
      <c r="AY9" s="1" t="str">
        <f t="shared" si="2"/>
        <v/>
      </c>
      <c r="AZ9" s="11" t="str">
        <f t="shared" si="3"/>
        <v/>
      </c>
      <c r="BA9" s="1" t="str">
        <f t="shared" si="4"/>
        <v/>
      </c>
      <c r="BB9" s="39"/>
      <c r="BC9" s="53" t="str">
        <f t="shared" si="5"/>
        <v/>
      </c>
      <c r="BD9" s="12" t="str">
        <f t="shared" si="6"/>
        <v/>
      </c>
      <c r="BE9" s="12" t="str">
        <f t="shared" si="7"/>
        <v/>
      </c>
      <c r="BF9" s="12" t="str">
        <f t="shared" si="8"/>
        <v/>
      </c>
      <c r="BG9" s="12" t="str">
        <f t="shared" si="9"/>
        <v/>
      </c>
      <c r="BH9" s="54" t="str">
        <f t="shared" si="10"/>
        <v/>
      </c>
      <c r="BI9" s="39"/>
      <c r="BJ9" s="55" t="str">
        <f t="shared" si="11"/>
        <v/>
      </c>
      <c r="BK9" s="13" t="str">
        <f t="shared" si="12"/>
        <v/>
      </c>
      <c r="BL9" s="13" t="str">
        <f t="shared" si="13"/>
        <v/>
      </c>
      <c r="BM9" s="56" t="str">
        <f t="shared" si="14"/>
        <v/>
      </c>
      <c r="BN9" s="39"/>
      <c r="BO9" s="14" t="str">
        <f t="shared" si="15"/>
        <v/>
      </c>
      <c r="BP9" s="15">
        <v>0</v>
      </c>
      <c r="BQ9" s="15" t="str">
        <f t="shared" si="16"/>
        <v/>
      </c>
      <c r="BR9" s="15" t="str">
        <f t="shared" si="17"/>
        <v/>
      </c>
      <c r="BS9" s="16" t="str">
        <f t="shared" si="18"/>
        <v/>
      </c>
      <c r="BT9" s="39"/>
      <c r="BU9" s="51" t="str">
        <f t="shared" si="19"/>
        <v/>
      </c>
      <c r="BV9" s="28" t="str">
        <f t="shared" si="20"/>
        <v/>
      </c>
      <c r="BW9" s="28" t="str">
        <f t="shared" si="21"/>
        <v/>
      </c>
      <c r="BX9" s="28" t="str">
        <f t="shared" si="22"/>
        <v/>
      </c>
      <c r="BY9" s="28" t="str">
        <f t="shared" si="23"/>
        <v/>
      </c>
      <c r="BZ9" s="52" t="str">
        <f t="shared" si="24"/>
        <v/>
      </c>
      <c r="CA9" s="39"/>
      <c r="CB9" s="49" t="str">
        <f t="shared" si="25"/>
        <v>-</v>
      </c>
      <c r="CC9" s="29" t="str">
        <f t="shared" si="26"/>
        <v>-</v>
      </c>
      <c r="CD9" s="29" t="str">
        <f t="shared" si="27"/>
        <v>-</v>
      </c>
      <c r="CE9" s="29" t="str">
        <f t="shared" si="28"/>
        <v>-</v>
      </c>
      <c r="CF9" s="50" t="str">
        <f t="shared" si="29"/>
        <v>-</v>
      </c>
      <c r="CG9" s="39"/>
    </row>
    <row r="10" spans="1:85" s="27" customFormat="1" ht="12.4" customHeight="1" thickBot="1" x14ac:dyDescent="0.25">
      <c r="A10" s="43">
        <f t="shared" si="30"/>
        <v>46302</v>
      </c>
      <c r="B10" s="44" t="str">
        <f>+TEXT(A10,"DDD")</f>
        <v>Wed</v>
      </c>
      <c r="C10" s="2"/>
      <c r="D10" s="2"/>
      <c r="E10" s="3"/>
      <c r="F10" s="2"/>
      <c r="G10" s="2"/>
      <c r="H10" s="4"/>
      <c r="I10" s="4"/>
      <c r="J10" s="57"/>
      <c r="K10" s="5"/>
      <c r="L10" s="2"/>
      <c r="M10" s="2"/>
      <c r="N10" s="2"/>
      <c r="O10" s="2"/>
      <c r="P10" s="3"/>
      <c r="Q10" s="2"/>
      <c r="R10" s="2"/>
      <c r="S10" s="2"/>
      <c r="T10" s="2"/>
      <c r="U10" s="3"/>
      <c r="V10" s="3"/>
      <c r="W10" s="2"/>
      <c r="X10" s="2"/>
      <c r="Y10" s="2"/>
      <c r="Z10" s="2"/>
      <c r="AA10" s="2"/>
      <c r="AB10" s="2"/>
      <c r="AC10" s="2"/>
      <c r="AD10" s="2"/>
      <c r="AE10" s="3"/>
      <c r="AF10" s="3"/>
      <c r="AG10" s="2"/>
      <c r="AH10" s="6"/>
      <c r="AI10" s="7"/>
      <c r="AJ10" s="6"/>
      <c r="AK10" s="59"/>
      <c r="AL10" s="59"/>
      <c r="AM10" s="59"/>
      <c r="AN10" s="59"/>
      <c r="AO10" s="59"/>
      <c r="AP10" s="59"/>
      <c r="AQ10" s="59"/>
      <c r="AR10" s="59"/>
      <c r="AS10" s="8"/>
      <c r="AT10" s="8"/>
      <c r="AU10" s="9"/>
      <c r="AV10" s="8"/>
      <c r="AW10" s="10" t="e">
        <f t="shared" si="1"/>
        <v>#DIV/0!</v>
      </c>
      <c r="AX10" s="39"/>
      <c r="AY10" s="1" t="str">
        <f t="shared" si="2"/>
        <v/>
      </c>
      <c r="AZ10" s="11" t="str">
        <f t="shared" si="3"/>
        <v/>
      </c>
      <c r="BA10" s="1" t="str">
        <f t="shared" si="4"/>
        <v/>
      </c>
      <c r="BB10" s="39"/>
      <c r="BC10" s="53" t="str">
        <f t="shared" si="5"/>
        <v/>
      </c>
      <c r="BD10" s="12" t="str">
        <f t="shared" si="6"/>
        <v/>
      </c>
      <c r="BE10" s="12" t="str">
        <f t="shared" si="7"/>
        <v/>
      </c>
      <c r="BF10" s="12" t="str">
        <f t="shared" si="8"/>
        <v/>
      </c>
      <c r="BG10" s="12" t="str">
        <f t="shared" si="9"/>
        <v/>
      </c>
      <c r="BH10" s="54" t="str">
        <f t="shared" si="10"/>
        <v/>
      </c>
      <c r="BI10" s="39"/>
      <c r="BJ10" s="55" t="str">
        <f t="shared" si="11"/>
        <v/>
      </c>
      <c r="BK10" s="13" t="str">
        <f t="shared" si="12"/>
        <v/>
      </c>
      <c r="BL10" s="13" t="str">
        <f t="shared" si="13"/>
        <v/>
      </c>
      <c r="BM10" s="56" t="str">
        <f t="shared" si="14"/>
        <v/>
      </c>
      <c r="BN10" s="39"/>
      <c r="BO10" s="14" t="str">
        <f t="shared" si="15"/>
        <v/>
      </c>
      <c r="BP10" s="15">
        <v>0</v>
      </c>
      <c r="BQ10" s="15" t="str">
        <f t="shared" si="16"/>
        <v/>
      </c>
      <c r="BR10" s="15" t="str">
        <f t="shared" si="17"/>
        <v/>
      </c>
      <c r="BS10" s="16" t="str">
        <f t="shared" si="18"/>
        <v/>
      </c>
      <c r="BT10" s="39"/>
      <c r="BU10" s="51" t="str">
        <f t="shared" si="19"/>
        <v/>
      </c>
      <c r="BV10" s="28" t="str">
        <f t="shared" si="20"/>
        <v/>
      </c>
      <c r="BW10" s="28" t="str">
        <f t="shared" si="21"/>
        <v/>
      </c>
      <c r="BX10" s="28" t="str">
        <f t="shared" si="22"/>
        <v/>
      </c>
      <c r="BY10" s="28" t="str">
        <f t="shared" si="23"/>
        <v/>
      </c>
      <c r="BZ10" s="52" t="str">
        <f t="shared" si="24"/>
        <v/>
      </c>
      <c r="CA10" s="39"/>
      <c r="CB10" s="49" t="str">
        <f t="shared" si="25"/>
        <v>-</v>
      </c>
      <c r="CC10" s="29" t="str">
        <f t="shared" si="26"/>
        <v>-</v>
      </c>
      <c r="CD10" s="29" t="str">
        <f t="shared" si="27"/>
        <v>-</v>
      </c>
      <c r="CE10" s="29" t="str">
        <f t="shared" si="28"/>
        <v>-</v>
      </c>
      <c r="CF10" s="50" t="str">
        <f t="shared" si="29"/>
        <v>-</v>
      </c>
      <c r="CG10" s="39"/>
    </row>
    <row r="11" spans="1:85" s="27" customFormat="1" ht="12.4" customHeight="1" thickBot="1" x14ac:dyDescent="0.25">
      <c r="A11" s="43">
        <f t="shared" si="30"/>
        <v>46303</v>
      </c>
      <c r="B11" s="44" t="str">
        <f>+TEXT(A11,"DDD")</f>
        <v>Thu</v>
      </c>
      <c r="C11" s="2"/>
      <c r="D11" s="2"/>
      <c r="E11" s="3"/>
      <c r="F11" s="2"/>
      <c r="G11" s="2"/>
      <c r="H11" s="4"/>
      <c r="I11" s="4"/>
      <c r="J11" s="57"/>
      <c r="K11" s="5"/>
      <c r="L11" s="2"/>
      <c r="M11" s="2"/>
      <c r="N11" s="2"/>
      <c r="O11" s="2"/>
      <c r="P11" s="3"/>
      <c r="Q11" s="2"/>
      <c r="R11" s="2"/>
      <c r="S11" s="2"/>
      <c r="T11" s="2"/>
      <c r="U11" s="3"/>
      <c r="V11" s="3"/>
      <c r="W11" s="2"/>
      <c r="X11" s="2"/>
      <c r="Y11" s="2"/>
      <c r="Z11" s="2"/>
      <c r="AA11" s="2"/>
      <c r="AB11" s="2"/>
      <c r="AC11" s="2"/>
      <c r="AD11" s="2"/>
      <c r="AE11" s="3"/>
      <c r="AF11" s="3"/>
      <c r="AG11" s="2"/>
      <c r="AH11" s="6"/>
      <c r="AI11" s="7"/>
      <c r="AJ11" s="6"/>
      <c r="AK11" s="59"/>
      <c r="AL11" s="59"/>
      <c r="AM11" s="59"/>
      <c r="AN11" s="59"/>
      <c r="AO11" s="59"/>
      <c r="AP11" s="59"/>
      <c r="AQ11" s="59"/>
      <c r="AR11" s="59"/>
      <c r="AS11" s="8"/>
      <c r="AT11" s="8"/>
      <c r="AU11" s="9"/>
      <c r="AV11" s="8"/>
      <c r="AW11" s="10" t="e">
        <f t="shared" si="1"/>
        <v>#DIV/0!</v>
      </c>
      <c r="AX11" s="39"/>
      <c r="AY11" s="1" t="str">
        <f t="shared" si="2"/>
        <v/>
      </c>
      <c r="AZ11" s="11" t="str">
        <f t="shared" si="3"/>
        <v/>
      </c>
      <c r="BA11" s="1" t="str">
        <f t="shared" si="4"/>
        <v/>
      </c>
      <c r="BB11" s="39"/>
      <c r="BC11" s="53" t="str">
        <f t="shared" si="5"/>
        <v/>
      </c>
      <c r="BD11" s="12" t="str">
        <f t="shared" si="6"/>
        <v/>
      </c>
      <c r="BE11" s="12" t="str">
        <f t="shared" si="7"/>
        <v/>
      </c>
      <c r="BF11" s="12" t="str">
        <f t="shared" si="8"/>
        <v/>
      </c>
      <c r="BG11" s="12" t="str">
        <f t="shared" si="9"/>
        <v/>
      </c>
      <c r="BH11" s="54" t="str">
        <f t="shared" si="10"/>
        <v/>
      </c>
      <c r="BI11" s="39"/>
      <c r="BJ11" s="55" t="str">
        <f t="shared" si="11"/>
        <v/>
      </c>
      <c r="BK11" s="13" t="str">
        <f t="shared" si="12"/>
        <v/>
      </c>
      <c r="BL11" s="13" t="str">
        <f t="shared" si="13"/>
        <v/>
      </c>
      <c r="BM11" s="56" t="str">
        <f t="shared" si="14"/>
        <v/>
      </c>
      <c r="BN11" s="39"/>
      <c r="BO11" s="14" t="str">
        <f t="shared" si="15"/>
        <v/>
      </c>
      <c r="BP11" s="15">
        <v>0</v>
      </c>
      <c r="BQ11" s="15" t="str">
        <f t="shared" si="16"/>
        <v/>
      </c>
      <c r="BR11" s="15" t="str">
        <f t="shared" si="17"/>
        <v/>
      </c>
      <c r="BS11" s="16" t="str">
        <f t="shared" si="18"/>
        <v/>
      </c>
      <c r="BT11" s="39"/>
      <c r="BU11" s="51" t="str">
        <f t="shared" si="19"/>
        <v/>
      </c>
      <c r="BV11" s="28" t="str">
        <f t="shared" si="20"/>
        <v/>
      </c>
      <c r="BW11" s="28" t="str">
        <f t="shared" si="21"/>
        <v/>
      </c>
      <c r="BX11" s="28" t="str">
        <f t="shared" si="22"/>
        <v/>
      </c>
      <c r="BY11" s="28" t="str">
        <f t="shared" si="23"/>
        <v/>
      </c>
      <c r="BZ11" s="52" t="str">
        <f t="shared" si="24"/>
        <v/>
      </c>
      <c r="CA11" s="39"/>
      <c r="CB11" s="49" t="str">
        <f t="shared" si="25"/>
        <v>-</v>
      </c>
      <c r="CC11" s="29" t="str">
        <f t="shared" si="26"/>
        <v>-</v>
      </c>
      <c r="CD11" s="29" t="str">
        <f t="shared" si="27"/>
        <v>-</v>
      </c>
      <c r="CE11" s="29" t="str">
        <f t="shared" si="28"/>
        <v>-</v>
      </c>
      <c r="CF11" s="50" t="str">
        <f t="shared" si="29"/>
        <v>-</v>
      </c>
      <c r="CG11" s="39"/>
    </row>
    <row r="12" spans="1:85" s="27" customFormat="1" ht="12.4" customHeight="1" thickBot="1" x14ac:dyDescent="0.25">
      <c r="A12" s="43">
        <f t="shared" si="30"/>
        <v>46304</v>
      </c>
      <c r="B12" s="44" t="str">
        <f>+TEXT(A12,"DDD")</f>
        <v>Fri</v>
      </c>
      <c r="C12" s="2"/>
      <c r="D12" s="2"/>
      <c r="E12" s="3"/>
      <c r="F12" s="2"/>
      <c r="G12" s="2"/>
      <c r="H12" s="4"/>
      <c r="I12" s="4"/>
      <c r="J12" s="57"/>
      <c r="K12" s="5"/>
      <c r="L12" s="2"/>
      <c r="M12" s="2"/>
      <c r="N12" s="2"/>
      <c r="O12" s="2"/>
      <c r="P12" s="3"/>
      <c r="Q12" s="2"/>
      <c r="R12" s="2"/>
      <c r="S12" s="2"/>
      <c r="T12" s="2"/>
      <c r="U12" s="3"/>
      <c r="V12" s="3"/>
      <c r="W12" s="2"/>
      <c r="X12" s="2"/>
      <c r="Y12" s="2"/>
      <c r="Z12" s="2"/>
      <c r="AA12" s="2"/>
      <c r="AB12" s="2"/>
      <c r="AC12" s="2"/>
      <c r="AD12" s="2"/>
      <c r="AE12" s="3"/>
      <c r="AF12" s="3"/>
      <c r="AG12" s="2"/>
      <c r="AH12" s="6"/>
      <c r="AI12" s="7"/>
      <c r="AJ12" s="6"/>
      <c r="AK12" s="59"/>
      <c r="AL12" s="59"/>
      <c r="AM12" s="59"/>
      <c r="AN12" s="59"/>
      <c r="AO12" s="59"/>
      <c r="AP12" s="59"/>
      <c r="AQ12" s="59"/>
      <c r="AR12" s="59"/>
      <c r="AS12" s="8"/>
      <c r="AT12" s="8"/>
      <c r="AU12" s="9"/>
      <c r="AV12" s="8"/>
      <c r="AW12" s="10" t="e">
        <f t="shared" si="1"/>
        <v>#DIV/0!</v>
      </c>
      <c r="AX12" s="39"/>
      <c r="AY12" s="1" t="str">
        <f t="shared" si="2"/>
        <v/>
      </c>
      <c r="AZ12" s="11" t="str">
        <f t="shared" si="3"/>
        <v/>
      </c>
      <c r="BA12" s="1" t="str">
        <f t="shared" si="4"/>
        <v/>
      </c>
      <c r="BB12" s="39"/>
      <c r="BC12" s="53" t="str">
        <f t="shared" si="5"/>
        <v/>
      </c>
      <c r="BD12" s="12" t="str">
        <f t="shared" si="6"/>
        <v/>
      </c>
      <c r="BE12" s="12" t="str">
        <f t="shared" si="7"/>
        <v/>
      </c>
      <c r="BF12" s="12" t="str">
        <f t="shared" si="8"/>
        <v/>
      </c>
      <c r="BG12" s="12" t="str">
        <f t="shared" si="9"/>
        <v/>
      </c>
      <c r="BH12" s="54" t="str">
        <f t="shared" si="10"/>
        <v/>
      </c>
      <c r="BI12" s="39"/>
      <c r="BJ12" s="55" t="str">
        <f t="shared" si="11"/>
        <v/>
      </c>
      <c r="BK12" s="13" t="str">
        <f t="shared" si="12"/>
        <v/>
      </c>
      <c r="BL12" s="13" t="str">
        <f t="shared" si="13"/>
        <v/>
      </c>
      <c r="BM12" s="56" t="str">
        <f t="shared" si="14"/>
        <v/>
      </c>
      <c r="BN12" s="39"/>
      <c r="BO12" s="14" t="str">
        <f t="shared" si="15"/>
        <v/>
      </c>
      <c r="BP12" s="15">
        <v>0</v>
      </c>
      <c r="BQ12" s="15" t="str">
        <f t="shared" si="16"/>
        <v/>
      </c>
      <c r="BR12" s="15" t="str">
        <f t="shared" si="17"/>
        <v/>
      </c>
      <c r="BS12" s="16" t="str">
        <f t="shared" si="18"/>
        <v/>
      </c>
      <c r="BT12" s="39"/>
      <c r="BU12" s="51" t="str">
        <f t="shared" si="19"/>
        <v/>
      </c>
      <c r="BV12" s="28" t="str">
        <f t="shared" si="20"/>
        <v/>
      </c>
      <c r="BW12" s="28" t="str">
        <f t="shared" si="21"/>
        <v/>
      </c>
      <c r="BX12" s="28" t="str">
        <f t="shared" si="22"/>
        <v/>
      </c>
      <c r="BY12" s="28" t="str">
        <f t="shared" si="23"/>
        <v/>
      </c>
      <c r="BZ12" s="52" t="str">
        <f t="shared" si="24"/>
        <v/>
      </c>
      <c r="CA12" s="39"/>
      <c r="CB12" s="49" t="str">
        <f t="shared" si="25"/>
        <v>-</v>
      </c>
      <c r="CC12" s="29" t="str">
        <f t="shared" si="26"/>
        <v>-</v>
      </c>
      <c r="CD12" s="29" t="str">
        <f t="shared" si="27"/>
        <v>-</v>
      </c>
      <c r="CE12" s="29" t="str">
        <f t="shared" si="28"/>
        <v>-</v>
      </c>
      <c r="CF12" s="50" t="str">
        <f t="shared" si="29"/>
        <v>-</v>
      </c>
      <c r="CG12" s="39"/>
    </row>
    <row r="13" spans="1:85" s="27" customFormat="1" ht="12.4" customHeight="1" thickBot="1" x14ac:dyDescent="0.25">
      <c r="A13" s="43">
        <f t="shared" si="30"/>
        <v>46305</v>
      </c>
      <c r="B13" s="44" t="str">
        <f>+TEXT(A13,"DDD")</f>
        <v>Sat</v>
      </c>
      <c r="C13" s="2"/>
      <c r="D13" s="2"/>
      <c r="E13" s="3"/>
      <c r="F13" s="2"/>
      <c r="G13" s="2"/>
      <c r="H13" s="4"/>
      <c r="I13" s="4"/>
      <c r="J13" s="57"/>
      <c r="K13" s="5"/>
      <c r="L13" s="2"/>
      <c r="M13" s="2"/>
      <c r="N13" s="2"/>
      <c r="O13" s="2"/>
      <c r="P13" s="3"/>
      <c r="Q13" s="2"/>
      <c r="R13" s="2"/>
      <c r="S13" s="2"/>
      <c r="T13" s="2"/>
      <c r="U13" s="3"/>
      <c r="V13" s="3"/>
      <c r="W13" s="2"/>
      <c r="X13" s="2"/>
      <c r="Y13" s="2"/>
      <c r="Z13" s="2"/>
      <c r="AA13" s="2"/>
      <c r="AB13" s="2"/>
      <c r="AC13" s="2"/>
      <c r="AD13" s="2"/>
      <c r="AE13" s="3"/>
      <c r="AF13" s="3"/>
      <c r="AG13" s="2"/>
      <c r="AH13" s="6"/>
      <c r="AI13" s="7"/>
      <c r="AJ13" s="6"/>
      <c r="AK13" s="59"/>
      <c r="AL13" s="59"/>
      <c r="AM13" s="59"/>
      <c r="AN13" s="59"/>
      <c r="AO13" s="59"/>
      <c r="AP13" s="59"/>
      <c r="AQ13" s="59"/>
      <c r="AR13" s="59"/>
      <c r="AS13" s="8"/>
      <c r="AT13" s="8"/>
      <c r="AU13" s="9"/>
      <c r="AV13" s="8"/>
      <c r="AW13" s="10" t="e">
        <f t="shared" si="1"/>
        <v>#DIV/0!</v>
      </c>
      <c r="AX13" s="39"/>
      <c r="AY13" s="1" t="str">
        <f t="shared" si="2"/>
        <v/>
      </c>
      <c r="AZ13" s="11" t="str">
        <f t="shared" si="3"/>
        <v/>
      </c>
      <c r="BA13" s="1" t="str">
        <f t="shared" si="4"/>
        <v/>
      </c>
      <c r="BB13" s="39"/>
      <c r="BC13" s="53" t="str">
        <f t="shared" si="5"/>
        <v/>
      </c>
      <c r="BD13" s="12" t="str">
        <f t="shared" si="6"/>
        <v/>
      </c>
      <c r="BE13" s="12" t="str">
        <f t="shared" si="7"/>
        <v/>
      </c>
      <c r="BF13" s="12" t="str">
        <f t="shared" si="8"/>
        <v/>
      </c>
      <c r="BG13" s="12" t="str">
        <f t="shared" si="9"/>
        <v/>
      </c>
      <c r="BH13" s="54" t="str">
        <f t="shared" si="10"/>
        <v/>
      </c>
      <c r="BI13" s="39"/>
      <c r="BJ13" s="55" t="str">
        <f t="shared" si="11"/>
        <v/>
      </c>
      <c r="BK13" s="13" t="str">
        <f t="shared" si="12"/>
        <v/>
      </c>
      <c r="BL13" s="13" t="str">
        <f t="shared" si="13"/>
        <v/>
      </c>
      <c r="BM13" s="56" t="str">
        <f t="shared" si="14"/>
        <v/>
      </c>
      <c r="BN13" s="39"/>
      <c r="BO13" s="14" t="str">
        <f t="shared" si="15"/>
        <v/>
      </c>
      <c r="BP13" s="15">
        <v>0</v>
      </c>
      <c r="BQ13" s="15" t="str">
        <f t="shared" si="16"/>
        <v/>
      </c>
      <c r="BR13" s="15" t="str">
        <f t="shared" si="17"/>
        <v/>
      </c>
      <c r="BS13" s="16" t="str">
        <f t="shared" si="18"/>
        <v/>
      </c>
      <c r="BT13" s="39"/>
      <c r="BU13" s="51" t="str">
        <f t="shared" si="19"/>
        <v/>
      </c>
      <c r="BV13" s="28" t="str">
        <f t="shared" si="20"/>
        <v/>
      </c>
      <c r="BW13" s="28" t="str">
        <f t="shared" si="21"/>
        <v/>
      </c>
      <c r="BX13" s="28" t="str">
        <f t="shared" si="22"/>
        <v/>
      </c>
      <c r="BY13" s="28" t="str">
        <f t="shared" si="23"/>
        <v/>
      </c>
      <c r="BZ13" s="52" t="str">
        <f t="shared" si="24"/>
        <v/>
      </c>
      <c r="CA13" s="39"/>
      <c r="CB13" s="49" t="str">
        <f t="shared" si="25"/>
        <v>-</v>
      </c>
      <c r="CC13" s="29" t="str">
        <f t="shared" si="26"/>
        <v>-</v>
      </c>
      <c r="CD13" s="29" t="str">
        <f t="shared" si="27"/>
        <v>-</v>
      </c>
      <c r="CE13" s="29" t="str">
        <f t="shared" si="28"/>
        <v>-</v>
      </c>
      <c r="CF13" s="50" t="str">
        <f t="shared" si="29"/>
        <v>-</v>
      </c>
      <c r="CG13" s="39"/>
    </row>
    <row r="14" spans="1:85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2"/>
      <c r="D14" s="2"/>
      <c r="E14" s="3"/>
      <c r="F14" s="2"/>
      <c r="G14" s="2"/>
      <c r="H14" s="4"/>
      <c r="I14" s="4"/>
      <c r="J14" s="57"/>
      <c r="K14" s="5"/>
      <c r="L14" s="2"/>
      <c r="M14" s="2"/>
      <c r="N14" s="2"/>
      <c r="O14" s="2"/>
      <c r="P14" s="3"/>
      <c r="Q14" s="2"/>
      <c r="R14" s="2"/>
      <c r="S14" s="2"/>
      <c r="T14" s="2"/>
      <c r="U14" s="3"/>
      <c r="V14" s="3"/>
      <c r="W14" s="2"/>
      <c r="X14" s="2"/>
      <c r="Y14" s="2"/>
      <c r="Z14" s="2"/>
      <c r="AA14" s="2"/>
      <c r="AB14" s="2"/>
      <c r="AC14" s="2"/>
      <c r="AD14" s="2"/>
      <c r="AE14" s="3"/>
      <c r="AF14" s="3"/>
      <c r="AG14" s="2"/>
      <c r="AH14" s="6"/>
      <c r="AI14" s="7"/>
      <c r="AJ14" s="6"/>
      <c r="AK14" s="59"/>
      <c r="AL14" s="59"/>
      <c r="AM14" s="59"/>
      <c r="AN14" s="59"/>
      <c r="AO14" s="59"/>
      <c r="AP14" s="59"/>
      <c r="AQ14" s="59"/>
      <c r="AR14" s="59"/>
      <c r="AS14" s="8"/>
      <c r="AT14" s="8"/>
      <c r="AU14" s="9"/>
      <c r="AV14" s="8"/>
      <c r="AW14" s="10" t="e">
        <f t="shared" si="1"/>
        <v>#DIV/0!</v>
      </c>
      <c r="AX14" s="39"/>
      <c r="AY14" s="1" t="str">
        <f t="shared" si="2"/>
        <v/>
      </c>
      <c r="AZ14" s="11" t="str">
        <f t="shared" si="3"/>
        <v/>
      </c>
      <c r="BA14" s="1" t="str">
        <f t="shared" si="4"/>
        <v/>
      </c>
      <c r="BB14" s="39"/>
      <c r="BC14" s="53" t="str">
        <f t="shared" si="5"/>
        <v/>
      </c>
      <c r="BD14" s="12" t="str">
        <f t="shared" si="6"/>
        <v/>
      </c>
      <c r="BE14" s="12" t="str">
        <f t="shared" si="7"/>
        <v/>
      </c>
      <c r="BF14" s="12" t="str">
        <f t="shared" si="8"/>
        <v/>
      </c>
      <c r="BG14" s="12" t="str">
        <f t="shared" si="9"/>
        <v/>
      </c>
      <c r="BH14" s="54" t="str">
        <f t="shared" si="10"/>
        <v/>
      </c>
      <c r="BI14" s="39"/>
      <c r="BJ14" s="55" t="str">
        <f t="shared" si="11"/>
        <v/>
      </c>
      <c r="BK14" s="13" t="str">
        <f t="shared" si="12"/>
        <v/>
      </c>
      <c r="BL14" s="13" t="str">
        <f t="shared" si="13"/>
        <v/>
      </c>
      <c r="BM14" s="56" t="str">
        <f t="shared" si="14"/>
        <v/>
      </c>
      <c r="BN14" s="39"/>
      <c r="BO14" s="14" t="str">
        <f t="shared" si="15"/>
        <v/>
      </c>
      <c r="BP14" s="15">
        <v>0</v>
      </c>
      <c r="BQ14" s="15" t="str">
        <f t="shared" si="16"/>
        <v/>
      </c>
      <c r="BR14" s="15" t="str">
        <f t="shared" si="17"/>
        <v/>
      </c>
      <c r="BS14" s="16" t="str">
        <f t="shared" si="18"/>
        <v/>
      </c>
      <c r="BT14" s="39"/>
      <c r="BU14" s="51" t="str">
        <f t="shared" si="19"/>
        <v/>
      </c>
      <c r="BV14" s="28" t="str">
        <f t="shared" si="20"/>
        <v/>
      </c>
      <c r="BW14" s="28" t="str">
        <f t="shared" si="21"/>
        <v/>
      </c>
      <c r="BX14" s="28" t="str">
        <f t="shared" si="22"/>
        <v/>
      </c>
      <c r="BY14" s="28" t="str">
        <f t="shared" si="23"/>
        <v/>
      </c>
      <c r="BZ14" s="52" t="str">
        <f t="shared" si="24"/>
        <v/>
      </c>
      <c r="CA14" s="39"/>
      <c r="CB14" s="49" t="str">
        <f t="shared" si="25"/>
        <v>-</v>
      </c>
      <c r="CC14" s="29" t="str">
        <f t="shared" si="26"/>
        <v>-</v>
      </c>
      <c r="CD14" s="29" t="str">
        <f t="shared" si="27"/>
        <v>-</v>
      </c>
      <c r="CE14" s="29" t="str">
        <f t="shared" si="28"/>
        <v>-</v>
      </c>
      <c r="CF14" s="50" t="str">
        <f t="shared" si="29"/>
        <v>-</v>
      </c>
      <c r="CG14" s="39"/>
    </row>
    <row r="15" spans="1:85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2"/>
      <c r="D15" s="2"/>
      <c r="E15" s="3"/>
      <c r="F15" s="2"/>
      <c r="G15" s="2"/>
      <c r="H15" s="4"/>
      <c r="I15" s="4"/>
      <c r="J15" s="57"/>
      <c r="K15" s="5"/>
      <c r="L15" s="2"/>
      <c r="M15" s="2"/>
      <c r="N15" s="2"/>
      <c r="O15" s="2"/>
      <c r="P15" s="3"/>
      <c r="Q15" s="2"/>
      <c r="R15" s="2"/>
      <c r="S15" s="2"/>
      <c r="T15" s="2"/>
      <c r="U15" s="3"/>
      <c r="V15" s="3"/>
      <c r="W15" s="2"/>
      <c r="X15" s="2"/>
      <c r="Y15" s="2"/>
      <c r="Z15" s="2"/>
      <c r="AA15" s="2"/>
      <c r="AB15" s="2"/>
      <c r="AC15" s="2"/>
      <c r="AD15" s="2"/>
      <c r="AE15" s="3"/>
      <c r="AF15" s="3"/>
      <c r="AG15" s="2"/>
      <c r="AH15" s="6"/>
      <c r="AI15" s="7"/>
      <c r="AJ15" s="6"/>
      <c r="AK15" s="59"/>
      <c r="AL15" s="59"/>
      <c r="AM15" s="59"/>
      <c r="AN15" s="59"/>
      <c r="AO15" s="59"/>
      <c r="AP15" s="59"/>
      <c r="AQ15" s="59"/>
      <c r="AR15" s="59"/>
      <c r="AS15" s="8"/>
      <c r="AT15" s="8"/>
      <c r="AU15" s="9"/>
      <c r="AV15" s="8"/>
      <c r="AW15" s="10" t="e">
        <f t="shared" si="1"/>
        <v>#DIV/0!</v>
      </c>
      <c r="AX15" s="39"/>
      <c r="AY15" s="1" t="str">
        <f t="shared" si="2"/>
        <v/>
      </c>
      <c r="AZ15" s="11" t="str">
        <f t="shared" si="3"/>
        <v/>
      </c>
      <c r="BA15" s="1" t="str">
        <f t="shared" si="4"/>
        <v/>
      </c>
      <c r="BB15" s="39"/>
      <c r="BC15" s="53" t="str">
        <f t="shared" si="5"/>
        <v/>
      </c>
      <c r="BD15" s="12" t="str">
        <f t="shared" si="6"/>
        <v/>
      </c>
      <c r="BE15" s="12" t="str">
        <f t="shared" si="7"/>
        <v/>
      </c>
      <c r="BF15" s="12" t="str">
        <f t="shared" si="8"/>
        <v/>
      </c>
      <c r="BG15" s="12" t="str">
        <f t="shared" si="9"/>
        <v/>
      </c>
      <c r="BH15" s="54" t="str">
        <f t="shared" si="10"/>
        <v/>
      </c>
      <c r="BI15" s="39"/>
      <c r="BJ15" s="55" t="str">
        <f t="shared" si="11"/>
        <v/>
      </c>
      <c r="BK15" s="13" t="str">
        <f t="shared" si="12"/>
        <v/>
      </c>
      <c r="BL15" s="13" t="str">
        <f t="shared" si="13"/>
        <v/>
      </c>
      <c r="BM15" s="56" t="str">
        <f t="shared" si="14"/>
        <v/>
      </c>
      <c r="BN15" s="39"/>
      <c r="BO15" s="14" t="str">
        <f t="shared" si="15"/>
        <v/>
      </c>
      <c r="BP15" s="15">
        <v>0</v>
      </c>
      <c r="BQ15" s="15" t="str">
        <f t="shared" si="16"/>
        <v/>
      </c>
      <c r="BR15" s="15" t="str">
        <f t="shared" si="17"/>
        <v/>
      </c>
      <c r="BS15" s="16" t="str">
        <f t="shared" si="18"/>
        <v/>
      </c>
      <c r="BT15" s="39"/>
      <c r="BU15" s="51" t="str">
        <f t="shared" si="19"/>
        <v/>
      </c>
      <c r="BV15" s="28" t="str">
        <f t="shared" si="20"/>
        <v/>
      </c>
      <c r="BW15" s="28" t="str">
        <f t="shared" si="21"/>
        <v/>
      </c>
      <c r="BX15" s="28" t="str">
        <f t="shared" si="22"/>
        <v/>
      </c>
      <c r="BY15" s="28" t="str">
        <f t="shared" si="23"/>
        <v/>
      </c>
      <c r="BZ15" s="52" t="str">
        <f t="shared" si="24"/>
        <v/>
      </c>
      <c r="CA15" s="39"/>
      <c r="CB15" s="49" t="str">
        <f t="shared" si="25"/>
        <v>-</v>
      </c>
      <c r="CC15" s="29" t="str">
        <f t="shared" si="26"/>
        <v>-</v>
      </c>
      <c r="CD15" s="29" t="str">
        <f t="shared" si="27"/>
        <v>-</v>
      </c>
      <c r="CE15" s="29" t="str">
        <f t="shared" si="28"/>
        <v>-</v>
      </c>
      <c r="CF15" s="50" t="str">
        <f t="shared" si="29"/>
        <v>-</v>
      </c>
      <c r="CG15" s="39"/>
    </row>
    <row r="16" spans="1:85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2"/>
      <c r="D16" s="2"/>
      <c r="E16" s="3"/>
      <c r="F16" s="2"/>
      <c r="G16" s="2"/>
      <c r="H16" s="4"/>
      <c r="I16" s="4"/>
      <c r="J16" s="67"/>
      <c r="K16" s="5"/>
      <c r="L16" s="2"/>
      <c r="M16" s="2"/>
      <c r="N16" s="2"/>
      <c r="O16" s="2"/>
      <c r="P16" s="3"/>
      <c r="Q16" s="2"/>
      <c r="R16" s="2"/>
      <c r="S16" s="2"/>
      <c r="T16" s="2"/>
      <c r="U16" s="3"/>
      <c r="V16" s="3"/>
      <c r="W16" s="2"/>
      <c r="X16" s="2"/>
      <c r="Y16" s="2"/>
      <c r="Z16" s="2"/>
      <c r="AA16" s="2"/>
      <c r="AB16" s="2"/>
      <c r="AC16" s="2"/>
      <c r="AD16" s="2"/>
      <c r="AE16" s="3"/>
      <c r="AF16" s="3"/>
      <c r="AG16" s="2"/>
      <c r="AH16" s="6"/>
      <c r="AI16" s="7"/>
      <c r="AJ16" s="6"/>
      <c r="AK16" s="59"/>
      <c r="AL16" s="59"/>
      <c r="AM16" s="59"/>
      <c r="AN16" s="59"/>
      <c r="AO16" s="59"/>
      <c r="AP16" s="59"/>
      <c r="AQ16" s="59"/>
      <c r="AR16" s="59"/>
      <c r="AS16" s="8"/>
      <c r="AT16" s="8"/>
      <c r="AU16" s="9"/>
      <c r="AV16" s="8"/>
      <c r="AW16" s="10" t="e">
        <f t="shared" si="1"/>
        <v>#DIV/0!</v>
      </c>
      <c r="AX16" s="39"/>
      <c r="AY16" s="1" t="str">
        <f t="shared" si="2"/>
        <v/>
      </c>
      <c r="AZ16" s="11" t="str">
        <f t="shared" si="3"/>
        <v/>
      </c>
      <c r="BA16" s="1" t="str">
        <f t="shared" si="4"/>
        <v/>
      </c>
      <c r="BB16" s="39"/>
      <c r="BC16" s="53" t="str">
        <f t="shared" si="5"/>
        <v/>
      </c>
      <c r="BD16" s="12" t="str">
        <f t="shared" si="6"/>
        <v/>
      </c>
      <c r="BE16" s="12" t="str">
        <f t="shared" si="7"/>
        <v/>
      </c>
      <c r="BF16" s="12" t="str">
        <f t="shared" si="8"/>
        <v/>
      </c>
      <c r="BG16" s="12" t="str">
        <f t="shared" si="9"/>
        <v/>
      </c>
      <c r="BH16" s="54" t="str">
        <f t="shared" si="10"/>
        <v/>
      </c>
      <c r="BI16" s="39"/>
      <c r="BJ16" s="55" t="str">
        <f t="shared" si="11"/>
        <v/>
      </c>
      <c r="BK16" s="13" t="str">
        <f t="shared" si="12"/>
        <v/>
      </c>
      <c r="BL16" s="13" t="str">
        <f t="shared" si="13"/>
        <v/>
      </c>
      <c r="BM16" s="56" t="str">
        <f t="shared" si="14"/>
        <v/>
      </c>
      <c r="BN16" s="39"/>
      <c r="BO16" s="14" t="str">
        <f t="shared" si="15"/>
        <v/>
      </c>
      <c r="BP16" s="15">
        <v>0</v>
      </c>
      <c r="BQ16" s="15" t="str">
        <f t="shared" si="16"/>
        <v/>
      </c>
      <c r="BR16" s="15" t="str">
        <f t="shared" si="17"/>
        <v/>
      </c>
      <c r="BS16" s="16" t="str">
        <f t="shared" si="18"/>
        <v/>
      </c>
      <c r="BT16" s="39"/>
      <c r="BU16" s="51" t="str">
        <f t="shared" si="19"/>
        <v/>
      </c>
      <c r="BV16" s="28" t="str">
        <f t="shared" si="20"/>
        <v/>
      </c>
      <c r="BW16" s="28" t="str">
        <f t="shared" si="21"/>
        <v/>
      </c>
      <c r="BX16" s="28" t="str">
        <f t="shared" si="22"/>
        <v/>
      </c>
      <c r="BY16" s="28" t="str">
        <f t="shared" si="23"/>
        <v/>
      </c>
      <c r="BZ16" s="52" t="str">
        <f t="shared" si="24"/>
        <v/>
      </c>
      <c r="CA16" s="39"/>
      <c r="CB16" s="49" t="str">
        <f t="shared" si="25"/>
        <v>-</v>
      </c>
      <c r="CC16" s="29" t="str">
        <f t="shared" si="26"/>
        <v>-</v>
      </c>
      <c r="CD16" s="29" t="str">
        <f t="shared" si="27"/>
        <v>-</v>
      </c>
      <c r="CE16" s="29" t="str">
        <f t="shared" si="28"/>
        <v>-</v>
      </c>
      <c r="CF16" s="50" t="str">
        <f t="shared" si="29"/>
        <v>-</v>
      </c>
      <c r="CG16" s="39"/>
    </row>
    <row r="17" spans="1:85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2"/>
      <c r="D17" s="2"/>
      <c r="E17" s="3"/>
      <c r="F17" s="2"/>
      <c r="G17" s="2"/>
      <c r="H17" s="4"/>
      <c r="I17" s="4"/>
      <c r="J17" s="57"/>
      <c r="K17" s="5"/>
      <c r="L17" s="2"/>
      <c r="M17" s="2"/>
      <c r="N17" s="2"/>
      <c r="O17" s="2"/>
      <c r="P17" s="3"/>
      <c r="Q17" s="2"/>
      <c r="R17" s="2"/>
      <c r="S17" s="2"/>
      <c r="T17" s="2"/>
      <c r="U17" s="3"/>
      <c r="V17" s="3"/>
      <c r="W17" s="2"/>
      <c r="X17" s="2"/>
      <c r="Y17" s="2"/>
      <c r="Z17" s="2"/>
      <c r="AA17" s="2"/>
      <c r="AB17" s="2"/>
      <c r="AC17" s="2"/>
      <c r="AD17" s="2"/>
      <c r="AE17" s="3"/>
      <c r="AF17" s="3"/>
      <c r="AG17" s="2"/>
      <c r="AH17" s="6"/>
      <c r="AI17" s="7"/>
      <c r="AJ17" s="6"/>
      <c r="AK17" s="59"/>
      <c r="AL17" s="59"/>
      <c r="AM17" s="59"/>
      <c r="AN17" s="59"/>
      <c r="AO17" s="59"/>
      <c r="AP17" s="59"/>
      <c r="AQ17" s="59"/>
      <c r="AR17" s="59"/>
      <c r="AS17" s="8"/>
      <c r="AT17" s="8"/>
      <c r="AU17" s="9"/>
      <c r="AV17" s="8"/>
      <c r="AW17" s="10" t="e">
        <f t="shared" si="1"/>
        <v>#DIV/0!</v>
      </c>
      <c r="AX17" s="39"/>
      <c r="AY17" s="1" t="str">
        <f t="shared" si="2"/>
        <v/>
      </c>
      <c r="AZ17" s="11" t="str">
        <f t="shared" si="3"/>
        <v/>
      </c>
      <c r="BA17" s="1" t="str">
        <f t="shared" si="4"/>
        <v/>
      </c>
      <c r="BB17" s="39"/>
      <c r="BC17" s="53" t="str">
        <f t="shared" si="5"/>
        <v/>
      </c>
      <c r="BD17" s="12" t="str">
        <f t="shared" si="6"/>
        <v/>
      </c>
      <c r="BE17" s="12" t="str">
        <f t="shared" si="7"/>
        <v/>
      </c>
      <c r="BF17" s="12" t="str">
        <f t="shared" si="8"/>
        <v/>
      </c>
      <c r="BG17" s="12" t="str">
        <f t="shared" si="9"/>
        <v/>
      </c>
      <c r="BH17" s="54" t="str">
        <f t="shared" si="10"/>
        <v/>
      </c>
      <c r="BI17" s="39"/>
      <c r="BJ17" s="55" t="str">
        <f t="shared" si="11"/>
        <v/>
      </c>
      <c r="BK17" s="13" t="str">
        <f t="shared" si="12"/>
        <v/>
      </c>
      <c r="BL17" s="13" t="str">
        <f t="shared" si="13"/>
        <v/>
      </c>
      <c r="BM17" s="56" t="str">
        <f t="shared" si="14"/>
        <v/>
      </c>
      <c r="BN17" s="39"/>
      <c r="BO17" s="14" t="str">
        <f t="shared" si="15"/>
        <v/>
      </c>
      <c r="BP17" s="15">
        <v>0</v>
      </c>
      <c r="BQ17" s="15" t="str">
        <f t="shared" si="16"/>
        <v/>
      </c>
      <c r="BR17" s="15" t="str">
        <f t="shared" si="17"/>
        <v/>
      </c>
      <c r="BS17" s="16" t="str">
        <f t="shared" si="18"/>
        <v/>
      </c>
      <c r="BT17" s="39"/>
      <c r="BU17" s="51" t="str">
        <f t="shared" si="19"/>
        <v/>
      </c>
      <c r="BV17" s="28" t="str">
        <f t="shared" si="20"/>
        <v/>
      </c>
      <c r="BW17" s="28" t="str">
        <f t="shared" si="21"/>
        <v/>
      </c>
      <c r="BX17" s="28" t="str">
        <f t="shared" si="22"/>
        <v/>
      </c>
      <c r="BY17" s="28" t="str">
        <f t="shared" si="23"/>
        <v/>
      </c>
      <c r="BZ17" s="52" t="str">
        <f t="shared" si="24"/>
        <v/>
      </c>
      <c r="CA17" s="39"/>
      <c r="CB17" s="49" t="str">
        <f t="shared" si="25"/>
        <v>-</v>
      </c>
      <c r="CC17" s="29" t="str">
        <f t="shared" si="26"/>
        <v>-</v>
      </c>
      <c r="CD17" s="29" t="str">
        <f t="shared" si="27"/>
        <v>-</v>
      </c>
      <c r="CE17" s="29" t="str">
        <f t="shared" si="28"/>
        <v>-</v>
      </c>
      <c r="CF17" s="50" t="str">
        <f t="shared" si="29"/>
        <v>-</v>
      </c>
      <c r="CG17" s="39"/>
    </row>
    <row r="18" spans="1:85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2"/>
      <c r="D18" s="2"/>
      <c r="E18" s="3"/>
      <c r="F18" s="2"/>
      <c r="G18" s="2"/>
      <c r="H18" s="4"/>
      <c r="I18" s="4"/>
      <c r="J18" s="57"/>
      <c r="K18" s="5"/>
      <c r="L18" s="2"/>
      <c r="M18" s="2"/>
      <c r="N18" s="2"/>
      <c r="O18" s="2"/>
      <c r="P18" s="3"/>
      <c r="Q18" s="2"/>
      <c r="R18" s="2"/>
      <c r="S18" s="2"/>
      <c r="T18" s="2"/>
      <c r="U18" s="3"/>
      <c r="V18" s="3"/>
      <c r="W18" s="2"/>
      <c r="X18" s="2"/>
      <c r="Y18" s="2"/>
      <c r="Z18" s="2"/>
      <c r="AA18" s="2"/>
      <c r="AB18" s="2"/>
      <c r="AC18" s="2"/>
      <c r="AD18" s="2"/>
      <c r="AE18" s="3"/>
      <c r="AF18" s="3"/>
      <c r="AG18" s="2"/>
      <c r="AH18" s="6"/>
      <c r="AI18" s="7"/>
      <c r="AJ18" s="6"/>
      <c r="AK18" s="59"/>
      <c r="AL18" s="59"/>
      <c r="AM18" s="59"/>
      <c r="AN18" s="59"/>
      <c r="AO18" s="59"/>
      <c r="AP18" s="59"/>
      <c r="AQ18" s="59"/>
      <c r="AR18" s="59"/>
      <c r="AS18" s="8"/>
      <c r="AT18" s="8"/>
      <c r="AU18" s="9"/>
      <c r="AV18" s="8"/>
      <c r="AW18" s="10" t="e">
        <f t="shared" si="1"/>
        <v>#DIV/0!</v>
      </c>
      <c r="AX18" s="39"/>
      <c r="AY18" s="1" t="str">
        <f t="shared" si="2"/>
        <v/>
      </c>
      <c r="AZ18" s="11" t="str">
        <f t="shared" si="3"/>
        <v/>
      </c>
      <c r="BA18" s="1" t="str">
        <f t="shared" si="4"/>
        <v/>
      </c>
      <c r="BB18" s="39"/>
      <c r="BC18" s="53" t="str">
        <f t="shared" si="5"/>
        <v/>
      </c>
      <c r="BD18" s="12" t="str">
        <f t="shared" si="6"/>
        <v/>
      </c>
      <c r="BE18" s="12" t="str">
        <f t="shared" si="7"/>
        <v/>
      </c>
      <c r="BF18" s="12" t="str">
        <f t="shared" si="8"/>
        <v/>
      </c>
      <c r="BG18" s="12" t="str">
        <f t="shared" si="9"/>
        <v/>
      </c>
      <c r="BH18" s="54" t="str">
        <f t="shared" si="10"/>
        <v/>
      </c>
      <c r="BI18" s="39"/>
      <c r="BJ18" s="55" t="str">
        <f t="shared" si="11"/>
        <v/>
      </c>
      <c r="BK18" s="13" t="str">
        <f t="shared" si="12"/>
        <v/>
      </c>
      <c r="BL18" s="13" t="str">
        <f t="shared" si="13"/>
        <v/>
      </c>
      <c r="BM18" s="56" t="str">
        <f t="shared" si="14"/>
        <v/>
      </c>
      <c r="BN18" s="39"/>
      <c r="BO18" s="14" t="str">
        <f t="shared" si="15"/>
        <v/>
      </c>
      <c r="BP18" s="15">
        <v>0</v>
      </c>
      <c r="BQ18" s="15" t="str">
        <f t="shared" si="16"/>
        <v/>
      </c>
      <c r="BR18" s="15" t="str">
        <f t="shared" si="17"/>
        <v/>
      </c>
      <c r="BS18" s="16" t="str">
        <f t="shared" si="18"/>
        <v/>
      </c>
      <c r="BT18" s="39"/>
      <c r="BU18" s="51" t="str">
        <f t="shared" si="19"/>
        <v/>
      </c>
      <c r="BV18" s="28" t="str">
        <f t="shared" si="20"/>
        <v/>
      </c>
      <c r="BW18" s="28" t="str">
        <f t="shared" si="21"/>
        <v/>
      </c>
      <c r="BX18" s="28" t="str">
        <f t="shared" si="22"/>
        <v/>
      </c>
      <c r="BY18" s="28" t="str">
        <f t="shared" si="23"/>
        <v/>
      </c>
      <c r="BZ18" s="52" t="str">
        <f t="shared" si="24"/>
        <v/>
      </c>
      <c r="CA18" s="39"/>
      <c r="CB18" s="49" t="str">
        <f t="shared" si="25"/>
        <v>-</v>
      </c>
      <c r="CC18" s="29" t="str">
        <f t="shared" si="26"/>
        <v>-</v>
      </c>
      <c r="CD18" s="29" t="str">
        <f t="shared" si="27"/>
        <v>-</v>
      </c>
      <c r="CE18" s="29" t="str">
        <f t="shared" si="28"/>
        <v>-</v>
      </c>
      <c r="CF18" s="50" t="str">
        <f t="shared" si="29"/>
        <v>-</v>
      </c>
      <c r="CG18" s="39"/>
    </row>
    <row r="19" spans="1:85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2"/>
      <c r="D19" s="2"/>
      <c r="E19" s="3"/>
      <c r="F19" s="2"/>
      <c r="G19" s="2"/>
      <c r="H19" s="4"/>
      <c r="I19" s="4"/>
      <c r="J19" s="57"/>
      <c r="K19" s="5"/>
      <c r="L19" s="2"/>
      <c r="M19" s="2"/>
      <c r="N19" s="2"/>
      <c r="O19" s="2"/>
      <c r="P19" s="3"/>
      <c r="Q19" s="2"/>
      <c r="R19" s="2"/>
      <c r="S19" s="2"/>
      <c r="T19" s="2"/>
      <c r="U19" s="3"/>
      <c r="V19" s="3"/>
      <c r="W19" s="2"/>
      <c r="X19" s="2"/>
      <c r="Y19" s="2"/>
      <c r="Z19" s="2"/>
      <c r="AA19" s="2"/>
      <c r="AB19" s="2"/>
      <c r="AC19" s="2"/>
      <c r="AD19" s="2"/>
      <c r="AE19" s="3"/>
      <c r="AF19" s="3"/>
      <c r="AG19" s="2"/>
      <c r="AH19" s="6"/>
      <c r="AI19" s="7"/>
      <c r="AJ19" s="6"/>
      <c r="AK19" s="59"/>
      <c r="AL19" s="59"/>
      <c r="AM19" s="59"/>
      <c r="AN19" s="59"/>
      <c r="AO19" s="59"/>
      <c r="AP19" s="59"/>
      <c r="AQ19" s="59"/>
      <c r="AR19" s="59"/>
      <c r="AS19" s="8"/>
      <c r="AT19" s="8"/>
      <c r="AU19" s="9"/>
      <c r="AV19" s="8"/>
      <c r="AW19" s="10" t="e">
        <f t="shared" si="1"/>
        <v>#DIV/0!</v>
      </c>
      <c r="AX19" s="39"/>
      <c r="AY19" s="1" t="str">
        <f t="shared" si="2"/>
        <v/>
      </c>
      <c r="AZ19" s="11" t="str">
        <f t="shared" si="3"/>
        <v/>
      </c>
      <c r="BA19" s="1" t="str">
        <f t="shared" si="4"/>
        <v/>
      </c>
      <c r="BB19" s="39"/>
      <c r="BC19" s="53" t="str">
        <f t="shared" si="5"/>
        <v/>
      </c>
      <c r="BD19" s="12" t="str">
        <f t="shared" si="6"/>
        <v/>
      </c>
      <c r="BE19" s="12" t="str">
        <f t="shared" si="7"/>
        <v/>
      </c>
      <c r="BF19" s="12" t="str">
        <f t="shared" si="8"/>
        <v/>
      </c>
      <c r="BG19" s="12" t="str">
        <f t="shared" si="9"/>
        <v/>
      </c>
      <c r="BH19" s="54" t="str">
        <f t="shared" si="10"/>
        <v/>
      </c>
      <c r="BI19" s="39"/>
      <c r="BJ19" s="55" t="str">
        <f t="shared" si="11"/>
        <v/>
      </c>
      <c r="BK19" s="13" t="str">
        <f t="shared" si="12"/>
        <v/>
      </c>
      <c r="BL19" s="13" t="str">
        <f t="shared" si="13"/>
        <v/>
      </c>
      <c r="BM19" s="56" t="str">
        <f t="shared" si="14"/>
        <v/>
      </c>
      <c r="BN19" s="39"/>
      <c r="BO19" s="14" t="str">
        <f t="shared" si="15"/>
        <v/>
      </c>
      <c r="BP19" s="15">
        <v>0</v>
      </c>
      <c r="BQ19" s="15" t="str">
        <f t="shared" si="16"/>
        <v/>
      </c>
      <c r="BR19" s="15" t="str">
        <f t="shared" si="17"/>
        <v/>
      </c>
      <c r="BS19" s="16" t="str">
        <f t="shared" si="18"/>
        <v/>
      </c>
      <c r="BT19" s="39"/>
      <c r="BU19" s="51" t="str">
        <f t="shared" si="19"/>
        <v/>
      </c>
      <c r="BV19" s="28" t="str">
        <f t="shared" si="20"/>
        <v/>
      </c>
      <c r="BW19" s="28" t="str">
        <f t="shared" si="21"/>
        <v/>
      </c>
      <c r="BX19" s="28" t="str">
        <f t="shared" si="22"/>
        <v/>
      </c>
      <c r="BY19" s="28" t="str">
        <f t="shared" si="23"/>
        <v/>
      </c>
      <c r="BZ19" s="52" t="str">
        <f t="shared" si="24"/>
        <v/>
      </c>
      <c r="CA19" s="39"/>
      <c r="CB19" s="49" t="str">
        <f t="shared" si="25"/>
        <v>-</v>
      </c>
      <c r="CC19" s="29" t="str">
        <f t="shared" si="26"/>
        <v>-</v>
      </c>
      <c r="CD19" s="29" t="str">
        <f t="shared" si="27"/>
        <v>-</v>
      </c>
      <c r="CE19" s="29" t="str">
        <f t="shared" si="28"/>
        <v>-</v>
      </c>
      <c r="CF19" s="50" t="str">
        <f t="shared" si="29"/>
        <v>-</v>
      </c>
      <c r="CG19" s="39"/>
    </row>
    <row r="20" spans="1:85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2"/>
      <c r="D20" s="2"/>
      <c r="E20" s="3"/>
      <c r="F20" s="2"/>
      <c r="G20" s="2"/>
      <c r="H20" s="4"/>
      <c r="I20" s="4"/>
      <c r="J20" s="57"/>
      <c r="K20" s="5"/>
      <c r="L20" s="2"/>
      <c r="M20" s="2"/>
      <c r="N20" s="2"/>
      <c r="O20" s="2"/>
      <c r="P20" s="3"/>
      <c r="Q20" s="2"/>
      <c r="R20" s="2"/>
      <c r="S20" s="2"/>
      <c r="T20" s="2"/>
      <c r="U20" s="3"/>
      <c r="V20" s="3"/>
      <c r="W20" s="2"/>
      <c r="X20" s="2"/>
      <c r="Y20" s="2"/>
      <c r="Z20" s="2"/>
      <c r="AA20" s="2"/>
      <c r="AB20" s="2"/>
      <c r="AC20" s="2"/>
      <c r="AD20" s="2"/>
      <c r="AE20" s="3"/>
      <c r="AF20" s="3"/>
      <c r="AG20" s="2"/>
      <c r="AH20" s="6"/>
      <c r="AI20" s="7"/>
      <c r="AJ20" s="6"/>
      <c r="AK20" s="59"/>
      <c r="AL20" s="59"/>
      <c r="AM20" s="59"/>
      <c r="AN20" s="59"/>
      <c r="AO20" s="59"/>
      <c r="AP20" s="59"/>
      <c r="AQ20" s="59"/>
      <c r="AR20" s="59"/>
      <c r="AS20" s="8"/>
      <c r="AT20" s="8"/>
      <c r="AU20" s="9"/>
      <c r="AV20" s="8"/>
      <c r="AW20" s="10" t="e">
        <f t="shared" si="1"/>
        <v>#DIV/0!</v>
      </c>
      <c r="AX20" s="39"/>
      <c r="AY20" s="1" t="str">
        <f t="shared" si="2"/>
        <v/>
      </c>
      <c r="AZ20" s="11" t="str">
        <f t="shared" si="3"/>
        <v/>
      </c>
      <c r="BA20" s="1" t="str">
        <f t="shared" si="4"/>
        <v/>
      </c>
      <c r="BB20" s="39"/>
      <c r="BC20" s="53" t="str">
        <f t="shared" si="5"/>
        <v/>
      </c>
      <c r="BD20" s="12" t="str">
        <f t="shared" si="6"/>
        <v/>
      </c>
      <c r="BE20" s="12" t="str">
        <f t="shared" si="7"/>
        <v/>
      </c>
      <c r="BF20" s="12" t="str">
        <f t="shared" si="8"/>
        <v/>
      </c>
      <c r="BG20" s="12" t="str">
        <f t="shared" si="9"/>
        <v/>
      </c>
      <c r="BH20" s="54" t="str">
        <f t="shared" si="10"/>
        <v/>
      </c>
      <c r="BI20" s="39"/>
      <c r="BJ20" s="55" t="str">
        <f t="shared" si="11"/>
        <v/>
      </c>
      <c r="BK20" s="13" t="str">
        <f t="shared" si="12"/>
        <v/>
      </c>
      <c r="BL20" s="13" t="str">
        <f t="shared" si="13"/>
        <v/>
      </c>
      <c r="BM20" s="56" t="str">
        <f t="shared" si="14"/>
        <v/>
      </c>
      <c r="BN20" s="39"/>
      <c r="BO20" s="14" t="str">
        <f t="shared" si="15"/>
        <v/>
      </c>
      <c r="BP20" s="15">
        <v>0</v>
      </c>
      <c r="BQ20" s="15" t="str">
        <f t="shared" si="16"/>
        <v/>
      </c>
      <c r="BR20" s="15" t="str">
        <f t="shared" si="17"/>
        <v/>
      </c>
      <c r="BS20" s="16" t="str">
        <f t="shared" si="18"/>
        <v/>
      </c>
      <c r="BT20" s="39"/>
      <c r="BU20" s="51" t="str">
        <f t="shared" si="19"/>
        <v/>
      </c>
      <c r="BV20" s="28" t="str">
        <f t="shared" si="20"/>
        <v/>
      </c>
      <c r="BW20" s="28" t="str">
        <f t="shared" si="21"/>
        <v/>
      </c>
      <c r="BX20" s="28" t="str">
        <f t="shared" si="22"/>
        <v/>
      </c>
      <c r="BY20" s="28" t="str">
        <f t="shared" si="23"/>
        <v/>
      </c>
      <c r="BZ20" s="52" t="str">
        <f t="shared" si="24"/>
        <v/>
      </c>
      <c r="CA20" s="39"/>
      <c r="CB20" s="49" t="str">
        <f t="shared" si="25"/>
        <v>-</v>
      </c>
      <c r="CC20" s="29" t="str">
        <f t="shared" si="26"/>
        <v>-</v>
      </c>
      <c r="CD20" s="29" t="str">
        <f t="shared" si="27"/>
        <v>-</v>
      </c>
      <c r="CE20" s="29" t="str">
        <f t="shared" si="28"/>
        <v>-</v>
      </c>
      <c r="CF20" s="50" t="str">
        <f t="shared" si="29"/>
        <v>-</v>
      </c>
      <c r="CG20" s="39"/>
    </row>
    <row r="21" spans="1:85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2"/>
      <c r="D21" s="2"/>
      <c r="E21" s="3"/>
      <c r="F21" s="2"/>
      <c r="G21" s="2"/>
      <c r="H21" s="4"/>
      <c r="I21" s="4"/>
      <c r="J21" s="57"/>
      <c r="K21" s="5"/>
      <c r="L21" s="2"/>
      <c r="M21" s="2"/>
      <c r="N21" s="2"/>
      <c r="O21" s="2"/>
      <c r="P21" s="3"/>
      <c r="Q21" s="2"/>
      <c r="R21" s="2"/>
      <c r="S21" s="2"/>
      <c r="T21" s="2"/>
      <c r="U21" s="3"/>
      <c r="V21" s="3"/>
      <c r="W21" s="2"/>
      <c r="X21" s="2"/>
      <c r="Y21" s="2"/>
      <c r="Z21" s="2"/>
      <c r="AA21" s="2"/>
      <c r="AB21" s="2"/>
      <c r="AC21" s="2"/>
      <c r="AD21" s="2"/>
      <c r="AE21" s="3"/>
      <c r="AF21" s="3"/>
      <c r="AG21" s="2"/>
      <c r="AH21" s="6"/>
      <c r="AI21" s="7"/>
      <c r="AJ21" s="6"/>
      <c r="AK21" s="59"/>
      <c r="AL21" s="59"/>
      <c r="AM21" s="59"/>
      <c r="AN21" s="59"/>
      <c r="AO21" s="59"/>
      <c r="AP21" s="59"/>
      <c r="AQ21" s="59"/>
      <c r="AR21" s="59"/>
      <c r="AS21" s="8"/>
      <c r="AT21" s="8"/>
      <c r="AU21" s="9"/>
      <c r="AV21" s="8"/>
      <c r="AW21" s="10" t="e">
        <f t="shared" si="1"/>
        <v>#DIV/0!</v>
      </c>
      <c r="AX21" s="39"/>
      <c r="AY21" s="1" t="str">
        <f t="shared" si="2"/>
        <v/>
      </c>
      <c r="AZ21" s="11" t="str">
        <f t="shared" si="3"/>
        <v/>
      </c>
      <c r="BA21" s="1" t="str">
        <f t="shared" si="4"/>
        <v/>
      </c>
      <c r="BB21" s="39"/>
      <c r="BC21" s="53" t="str">
        <f t="shared" si="5"/>
        <v/>
      </c>
      <c r="BD21" s="12" t="str">
        <f t="shared" si="6"/>
        <v/>
      </c>
      <c r="BE21" s="12" t="str">
        <f t="shared" si="7"/>
        <v/>
      </c>
      <c r="BF21" s="12" t="str">
        <f t="shared" si="8"/>
        <v/>
      </c>
      <c r="BG21" s="12" t="str">
        <f t="shared" si="9"/>
        <v/>
      </c>
      <c r="BH21" s="54" t="str">
        <f t="shared" si="10"/>
        <v/>
      </c>
      <c r="BI21" s="39"/>
      <c r="BJ21" s="55" t="str">
        <f t="shared" si="11"/>
        <v/>
      </c>
      <c r="BK21" s="13" t="str">
        <f t="shared" si="12"/>
        <v/>
      </c>
      <c r="BL21" s="13" t="str">
        <f t="shared" si="13"/>
        <v/>
      </c>
      <c r="BM21" s="56" t="str">
        <f t="shared" si="14"/>
        <v/>
      </c>
      <c r="BN21" s="39"/>
      <c r="BO21" s="14" t="str">
        <f t="shared" si="15"/>
        <v/>
      </c>
      <c r="BP21" s="15">
        <v>0</v>
      </c>
      <c r="BQ21" s="15" t="str">
        <f t="shared" si="16"/>
        <v/>
      </c>
      <c r="BR21" s="15" t="str">
        <f t="shared" si="17"/>
        <v/>
      </c>
      <c r="BS21" s="16" t="str">
        <f t="shared" si="18"/>
        <v/>
      </c>
      <c r="BT21" s="39"/>
      <c r="BU21" s="51" t="str">
        <f t="shared" si="19"/>
        <v/>
      </c>
      <c r="BV21" s="28" t="str">
        <f t="shared" si="20"/>
        <v/>
      </c>
      <c r="BW21" s="28" t="str">
        <f t="shared" si="21"/>
        <v/>
      </c>
      <c r="BX21" s="28" t="str">
        <f t="shared" si="22"/>
        <v/>
      </c>
      <c r="BY21" s="28" t="str">
        <f t="shared" si="23"/>
        <v/>
      </c>
      <c r="BZ21" s="52" t="str">
        <f t="shared" si="24"/>
        <v/>
      </c>
      <c r="CA21" s="39"/>
      <c r="CB21" s="49" t="str">
        <f t="shared" si="25"/>
        <v>-</v>
      </c>
      <c r="CC21" s="29" t="str">
        <f t="shared" si="26"/>
        <v>-</v>
      </c>
      <c r="CD21" s="29" t="str">
        <f t="shared" si="27"/>
        <v>-</v>
      </c>
      <c r="CE21" s="29" t="str">
        <f t="shared" si="28"/>
        <v>-</v>
      </c>
      <c r="CF21" s="50" t="str">
        <f t="shared" si="29"/>
        <v>-</v>
      </c>
      <c r="CG21" s="39"/>
    </row>
    <row r="22" spans="1:85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2"/>
      <c r="D22" s="2"/>
      <c r="E22" s="3"/>
      <c r="F22" s="2"/>
      <c r="G22" s="2"/>
      <c r="H22" s="4"/>
      <c r="I22" s="4"/>
      <c r="J22" s="57"/>
      <c r="K22" s="5"/>
      <c r="L22" s="2"/>
      <c r="M22" s="2"/>
      <c r="N22" s="2"/>
      <c r="O22" s="2"/>
      <c r="P22" s="3"/>
      <c r="Q22" s="2"/>
      <c r="R22" s="2"/>
      <c r="S22" s="2"/>
      <c r="T22" s="2"/>
      <c r="U22" s="3"/>
      <c r="V22" s="3"/>
      <c r="W22" s="2"/>
      <c r="X22" s="2"/>
      <c r="Y22" s="2"/>
      <c r="Z22" s="2"/>
      <c r="AA22" s="2"/>
      <c r="AB22" s="2"/>
      <c r="AC22" s="2"/>
      <c r="AD22" s="2"/>
      <c r="AE22" s="3"/>
      <c r="AF22" s="3"/>
      <c r="AG22" s="2"/>
      <c r="AH22" s="6"/>
      <c r="AI22" s="7"/>
      <c r="AJ22" s="6"/>
      <c r="AK22" s="59"/>
      <c r="AL22" s="59"/>
      <c r="AM22" s="59"/>
      <c r="AN22" s="59"/>
      <c r="AO22" s="59"/>
      <c r="AP22" s="59"/>
      <c r="AQ22" s="59"/>
      <c r="AR22" s="59"/>
      <c r="AS22" s="8"/>
      <c r="AT22" s="8"/>
      <c r="AU22" s="9"/>
      <c r="AV22" s="8"/>
      <c r="AW22" s="10" t="e">
        <f t="shared" si="1"/>
        <v>#DIV/0!</v>
      </c>
      <c r="AX22" s="39"/>
      <c r="AY22" s="1" t="str">
        <f t="shared" si="2"/>
        <v/>
      </c>
      <c r="AZ22" s="11" t="str">
        <f t="shared" si="3"/>
        <v/>
      </c>
      <c r="BA22" s="1" t="str">
        <f t="shared" si="4"/>
        <v/>
      </c>
      <c r="BB22" s="39"/>
      <c r="BC22" s="53" t="str">
        <f t="shared" si="5"/>
        <v/>
      </c>
      <c r="BD22" s="12" t="str">
        <f t="shared" si="6"/>
        <v/>
      </c>
      <c r="BE22" s="12" t="str">
        <f t="shared" si="7"/>
        <v/>
      </c>
      <c r="BF22" s="12" t="str">
        <f t="shared" si="8"/>
        <v/>
      </c>
      <c r="BG22" s="12" t="str">
        <f t="shared" si="9"/>
        <v/>
      </c>
      <c r="BH22" s="54" t="str">
        <f t="shared" si="10"/>
        <v/>
      </c>
      <c r="BI22" s="39"/>
      <c r="BJ22" s="55" t="str">
        <f t="shared" si="11"/>
        <v/>
      </c>
      <c r="BK22" s="13" t="str">
        <f t="shared" si="12"/>
        <v/>
      </c>
      <c r="BL22" s="13" t="str">
        <f t="shared" si="13"/>
        <v/>
      </c>
      <c r="BM22" s="56" t="str">
        <f t="shared" si="14"/>
        <v/>
      </c>
      <c r="BN22" s="39"/>
      <c r="BO22" s="14" t="str">
        <f t="shared" si="15"/>
        <v/>
      </c>
      <c r="BP22" s="15">
        <v>0</v>
      </c>
      <c r="BQ22" s="15" t="str">
        <f t="shared" si="16"/>
        <v/>
      </c>
      <c r="BR22" s="15" t="str">
        <f t="shared" si="17"/>
        <v/>
      </c>
      <c r="BS22" s="16" t="str">
        <f t="shared" si="18"/>
        <v/>
      </c>
      <c r="BT22" s="39"/>
      <c r="BU22" s="51" t="str">
        <f t="shared" si="19"/>
        <v/>
      </c>
      <c r="BV22" s="28" t="str">
        <f t="shared" si="20"/>
        <v/>
      </c>
      <c r="BW22" s="28" t="str">
        <f t="shared" si="21"/>
        <v/>
      </c>
      <c r="BX22" s="28" t="str">
        <f t="shared" si="22"/>
        <v/>
      </c>
      <c r="BY22" s="28" t="str">
        <f t="shared" si="23"/>
        <v/>
      </c>
      <c r="BZ22" s="52" t="str">
        <f t="shared" si="24"/>
        <v/>
      </c>
      <c r="CA22" s="39"/>
      <c r="CB22" s="49" t="str">
        <f t="shared" si="25"/>
        <v>-</v>
      </c>
      <c r="CC22" s="29" t="str">
        <f t="shared" si="26"/>
        <v>-</v>
      </c>
      <c r="CD22" s="29" t="str">
        <f t="shared" si="27"/>
        <v>-</v>
      </c>
      <c r="CE22" s="29" t="str">
        <f t="shared" si="28"/>
        <v>-</v>
      </c>
      <c r="CF22" s="50" t="str">
        <f t="shared" si="29"/>
        <v>-</v>
      </c>
      <c r="CG22" s="39"/>
    </row>
    <row r="23" spans="1:85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2"/>
      <c r="D23" s="2"/>
      <c r="E23" s="3"/>
      <c r="F23" s="2"/>
      <c r="G23" s="2"/>
      <c r="H23" s="4"/>
      <c r="I23" s="4"/>
      <c r="J23" s="57"/>
      <c r="K23" s="5"/>
      <c r="L23" s="2"/>
      <c r="M23" s="2"/>
      <c r="N23" s="2"/>
      <c r="O23" s="2"/>
      <c r="P23" s="3"/>
      <c r="Q23" s="2"/>
      <c r="R23" s="2"/>
      <c r="S23" s="2"/>
      <c r="T23" s="2"/>
      <c r="U23" s="3"/>
      <c r="V23" s="3"/>
      <c r="W23" s="2"/>
      <c r="X23" s="2"/>
      <c r="Y23" s="2"/>
      <c r="Z23" s="2"/>
      <c r="AA23" s="2"/>
      <c r="AB23" s="2"/>
      <c r="AC23" s="2"/>
      <c r="AD23" s="2"/>
      <c r="AE23" s="3"/>
      <c r="AF23" s="3"/>
      <c r="AG23" s="2"/>
      <c r="AH23" s="6"/>
      <c r="AI23" s="7"/>
      <c r="AJ23" s="6"/>
      <c r="AK23" s="59"/>
      <c r="AL23" s="59"/>
      <c r="AM23" s="59"/>
      <c r="AN23" s="59"/>
      <c r="AO23" s="59"/>
      <c r="AP23" s="59"/>
      <c r="AQ23" s="59"/>
      <c r="AR23" s="59"/>
      <c r="AS23" s="8"/>
      <c r="AT23" s="8"/>
      <c r="AU23" s="9"/>
      <c r="AV23" s="8"/>
      <c r="AW23" s="10" t="e">
        <f t="shared" si="1"/>
        <v>#DIV/0!</v>
      </c>
      <c r="AX23" s="39"/>
      <c r="AY23" s="1" t="str">
        <f t="shared" si="2"/>
        <v/>
      </c>
      <c r="AZ23" s="11" t="str">
        <f t="shared" si="3"/>
        <v/>
      </c>
      <c r="BA23" s="1" t="str">
        <f t="shared" si="4"/>
        <v/>
      </c>
      <c r="BB23" s="39"/>
      <c r="BC23" s="53" t="str">
        <f t="shared" si="5"/>
        <v/>
      </c>
      <c r="BD23" s="12" t="str">
        <f t="shared" si="6"/>
        <v/>
      </c>
      <c r="BE23" s="12" t="str">
        <f t="shared" si="7"/>
        <v/>
      </c>
      <c r="BF23" s="12" t="str">
        <f t="shared" si="8"/>
        <v/>
      </c>
      <c r="BG23" s="12" t="str">
        <f t="shared" si="9"/>
        <v/>
      </c>
      <c r="BH23" s="54" t="str">
        <f t="shared" si="10"/>
        <v/>
      </c>
      <c r="BI23" s="39"/>
      <c r="BJ23" s="55" t="str">
        <f t="shared" si="11"/>
        <v/>
      </c>
      <c r="BK23" s="13" t="str">
        <f t="shared" si="12"/>
        <v/>
      </c>
      <c r="BL23" s="13" t="str">
        <f t="shared" si="13"/>
        <v/>
      </c>
      <c r="BM23" s="56" t="str">
        <f t="shared" si="14"/>
        <v/>
      </c>
      <c r="BN23" s="39"/>
      <c r="BO23" s="14" t="str">
        <f t="shared" si="15"/>
        <v/>
      </c>
      <c r="BP23" s="15">
        <v>0</v>
      </c>
      <c r="BQ23" s="15" t="str">
        <f t="shared" si="16"/>
        <v/>
      </c>
      <c r="BR23" s="15" t="str">
        <f t="shared" si="17"/>
        <v/>
      </c>
      <c r="BS23" s="16" t="str">
        <f t="shared" si="18"/>
        <v/>
      </c>
      <c r="BT23" s="39"/>
      <c r="BU23" s="51" t="str">
        <f t="shared" si="19"/>
        <v/>
      </c>
      <c r="BV23" s="28" t="str">
        <f t="shared" si="20"/>
        <v/>
      </c>
      <c r="BW23" s="28" t="str">
        <f t="shared" si="21"/>
        <v/>
      </c>
      <c r="BX23" s="28" t="str">
        <f t="shared" si="22"/>
        <v/>
      </c>
      <c r="BY23" s="28" t="str">
        <f t="shared" si="23"/>
        <v/>
      </c>
      <c r="BZ23" s="52" t="str">
        <f t="shared" si="24"/>
        <v/>
      </c>
      <c r="CA23" s="39"/>
      <c r="CB23" s="49" t="str">
        <f t="shared" si="25"/>
        <v>-</v>
      </c>
      <c r="CC23" s="29" t="str">
        <f t="shared" si="26"/>
        <v>-</v>
      </c>
      <c r="CD23" s="29" t="str">
        <f t="shared" si="27"/>
        <v>-</v>
      </c>
      <c r="CE23" s="29" t="str">
        <f t="shared" si="28"/>
        <v>-</v>
      </c>
      <c r="CF23" s="50" t="str">
        <f t="shared" si="29"/>
        <v>-</v>
      </c>
      <c r="CG23" s="39"/>
    </row>
    <row r="24" spans="1:85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2"/>
      <c r="D24" s="2"/>
      <c r="E24" s="3"/>
      <c r="F24" s="2"/>
      <c r="G24" s="2"/>
      <c r="H24" s="4"/>
      <c r="I24" s="4"/>
      <c r="J24" s="57"/>
      <c r="K24" s="5"/>
      <c r="L24" s="2"/>
      <c r="M24" s="2"/>
      <c r="N24" s="2"/>
      <c r="O24" s="2"/>
      <c r="P24" s="3"/>
      <c r="Q24" s="2"/>
      <c r="R24" s="2"/>
      <c r="S24" s="2"/>
      <c r="T24" s="2"/>
      <c r="U24" s="3"/>
      <c r="V24" s="3"/>
      <c r="W24" s="2"/>
      <c r="X24" s="2"/>
      <c r="Y24" s="2"/>
      <c r="Z24" s="2"/>
      <c r="AA24" s="2"/>
      <c r="AB24" s="2"/>
      <c r="AC24" s="2"/>
      <c r="AD24" s="2"/>
      <c r="AE24" s="3"/>
      <c r="AF24" s="3"/>
      <c r="AG24" s="2"/>
      <c r="AH24" s="6"/>
      <c r="AI24" s="7"/>
      <c r="AJ24" s="6"/>
      <c r="AK24" s="59"/>
      <c r="AL24" s="59"/>
      <c r="AM24" s="59"/>
      <c r="AN24" s="59"/>
      <c r="AO24" s="59"/>
      <c r="AP24" s="59"/>
      <c r="AQ24" s="59"/>
      <c r="AR24" s="59"/>
      <c r="AS24" s="8"/>
      <c r="AT24" s="8"/>
      <c r="AU24" s="9"/>
      <c r="AV24" s="8"/>
      <c r="AW24" s="10" t="e">
        <f t="shared" si="1"/>
        <v>#DIV/0!</v>
      </c>
      <c r="AX24" s="39"/>
      <c r="AY24" s="1" t="str">
        <f t="shared" si="2"/>
        <v/>
      </c>
      <c r="AZ24" s="11" t="str">
        <f t="shared" si="3"/>
        <v/>
      </c>
      <c r="BA24" s="1" t="str">
        <f t="shared" si="4"/>
        <v/>
      </c>
      <c r="BB24" s="39"/>
      <c r="BC24" s="53" t="str">
        <f t="shared" si="5"/>
        <v/>
      </c>
      <c r="BD24" s="12" t="str">
        <f t="shared" si="6"/>
        <v/>
      </c>
      <c r="BE24" s="12" t="str">
        <f t="shared" si="7"/>
        <v/>
      </c>
      <c r="BF24" s="12" t="str">
        <f t="shared" si="8"/>
        <v/>
      </c>
      <c r="BG24" s="12" t="str">
        <f t="shared" si="9"/>
        <v/>
      </c>
      <c r="BH24" s="54" t="str">
        <f t="shared" si="10"/>
        <v/>
      </c>
      <c r="BI24" s="39"/>
      <c r="BJ24" s="55" t="str">
        <f t="shared" si="11"/>
        <v/>
      </c>
      <c r="BK24" s="13" t="str">
        <f t="shared" si="12"/>
        <v/>
      </c>
      <c r="BL24" s="13" t="str">
        <f t="shared" si="13"/>
        <v/>
      </c>
      <c r="BM24" s="56" t="str">
        <f t="shared" si="14"/>
        <v/>
      </c>
      <c r="BN24" s="39"/>
      <c r="BO24" s="14" t="str">
        <f t="shared" si="15"/>
        <v/>
      </c>
      <c r="BP24" s="15">
        <v>0</v>
      </c>
      <c r="BQ24" s="15" t="str">
        <f t="shared" si="16"/>
        <v/>
      </c>
      <c r="BR24" s="15" t="str">
        <f t="shared" si="17"/>
        <v/>
      </c>
      <c r="BS24" s="16" t="str">
        <f t="shared" si="18"/>
        <v/>
      </c>
      <c r="BT24" s="39"/>
      <c r="BU24" s="51" t="str">
        <f t="shared" si="19"/>
        <v/>
      </c>
      <c r="BV24" s="28" t="str">
        <f t="shared" si="20"/>
        <v/>
      </c>
      <c r="BW24" s="28" t="str">
        <f t="shared" si="21"/>
        <v/>
      </c>
      <c r="BX24" s="28" t="str">
        <f t="shared" si="22"/>
        <v/>
      </c>
      <c r="BY24" s="28" t="str">
        <f t="shared" si="23"/>
        <v/>
      </c>
      <c r="BZ24" s="52" t="str">
        <f t="shared" si="24"/>
        <v/>
      </c>
      <c r="CA24" s="39"/>
      <c r="CB24" s="49" t="str">
        <f t="shared" si="25"/>
        <v>-</v>
      </c>
      <c r="CC24" s="29" t="str">
        <f t="shared" si="26"/>
        <v>-</v>
      </c>
      <c r="CD24" s="29" t="str">
        <f t="shared" si="27"/>
        <v>-</v>
      </c>
      <c r="CE24" s="29" t="str">
        <f t="shared" si="28"/>
        <v>-</v>
      </c>
      <c r="CF24" s="50" t="str">
        <f t="shared" si="29"/>
        <v>-</v>
      </c>
      <c r="CG24" s="39"/>
    </row>
    <row r="25" spans="1:85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2"/>
      <c r="D25" s="2"/>
      <c r="E25" s="3"/>
      <c r="F25" s="2"/>
      <c r="G25" s="2"/>
      <c r="H25" s="4"/>
      <c r="I25" s="4"/>
      <c r="J25" s="57"/>
      <c r="K25" s="5"/>
      <c r="L25" s="2"/>
      <c r="M25" s="2"/>
      <c r="N25" s="2"/>
      <c r="O25" s="2"/>
      <c r="P25" s="3"/>
      <c r="Q25" s="2"/>
      <c r="R25" s="2"/>
      <c r="S25" s="2"/>
      <c r="T25" s="2"/>
      <c r="U25" s="3"/>
      <c r="V25" s="3"/>
      <c r="W25" s="2"/>
      <c r="X25" s="2"/>
      <c r="Y25" s="2"/>
      <c r="Z25" s="2"/>
      <c r="AA25" s="2"/>
      <c r="AB25" s="2"/>
      <c r="AC25" s="2"/>
      <c r="AD25" s="2"/>
      <c r="AE25" s="3"/>
      <c r="AF25" s="3"/>
      <c r="AG25" s="2"/>
      <c r="AH25" s="6"/>
      <c r="AI25" s="7"/>
      <c r="AJ25" s="6"/>
      <c r="AK25" s="59"/>
      <c r="AL25" s="59"/>
      <c r="AM25" s="59"/>
      <c r="AN25" s="59"/>
      <c r="AO25" s="59"/>
      <c r="AP25" s="59"/>
      <c r="AQ25" s="59"/>
      <c r="AR25" s="59"/>
      <c r="AS25" s="8"/>
      <c r="AT25" s="8"/>
      <c r="AU25" s="9"/>
      <c r="AV25" s="8"/>
      <c r="AW25" s="10" t="e">
        <f t="shared" si="1"/>
        <v>#DIV/0!</v>
      </c>
      <c r="AX25" s="39"/>
      <c r="AY25" s="1" t="str">
        <f t="shared" si="2"/>
        <v/>
      </c>
      <c r="AZ25" s="11" t="str">
        <f t="shared" si="3"/>
        <v/>
      </c>
      <c r="BA25" s="1" t="str">
        <f t="shared" si="4"/>
        <v/>
      </c>
      <c r="BB25" s="39"/>
      <c r="BC25" s="53" t="str">
        <f t="shared" si="5"/>
        <v/>
      </c>
      <c r="BD25" s="12" t="str">
        <f t="shared" si="6"/>
        <v/>
      </c>
      <c r="BE25" s="12" t="str">
        <f t="shared" si="7"/>
        <v/>
      </c>
      <c r="BF25" s="12" t="str">
        <f t="shared" si="8"/>
        <v/>
      </c>
      <c r="BG25" s="12" t="str">
        <f t="shared" si="9"/>
        <v/>
      </c>
      <c r="BH25" s="54" t="str">
        <f t="shared" si="10"/>
        <v/>
      </c>
      <c r="BI25" s="39"/>
      <c r="BJ25" s="55" t="str">
        <f t="shared" si="11"/>
        <v/>
      </c>
      <c r="BK25" s="13" t="str">
        <f t="shared" si="12"/>
        <v/>
      </c>
      <c r="BL25" s="13" t="str">
        <f t="shared" si="13"/>
        <v/>
      </c>
      <c r="BM25" s="56" t="str">
        <f t="shared" si="14"/>
        <v/>
      </c>
      <c r="BN25" s="39"/>
      <c r="BO25" s="14" t="str">
        <f t="shared" si="15"/>
        <v/>
      </c>
      <c r="BP25" s="15">
        <v>0</v>
      </c>
      <c r="BQ25" s="15" t="str">
        <f t="shared" si="16"/>
        <v/>
      </c>
      <c r="BR25" s="15" t="str">
        <f t="shared" si="17"/>
        <v/>
      </c>
      <c r="BS25" s="16" t="str">
        <f t="shared" si="18"/>
        <v/>
      </c>
      <c r="BT25" s="39"/>
      <c r="BU25" s="51" t="str">
        <f t="shared" si="19"/>
        <v/>
      </c>
      <c r="BV25" s="28" t="str">
        <f t="shared" si="20"/>
        <v/>
      </c>
      <c r="BW25" s="28" t="str">
        <f t="shared" si="21"/>
        <v/>
      </c>
      <c r="BX25" s="28" t="str">
        <f t="shared" si="22"/>
        <v/>
      </c>
      <c r="BY25" s="28" t="str">
        <f t="shared" si="23"/>
        <v/>
      </c>
      <c r="BZ25" s="52" t="str">
        <f t="shared" si="24"/>
        <v/>
      </c>
      <c r="CA25" s="39"/>
      <c r="CB25" s="49" t="str">
        <f t="shared" si="25"/>
        <v>-</v>
      </c>
      <c r="CC25" s="29" t="str">
        <f t="shared" si="26"/>
        <v>-</v>
      </c>
      <c r="CD25" s="29" t="str">
        <f t="shared" si="27"/>
        <v>-</v>
      </c>
      <c r="CE25" s="29" t="str">
        <f t="shared" si="28"/>
        <v>-</v>
      </c>
      <c r="CF25" s="50" t="str">
        <f t="shared" si="29"/>
        <v>-</v>
      </c>
      <c r="CG25" s="39"/>
    </row>
    <row r="26" spans="1:85" s="27" customFormat="1" ht="12.4" customHeight="1" thickBot="1" x14ac:dyDescent="0.25">
      <c r="A26" s="43">
        <f t="shared" si="30"/>
        <v>46318</v>
      </c>
      <c r="B26" s="44" t="str">
        <f>+TEXT(A26,"DDD")</f>
        <v>Fri</v>
      </c>
      <c r="C26" s="2"/>
      <c r="D26" s="2"/>
      <c r="E26" s="3"/>
      <c r="F26" s="2"/>
      <c r="G26" s="2"/>
      <c r="H26" s="4"/>
      <c r="I26" s="4"/>
      <c r="J26" s="57"/>
      <c r="K26" s="5"/>
      <c r="L26" s="2"/>
      <c r="M26" s="2"/>
      <c r="N26" s="2"/>
      <c r="O26" s="2"/>
      <c r="P26" s="3"/>
      <c r="Q26" s="2"/>
      <c r="R26" s="2"/>
      <c r="S26" s="2"/>
      <c r="T26" s="2"/>
      <c r="U26" s="3"/>
      <c r="V26" s="3"/>
      <c r="W26" s="2"/>
      <c r="X26" s="2"/>
      <c r="Y26" s="2"/>
      <c r="Z26" s="2"/>
      <c r="AA26" s="2"/>
      <c r="AB26" s="2"/>
      <c r="AC26" s="2"/>
      <c r="AD26" s="2"/>
      <c r="AE26" s="3"/>
      <c r="AF26" s="3"/>
      <c r="AG26" s="2"/>
      <c r="AH26" s="6"/>
      <c r="AI26" s="7"/>
      <c r="AJ26" s="6"/>
      <c r="AK26" s="59"/>
      <c r="AL26" s="59"/>
      <c r="AM26" s="59"/>
      <c r="AN26" s="59"/>
      <c r="AO26" s="59"/>
      <c r="AP26" s="59"/>
      <c r="AQ26" s="59"/>
      <c r="AR26" s="59"/>
      <c r="AS26" s="8"/>
      <c r="AT26" s="8"/>
      <c r="AU26" s="9"/>
      <c r="AV26" s="8"/>
      <c r="AW26" s="10" t="e">
        <f t="shared" si="1"/>
        <v>#DIV/0!</v>
      </c>
      <c r="AX26" s="39"/>
      <c r="AY26" s="1" t="str">
        <f t="shared" si="2"/>
        <v/>
      </c>
      <c r="AZ26" s="11" t="str">
        <f t="shared" si="3"/>
        <v/>
      </c>
      <c r="BA26" s="1" t="str">
        <f t="shared" si="4"/>
        <v/>
      </c>
      <c r="BB26" s="39"/>
      <c r="BC26" s="53" t="str">
        <f t="shared" si="5"/>
        <v/>
      </c>
      <c r="BD26" s="12" t="str">
        <f t="shared" si="6"/>
        <v/>
      </c>
      <c r="BE26" s="12" t="str">
        <f t="shared" si="7"/>
        <v/>
      </c>
      <c r="BF26" s="12" t="str">
        <f t="shared" si="8"/>
        <v/>
      </c>
      <c r="BG26" s="12" t="str">
        <f t="shared" si="9"/>
        <v/>
      </c>
      <c r="BH26" s="54" t="str">
        <f t="shared" si="10"/>
        <v/>
      </c>
      <c r="BI26" s="39"/>
      <c r="BJ26" s="55" t="str">
        <f t="shared" si="11"/>
        <v/>
      </c>
      <c r="BK26" s="13" t="str">
        <f t="shared" si="12"/>
        <v/>
      </c>
      <c r="BL26" s="13" t="str">
        <f t="shared" si="13"/>
        <v/>
      </c>
      <c r="BM26" s="56" t="str">
        <f t="shared" si="14"/>
        <v/>
      </c>
      <c r="BN26" s="39"/>
      <c r="BO26" s="14" t="str">
        <f t="shared" si="15"/>
        <v/>
      </c>
      <c r="BP26" s="15">
        <v>0</v>
      </c>
      <c r="BQ26" s="15" t="str">
        <f t="shared" si="16"/>
        <v/>
      </c>
      <c r="BR26" s="15" t="str">
        <f t="shared" si="17"/>
        <v/>
      </c>
      <c r="BS26" s="16" t="str">
        <f t="shared" si="18"/>
        <v/>
      </c>
      <c r="BT26" s="39"/>
      <c r="BU26" s="51" t="str">
        <f t="shared" si="19"/>
        <v/>
      </c>
      <c r="BV26" s="28" t="str">
        <f t="shared" si="20"/>
        <v/>
      </c>
      <c r="BW26" s="28" t="str">
        <f t="shared" si="21"/>
        <v/>
      </c>
      <c r="BX26" s="28" t="str">
        <f t="shared" si="22"/>
        <v/>
      </c>
      <c r="BY26" s="28" t="str">
        <f t="shared" si="23"/>
        <v/>
      </c>
      <c r="BZ26" s="52" t="str">
        <f t="shared" si="24"/>
        <v/>
      </c>
      <c r="CA26" s="39"/>
      <c r="CB26" s="49" t="str">
        <f t="shared" si="25"/>
        <v>-</v>
      </c>
      <c r="CC26" s="29" t="str">
        <f t="shared" si="26"/>
        <v>-</v>
      </c>
      <c r="CD26" s="29" t="str">
        <f t="shared" si="27"/>
        <v>-</v>
      </c>
      <c r="CE26" s="29" t="str">
        <f t="shared" si="28"/>
        <v>-</v>
      </c>
      <c r="CF26" s="50" t="str">
        <f t="shared" si="29"/>
        <v>-</v>
      </c>
      <c r="CG26" s="39"/>
    </row>
    <row r="27" spans="1:85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2"/>
      <c r="D27" s="2"/>
      <c r="E27" s="3"/>
      <c r="F27" s="2"/>
      <c r="G27" s="2"/>
      <c r="H27" s="4"/>
      <c r="I27" s="4"/>
      <c r="J27" s="57"/>
      <c r="K27" s="5"/>
      <c r="L27" s="2"/>
      <c r="M27" s="2"/>
      <c r="N27" s="2"/>
      <c r="O27" s="2"/>
      <c r="P27" s="3"/>
      <c r="Q27" s="2"/>
      <c r="R27" s="2"/>
      <c r="S27" s="2"/>
      <c r="T27" s="2"/>
      <c r="U27" s="3"/>
      <c r="V27" s="3"/>
      <c r="W27" s="2"/>
      <c r="X27" s="2"/>
      <c r="Y27" s="2"/>
      <c r="Z27" s="2"/>
      <c r="AA27" s="2"/>
      <c r="AB27" s="2"/>
      <c r="AC27" s="2"/>
      <c r="AD27" s="2"/>
      <c r="AE27" s="3"/>
      <c r="AF27" s="3"/>
      <c r="AG27" s="2"/>
      <c r="AH27" s="6"/>
      <c r="AI27" s="7"/>
      <c r="AJ27" s="6"/>
      <c r="AK27" s="59"/>
      <c r="AL27" s="59"/>
      <c r="AM27" s="59"/>
      <c r="AN27" s="59"/>
      <c r="AO27" s="59"/>
      <c r="AP27" s="59"/>
      <c r="AQ27" s="59"/>
      <c r="AR27" s="59"/>
      <c r="AS27" s="8"/>
      <c r="AT27" s="8"/>
      <c r="AU27" s="9"/>
      <c r="AV27" s="8"/>
      <c r="AW27" s="10" t="e">
        <f t="shared" si="1"/>
        <v>#DIV/0!</v>
      </c>
      <c r="AX27" s="39"/>
      <c r="AY27" s="1" t="str">
        <f t="shared" si="2"/>
        <v/>
      </c>
      <c r="AZ27" s="11" t="str">
        <f t="shared" si="3"/>
        <v/>
      </c>
      <c r="BA27" s="1" t="str">
        <f t="shared" si="4"/>
        <v/>
      </c>
      <c r="BB27" s="39"/>
      <c r="BC27" s="53" t="str">
        <f t="shared" si="5"/>
        <v/>
      </c>
      <c r="BD27" s="12" t="str">
        <f t="shared" si="6"/>
        <v/>
      </c>
      <c r="BE27" s="12" t="str">
        <f t="shared" si="7"/>
        <v/>
      </c>
      <c r="BF27" s="12" t="str">
        <f t="shared" si="8"/>
        <v/>
      </c>
      <c r="BG27" s="12" t="str">
        <f t="shared" si="9"/>
        <v/>
      </c>
      <c r="BH27" s="54" t="str">
        <f t="shared" si="10"/>
        <v/>
      </c>
      <c r="BI27" s="39"/>
      <c r="BJ27" s="55" t="str">
        <f t="shared" si="11"/>
        <v/>
      </c>
      <c r="BK27" s="13" t="str">
        <f t="shared" si="12"/>
        <v/>
      </c>
      <c r="BL27" s="13" t="str">
        <f t="shared" si="13"/>
        <v/>
      </c>
      <c r="BM27" s="56" t="str">
        <f t="shared" si="14"/>
        <v/>
      </c>
      <c r="BN27" s="39"/>
      <c r="BO27" s="14" t="str">
        <f t="shared" si="15"/>
        <v/>
      </c>
      <c r="BP27" s="15">
        <v>0</v>
      </c>
      <c r="BQ27" s="15" t="str">
        <f t="shared" si="16"/>
        <v/>
      </c>
      <c r="BR27" s="15" t="str">
        <f t="shared" si="17"/>
        <v/>
      </c>
      <c r="BS27" s="16" t="str">
        <f t="shared" si="18"/>
        <v/>
      </c>
      <c r="BT27" s="39"/>
      <c r="BU27" s="51" t="str">
        <f t="shared" si="19"/>
        <v/>
      </c>
      <c r="BV27" s="28" t="str">
        <f t="shared" si="20"/>
        <v/>
      </c>
      <c r="BW27" s="28" t="str">
        <f t="shared" si="21"/>
        <v/>
      </c>
      <c r="BX27" s="28" t="str">
        <f t="shared" si="22"/>
        <v/>
      </c>
      <c r="BY27" s="28" t="str">
        <f t="shared" si="23"/>
        <v/>
      </c>
      <c r="BZ27" s="52" t="str">
        <f t="shared" si="24"/>
        <v/>
      </c>
      <c r="CA27" s="39"/>
      <c r="CB27" s="49" t="str">
        <f t="shared" si="25"/>
        <v>-</v>
      </c>
      <c r="CC27" s="29" t="str">
        <f t="shared" si="26"/>
        <v>-</v>
      </c>
      <c r="CD27" s="29" t="str">
        <f t="shared" si="27"/>
        <v>-</v>
      </c>
      <c r="CE27" s="29" t="str">
        <f t="shared" si="28"/>
        <v>-</v>
      </c>
      <c r="CF27" s="50" t="str">
        <f t="shared" si="29"/>
        <v>-</v>
      </c>
      <c r="CG27" s="39"/>
    </row>
    <row r="28" spans="1:85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2"/>
      <c r="D28" s="2"/>
      <c r="E28" s="3"/>
      <c r="F28" s="2"/>
      <c r="G28" s="2"/>
      <c r="H28" s="4"/>
      <c r="I28" s="4"/>
      <c r="J28" s="57"/>
      <c r="K28" s="5"/>
      <c r="L28" s="2"/>
      <c r="M28" s="2"/>
      <c r="N28" s="2"/>
      <c r="O28" s="2"/>
      <c r="P28" s="3"/>
      <c r="Q28" s="2"/>
      <c r="R28" s="2"/>
      <c r="S28" s="2"/>
      <c r="T28" s="2"/>
      <c r="U28" s="3"/>
      <c r="V28" s="3"/>
      <c r="W28" s="2"/>
      <c r="X28" s="2"/>
      <c r="Y28" s="2"/>
      <c r="Z28" s="2"/>
      <c r="AA28" s="2"/>
      <c r="AB28" s="2"/>
      <c r="AC28" s="2"/>
      <c r="AD28" s="2"/>
      <c r="AE28" s="3"/>
      <c r="AF28" s="3"/>
      <c r="AG28" s="2"/>
      <c r="AH28" s="6"/>
      <c r="AI28" s="7"/>
      <c r="AJ28" s="6"/>
      <c r="AK28" s="59"/>
      <c r="AL28" s="59"/>
      <c r="AM28" s="59"/>
      <c r="AN28" s="59"/>
      <c r="AO28" s="59"/>
      <c r="AP28" s="59"/>
      <c r="AQ28" s="59"/>
      <c r="AR28" s="59"/>
      <c r="AS28" s="8"/>
      <c r="AT28" s="8"/>
      <c r="AU28" s="9"/>
      <c r="AV28" s="8"/>
      <c r="AW28" s="10" t="e">
        <f t="shared" si="1"/>
        <v>#DIV/0!</v>
      </c>
      <c r="AX28" s="39"/>
      <c r="AY28" s="1" t="str">
        <f t="shared" si="2"/>
        <v/>
      </c>
      <c r="AZ28" s="11" t="str">
        <f t="shared" si="3"/>
        <v/>
      </c>
      <c r="BA28" s="1" t="str">
        <f t="shared" si="4"/>
        <v/>
      </c>
      <c r="BB28" s="39"/>
      <c r="BC28" s="53" t="str">
        <f t="shared" si="5"/>
        <v/>
      </c>
      <c r="BD28" s="12" t="str">
        <f t="shared" si="6"/>
        <v/>
      </c>
      <c r="BE28" s="12" t="str">
        <f t="shared" si="7"/>
        <v/>
      </c>
      <c r="BF28" s="12" t="str">
        <f t="shared" si="8"/>
        <v/>
      </c>
      <c r="BG28" s="12" t="str">
        <f t="shared" si="9"/>
        <v/>
      </c>
      <c r="BH28" s="54" t="str">
        <f t="shared" si="10"/>
        <v/>
      </c>
      <c r="BI28" s="39"/>
      <c r="BJ28" s="55" t="str">
        <f t="shared" si="11"/>
        <v/>
      </c>
      <c r="BK28" s="13" t="str">
        <f t="shared" si="12"/>
        <v/>
      </c>
      <c r="BL28" s="13" t="str">
        <f t="shared" si="13"/>
        <v/>
      </c>
      <c r="BM28" s="56" t="str">
        <f t="shared" si="14"/>
        <v/>
      </c>
      <c r="BN28" s="39"/>
      <c r="BO28" s="14" t="str">
        <f t="shared" si="15"/>
        <v/>
      </c>
      <c r="BP28" s="15">
        <v>0</v>
      </c>
      <c r="BQ28" s="15" t="str">
        <f t="shared" si="16"/>
        <v/>
      </c>
      <c r="BR28" s="15" t="str">
        <f t="shared" si="17"/>
        <v/>
      </c>
      <c r="BS28" s="16" t="str">
        <f t="shared" si="18"/>
        <v/>
      </c>
      <c r="BT28" s="39"/>
      <c r="BU28" s="51" t="str">
        <f t="shared" si="19"/>
        <v/>
      </c>
      <c r="BV28" s="28" t="str">
        <f t="shared" si="20"/>
        <v/>
      </c>
      <c r="BW28" s="28" t="str">
        <f t="shared" si="21"/>
        <v/>
      </c>
      <c r="BX28" s="28" t="str">
        <f t="shared" si="22"/>
        <v/>
      </c>
      <c r="BY28" s="28" t="str">
        <f t="shared" si="23"/>
        <v/>
      </c>
      <c r="BZ28" s="52" t="str">
        <f t="shared" si="24"/>
        <v/>
      </c>
      <c r="CA28" s="39"/>
      <c r="CB28" s="49" t="str">
        <f t="shared" si="25"/>
        <v>-</v>
      </c>
      <c r="CC28" s="29" t="str">
        <f t="shared" si="26"/>
        <v>-</v>
      </c>
      <c r="CD28" s="29" t="str">
        <f t="shared" si="27"/>
        <v>-</v>
      </c>
      <c r="CE28" s="29" t="str">
        <f t="shared" si="28"/>
        <v>-</v>
      </c>
      <c r="CF28" s="50" t="str">
        <f t="shared" si="29"/>
        <v>-</v>
      </c>
      <c r="CG28" s="39"/>
    </row>
    <row r="29" spans="1:85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2"/>
      <c r="D29" s="2"/>
      <c r="E29" s="3"/>
      <c r="F29" s="2"/>
      <c r="G29" s="2"/>
      <c r="H29" s="4"/>
      <c r="I29" s="4"/>
      <c r="J29" s="69"/>
      <c r="K29" s="5"/>
      <c r="L29" s="2"/>
      <c r="M29" s="2"/>
      <c r="N29" s="2"/>
      <c r="O29" s="2"/>
      <c r="P29" s="3"/>
      <c r="Q29" s="2"/>
      <c r="R29" s="2"/>
      <c r="S29" s="2"/>
      <c r="T29" s="2"/>
      <c r="U29" s="3"/>
      <c r="V29" s="3"/>
      <c r="W29" s="2"/>
      <c r="X29" s="2"/>
      <c r="Y29" s="2"/>
      <c r="Z29" s="2"/>
      <c r="AA29" s="2"/>
      <c r="AB29" s="2"/>
      <c r="AC29" s="2"/>
      <c r="AD29" s="2"/>
      <c r="AE29" s="3"/>
      <c r="AF29" s="3"/>
      <c r="AG29" s="2"/>
      <c r="AH29" s="6"/>
      <c r="AI29" s="7"/>
      <c r="AJ29" s="6"/>
      <c r="AK29" s="59"/>
      <c r="AL29" s="59"/>
      <c r="AM29" s="59"/>
      <c r="AN29" s="59"/>
      <c r="AO29" s="59"/>
      <c r="AP29" s="59"/>
      <c r="AQ29" s="59"/>
      <c r="AR29" s="59"/>
      <c r="AS29" s="8"/>
      <c r="AT29" s="8"/>
      <c r="AU29" s="9"/>
      <c r="AV29" s="8"/>
      <c r="AW29" s="10" t="e">
        <f t="shared" si="1"/>
        <v>#DIV/0!</v>
      </c>
      <c r="AX29" s="39"/>
      <c r="AY29" s="1" t="str">
        <f t="shared" si="2"/>
        <v/>
      </c>
      <c r="AZ29" s="11" t="str">
        <f t="shared" si="3"/>
        <v/>
      </c>
      <c r="BA29" s="1" t="str">
        <f t="shared" si="4"/>
        <v/>
      </c>
      <c r="BB29" s="39"/>
      <c r="BC29" s="53" t="str">
        <f t="shared" si="5"/>
        <v/>
      </c>
      <c r="BD29" s="12" t="str">
        <f t="shared" si="6"/>
        <v/>
      </c>
      <c r="BE29" s="12" t="str">
        <f t="shared" si="7"/>
        <v/>
      </c>
      <c r="BF29" s="12" t="str">
        <f t="shared" si="8"/>
        <v/>
      </c>
      <c r="BG29" s="12" t="str">
        <f t="shared" si="9"/>
        <v/>
      </c>
      <c r="BH29" s="54" t="str">
        <f t="shared" si="10"/>
        <v/>
      </c>
      <c r="BI29" s="39"/>
      <c r="BJ29" s="55" t="str">
        <f t="shared" si="11"/>
        <v/>
      </c>
      <c r="BK29" s="13" t="str">
        <f t="shared" si="12"/>
        <v/>
      </c>
      <c r="BL29" s="13" t="str">
        <f t="shared" si="13"/>
        <v/>
      </c>
      <c r="BM29" s="56" t="str">
        <f t="shared" si="14"/>
        <v/>
      </c>
      <c r="BN29" s="39"/>
      <c r="BO29" s="14" t="str">
        <f t="shared" si="15"/>
        <v/>
      </c>
      <c r="BP29" s="15">
        <v>0</v>
      </c>
      <c r="BQ29" s="15" t="str">
        <f t="shared" si="16"/>
        <v/>
      </c>
      <c r="BR29" s="15" t="str">
        <f t="shared" si="17"/>
        <v/>
      </c>
      <c r="BS29" s="16" t="str">
        <f t="shared" si="18"/>
        <v/>
      </c>
      <c r="BT29" s="39"/>
      <c r="BU29" s="51" t="str">
        <f t="shared" si="19"/>
        <v/>
      </c>
      <c r="BV29" s="28" t="str">
        <f t="shared" si="20"/>
        <v/>
      </c>
      <c r="BW29" s="28" t="str">
        <f t="shared" si="21"/>
        <v/>
      </c>
      <c r="BX29" s="28" t="str">
        <f t="shared" si="22"/>
        <v/>
      </c>
      <c r="BY29" s="28" t="str">
        <f t="shared" si="23"/>
        <v/>
      </c>
      <c r="BZ29" s="52" t="str">
        <f t="shared" si="24"/>
        <v/>
      </c>
      <c r="CA29" s="39"/>
      <c r="CB29" s="49" t="str">
        <f t="shared" si="25"/>
        <v>-</v>
      </c>
      <c r="CC29" s="29" t="str">
        <f t="shared" si="26"/>
        <v>-</v>
      </c>
      <c r="CD29" s="29" t="str">
        <f t="shared" si="27"/>
        <v>-</v>
      </c>
      <c r="CE29" s="29" t="str">
        <f t="shared" si="28"/>
        <v>-</v>
      </c>
      <c r="CF29" s="50" t="str">
        <f t="shared" si="29"/>
        <v>-</v>
      </c>
      <c r="CG29" s="39"/>
    </row>
    <row r="30" spans="1:85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2"/>
      <c r="D30" s="2"/>
      <c r="E30" s="3"/>
      <c r="F30" s="2"/>
      <c r="G30" s="2"/>
      <c r="H30" s="4"/>
      <c r="I30" s="4"/>
      <c r="J30" s="86"/>
      <c r="K30" s="5"/>
      <c r="L30" s="2"/>
      <c r="M30" s="2"/>
      <c r="N30" s="2"/>
      <c r="O30" s="2"/>
      <c r="P30" s="3"/>
      <c r="Q30" s="2"/>
      <c r="R30" s="2"/>
      <c r="S30" s="2"/>
      <c r="T30" s="2"/>
      <c r="U30" s="3"/>
      <c r="V30" s="3"/>
      <c r="W30" s="2"/>
      <c r="X30" s="2"/>
      <c r="Y30" s="2"/>
      <c r="Z30" s="2"/>
      <c r="AA30" s="2"/>
      <c r="AB30" s="2"/>
      <c r="AC30" s="2"/>
      <c r="AD30" s="2"/>
      <c r="AE30" s="3"/>
      <c r="AF30" s="3"/>
      <c r="AG30" s="2"/>
      <c r="AH30" s="6"/>
      <c r="AI30" s="7"/>
      <c r="AJ30" s="6"/>
      <c r="AK30" s="59"/>
      <c r="AL30" s="59"/>
      <c r="AM30" s="59"/>
      <c r="AN30" s="59"/>
      <c r="AO30" s="59"/>
      <c r="AP30" s="59"/>
      <c r="AQ30" s="59"/>
      <c r="AR30" s="59"/>
      <c r="AS30" s="8"/>
      <c r="AT30" s="8"/>
      <c r="AU30" s="9"/>
      <c r="AV30" s="8"/>
      <c r="AW30" s="10" t="e">
        <f t="shared" si="1"/>
        <v>#DIV/0!</v>
      </c>
      <c r="AX30" s="39"/>
      <c r="AY30" s="1" t="str">
        <f t="shared" si="2"/>
        <v/>
      </c>
      <c r="AZ30" s="11" t="str">
        <f t="shared" si="3"/>
        <v/>
      </c>
      <c r="BA30" s="1" t="str">
        <f t="shared" si="4"/>
        <v/>
      </c>
      <c r="BB30" s="39"/>
      <c r="BC30" s="53" t="str">
        <f t="shared" si="5"/>
        <v/>
      </c>
      <c r="BD30" s="12" t="str">
        <f t="shared" si="6"/>
        <v/>
      </c>
      <c r="BE30" s="12" t="str">
        <f t="shared" si="7"/>
        <v/>
      </c>
      <c r="BF30" s="12" t="str">
        <f t="shared" si="8"/>
        <v/>
      </c>
      <c r="BG30" s="12" t="str">
        <f t="shared" si="9"/>
        <v/>
      </c>
      <c r="BH30" s="54" t="str">
        <f t="shared" si="10"/>
        <v/>
      </c>
      <c r="BI30" s="39"/>
      <c r="BJ30" s="55" t="str">
        <f t="shared" si="11"/>
        <v/>
      </c>
      <c r="BK30" s="13" t="str">
        <f t="shared" si="12"/>
        <v/>
      </c>
      <c r="BL30" s="13" t="str">
        <f t="shared" si="13"/>
        <v/>
      </c>
      <c r="BM30" s="56" t="str">
        <f t="shared" si="14"/>
        <v/>
      </c>
      <c r="BN30" s="39"/>
      <c r="BO30" s="14" t="str">
        <f t="shared" si="15"/>
        <v/>
      </c>
      <c r="BP30" s="15">
        <v>0</v>
      </c>
      <c r="BQ30" s="15" t="str">
        <f t="shared" si="16"/>
        <v/>
      </c>
      <c r="BR30" s="15" t="str">
        <f t="shared" si="17"/>
        <v/>
      </c>
      <c r="BS30" s="16" t="str">
        <f t="shared" si="18"/>
        <v/>
      </c>
      <c r="BT30" s="39"/>
      <c r="BU30" s="51" t="str">
        <f t="shared" si="19"/>
        <v/>
      </c>
      <c r="BV30" s="28" t="str">
        <f t="shared" si="20"/>
        <v/>
      </c>
      <c r="BW30" s="28" t="str">
        <f t="shared" si="21"/>
        <v/>
      </c>
      <c r="BX30" s="28" t="str">
        <f t="shared" si="22"/>
        <v/>
      </c>
      <c r="BY30" s="28" t="str">
        <f t="shared" si="23"/>
        <v/>
      </c>
      <c r="BZ30" s="52" t="str">
        <f t="shared" si="24"/>
        <v/>
      </c>
      <c r="CA30" s="39"/>
      <c r="CB30" s="49" t="str">
        <f t="shared" si="25"/>
        <v>-</v>
      </c>
      <c r="CC30" s="29" t="str">
        <f t="shared" si="26"/>
        <v>-</v>
      </c>
      <c r="CD30" s="29" t="str">
        <f t="shared" si="27"/>
        <v>-</v>
      </c>
      <c r="CE30" s="29" t="str">
        <f t="shared" si="28"/>
        <v>-</v>
      </c>
      <c r="CF30" s="50" t="str">
        <f t="shared" si="29"/>
        <v>-</v>
      </c>
      <c r="CG30" s="39"/>
    </row>
    <row r="31" spans="1:85" s="27" customFormat="1" ht="12.4" customHeight="1" thickBot="1" x14ac:dyDescent="0.25">
      <c r="A31" s="43">
        <f t="shared" si="30"/>
        <v>46323</v>
      </c>
      <c r="B31" s="44" t="str">
        <f>+TEXT(A31,"DDD")</f>
        <v>Wed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1"/>
      <c r="AL31" s="61"/>
      <c r="AM31" s="61"/>
      <c r="AN31" s="61"/>
      <c r="AO31" s="61"/>
      <c r="AP31" s="61"/>
      <c r="AQ31" s="61"/>
      <c r="AR31" s="61"/>
      <c r="AS31" s="60"/>
      <c r="AT31" s="60"/>
      <c r="AU31" s="60"/>
      <c r="AV31" s="60"/>
      <c r="AW31" s="10" t="e">
        <f t="shared" si="1"/>
        <v>#DIV/0!</v>
      </c>
      <c r="AX31" s="39"/>
      <c r="AY31" s="1" t="str">
        <f t="shared" si="2"/>
        <v/>
      </c>
      <c r="AZ31" s="11" t="str">
        <f t="shared" si="3"/>
        <v/>
      </c>
      <c r="BA31" s="1" t="str">
        <f t="shared" si="4"/>
        <v/>
      </c>
      <c r="BB31" s="39"/>
      <c r="BC31" s="53" t="str">
        <f t="shared" si="5"/>
        <v/>
      </c>
      <c r="BD31" s="12" t="str">
        <f t="shared" si="6"/>
        <v/>
      </c>
      <c r="BE31" s="12" t="str">
        <f t="shared" si="7"/>
        <v/>
      </c>
      <c r="BF31" s="12" t="str">
        <f t="shared" si="8"/>
        <v/>
      </c>
      <c r="BG31" s="12" t="str">
        <f t="shared" si="9"/>
        <v/>
      </c>
      <c r="BH31" s="54" t="str">
        <f t="shared" si="10"/>
        <v/>
      </c>
      <c r="BI31" s="39"/>
      <c r="BJ31" s="55" t="str">
        <f t="shared" si="11"/>
        <v/>
      </c>
      <c r="BK31" s="13" t="str">
        <f t="shared" si="12"/>
        <v/>
      </c>
      <c r="BL31" s="13" t="str">
        <f t="shared" si="13"/>
        <v/>
      </c>
      <c r="BM31" s="56" t="str">
        <f t="shared" si="14"/>
        <v/>
      </c>
      <c r="BN31" s="39"/>
      <c r="BO31" s="14" t="str">
        <f t="shared" si="15"/>
        <v/>
      </c>
      <c r="BP31" s="15">
        <v>0</v>
      </c>
      <c r="BQ31" s="15" t="str">
        <f t="shared" si="16"/>
        <v/>
      </c>
      <c r="BR31" s="15" t="str">
        <f t="shared" si="17"/>
        <v/>
      </c>
      <c r="BS31" s="16" t="str">
        <f t="shared" si="18"/>
        <v/>
      </c>
      <c r="BT31" s="39"/>
      <c r="BU31" s="51" t="str">
        <f t="shared" si="19"/>
        <v/>
      </c>
      <c r="BV31" s="28" t="str">
        <f t="shared" si="20"/>
        <v/>
      </c>
      <c r="BW31" s="28" t="str">
        <f t="shared" si="21"/>
        <v/>
      </c>
      <c r="BX31" s="28" t="str">
        <f t="shared" si="22"/>
        <v/>
      </c>
      <c r="BY31" s="28" t="str">
        <f t="shared" si="23"/>
        <v/>
      </c>
      <c r="BZ31" s="52" t="str">
        <f t="shared" si="24"/>
        <v/>
      </c>
      <c r="CA31" s="39"/>
      <c r="CB31" s="49" t="str">
        <f t="shared" si="25"/>
        <v>-</v>
      </c>
      <c r="CC31" s="29" t="str">
        <f t="shared" si="26"/>
        <v>-</v>
      </c>
      <c r="CD31" s="29" t="str">
        <f t="shared" si="27"/>
        <v>-</v>
      </c>
      <c r="CE31" s="29" t="str">
        <f t="shared" si="28"/>
        <v>-</v>
      </c>
      <c r="CF31" s="50" t="str">
        <f t="shared" si="29"/>
        <v>-</v>
      </c>
      <c r="CG31" s="39"/>
    </row>
    <row r="32" spans="1:85" s="27" customFormat="1" ht="13.15" customHeight="1" thickBot="1" x14ac:dyDescent="0.25">
      <c r="A32" s="288" t="s">
        <v>68</v>
      </c>
      <c r="B32" s="289"/>
      <c r="C32" s="45" t="e">
        <f t="shared" ref="C32:AV32" si="31">AVERAGE(C4:C31)</f>
        <v>#DIV/0!</v>
      </c>
      <c r="D32" s="17" t="e">
        <f t="shared" si="31"/>
        <v>#DIV/0!</v>
      </c>
      <c r="E32" s="17" t="e">
        <f t="shared" si="31"/>
        <v>#DIV/0!</v>
      </c>
      <c r="F32" s="17" t="e">
        <f t="shared" si="31"/>
        <v>#DIV/0!</v>
      </c>
      <c r="G32" s="17" t="e">
        <f t="shared" si="31"/>
        <v>#DIV/0!</v>
      </c>
      <c r="H32" s="17" t="e">
        <f t="shared" si="31"/>
        <v>#DIV/0!</v>
      </c>
      <c r="I32" s="17" t="e">
        <f t="shared" si="31"/>
        <v>#DIV/0!</v>
      </c>
      <c r="J32" s="17" t="e">
        <f t="shared" si="31"/>
        <v>#DIV/0!</v>
      </c>
      <c r="K32" s="17" t="e">
        <f t="shared" si="31"/>
        <v>#DIV/0!</v>
      </c>
      <c r="L32" s="17" t="e">
        <f t="shared" si="31"/>
        <v>#DIV/0!</v>
      </c>
      <c r="M32" s="17" t="e">
        <f t="shared" si="31"/>
        <v>#DIV/0!</v>
      </c>
      <c r="N32" s="17" t="e">
        <f t="shared" si="31"/>
        <v>#DIV/0!</v>
      </c>
      <c r="O32" s="17" t="e">
        <f t="shared" si="31"/>
        <v>#DIV/0!</v>
      </c>
      <c r="P32" s="17" t="e">
        <f t="shared" si="31"/>
        <v>#DIV/0!</v>
      </c>
      <c r="Q32" s="17" t="e">
        <f t="shared" si="31"/>
        <v>#DIV/0!</v>
      </c>
      <c r="R32" s="17" t="e">
        <f t="shared" si="31"/>
        <v>#DIV/0!</v>
      </c>
      <c r="S32" s="17" t="e">
        <f t="shared" si="31"/>
        <v>#DIV/0!</v>
      </c>
      <c r="T32" s="17" t="e">
        <f t="shared" si="31"/>
        <v>#DIV/0!</v>
      </c>
      <c r="U32" s="17" t="e">
        <f t="shared" si="31"/>
        <v>#DIV/0!</v>
      </c>
      <c r="V32" s="17" t="e">
        <f t="shared" si="31"/>
        <v>#DIV/0!</v>
      </c>
      <c r="W32" s="17" t="e">
        <f t="shared" si="31"/>
        <v>#DIV/0!</v>
      </c>
      <c r="X32" s="17" t="e">
        <f t="shared" si="31"/>
        <v>#DIV/0!</v>
      </c>
      <c r="Y32" s="17" t="e">
        <f t="shared" si="31"/>
        <v>#DIV/0!</v>
      </c>
      <c r="Z32" s="17" t="e">
        <f t="shared" si="31"/>
        <v>#DIV/0!</v>
      </c>
      <c r="AA32" s="17" t="e">
        <f t="shared" si="31"/>
        <v>#DIV/0!</v>
      </c>
      <c r="AB32" s="17" t="e">
        <f t="shared" si="31"/>
        <v>#DIV/0!</v>
      </c>
      <c r="AC32" s="17" t="e">
        <f t="shared" si="31"/>
        <v>#DIV/0!</v>
      </c>
      <c r="AD32" s="17" t="e">
        <f t="shared" si="31"/>
        <v>#DIV/0!</v>
      </c>
      <c r="AE32" s="17" t="e">
        <f t="shared" si="31"/>
        <v>#DIV/0!</v>
      </c>
      <c r="AF32" s="17" t="e">
        <f t="shared" si="31"/>
        <v>#DIV/0!</v>
      </c>
      <c r="AG32" s="17" t="e">
        <f t="shared" si="31"/>
        <v>#DIV/0!</v>
      </c>
      <c r="AH32" s="17" t="e">
        <f t="shared" si="31"/>
        <v>#DIV/0!</v>
      </c>
      <c r="AI32" s="17" t="e">
        <f t="shared" si="31"/>
        <v>#DIV/0!</v>
      </c>
      <c r="AJ32" s="17" t="e">
        <f t="shared" si="31"/>
        <v>#DIV/0!</v>
      </c>
      <c r="AK32" s="64" t="e">
        <f t="shared" si="31"/>
        <v>#DIV/0!</v>
      </c>
      <c r="AL32" s="64" t="e">
        <f t="shared" si="31"/>
        <v>#DIV/0!</v>
      </c>
      <c r="AM32" s="64" t="e">
        <f t="shared" si="31"/>
        <v>#DIV/0!</v>
      </c>
      <c r="AN32" s="64" t="e">
        <f t="shared" si="31"/>
        <v>#DIV/0!</v>
      </c>
      <c r="AO32" s="64" t="e">
        <f t="shared" si="31"/>
        <v>#DIV/0!</v>
      </c>
      <c r="AP32" s="64" t="e">
        <f t="shared" si="31"/>
        <v>#DIV/0!</v>
      </c>
      <c r="AQ32" s="64" t="e">
        <f t="shared" si="31"/>
        <v>#DIV/0!</v>
      </c>
      <c r="AR32" s="64" t="e">
        <f t="shared" si="31"/>
        <v>#DIV/0!</v>
      </c>
      <c r="AS32" s="17" t="e">
        <f t="shared" si="31"/>
        <v>#DIV/0!</v>
      </c>
      <c r="AT32" s="17" t="e">
        <f t="shared" si="31"/>
        <v>#DIV/0!</v>
      </c>
      <c r="AU32" s="17" t="e">
        <f t="shared" si="31"/>
        <v>#DIV/0!</v>
      </c>
      <c r="AV32" s="17" t="e">
        <f t="shared" si="31"/>
        <v>#DIV/0!</v>
      </c>
      <c r="AW32" s="46" t="str">
        <f>IFERROR(AM32/AV32,"-")</f>
        <v>-</v>
      </c>
      <c r="AX32" s="39"/>
      <c r="AY32" s="18" t="e">
        <f t="shared" si="2"/>
        <v>#DIV/0!</v>
      </c>
      <c r="AZ32" s="19" t="e">
        <f t="shared" si="3"/>
        <v>#DIV/0!</v>
      </c>
      <c r="BA32" s="20" t="e">
        <f t="shared" si="4"/>
        <v>#DIV/0!</v>
      </c>
      <c r="BB32" s="39"/>
      <c r="BC32" s="18" t="e">
        <f t="shared" si="5"/>
        <v>#DIV/0!</v>
      </c>
      <c r="BD32" s="21" t="e">
        <f t="shared" si="6"/>
        <v>#DIV/0!</v>
      </c>
      <c r="BE32" s="21" t="e">
        <f t="shared" si="7"/>
        <v>#DIV/0!</v>
      </c>
      <c r="BF32" s="21" t="e">
        <f t="shared" si="8"/>
        <v>#DIV/0!</v>
      </c>
      <c r="BG32" s="21" t="e">
        <f t="shared" si="9"/>
        <v>#DIV/0!</v>
      </c>
      <c r="BH32" s="20" t="e">
        <f t="shared" si="10"/>
        <v>#DIV/0!</v>
      </c>
      <c r="BI32" s="39"/>
      <c r="BJ32" s="18" t="e">
        <f t="shared" si="11"/>
        <v>#DIV/0!</v>
      </c>
      <c r="BK32" s="21" t="e">
        <f t="shared" si="12"/>
        <v>#DIV/0!</v>
      </c>
      <c r="BL32" s="21" t="e">
        <f t="shared" si="13"/>
        <v>#DIV/0!</v>
      </c>
      <c r="BM32" s="20" t="e">
        <f t="shared" si="14"/>
        <v>#DIV/0!</v>
      </c>
      <c r="BN32" s="39"/>
      <c r="BO32" s="18" t="e">
        <f t="shared" si="15"/>
        <v>#DIV/0!</v>
      </c>
      <c r="BP32" s="21">
        <v>0</v>
      </c>
      <c r="BQ32" s="21" t="e">
        <f t="shared" si="16"/>
        <v>#DIV/0!</v>
      </c>
      <c r="BR32" s="21" t="e">
        <f t="shared" si="17"/>
        <v>#DIV/0!</v>
      </c>
      <c r="BS32" s="20" t="e">
        <f t="shared" si="18"/>
        <v>#DIV/0!</v>
      </c>
      <c r="BT32" s="39"/>
      <c r="BU32" s="30" t="e">
        <f t="shared" si="19"/>
        <v>#DIV/0!</v>
      </c>
      <c r="BV32" s="31" t="e">
        <f t="shared" si="20"/>
        <v>#DIV/0!</v>
      </c>
      <c r="BW32" s="31" t="e">
        <f t="shared" si="21"/>
        <v>#DIV/0!</v>
      </c>
      <c r="BX32" s="31" t="e">
        <f t="shared" si="22"/>
        <v>#DIV/0!</v>
      </c>
      <c r="BY32" s="31" t="e">
        <f t="shared" si="23"/>
        <v>#DIV/0!</v>
      </c>
      <c r="BZ32" s="32" t="e">
        <f t="shared" si="24"/>
        <v>#DIV/0!</v>
      </c>
      <c r="CA32" s="39"/>
      <c r="CB32" s="30" t="str">
        <f t="shared" si="25"/>
        <v>-</v>
      </c>
      <c r="CC32" s="31" t="str">
        <f t="shared" si="26"/>
        <v>-</v>
      </c>
      <c r="CD32" s="31" t="str">
        <f t="shared" si="27"/>
        <v>-</v>
      </c>
      <c r="CE32" s="31" t="str">
        <f t="shared" si="28"/>
        <v>-</v>
      </c>
      <c r="CF32" s="32" t="str">
        <f t="shared" si="29"/>
        <v>-</v>
      </c>
      <c r="CG32" s="39"/>
    </row>
    <row r="33" spans="1:85" s="27" customFormat="1" ht="13.15" customHeight="1" thickBot="1" x14ac:dyDescent="0.25">
      <c r="A33" s="288" t="s">
        <v>69</v>
      </c>
      <c r="B33" s="289"/>
      <c r="C33" s="47">
        <f t="shared" ref="C33:AV33" si="32">SUM(C4:C31)</f>
        <v>0</v>
      </c>
      <c r="D33" s="22">
        <f t="shared" si="32"/>
        <v>0</v>
      </c>
      <c r="E33" s="22">
        <f t="shared" si="32"/>
        <v>0</v>
      </c>
      <c r="F33" s="22">
        <f t="shared" si="32"/>
        <v>0</v>
      </c>
      <c r="G33" s="22">
        <f t="shared" si="32"/>
        <v>0</v>
      </c>
      <c r="H33" s="22">
        <f t="shared" si="32"/>
        <v>0</v>
      </c>
      <c r="I33" s="22">
        <f t="shared" si="32"/>
        <v>0</v>
      </c>
      <c r="J33" s="22">
        <f t="shared" si="32"/>
        <v>0</v>
      </c>
      <c r="K33" s="22">
        <f t="shared" si="32"/>
        <v>0</v>
      </c>
      <c r="L33" s="22">
        <f t="shared" si="32"/>
        <v>0</v>
      </c>
      <c r="M33" s="22">
        <f t="shared" si="32"/>
        <v>0</v>
      </c>
      <c r="N33" s="22">
        <f t="shared" si="32"/>
        <v>0</v>
      </c>
      <c r="O33" s="22">
        <f t="shared" si="32"/>
        <v>0</v>
      </c>
      <c r="P33" s="22">
        <f t="shared" si="32"/>
        <v>0</v>
      </c>
      <c r="Q33" s="22">
        <f t="shared" si="32"/>
        <v>0</v>
      </c>
      <c r="R33" s="22">
        <f t="shared" si="32"/>
        <v>0</v>
      </c>
      <c r="S33" s="22">
        <f t="shared" si="32"/>
        <v>0</v>
      </c>
      <c r="T33" s="22">
        <f t="shared" si="32"/>
        <v>0</v>
      </c>
      <c r="U33" s="22">
        <f t="shared" si="32"/>
        <v>0</v>
      </c>
      <c r="V33" s="22">
        <f t="shared" si="32"/>
        <v>0</v>
      </c>
      <c r="W33" s="22">
        <f t="shared" si="32"/>
        <v>0</v>
      </c>
      <c r="X33" s="22">
        <f t="shared" si="32"/>
        <v>0</v>
      </c>
      <c r="Y33" s="22">
        <f t="shared" si="32"/>
        <v>0</v>
      </c>
      <c r="Z33" s="22">
        <f t="shared" si="32"/>
        <v>0</v>
      </c>
      <c r="AA33" s="22">
        <f t="shared" si="32"/>
        <v>0</v>
      </c>
      <c r="AB33" s="22">
        <f t="shared" si="32"/>
        <v>0</v>
      </c>
      <c r="AC33" s="22">
        <f t="shared" si="32"/>
        <v>0</v>
      </c>
      <c r="AD33" s="22">
        <f t="shared" si="32"/>
        <v>0</v>
      </c>
      <c r="AE33" s="22">
        <f t="shared" si="32"/>
        <v>0</v>
      </c>
      <c r="AF33" s="22">
        <f t="shared" si="32"/>
        <v>0</v>
      </c>
      <c r="AG33" s="22">
        <f t="shared" si="32"/>
        <v>0</v>
      </c>
      <c r="AH33" s="22">
        <f t="shared" si="32"/>
        <v>0</v>
      </c>
      <c r="AI33" s="22">
        <f t="shared" si="32"/>
        <v>0</v>
      </c>
      <c r="AJ33" s="22">
        <f t="shared" si="32"/>
        <v>0</v>
      </c>
      <c r="AK33" s="65">
        <f t="shared" si="32"/>
        <v>0</v>
      </c>
      <c r="AL33" s="65">
        <f t="shared" si="32"/>
        <v>0</v>
      </c>
      <c r="AM33" s="65">
        <f t="shared" si="32"/>
        <v>0</v>
      </c>
      <c r="AN33" s="65">
        <f t="shared" si="32"/>
        <v>0</v>
      </c>
      <c r="AO33" s="65">
        <f t="shared" si="32"/>
        <v>0</v>
      </c>
      <c r="AP33" s="65">
        <f t="shared" si="32"/>
        <v>0</v>
      </c>
      <c r="AQ33" s="65">
        <f t="shared" si="32"/>
        <v>0</v>
      </c>
      <c r="AR33" s="65">
        <f t="shared" si="32"/>
        <v>0</v>
      </c>
      <c r="AS33" s="22">
        <f t="shared" si="32"/>
        <v>0</v>
      </c>
      <c r="AT33" s="22">
        <f t="shared" si="32"/>
        <v>0</v>
      </c>
      <c r="AU33" s="22">
        <f t="shared" si="32"/>
        <v>0</v>
      </c>
      <c r="AV33" s="22">
        <f t="shared" si="32"/>
        <v>0</v>
      </c>
      <c r="AW33" s="48" t="str">
        <f>IFERROR(AM33/AV33,"-")</f>
        <v>-</v>
      </c>
      <c r="AX33" s="40"/>
      <c r="AY33" s="23" t="str">
        <f t="shared" si="2"/>
        <v/>
      </c>
      <c r="AZ33" s="24" t="str">
        <f t="shared" si="3"/>
        <v/>
      </c>
      <c r="BA33" s="25" t="str">
        <f t="shared" si="4"/>
        <v/>
      </c>
      <c r="BB33" s="40"/>
      <c r="BC33" s="23" t="str">
        <f t="shared" si="5"/>
        <v/>
      </c>
      <c r="BD33" s="26" t="str">
        <f t="shared" si="6"/>
        <v/>
      </c>
      <c r="BE33" s="26" t="str">
        <f t="shared" si="7"/>
        <v/>
      </c>
      <c r="BF33" s="26" t="str">
        <f t="shared" si="8"/>
        <v/>
      </c>
      <c r="BG33" s="26" t="str">
        <f t="shared" si="9"/>
        <v/>
      </c>
      <c r="BH33" s="25" t="str">
        <f t="shared" si="10"/>
        <v/>
      </c>
      <c r="BI33" s="40"/>
      <c r="BJ33" s="23" t="str">
        <f t="shared" si="11"/>
        <v/>
      </c>
      <c r="BK33" s="26" t="str">
        <f t="shared" si="12"/>
        <v/>
      </c>
      <c r="BL33" s="26" t="str">
        <f t="shared" si="13"/>
        <v/>
      </c>
      <c r="BM33" s="25" t="str">
        <f t="shared" si="14"/>
        <v/>
      </c>
      <c r="BN33" s="40"/>
      <c r="BO33" s="23" t="str">
        <f t="shared" si="15"/>
        <v/>
      </c>
      <c r="BP33" s="26">
        <v>0</v>
      </c>
      <c r="BQ33" s="26" t="str">
        <f t="shared" si="16"/>
        <v/>
      </c>
      <c r="BR33" s="26" t="str">
        <f t="shared" si="17"/>
        <v/>
      </c>
      <c r="BS33" s="25" t="str">
        <f t="shared" si="18"/>
        <v/>
      </c>
      <c r="BT33" s="40"/>
      <c r="BU33" s="33" t="str">
        <f t="shared" si="19"/>
        <v/>
      </c>
      <c r="BV33" s="34" t="str">
        <f t="shared" si="20"/>
        <v/>
      </c>
      <c r="BW33" s="34" t="str">
        <f t="shared" si="21"/>
        <v/>
      </c>
      <c r="BX33" s="34" t="str">
        <f t="shared" si="22"/>
        <v/>
      </c>
      <c r="BY33" s="34" t="str">
        <f t="shared" si="23"/>
        <v/>
      </c>
      <c r="BZ33" s="35" t="str">
        <f t="shared" si="24"/>
        <v/>
      </c>
      <c r="CA33" s="40"/>
      <c r="CB33" s="33" t="str">
        <f t="shared" si="25"/>
        <v>-</v>
      </c>
      <c r="CC33" s="34" t="str">
        <f t="shared" si="26"/>
        <v>-</v>
      </c>
      <c r="CD33" s="34" t="str">
        <f t="shared" si="27"/>
        <v>-</v>
      </c>
      <c r="CE33" s="34" t="str">
        <f t="shared" si="28"/>
        <v>-</v>
      </c>
      <c r="CF33" s="35" t="str">
        <f t="shared" si="29"/>
        <v>-</v>
      </c>
      <c r="CG33" s="40"/>
    </row>
    <row r="34" spans="1:85" x14ac:dyDescent="0.2"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</row>
  </sheetData>
  <mergeCells count="87">
    <mergeCell ref="AY1:BA1"/>
    <mergeCell ref="BC1:BH1"/>
    <mergeCell ref="BJ1:BM1"/>
    <mergeCell ref="BO1:BS1"/>
    <mergeCell ref="CB1:CF1"/>
    <mergeCell ref="BU1:BZ1"/>
    <mergeCell ref="CF2:CF3"/>
    <mergeCell ref="A32:B32"/>
    <mergeCell ref="A33:B33"/>
    <mergeCell ref="BZ2:BZ3"/>
    <mergeCell ref="CB2:CB3"/>
    <mergeCell ref="CC2:CC3"/>
    <mergeCell ref="CD2:CD3"/>
    <mergeCell ref="CE2:CE3"/>
    <mergeCell ref="BS2:BS3"/>
    <mergeCell ref="BU2:BU3"/>
    <mergeCell ref="BV2:BV3"/>
    <mergeCell ref="BW2:BW3"/>
    <mergeCell ref="BX2:BX3"/>
    <mergeCell ref="BY2:BY3"/>
    <mergeCell ref="BL2:BL3"/>
    <mergeCell ref="BM2:BM3"/>
    <mergeCell ref="BO2:BO3"/>
    <mergeCell ref="BQ2:BQ3"/>
    <mergeCell ref="BR2:BR3"/>
    <mergeCell ref="BF2:BF3"/>
    <mergeCell ref="BG2:BG3"/>
    <mergeCell ref="BH2:BH3"/>
    <mergeCell ref="BJ2:BJ3"/>
    <mergeCell ref="BK2:BK3"/>
    <mergeCell ref="BP2:BP3"/>
    <mergeCell ref="AZ2:AZ3"/>
    <mergeCell ref="BA2:BA3"/>
    <mergeCell ref="BC2:BC3"/>
    <mergeCell ref="BD2:BD3"/>
    <mergeCell ref="BE2:BE3"/>
    <mergeCell ref="AT2:AT3"/>
    <mergeCell ref="AU2:AU3"/>
    <mergeCell ref="AV2:AV3"/>
    <mergeCell ref="AW2:AW3"/>
    <mergeCell ref="AY2:AY3"/>
    <mergeCell ref="AS2:AS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G2:AG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E2:E3"/>
    <mergeCell ref="U2:U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B1"/>
    <mergeCell ref="A2:A3"/>
    <mergeCell ref="B2:B3"/>
    <mergeCell ref="C2:C3"/>
    <mergeCell ref="D2:D3"/>
    <mergeCell ref="V2:V3"/>
    <mergeCell ref="W2:W3"/>
    <mergeCell ref="F2:F3"/>
    <mergeCell ref="G2:G3"/>
    <mergeCell ref="H2:H3"/>
    <mergeCell ref="I2:I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4"/>
  <sheetViews>
    <sheetView showGridLines="0" zoomScaleNormal="100" workbookViewId="0">
      <selection activeCell="C5" sqref="C5"/>
    </sheetView>
  </sheetViews>
  <sheetFormatPr defaultColWidth="0" defaultRowHeight="11.25" x14ac:dyDescent="0.2"/>
  <cols>
    <col min="1" max="1" width="9.7109375" style="36" customWidth="1"/>
    <col min="2" max="2" width="4.5703125" style="36" customWidth="1"/>
    <col min="3" max="4" width="9.42578125" style="36" customWidth="1"/>
    <col min="5" max="5" width="10.5703125" style="36" customWidth="1"/>
    <col min="6" max="6" width="9.42578125" style="36" customWidth="1"/>
    <col min="7" max="7" width="7.7109375" style="36" customWidth="1"/>
    <col min="8" max="8" width="13.28515625" style="36" customWidth="1"/>
    <col min="9" max="9" width="8.7109375" style="36" customWidth="1"/>
    <col min="10" max="10" width="9.42578125" style="36" customWidth="1"/>
    <col min="11" max="11" width="5.7109375" style="36" customWidth="1"/>
    <col min="12" max="12" width="7.28515625" style="36" customWidth="1"/>
    <col min="13" max="33" width="5.7109375" style="36" customWidth="1"/>
    <col min="34" max="34" width="6.7109375" style="36" customWidth="1"/>
    <col min="35" max="35" width="9" style="36" customWidth="1"/>
    <col min="36" max="36" width="9.5703125" style="36" customWidth="1"/>
    <col min="37" max="37" width="13" style="36" bestFit="1" customWidth="1"/>
    <col min="38" max="39" width="13.7109375" style="36" bestFit="1" customWidth="1"/>
    <col min="40" max="44" width="10.7109375" style="36" customWidth="1"/>
    <col min="45" max="45" width="11.28515625" style="38" bestFit="1" customWidth="1"/>
    <col min="46" max="46" width="10.42578125" style="36" bestFit="1" customWidth="1"/>
    <col min="47" max="47" width="10.7109375" style="36" customWidth="1"/>
    <col min="48" max="49" width="8.7109375" style="36" customWidth="1"/>
    <col min="50" max="50" width="1.28515625" style="36" customWidth="1"/>
    <col min="51" max="51" width="14.140625" style="36" bestFit="1" customWidth="1"/>
    <col min="52" max="52" width="10.28515625" style="36" bestFit="1" customWidth="1"/>
    <col min="53" max="53" width="11.28515625" style="36" bestFit="1" customWidth="1"/>
    <col min="54" max="54" width="1.28515625" style="36" customWidth="1"/>
    <col min="55" max="55" width="11.28515625" style="36" bestFit="1" customWidth="1"/>
    <col min="56" max="56" width="11.7109375" style="36" bestFit="1" customWidth="1"/>
    <col min="57" max="57" width="17.7109375" style="36" bestFit="1" customWidth="1"/>
    <col min="58" max="58" width="8.28515625" style="36" bestFit="1" customWidth="1"/>
    <col min="59" max="59" width="12.7109375" style="36" bestFit="1" customWidth="1"/>
    <col min="60" max="60" width="9.42578125" style="36" bestFit="1" customWidth="1"/>
    <col min="61" max="61" width="1.28515625" style="36" customWidth="1"/>
    <col min="62" max="62" width="17.5703125" style="36" bestFit="1" customWidth="1"/>
    <col min="63" max="63" width="21.28515625" style="36" bestFit="1" customWidth="1"/>
    <col min="64" max="64" width="11.7109375" style="36" bestFit="1" customWidth="1"/>
    <col min="65" max="65" width="15.5703125" style="36" bestFit="1" customWidth="1"/>
    <col min="66" max="66" width="1.28515625" style="36" customWidth="1"/>
    <col min="67" max="67" width="8.28515625" style="36" bestFit="1" customWidth="1"/>
    <col min="68" max="68" width="11.28515625" style="36" bestFit="1" customWidth="1"/>
    <col min="69" max="69" width="12.42578125" style="36" bestFit="1" customWidth="1"/>
    <col min="70" max="70" width="11.7109375" style="36" bestFit="1" customWidth="1"/>
    <col min="71" max="71" width="7.28515625" style="36" bestFit="1" customWidth="1"/>
    <col min="72" max="72" width="1.28515625" style="36" customWidth="1"/>
    <col min="73" max="76" width="12.7109375" style="36" customWidth="1"/>
    <col min="77" max="78" width="10.7109375" style="36" customWidth="1"/>
    <col min="79" max="79" width="1.28515625" style="36" customWidth="1"/>
    <col min="80" max="81" width="10.7109375" style="36" customWidth="1"/>
    <col min="82" max="82" width="7" style="36" customWidth="1"/>
    <col min="83" max="83" width="10.7109375" style="36" customWidth="1"/>
    <col min="84" max="84" width="13.28515625" style="36" customWidth="1"/>
    <col min="85" max="85" width="1.28515625" style="36" customWidth="1"/>
    <col min="86" max="103" width="0" style="36" hidden="1" customWidth="1"/>
    <col min="104" max="16383" width="10.7109375" style="36" hidden="1"/>
    <col min="16384" max="16384" width="3.85546875" style="36" customWidth="1"/>
  </cols>
  <sheetData>
    <row r="1" spans="1:85" s="27" customFormat="1" ht="13.15" customHeight="1" thickBot="1" x14ac:dyDescent="0.25">
      <c r="A1" s="269" t="s">
        <v>0</v>
      </c>
      <c r="B1" s="27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2"/>
      <c r="AX1" s="39"/>
      <c r="AY1" s="271" t="s">
        <v>1</v>
      </c>
      <c r="AZ1" s="272"/>
      <c r="BA1" s="273"/>
      <c r="BB1" s="39"/>
      <c r="BC1" s="256" t="s">
        <v>2</v>
      </c>
      <c r="BD1" s="257"/>
      <c r="BE1" s="257"/>
      <c r="BF1" s="257"/>
      <c r="BG1" s="257"/>
      <c r="BH1" s="258"/>
      <c r="BI1" s="39"/>
      <c r="BJ1" s="256" t="s">
        <v>3</v>
      </c>
      <c r="BK1" s="257"/>
      <c r="BL1" s="257"/>
      <c r="BM1" s="258"/>
      <c r="BN1" s="39"/>
      <c r="BO1" s="256" t="s">
        <v>4</v>
      </c>
      <c r="BP1" s="257"/>
      <c r="BQ1" s="257"/>
      <c r="BR1" s="257"/>
      <c r="BS1" s="258"/>
      <c r="BT1" s="39"/>
      <c r="BU1" s="256" t="s">
        <v>5</v>
      </c>
      <c r="BV1" s="257"/>
      <c r="BW1" s="257"/>
      <c r="BX1" s="257"/>
      <c r="BY1" s="257"/>
      <c r="BZ1" s="258"/>
      <c r="CA1" s="39"/>
      <c r="CB1" s="256" t="s">
        <v>6</v>
      </c>
      <c r="CC1" s="257"/>
      <c r="CD1" s="257"/>
      <c r="CE1" s="257"/>
      <c r="CF1" s="258"/>
      <c r="CG1" s="39"/>
    </row>
    <row r="2" spans="1:85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78</v>
      </c>
      <c r="V2" s="259" t="s">
        <v>24</v>
      </c>
      <c r="W2" s="259" t="s">
        <v>85</v>
      </c>
      <c r="X2" s="259" t="s">
        <v>25</v>
      </c>
      <c r="Y2" s="259" t="s">
        <v>70</v>
      </c>
      <c r="Z2" s="259" t="s">
        <v>79</v>
      </c>
      <c r="AA2" s="259" t="s">
        <v>76</v>
      </c>
      <c r="AB2" s="259" t="s">
        <v>77</v>
      </c>
      <c r="AC2" s="259" t="s">
        <v>80</v>
      </c>
      <c r="AD2" s="259" t="s">
        <v>75</v>
      </c>
      <c r="AE2" s="259" t="s">
        <v>74</v>
      </c>
      <c r="AF2" s="259" t="s">
        <v>72</v>
      </c>
      <c r="AG2" s="259" t="s">
        <v>73</v>
      </c>
      <c r="AH2" s="259" t="s">
        <v>26</v>
      </c>
      <c r="AI2" s="259" t="s">
        <v>27</v>
      </c>
      <c r="AJ2" s="259" t="s">
        <v>28</v>
      </c>
      <c r="AK2" s="276" t="s">
        <v>29</v>
      </c>
      <c r="AL2" s="276" t="s">
        <v>30</v>
      </c>
      <c r="AM2" s="286" t="s">
        <v>31</v>
      </c>
      <c r="AN2" s="286" t="s">
        <v>32</v>
      </c>
      <c r="AO2" s="286" t="s">
        <v>33</v>
      </c>
      <c r="AP2" s="286" t="s">
        <v>34</v>
      </c>
      <c r="AQ2" s="286" t="s">
        <v>35</v>
      </c>
      <c r="AR2" s="286" t="s">
        <v>36</v>
      </c>
      <c r="AS2" s="315" t="s">
        <v>37</v>
      </c>
      <c r="AT2" s="278" t="s">
        <v>82</v>
      </c>
      <c r="AU2" s="278" t="s">
        <v>81</v>
      </c>
      <c r="AV2" s="280" t="s">
        <v>38</v>
      </c>
      <c r="AW2" s="282" t="s">
        <v>39</v>
      </c>
      <c r="AX2" s="39"/>
      <c r="AY2" s="284" t="s">
        <v>40</v>
      </c>
      <c r="AZ2" s="311" t="s">
        <v>41</v>
      </c>
      <c r="BA2" s="313" t="s">
        <v>42</v>
      </c>
      <c r="BB2" s="39"/>
      <c r="BC2" s="292" t="s">
        <v>43</v>
      </c>
      <c r="BD2" s="294" t="s">
        <v>44</v>
      </c>
      <c r="BE2" s="294" t="s">
        <v>45</v>
      </c>
      <c r="BF2" s="294" t="s">
        <v>46</v>
      </c>
      <c r="BG2" s="294" t="s">
        <v>47</v>
      </c>
      <c r="BH2" s="298" t="s">
        <v>48</v>
      </c>
      <c r="BI2" s="39"/>
      <c r="BJ2" s="302" t="s">
        <v>49</v>
      </c>
      <c r="BK2" s="303" t="s">
        <v>50</v>
      </c>
      <c r="BL2" s="303" t="s">
        <v>51</v>
      </c>
      <c r="BM2" s="310" t="s">
        <v>52</v>
      </c>
      <c r="BN2" s="39"/>
      <c r="BO2" s="292" t="s">
        <v>53</v>
      </c>
      <c r="BP2" s="294" t="s">
        <v>54</v>
      </c>
      <c r="BQ2" s="296" t="s">
        <v>67</v>
      </c>
      <c r="BR2" s="294" t="s">
        <v>55</v>
      </c>
      <c r="BS2" s="298" t="s">
        <v>86</v>
      </c>
      <c r="BT2" s="39"/>
      <c r="BU2" s="300" t="s">
        <v>56</v>
      </c>
      <c r="BV2" s="290" t="s">
        <v>57</v>
      </c>
      <c r="BW2" s="290" t="s">
        <v>58</v>
      </c>
      <c r="BX2" s="259" t="s">
        <v>59</v>
      </c>
      <c r="BY2" s="290" t="s">
        <v>60</v>
      </c>
      <c r="BZ2" s="306" t="s">
        <v>61</v>
      </c>
      <c r="CA2" s="39"/>
      <c r="CB2" s="308" t="s">
        <v>62</v>
      </c>
      <c r="CC2" s="296" t="s">
        <v>63</v>
      </c>
      <c r="CD2" s="296" t="s">
        <v>64</v>
      </c>
      <c r="CE2" s="296" t="s">
        <v>65</v>
      </c>
      <c r="CF2" s="304" t="s">
        <v>66</v>
      </c>
      <c r="CG2" s="39"/>
    </row>
    <row r="3" spans="1:85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77"/>
      <c r="AL3" s="277"/>
      <c r="AM3" s="287"/>
      <c r="AN3" s="287"/>
      <c r="AO3" s="287"/>
      <c r="AP3" s="287"/>
      <c r="AQ3" s="287"/>
      <c r="AR3" s="287"/>
      <c r="AS3" s="316"/>
      <c r="AT3" s="279"/>
      <c r="AU3" s="279"/>
      <c r="AV3" s="281"/>
      <c r="AW3" s="283" t="s">
        <v>38</v>
      </c>
      <c r="AX3" s="39"/>
      <c r="AY3" s="285"/>
      <c r="AZ3" s="312"/>
      <c r="BA3" s="314"/>
      <c r="BB3" s="39"/>
      <c r="BC3" s="293"/>
      <c r="BD3" s="295"/>
      <c r="BE3" s="295"/>
      <c r="BF3" s="295"/>
      <c r="BG3" s="295"/>
      <c r="BH3" s="299"/>
      <c r="BI3" s="39"/>
      <c r="BJ3" s="293"/>
      <c r="BK3" s="295"/>
      <c r="BL3" s="295"/>
      <c r="BM3" s="299"/>
      <c r="BN3" s="39"/>
      <c r="BO3" s="293"/>
      <c r="BP3" s="295"/>
      <c r="BQ3" s="297"/>
      <c r="BR3" s="295"/>
      <c r="BS3" s="299"/>
      <c r="BT3" s="39"/>
      <c r="BU3" s="301"/>
      <c r="BV3" s="291"/>
      <c r="BW3" s="291"/>
      <c r="BX3" s="260"/>
      <c r="BY3" s="291"/>
      <c r="BZ3" s="307"/>
      <c r="CA3" s="39"/>
      <c r="CB3" s="309"/>
      <c r="CC3" s="297"/>
      <c r="CD3" s="297"/>
      <c r="CE3" s="297"/>
      <c r="CF3" s="305"/>
      <c r="CG3" s="39"/>
    </row>
    <row r="4" spans="1:85" s="27" customFormat="1" ht="12.4" customHeight="1" thickBot="1" x14ac:dyDescent="0.25">
      <c r="A4" s="43">
        <f>EL_DEL_CD2_JO_!A4</f>
        <v>46296</v>
      </c>
      <c r="B4" s="44" t="str">
        <f t="shared" ref="B4:B30" si="0">+TEXT(A4,"DDD")</f>
        <v>Thu</v>
      </c>
      <c r="C4" s="2">
        <f>SUM(EL_DEL_CD2_JO_!C4,EL_DEL_CD2_PTP_!C4,EL_DEL_CD2_SBI_1_4_!C4,EL_DEL_CD2_SBI_5_6_!C4,EL_DEL_CD2_STAB_!C4,EL_DEL_CD1_WST_PTP_!C4,EL_DEL_CD1_NTH_PTP_!C4)</f>
        <v>0</v>
      </c>
      <c r="D4" s="2">
        <f>SUM(EL_DEL_CD2_JO_!D4,EL_DEL_CD2_PTP_!D4,EL_DEL_CD2_SBI_1_4_!D4,EL_DEL_CD2_SBI_5_6_!D4,EL_DEL_CD2_STAB_!D4,EL_DEL_CD1_WST_PTP_!D4,EL_DEL_CD1_NTH_PTP_!D4)</f>
        <v>0</v>
      </c>
      <c r="E4" s="3">
        <f>SUM(EL_DEL_CD2_JO_!E4,EL_DEL_CD2_PTP_!E4,EL_DEL_CD2_SBI_1_4_!E4,EL_DEL_CD2_SBI_5_6_!E4,EL_DEL_CD2_STAB_!E4,EL_DEL_CD1_WST_PTP_!E4,EL_DEL_CD1_NTH_PTP_!E4)</f>
        <v>0</v>
      </c>
      <c r="F4" s="2">
        <f>SUM(EL_DEL_CD2_JO_!F4,EL_DEL_CD2_PTP_!F4,EL_DEL_CD2_SBI_1_4_!F4,EL_DEL_CD2_SBI_5_6_!F4,EL_DEL_CD2_STAB_!F4,EL_DEL_CD1_WST_PTP_!F4,EL_DEL_CD1_NTH_PTP_!F4)</f>
        <v>0</v>
      </c>
      <c r="G4" s="2">
        <f>SUM(EL_DEL_CD2_JO_!G4,EL_DEL_CD2_PTP_!G4,EL_DEL_CD2_SBI_1_4_!G4,EL_DEL_CD2_SBI_5_6_!G4,EL_DEL_CD2_STAB_!G4,EL_DEL_CD1_WST_PTP_!G4,EL_DEL_CD1_NTH_PTP_!G4)</f>
        <v>0</v>
      </c>
      <c r="H4" s="4">
        <f>SUM(EL_DEL_CD2_JO_!H4,EL_DEL_CD2_PTP_!H4,EL_DEL_CD2_SBI_1_4_!H4,EL_DEL_CD2_SBI_5_6_!H4,EL_DEL_CD2_STAB_!H4,EL_DEL_CD1_WST_PTP_!H4,EL_DEL_CD1_NTH_PTP_!H4)</f>
        <v>0</v>
      </c>
      <c r="I4" s="4">
        <f>SUM(EL_DEL_CD2_JO_!I4,EL_DEL_CD2_PTP_!I4,EL_DEL_CD2_SBI_1_4_!I4,EL_DEL_CD2_SBI_5_6_!I4,EL_DEL_CD2_STAB_!I4,EL_DEL_CD1_WST_PTP_!I4,EL_DEL_CD1_NTH_PTP_!I4)</f>
        <v>0</v>
      </c>
      <c r="J4" s="58">
        <f>SUM(EL_DEL_CD2_JO_!J4,EL_DEL_CD2_PTP_!J4,EL_DEL_CD2_SBI_1_4_!J4,EL_DEL_CD2_SBI_5_6_!J4,EL_DEL_CD2_STAB_!J4,EL_DEL_CD1_WST_PTP_!J4,EL_DEL_CD1_NTH_PTP_!J4)</f>
        <v>0</v>
      </c>
      <c r="K4" s="5">
        <f>SUM(EL_DEL_CD2_JO_!K4,EL_DEL_CD2_PTP_!K4,EL_DEL_CD2_SBI_1_4_!K4,EL_DEL_CD2_SBI_5_6_!K4,EL_DEL_CD2_STAB_!K4,EL_DEL_CD1_WST_PTP_!K4,EL_DEL_CD1_NTH_PTP_!K4)</f>
        <v>0</v>
      </c>
      <c r="L4" s="2">
        <f>SUM(EL_DEL_CD2_JO_!L4,EL_DEL_CD2_PTP_!L4,EL_DEL_CD2_SBI_1_4_!L4,EL_DEL_CD2_SBI_5_6_!L4,EL_DEL_CD2_STAB_!L4,EL_DEL_CD1_WST_PTP_!L4,EL_DEL_CD1_NTH_PTP_!L4)</f>
        <v>0</v>
      </c>
      <c r="M4" s="2">
        <f>SUM(EL_DEL_CD2_JO_!M4,EL_DEL_CD2_PTP_!M4,EL_DEL_CD2_SBI_1_4_!M4,EL_DEL_CD2_SBI_5_6_!M4,EL_DEL_CD2_STAB_!M4,EL_DEL_CD1_WST_PTP_!M4,EL_DEL_CD1_NTH_PTP_!M4)</f>
        <v>0</v>
      </c>
      <c r="N4" s="2">
        <f>SUM(EL_DEL_CD2_JO_!N4,EL_DEL_CD2_PTP_!N4,EL_DEL_CD2_SBI_1_4_!N4,EL_DEL_CD2_SBI_5_6_!N4,EL_DEL_CD2_STAB_!N4,EL_DEL_CD1_WST_PTP_!N4,EL_DEL_CD1_NTH_PTP_!N4)</f>
        <v>0</v>
      </c>
      <c r="O4" s="2">
        <f>SUM(EL_DEL_CD2_JO_!O4,EL_DEL_CD2_PTP_!O4,EL_DEL_CD2_SBI_1_4_!O4,EL_DEL_CD2_SBI_5_6_!O4,EL_DEL_CD2_STAB_!O4,EL_DEL_CD1_WST_PTP_!O4,EL_DEL_CD1_NTH_PTP_!O4)</f>
        <v>0</v>
      </c>
      <c r="P4" s="3">
        <f>SUM(EL_DEL_CD2_JO_!P4,EL_DEL_CD2_PTP_!P4,EL_DEL_CD2_SBI_1_4_!P4,EL_DEL_CD2_SBI_5_6_!P4,EL_DEL_CD2_STAB_!P4,EL_DEL_CD1_WST_PTP_!P4,EL_DEL_CD1_NTH_PTP_!P4)</f>
        <v>0</v>
      </c>
      <c r="Q4" s="2">
        <f>SUM(EL_DEL_CD2_JO_!Q4,EL_DEL_CD2_PTP_!Q4,EL_DEL_CD2_SBI_1_4_!Q4,EL_DEL_CD2_SBI_5_6_!Q4,EL_DEL_CD2_STAB_!Q4,EL_DEL_CD1_WST_PTP_!Q4,EL_DEL_CD1_NTH_PTP_!Q4)</f>
        <v>0</v>
      </c>
      <c r="R4" s="2">
        <f>SUM(EL_DEL_CD2_JO_!R4,EL_DEL_CD2_PTP_!R4,EL_DEL_CD2_SBI_1_4_!R4,EL_DEL_CD2_SBI_5_6_!R4,EL_DEL_CD2_STAB_!R4,EL_DEL_CD1_WST_PTP_!R4,EL_DEL_CD1_NTH_PTP_!R4)</f>
        <v>0</v>
      </c>
      <c r="S4" s="2">
        <f>SUM(EL_DEL_CD2_JO_!S4,EL_DEL_CD2_PTP_!S4,EL_DEL_CD2_SBI_1_4_!S4,EL_DEL_CD2_SBI_5_6_!S4,EL_DEL_CD2_STAB_!S4,EL_DEL_CD1_WST_PTP_!S4,EL_DEL_CD1_NTH_PTP_!S4)</f>
        <v>0</v>
      </c>
      <c r="T4" s="2">
        <f>SUM(EL_DEL_CD2_JO_!T4,EL_DEL_CD2_PTP_!T4,EL_DEL_CD2_SBI_1_4_!T4,EL_DEL_CD2_SBI_5_6_!T4,EL_DEL_CD2_STAB_!T4,EL_DEL_CD1_WST_PTP_!T4,EL_DEL_CD1_NTH_PTP_!T4)</f>
        <v>0</v>
      </c>
      <c r="U4" s="3">
        <f>SUM(EL_DEL_CD2_JO_!V4,EL_DEL_CD2_PTP_!V4,EL_DEL_CD2_SBI_1_4_!V4,EL_DEL_CD2_SBI_5_6_!V4,EL_DEL_CD2_STAB_!V4,EL_DEL_CD1_WST_PTP_!V4,EL_DEL_CD1_NTH_PTP_!V4)</f>
        <v>0</v>
      </c>
      <c r="V4" s="3">
        <f>SUM(EL_DEL_CD2_JO_!W4,EL_DEL_CD2_PTP_!W4,EL_DEL_CD2_SBI_1_4_!W4,EL_DEL_CD2_SBI_5_6_!W4,EL_DEL_CD2_STAB_!W4,EL_DEL_CD1_WST_PTP_!W4,EL_DEL_CD1_NTH_PTP_!W4)</f>
        <v>0</v>
      </c>
      <c r="W4" s="2">
        <f>SUM(EL_DEL_CD2_JO_!X4,EL_DEL_CD2_PTP_!X4,EL_DEL_CD2_SBI_1_4_!X4,EL_DEL_CD2_SBI_5_6_!X4,EL_DEL_CD2_STAB_!X4,EL_DEL_CD1_WST_PTP_!X4,EL_DEL_CD1_NTH_PTP_!X4)</f>
        <v>0</v>
      </c>
      <c r="X4" s="2">
        <f>SUM(EL_DEL_CD2_JO_!Y4,EL_DEL_CD2_PTP_!Y4,EL_DEL_CD2_SBI_1_4_!Y4,EL_DEL_CD2_SBI_5_6_!Y4,EL_DEL_CD2_STAB_!Y4,EL_DEL_CD1_WST_PTP_!Y4,EL_DEL_CD1_NTH_PTP_!Y4)</f>
        <v>0</v>
      </c>
      <c r="Y4" s="2">
        <f>SUM(EL_DEL_CD2_JO_!Z4,EL_DEL_CD2_PTP_!Z4,EL_DEL_CD2_SBI_1_4_!Z4,EL_DEL_CD2_SBI_5_6_!Z4,EL_DEL_CD2_STAB_!Z4,EL_DEL_CD1_WST_PTP_!Z4,EL_DEL_CD1_NTH_PTP_!Z4)</f>
        <v>0</v>
      </c>
      <c r="Z4" s="2">
        <f>SUM(EL_DEL_CD2_JO_!AA4,EL_DEL_CD2_PTP_!AA4,EL_DEL_CD2_SBI_1_4_!AA4,EL_DEL_CD2_SBI_5_6_!AA4,EL_DEL_CD2_STAB_!AA4,EL_DEL_CD1_WST_PTP_!AA4,EL_DEL_CD1_NTH_PTP_!AA4)</f>
        <v>0</v>
      </c>
      <c r="AA4" s="2">
        <f>SUM(EL_DEL_CD2_JO_!AB4,EL_DEL_CD2_PTP_!AB4,EL_DEL_CD2_SBI_1_4_!AB4,EL_DEL_CD2_SBI_5_6_!AB4,EL_DEL_CD2_STAB_!AB4,EL_DEL_CD1_WST_PTP_!AB4,EL_DEL_CD1_NTH_PTP_!AB4)</f>
        <v>0</v>
      </c>
      <c r="AB4" s="2">
        <f>SUM(EL_DEL_CD2_JO_!AC4,EL_DEL_CD2_PTP_!AC4,EL_DEL_CD2_SBI_1_4_!AC4,EL_DEL_CD2_SBI_5_6_!AC4,EL_DEL_CD2_STAB_!AC4,EL_DEL_CD1_WST_PTP_!AC4,EL_DEL_CD1_NTH_PTP_!AC4)</f>
        <v>0</v>
      </c>
      <c r="AC4" s="2">
        <f>SUM(EL_DEL_CD2_JO_!AD4,EL_DEL_CD2_PTP_!AD4,EL_DEL_CD2_SBI_1_4_!AD4,EL_DEL_CD2_SBI_5_6_!AD4,EL_DEL_CD2_STAB_!AD4,EL_DEL_CD1_WST_PTP_!AD4,EL_DEL_CD1_NTH_PTP_!AD4)</f>
        <v>0</v>
      </c>
      <c r="AD4" s="2">
        <f>SUM(EL_DEL_CD2_JO_!AE4,EL_DEL_CD2_PTP_!AE4,EL_DEL_CD2_SBI_1_4_!AE4,EL_DEL_CD2_SBI_5_6_!AE4,EL_DEL_CD2_STAB_!AE4,EL_DEL_CD1_WST_PTP_!AE4,EL_DEL_CD1_NTH_PTP_!AE4)</f>
        <v>0</v>
      </c>
      <c r="AE4" s="3">
        <f>SUM(EL_DEL_CD2_JO_!AF4,EL_DEL_CD2_PTP_!AF4,EL_DEL_CD2_SBI_1_4_!AF4,EL_DEL_CD2_SBI_5_6_!AF4,EL_DEL_CD2_STAB_!AF4,EL_DEL_CD1_WST_PTP_!AF4,EL_DEL_CD1_NTH_PTP_!AF4)</f>
        <v>0</v>
      </c>
      <c r="AF4" s="3">
        <f>SUM(EL_DEL_CD2_JO_!AG4,EL_DEL_CD2_PTP_!AG4,EL_DEL_CD2_SBI_1_4_!AG4,EL_DEL_CD2_SBI_5_6_!AG4,EL_DEL_CD2_STAB_!AG4,EL_DEL_CD1_WST_PTP_!AG4,EL_DEL_CD1_NTH_PTP_!AG4)</f>
        <v>0</v>
      </c>
      <c r="AG4" s="2">
        <f>SUM(EL_DEL_CD2_JO_!AH4,EL_DEL_CD2_PTP_!AH4,EL_DEL_CD2_SBI_1_4_!AH4,EL_DEL_CD2_SBI_5_6_!AH4,EL_DEL_CD2_STAB_!AH4,EL_DEL_CD1_WST_PTP_!AH4,EL_DEL_CD1_NTH_PTP_!AH4)</f>
        <v>0</v>
      </c>
      <c r="AH4" s="6">
        <f>SUM(EL_DEL_CD2_JO_!AI4,EL_DEL_CD2_PTP_!AI4,EL_DEL_CD2_SBI_1_4_!AI4,EL_DEL_CD2_SBI_5_6_!AI4,EL_DEL_CD2_STAB_!AI4,EL_DEL_CD1_WST_PTP_!AI4,EL_DEL_CD1_NTH_PTP_!AI4)</f>
        <v>0</v>
      </c>
      <c r="AI4" s="7">
        <f>SUM(EL_DEL_CD2_JO_!AJ4,EL_DEL_CD2_PTP_!AJ4,EL_DEL_CD2_SBI_1_4_!AJ4,EL_DEL_CD2_SBI_5_6_!AJ4,EL_DEL_CD2_STAB_!AJ4,EL_DEL_CD1_WST_PTP_!AJ4,EL_DEL_CD1_NTH_PTP_!AJ4)</f>
        <v>0</v>
      </c>
      <c r="AJ4" s="6">
        <f>SUM(EL_DEL_CD2_JO_!AK4,EL_DEL_CD2_PTP_!AK4,EL_DEL_CD2_SBI_1_4_!AK4,EL_DEL_CD2_SBI_5_6_!AK4,EL_DEL_CD2_STAB_!AK4,EL_DEL_CD1_WST_PTP_!AK4,EL_DEL_CD1_NTH_PTP_!AK4)</f>
        <v>0</v>
      </c>
      <c r="AK4" s="59" t="str">
        <f>IFERROR(AVERAGE(EL_DEL_CD2_JO_!AL4,EL_DEL_CD2_PTP_!AL4,EL_DEL_CD2_SBI_1_4_!AL4,EL_DEL_CD2_SBI_5_6_!AL4,EL_DEL_CD2_STAB_!AL4,EL_DEL_CD1_WST_PTP_!AL4,EL_DEL_CD1_NTH_PTP_!AL4),"")</f>
        <v/>
      </c>
      <c r="AL4" s="59" t="str">
        <f>IFERROR(AVERAGE(EL_DEL_CD2_JO_!AM4,EL_DEL_CD2_PTP_!AM4,EL_DEL_CD2_SBI_1_4_!AM4,EL_DEL_CD2_SBI_5_6_!AM4,EL_DEL_CD2_STAB_!AM4,EL_DEL_CD1_WST_PTP_!AM4,EL_DEL_CD1_NTH_PTP_!AM4),"")</f>
        <v/>
      </c>
      <c r="AM4" s="59" t="str">
        <f>IFERROR(AVERAGE(EL_DEL_CD2_JO_!AN4,EL_DEL_CD2_PTP_!AN4,EL_DEL_CD2_SBI_1_4_!AN4,EL_DEL_CD2_SBI_5_6_!AN4,EL_DEL_CD2_STAB_!AN4,EL_DEL_CD1_WST_PTP_!AN4,EL_DEL_CD1_NTH_PTP_!AN4),"")</f>
        <v/>
      </c>
      <c r="AN4" s="59" t="str">
        <f>IFERROR(AVERAGE(EL_DEL_CD2_JO_!AO4,EL_DEL_CD2_PTP_!AO4,EL_DEL_CD2_SBI_1_4_!AO4,EL_DEL_CD2_SBI_5_6_!AO4,EL_DEL_CD2_STAB_!AO4,EL_DEL_CD1_WST_PTP_!AO4,EL_DEL_CD1_NTH_PTP_!AO4),"")</f>
        <v/>
      </c>
      <c r="AO4" s="59" t="str">
        <f>IFERROR(AVERAGE(EL_DEL_CD2_JO_!AP4,EL_DEL_CD2_PTP_!AP4,EL_DEL_CD2_SBI_1_4_!AP4,EL_DEL_CD2_SBI_5_6_!AP4,EL_DEL_CD2_STAB_!AP4,EL_DEL_CD1_WST_PTP_!AP4,EL_DEL_CD1_NTH_PTP_!AP4),"")</f>
        <v/>
      </c>
      <c r="AP4" s="59" t="str">
        <f>IFERROR(AVERAGE(EL_DEL_CD2_JO_!AQ4,EL_DEL_CD2_PTP_!AQ4,EL_DEL_CD2_SBI_1_4_!AQ4,EL_DEL_CD2_SBI_5_6_!AQ4,EL_DEL_CD2_STAB_!AQ4,EL_DEL_CD1_WST_PTP_!AQ4,EL_DEL_CD1_NTH_PTP_!AQ4),"")</f>
        <v/>
      </c>
      <c r="AQ4" s="59" t="str">
        <f>IFERROR(AVERAGE(EL_DEL_CD2_JO_!AR4,EL_DEL_CD2_PTP_!AR4,EL_DEL_CD2_SBI_1_4_!AR4,EL_DEL_CD2_SBI_5_6_!AR4,EL_DEL_CD2_STAB_!AR4,EL_DEL_CD1_WST_PTP_!AR4,EL_DEL_CD1_NTH_PTP_!AR4),"")</f>
        <v/>
      </c>
      <c r="AR4" s="59" t="str">
        <f>IFERROR(AVERAGE(EL_DEL_CD2_JO_!AS4,EL_DEL_CD2_PTP_!AS4,EL_DEL_CD2_SBI_1_4_!AS4,EL_DEL_CD2_SBI_5_6_!AS4,EL_DEL_CD2_STAB_!AS4,EL_DEL_CD1_WST_PTP_!AS4,EL_DEL_CD1_NTH_PTP_!AS4),"")</f>
        <v/>
      </c>
      <c r="AS4" s="8">
        <f>SUM(EL_DEL_CD2_JO_!AT4,EL_DEL_CD2_PTP_!AT4,EL_DEL_CD2_SBI_1_4_!AT4,EL_DEL_CD2_SBI_5_6_!AT4,EL_DEL_CD2_STAB_!AT4,EL_DEL_CD1_WST_PTP_!AT4,EL_DEL_CD1_NTH_PTP_!AT4)</f>
        <v>0</v>
      </c>
      <c r="AT4" s="8">
        <f>SUM(EL_DEL_CD2_JO_!AU4,EL_DEL_CD2_PTP_!AU4,EL_DEL_CD2_SBI_1_4_!AU4,EL_DEL_CD2_SBI_5_6_!AU4,EL_DEL_CD2_STAB_!AU4,EL_DEL_CD1_WST_PTP_!AU4,EL_DEL_CD1_NTH_PTP_!AU4)</f>
        <v>0</v>
      </c>
      <c r="AU4" s="9">
        <f>SUM(EL_DEL_CD2_JO_!AV4,EL_DEL_CD2_PTP_!AV4,EL_DEL_CD2_SBI_1_4_!AV4,EL_DEL_CD2_SBI_5_6_!AV4,EL_DEL_CD2_STAB_!AV4,EL_DEL_CD1_WST_PTP_!AV4,EL_DEL_CD1_NTH_PTP_!AV4)</f>
        <v>0</v>
      </c>
      <c r="AV4" s="8" t="str">
        <f>IFERROR(AVERAGE(EL_DEL_CD2_JO_!AW4,EL_DEL_CD2_PTP_!AW4,EL_DEL_CD2_SBI_1_4_!AW4,EL_DEL_CD2_SBI_5_6_!AW4,EL_DEL_CD2_STAB_!AW4,EL_DEL_CD1_WST_PTP_!AW4,EL_DEL_CD1_NTH_PTP_!AW4),"")</f>
        <v/>
      </c>
      <c r="AW4" s="10" t="str">
        <f>IFERROR(AM4/AV4,"-")</f>
        <v>-</v>
      </c>
      <c r="AX4" s="39"/>
      <c r="AY4" s="1" t="str">
        <f>IF(E4&gt;0,F4/E4,"")</f>
        <v/>
      </c>
      <c r="AZ4" s="11" t="str">
        <f>+IF(E4&gt;0,G4/E4,"")</f>
        <v/>
      </c>
      <c r="BA4" s="1" t="str">
        <f>+IF(E4&gt;0,AI4/E4,"")</f>
        <v/>
      </c>
      <c r="BB4" s="39"/>
      <c r="BC4" s="53" t="str">
        <f>+IF(G4&gt;0,I4/G4,"")</f>
        <v/>
      </c>
      <c r="BD4" s="70" t="str">
        <f>+IF(G4&gt;0,J4/G4,"")</f>
        <v/>
      </c>
      <c r="BE4" s="12" t="str">
        <f>+IF(I4&gt;0,L4/I4,"")</f>
        <v/>
      </c>
      <c r="BF4" s="12" t="str">
        <f>+IF(SUM(AN4:AQ4)&gt;0,AN4/AM4,"")</f>
        <v/>
      </c>
      <c r="BG4" s="12" t="str">
        <f>+IF(G4&gt;0,K4/G4,"")</f>
        <v/>
      </c>
      <c r="BH4" s="54" t="str">
        <f>+IF(SUM(AN4:AQ4)&gt;0,AP4/AM4,"")</f>
        <v/>
      </c>
      <c r="BI4" s="39"/>
      <c r="BJ4" s="55" t="str">
        <f>+IF(E4&gt;0,(AI4/E4),"")</f>
        <v/>
      </c>
      <c r="BK4" s="13" t="str">
        <f>+IF(E4&gt;0,(AI4/F4),"")</f>
        <v/>
      </c>
      <c r="BL4" s="13" t="str">
        <f>+IF(E4&gt;0,(AI4/G4),"")</f>
        <v/>
      </c>
      <c r="BM4" s="56" t="str">
        <f>+IF(E4&gt;0,(AI4/J4),"")</f>
        <v/>
      </c>
      <c r="BN4" s="39"/>
      <c r="BO4" s="14" t="str">
        <f>IF(AI4&gt;0,(N4/AI4),"")</f>
        <v/>
      </c>
      <c r="BP4" s="15">
        <v>0</v>
      </c>
      <c r="BQ4" s="15" t="str">
        <f>IF(AI4&gt;0,(AJ4/AI4),"")</f>
        <v/>
      </c>
      <c r="BR4" s="15" t="str">
        <f>IF(AI4&gt;0,(AJ4/AI4),"")</f>
        <v/>
      </c>
      <c r="BS4" s="16" t="str">
        <f>IF(J4&gt;0,AC4/J4,"")</f>
        <v/>
      </c>
      <c r="BT4" s="39"/>
      <c r="BU4" s="28" t="e">
        <f>IF(AM4&gt;0,(E4/AM4),"")</f>
        <v>#VALUE!</v>
      </c>
      <c r="BV4" s="28" t="e">
        <f>IF(AM4&gt;0,(G4/AM4),"")</f>
        <v>#VALUE!</v>
      </c>
      <c r="BW4" s="28" t="e">
        <f>IF(AM4&gt;0,(J4/AM4),"")</f>
        <v>#VALUE!</v>
      </c>
      <c r="BX4" s="28" t="e">
        <f>IF(AM4&gt;0,(K4/AM4),"")</f>
        <v>#VALUE!</v>
      </c>
      <c r="BY4" s="28" t="e">
        <f>IF(AM4&gt;0,(AI4/AM4),"")</f>
        <v>#VALUE!</v>
      </c>
      <c r="BZ4" s="52" t="e">
        <f>IF(AM4&gt;0,(AJ4/AM4),"")</f>
        <v>#VALUE!</v>
      </c>
      <c r="CA4" s="39"/>
      <c r="CB4" s="49" t="str">
        <f>IFERROR(((AM4-AN4)*3600)/J4,"-")</f>
        <v>-</v>
      </c>
      <c r="CC4" s="29" t="str">
        <f>IFERROR((AQ4*3600)/J4,"-")</f>
        <v>-</v>
      </c>
      <c r="CD4" s="29" t="str">
        <f>IFERROR((AP4*3600)/J4,"-")</f>
        <v>-</v>
      </c>
      <c r="CE4" s="29" t="str">
        <f>IFERROR((AN4*3600)/J4,"-")</f>
        <v>-</v>
      </c>
      <c r="CF4" s="50" t="str">
        <f>IFERROR((AO4*3600)/J4,"-")</f>
        <v>-</v>
      </c>
      <c r="CG4" s="39"/>
    </row>
    <row r="5" spans="1:85" s="27" customFormat="1" ht="12.4" customHeight="1" thickBot="1" x14ac:dyDescent="0.25">
      <c r="A5" s="43">
        <f>A4+1</f>
        <v>46297</v>
      </c>
      <c r="B5" s="44" t="str">
        <f t="shared" si="0"/>
        <v>Fri</v>
      </c>
      <c r="C5" s="2">
        <f>SUM(EL_DEL_CD2_JO_!C5,EL_DEL_CD2_PTP_!C5,EL_DEL_CD2_SBI_1_4_!C5,EL_DEL_CD2_SBI_5_6_!C5,EL_DEL_CD2_STAB_!C5,EL_DEL_CD1_WST_PTP_!C5,EL_DEL_CD1_NTH_PTP_!C5)</f>
        <v>0</v>
      </c>
      <c r="D5" s="2">
        <f>SUM(EL_DEL_CD2_JO_!D5,EL_DEL_CD2_PTP_!D5,EL_DEL_CD2_SBI_1_4_!D5,EL_DEL_CD2_SBI_5_6_!D5,EL_DEL_CD2_STAB_!D5,EL_DEL_CD1_WST_PTP_!D5,EL_DEL_CD1_NTH_PTP_!D5)</f>
        <v>0</v>
      </c>
      <c r="E5" s="3">
        <f>SUM(EL_DEL_CD2_JO_!E5,EL_DEL_CD2_PTP_!E5,EL_DEL_CD2_SBI_1_4_!E5,EL_DEL_CD2_SBI_5_6_!E5,EL_DEL_CD2_STAB_!E5,EL_DEL_CD1_WST_PTP_!E5,EL_DEL_CD1_NTH_PTP_!E5)</f>
        <v>0</v>
      </c>
      <c r="F5" s="2">
        <f>SUM(EL_DEL_CD2_JO_!F5,EL_DEL_CD2_PTP_!F5,EL_DEL_CD2_SBI_1_4_!F5,EL_DEL_CD2_SBI_5_6_!F5,EL_DEL_CD2_STAB_!F5,EL_DEL_CD1_WST_PTP_!F5,EL_DEL_CD1_NTH_PTP_!F5)</f>
        <v>0</v>
      </c>
      <c r="G5" s="2">
        <f>SUM(EL_DEL_CD2_JO_!G5,EL_DEL_CD2_PTP_!G5,EL_DEL_CD2_SBI_1_4_!G5,EL_DEL_CD2_SBI_5_6_!G5,EL_DEL_CD2_STAB_!G5,EL_DEL_CD1_WST_PTP_!G5,EL_DEL_CD1_NTH_PTP_!G5)</f>
        <v>0</v>
      </c>
      <c r="H5" s="4">
        <f>SUM(EL_DEL_CD2_JO_!H5,EL_DEL_CD2_PTP_!H5,EL_DEL_CD2_SBI_1_4_!H5,EL_DEL_CD2_SBI_5_6_!H5,EL_DEL_CD2_STAB_!H5,EL_DEL_CD1_WST_PTP_!H5,EL_DEL_CD1_NTH_PTP_!H5)</f>
        <v>0</v>
      </c>
      <c r="I5" s="4">
        <f>SUM(EL_DEL_CD2_JO_!I5,EL_DEL_CD2_PTP_!I5,EL_DEL_CD2_SBI_1_4_!I5,EL_DEL_CD2_SBI_5_6_!I5,EL_DEL_CD2_STAB_!I5,EL_DEL_CD1_WST_PTP_!I5,EL_DEL_CD1_NTH_PTP_!I5)</f>
        <v>0</v>
      </c>
      <c r="J5" s="58">
        <f>SUM(EL_DEL_CD2_JO_!J5,EL_DEL_CD2_PTP_!J5,EL_DEL_CD2_SBI_1_4_!J5,EL_DEL_CD2_SBI_5_6_!J5,EL_DEL_CD2_STAB_!J5,EL_DEL_CD1_WST_PTP_!J5,EL_DEL_CD1_NTH_PTP_!J5)</f>
        <v>0</v>
      </c>
      <c r="K5" s="5">
        <f>SUM(EL_DEL_CD2_JO_!K5,EL_DEL_CD2_PTP_!K5,EL_DEL_CD2_SBI_1_4_!K5,EL_DEL_CD2_SBI_5_6_!K5,EL_DEL_CD2_STAB_!K5,EL_DEL_CD1_WST_PTP_!K5,EL_DEL_CD1_NTH_PTP_!K5)</f>
        <v>0</v>
      </c>
      <c r="L5" s="2">
        <f>SUM(EL_DEL_CD2_JO_!L5,EL_DEL_CD2_PTP_!L5,EL_DEL_CD2_SBI_1_4_!L5,EL_DEL_CD2_SBI_5_6_!L5,EL_DEL_CD2_STAB_!L5,EL_DEL_CD1_WST_PTP_!L5,EL_DEL_CD1_NTH_PTP_!L5)</f>
        <v>0</v>
      </c>
      <c r="M5" s="2">
        <f>SUM(EL_DEL_CD2_JO_!M5,EL_DEL_CD2_PTP_!M5,EL_DEL_CD2_SBI_1_4_!M5,EL_DEL_CD2_SBI_5_6_!M5,EL_DEL_CD2_STAB_!M5,EL_DEL_CD1_WST_PTP_!M5,EL_DEL_CD1_NTH_PTP_!M5)</f>
        <v>0</v>
      </c>
      <c r="N5" s="2">
        <f>SUM(EL_DEL_CD2_JO_!N5,EL_DEL_CD2_PTP_!N5,EL_DEL_CD2_SBI_1_4_!N5,EL_DEL_CD2_SBI_5_6_!N5,EL_DEL_CD2_STAB_!N5,EL_DEL_CD1_WST_PTP_!N5,EL_DEL_CD1_NTH_PTP_!N5)</f>
        <v>0</v>
      </c>
      <c r="O5" s="2">
        <f>SUM(EL_DEL_CD2_JO_!O5,EL_DEL_CD2_PTP_!O5,EL_DEL_CD2_SBI_1_4_!O5,EL_DEL_CD2_SBI_5_6_!O5,EL_DEL_CD2_STAB_!O5,EL_DEL_CD1_WST_PTP_!O5,EL_DEL_CD1_NTH_PTP_!O5)</f>
        <v>0</v>
      </c>
      <c r="P5" s="3">
        <f>SUM(EL_DEL_CD2_JO_!P5,EL_DEL_CD2_PTP_!P5,EL_DEL_CD2_SBI_1_4_!P5,EL_DEL_CD2_SBI_5_6_!P5,EL_DEL_CD2_STAB_!P5,EL_DEL_CD1_WST_PTP_!P5,EL_DEL_CD1_NTH_PTP_!P5)</f>
        <v>0</v>
      </c>
      <c r="Q5" s="2">
        <f>SUM(EL_DEL_CD2_JO_!Q5,EL_DEL_CD2_PTP_!Q5,EL_DEL_CD2_SBI_1_4_!Q5,EL_DEL_CD2_SBI_5_6_!Q5,EL_DEL_CD2_STAB_!Q5,EL_DEL_CD1_WST_PTP_!Q5,EL_DEL_CD1_NTH_PTP_!Q5)</f>
        <v>0</v>
      </c>
      <c r="R5" s="2">
        <f>SUM(EL_DEL_CD2_JO_!R5,EL_DEL_CD2_PTP_!R5,EL_DEL_CD2_SBI_1_4_!R5,EL_DEL_CD2_SBI_5_6_!R5,EL_DEL_CD2_STAB_!R5,EL_DEL_CD1_WST_PTP_!R5,EL_DEL_CD1_NTH_PTP_!R5)</f>
        <v>0</v>
      </c>
      <c r="S5" s="2">
        <f>SUM(EL_DEL_CD2_JO_!S5,EL_DEL_CD2_PTP_!S5,EL_DEL_CD2_SBI_1_4_!S5,EL_DEL_CD2_SBI_5_6_!S5,EL_DEL_CD2_STAB_!S5,EL_DEL_CD1_WST_PTP_!S5,EL_DEL_CD1_NTH_PTP_!S5)</f>
        <v>0</v>
      </c>
      <c r="T5" s="2">
        <f>SUM(EL_DEL_CD2_JO_!T5,EL_DEL_CD2_PTP_!T5,EL_DEL_CD2_SBI_1_4_!T5,EL_DEL_CD2_SBI_5_6_!T5,EL_DEL_CD2_STAB_!T5,EL_DEL_CD1_WST_PTP_!T5,EL_DEL_CD1_NTH_PTP_!T5)</f>
        <v>0</v>
      </c>
      <c r="U5" s="3">
        <f>SUM(EL_DEL_CD2_JO_!V5,EL_DEL_CD2_PTP_!V5,EL_DEL_CD2_SBI_1_4_!V5,EL_DEL_CD2_SBI_5_6_!V5,EL_DEL_CD2_STAB_!V5,EL_DEL_CD1_WST_PTP_!V5,EL_DEL_CD1_NTH_PTP_!V5)</f>
        <v>0</v>
      </c>
      <c r="V5" s="3">
        <f>SUM(EL_DEL_CD2_JO_!W5,EL_DEL_CD2_PTP_!W5,EL_DEL_CD2_SBI_1_4_!W5,EL_DEL_CD2_SBI_5_6_!W5,EL_DEL_CD2_STAB_!W5,EL_DEL_CD1_WST_PTP_!W5,EL_DEL_CD1_NTH_PTP_!W5)</f>
        <v>0</v>
      </c>
      <c r="W5" s="2">
        <f>SUM(EL_DEL_CD2_JO_!X5,EL_DEL_CD2_PTP_!X5,EL_DEL_CD2_SBI_1_4_!X5,EL_DEL_CD2_SBI_5_6_!X5,EL_DEL_CD2_STAB_!X5,EL_DEL_CD1_WST_PTP_!X5,EL_DEL_CD1_NTH_PTP_!X5)</f>
        <v>0</v>
      </c>
      <c r="X5" s="2">
        <f>SUM(EL_DEL_CD2_JO_!Y5,EL_DEL_CD2_PTP_!Y5,EL_DEL_CD2_SBI_1_4_!Y5,EL_DEL_CD2_SBI_5_6_!Y5,EL_DEL_CD2_STAB_!Y5,EL_DEL_CD1_WST_PTP_!Y5,EL_DEL_CD1_NTH_PTP_!Y5)</f>
        <v>0</v>
      </c>
      <c r="Y5" s="2">
        <f>SUM(EL_DEL_CD2_JO_!Z5,EL_DEL_CD2_PTP_!Z5,EL_DEL_CD2_SBI_1_4_!Z5,EL_DEL_CD2_SBI_5_6_!Z5,EL_DEL_CD2_STAB_!Z5,EL_DEL_CD1_WST_PTP_!Z5,EL_DEL_CD1_NTH_PTP_!Z5)</f>
        <v>0</v>
      </c>
      <c r="Z5" s="2">
        <f>SUM(EL_DEL_CD2_JO_!AA5,EL_DEL_CD2_PTP_!AA5,EL_DEL_CD2_SBI_1_4_!AA5,EL_DEL_CD2_SBI_5_6_!AA5,EL_DEL_CD2_STAB_!AA5,EL_DEL_CD1_WST_PTP_!AA5,EL_DEL_CD1_NTH_PTP_!AA5)</f>
        <v>0</v>
      </c>
      <c r="AA5" s="2">
        <f>SUM(EL_DEL_CD2_JO_!AB5,EL_DEL_CD2_PTP_!AB5,EL_DEL_CD2_SBI_1_4_!AB5,EL_DEL_CD2_SBI_5_6_!AB5,EL_DEL_CD2_STAB_!AB5,EL_DEL_CD1_WST_PTP_!AB5,EL_DEL_CD1_NTH_PTP_!AB5)</f>
        <v>0</v>
      </c>
      <c r="AB5" s="2">
        <f>SUM(EL_DEL_CD2_JO_!AC5,EL_DEL_CD2_PTP_!AC5,EL_DEL_CD2_SBI_1_4_!AC5,EL_DEL_CD2_SBI_5_6_!AC5,EL_DEL_CD2_STAB_!AC5,EL_DEL_CD1_WST_PTP_!AC5,EL_DEL_CD1_NTH_PTP_!AC5)</f>
        <v>0</v>
      </c>
      <c r="AC5" s="2">
        <f>SUM(EL_DEL_CD2_JO_!AD5,EL_DEL_CD2_PTP_!AD5,EL_DEL_CD2_SBI_1_4_!AD5,EL_DEL_CD2_SBI_5_6_!AD5,EL_DEL_CD2_STAB_!AD5,EL_DEL_CD1_WST_PTP_!AD5,EL_DEL_CD1_NTH_PTP_!AD5)</f>
        <v>0</v>
      </c>
      <c r="AD5" s="2">
        <f>SUM(EL_DEL_CD2_JO_!AE5,EL_DEL_CD2_PTP_!AE5,EL_DEL_CD2_SBI_1_4_!AE5,EL_DEL_CD2_SBI_5_6_!AE5,EL_DEL_CD2_STAB_!AE5,EL_DEL_CD1_WST_PTP_!AE5,EL_DEL_CD1_NTH_PTP_!AE5)</f>
        <v>0</v>
      </c>
      <c r="AE5" s="3">
        <f>SUM(EL_DEL_CD2_JO_!AF5,EL_DEL_CD2_PTP_!AF5,EL_DEL_CD2_SBI_1_4_!AF5,EL_DEL_CD2_SBI_5_6_!AF5,EL_DEL_CD2_STAB_!AF5,EL_DEL_CD1_WST_PTP_!AF5,EL_DEL_CD1_NTH_PTP_!AF5)</f>
        <v>0</v>
      </c>
      <c r="AF5" s="3">
        <f>SUM(EL_DEL_CD2_JO_!AG5,EL_DEL_CD2_PTP_!AG5,EL_DEL_CD2_SBI_1_4_!AG5,EL_DEL_CD2_SBI_5_6_!AG5,EL_DEL_CD2_STAB_!AG5,EL_DEL_CD1_WST_PTP_!AG5,EL_DEL_CD1_NTH_PTP_!AG5)</f>
        <v>0</v>
      </c>
      <c r="AG5" s="2">
        <f>SUM(EL_DEL_CD2_JO_!AH5,EL_DEL_CD2_PTP_!AH5,EL_DEL_CD2_SBI_1_4_!AH5,EL_DEL_CD2_SBI_5_6_!AH5,EL_DEL_CD2_STAB_!AH5,EL_DEL_CD1_WST_PTP_!AH5,EL_DEL_CD1_NTH_PTP_!AH5)</f>
        <v>0</v>
      </c>
      <c r="AH5" s="6">
        <f>SUM(EL_DEL_CD2_JO_!AI5,EL_DEL_CD2_PTP_!AI5,EL_DEL_CD2_SBI_1_4_!AI5,EL_DEL_CD2_SBI_5_6_!AI5,EL_DEL_CD2_STAB_!AI5,EL_DEL_CD1_WST_PTP_!AI5,EL_DEL_CD1_NTH_PTP_!AI5)</f>
        <v>0</v>
      </c>
      <c r="AI5" s="7">
        <f>SUM(EL_DEL_CD2_JO_!AJ5,EL_DEL_CD2_PTP_!AJ5,EL_DEL_CD2_SBI_1_4_!AJ5,EL_DEL_CD2_SBI_5_6_!AJ5,EL_DEL_CD2_STAB_!AJ5,EL_DEL_CD1_WST_PTP_!AJ5,EL_DEL_CD1_NTH_PTP_!AJ5)</f>
        <v>0</v>
      </c>
      <c r="AJ5" s="6">
        <f>SUM(EL_DEL_CD2_JO_!AK5,EL_DEL_CD2_PTP_!AK5,EL_DEL_CD2_SBI_1_4_!AK5,EL_DEL_CD2_SBI_5_6_!AK5,EL_DEL_CD2_STAB_!AK5,EL_DEL_CD1_WST_PTP_!AK5,EL_DEL_CD1_NTH_PTP_!AK5)</f>
        <v>0</v>
      </c>
      <c r="AK5" s="59" t="str">
        <f>IFERROR(AVERAGE(EL_DEL_CD2_JO_!AL5,EL_DEL_CD2_PTP_!AL5,EL_DEL_CD2_SBI_1_4_!AL5,EL_DEL_CD2_SBI_5_6_!AL5,EL_DEL_CD2_STAB_!AL5,EL_DEL_CD1_WST_PTP_!AL5,EL_DEL_CD1_NTH_PTP_!AL5),"")</f>
        <v/>
      </c>
      <c r="AL5" s="59" t="str">
        <f>IFERROR(AVERAGE(EL_DEL_CD2_JO_!AM5,EL_DEL_CD2_PTP_!AM5,EL_DEL_CD2_SBI_1_4_!AM5,EL_DEL_CD2_SBI_5_6_!AM5,EL_DEL_CD2_STAB_!AM5,EL_DEL_CD1_WST_PTP_!AM5,EL_DEL_CD1_NTH_PTP_!AM5),"")</f>
        <v/>
      </c>
      <c r="AM5" s="59" t="str">
        <f>IFERROR(AVERAGE(EL_DEL_CD2_JO_!AN5,EL_DEL_CD2_PTP_!AN5,EL_DEL_CD2_SBI_1_4_!AN5,EL_DEL_CD2_SBI_5_6_!AN5,EL_DEL_CD2_STAB_!AN5,EL_DEL_CD1_WST_PTP_!AN5,EL_DEL_CD1_NTH_PTP_!AN5),"")</f>
        <v/>
      </c>
      <c r="AN5" s="59" t="str">
        <f>IFERROR(AVERAGE(EL_DEL_CD2_JO_!AO5,EL_DEL_CD2_PTP_!AO5,EL_DEL_CD2_SBI_1_4_!AO5,EL_DEL_CD2_SBI_5_6_!AO5,EL_DEL_CD2_STAB_!AO5,EL_DEL_CD1_WST_PTP_!AO5,EL_DEL_CD1_NTH_PTP_!AO5),"")</f>
        <v/>
      </c>
      <c r="AO5" s="59" t="str">
        <f>IFERROR(AVERAGE(EL_DEL_CD2_JO_!AP5,EL_DEL_CD2_PTP_!AP5,EL_DEL_CD2_SBI_1_4_!AP5,EL_DEL_CD2_SBI_5_6_!AP5,EL_DEL_CD2_STAB_!AP5,EL_DEL_CD1_WST_PTP_!AP5,EL_DEL_CD1_NTH_PTP_!AP5),"")</f>
        <v/>
      </c>
      <c r="AP5" s="59" t="str">
        <f>IFERROR(AVERAGE(EL_DEL_CD2_JO_!AQ5,EL_DEL_CD2_PTP_!AQ5,EL_DEL_CD2_SBI_1_4_!AQ5,EL_DEL_CD2_SBI_5_6_!AQ5,EL_DEL_CD2_STAB_!AQ5,EL_DEL_CD1_WST_PTP_!AQ5,EL_DEL_CD1_NTH_PTP_!AQ5),"")</f>
        <v/>
      </c>
      <c r="AQ5" s="59" t="str">
        <f>IFERROR(AVERAGE(EL_DEL_CD2_JO_!AR5,EL_DEL_CD2_PTP_!AR5,EL_DEL_CD2_SBI_1_4_!AR5,EL_DEL_CD2_SBI_5_6_!AR5,EL_DEL_CD2_STAB_!AR5,EL_DEL_CD1_WST_PTP_!AR5,EL_DEL_CD1_NTH_PTP_!AR5),"")</f>
        <v/>
      </c>
      <c r="AR5" s="59" t="str">
        <f>IFERROR(AVERAGE(EL_DEL_CD2_JO_!AS5,EL_DEL_CD2_PTP_!AS5,EL_DEL_CD2_SBI_1_4_!AS5,EL_DEL_CD2_SBI_5_6_!AS5,EL_DEL_CD2_STAB_!AS5,EL_DEL_CD1_WST_PTP_!AS5,EL_DEL_CD1_NTH_PTP_!AS5),"")</f>
        <v/>
      </c>
      <c r="AS5" s="8">
        <f>SUM(EL_DEL_CD2_JO_!AT5,EL_DEL_CD2_PTP_!AT5,EL_DEL_CD2_SBI_1_4_!AT5,EL_DEL_CD2_SBI_5_6_!AT5,EL_DEL_CD2_STAB_!AT5,EL_DEL_CD1_WST_PTP_!AT5,EL_DEL_CD1_NTH_PTP_!AT5)</f>
        <v>0</v>
      </c>
      <c r="AT5" s="8">
        <f>SUM(EL_DEL_CD2_JO_!AU5,EL_DEL_CD2_PTP_!AU5,EL_DEL_CD2_SBI_1_4_!AU5,EL_DEL_CD2_SBI_5_6_!AU5,EL_DEL_CD2_STAB_!AU5,EL_DEL_CD1_WST_PTP_!AU5,EL_DEL_CD1_NTH_PTP_!AU5)</f>
        <v>0</v>
      </c>
      <c r="AU5" s="9">
        <f>SUM(EL_DEL_CD2_JO_!AV5,EL_DEL_CD2_PTP_!AV5,EL_DEL_CD2_SBI_1_4_!AV5,EL_DEL_CD2_SBI_5_6_!AV5,EL_DEL_CD2_STAB_!AV5,EL_DEL_CD1_WST_PTP_!AV5,EL_DEL_CD1_NTH_PTP_!AV5)</f>
        <v>0</v>
      </c>
      <c r="AV5" s="8" t="str">
        <f>IFERROR(AVERAGE(EL_DEL_CD2_JO_!AW5,EL_DEL_CD2_PTP_!AW5,EL_DEL_CD2_SBI_1_4_!AW5,EL_DEL_CD2_SBI_5_6_!AW5,EL_DEL_CD2_STAB_!AW5,EL_DEL_CD1_WST_PTP_!AW5,EL_DEL_CD1_NTH_PTP_!AW5),"")</f>
        <v/>
      </c>
      <c r="AW5" s="10" t="str">
        <f t="shared" ref="AW5:AW33" si="1">IFERROR(AM5/AV5,"-")</f>
        <v>-</v>
      </c>
      <c r="AX5" s="39"/>
      <c r="AY5" s="1" t="str">
        <f t="shared" ref="AY5:AY33" si="2">IF(E5&gt;0,F5/E5,"")</f>
        <v/>
      </c>
      <c r="AZ5" s="11" t="str">
        <f t="shared" ref="AZ5:AZ33" si="3">+IF(E5&gt;0,G5/E5,"")</f>
        <v/>
      </c>
      <c r="BA5" s="1" t="str">
        <f t="shared" ref="BA5:BA33" si="4">+IF(E5&gt;0,AI5/E5,"")</f>
        <v/>
      </c>
      <c r="BB5" s="39"/>
      <c r="BC5" s="53" t="str">
        <f t="shared" ref="BC5:BC33" si="5">+IF(G5&gt;0,I5/G5,"")</f>
        <v/>
      </c>
      <c r="BD5" s="70" t="str">
        <f t="shared" ref="BD5:BD33" si="6">+IF(G5&gt;0,J5/G5,"")</f>
        <v/>
      </c>
      <c r="BE5" s="12" t="str">
        <f t="shared" ref="BE5:BE33" si="7">+IF(I5&gt;0,L5/I5,"")</f>
        <v/>
      </c>
      <c r="BF5" s="12" t="str">
        <f t="shared" ref="BF5:BF33" si="8">+IF(SUM(AN5:AQ5)&gt;0,AN5/AM5,"")</f>
        <v/>
      </c>
      <c r="BG5" s="12" t="str">
        <f t="shared" ref="BG5:BG33" si="9">+IF(G5&gt;0,K5/G5,"")</f>
        <v/>
      </c>
      <c r="BH5" s="54" t="str">
        <f t="shared" ref="BH5:BH33" si="10">+IF(SUM(AN5:AQ5)&gt;0,AP5/AM5,"")</f>
        <v/>
      </c>
      <c r="BI5" s="39"/>
      <c r="BJ5" s="55" t="str">
        <f t="shared" ref="BJ5:BJ33" si="11">+IF(E5&gt;0,(AI5/E5),"")</f>
        <v/>
      </c>
      <c r="BK5" s="13" t="str">
        <f t="shared" ref="BK5:BK33" si="12">+IF(E5&gt;0,(AI5/F5),"")</f>
        <v/>
      </c>
      <c r="BL5" s="13" t="str">
        <f t="shared" ref="BL5:BL33" si="13">+IF(E5&gt;0,(AI5/G5),"")</f>
        <v/>
      </c>
      <c r="BM5" s="56" t="str">
        <f t="shared" ref="BM5:BM33" si="14">+IF(E5&gt;0,(AI5/J5),"")</f>
        <v/>
      </c>
      <c r="BN5" s="39"/>
      <c r="BO5" s="14" t="str">
        <f t="shared" ref="BO5:BO33" si="15">IF(AI5&gt;0,(N5/AI5),"")</f>
        <v/>
      </c>
      <c r="BP5" s="15">
        <v>0</v>
      </c>
      <c r="BQ5" s="15" t="str">
        <f t="shared" ref="BQ5:BQ33" si="16">IF(AI5&gt;0,(AJ5/AI5),"")</f>
        <v/>
      </c>
      <c r="BR5" s="15" t="str">
        <f t="shared" ref="BR5:BR33" si="17">IF(AI5&gt;0,(AJ5/AI5),"")</f>
        <v/>
      </c>
      <c r="BS5" s="16" t="str">
        <f t="shared" ref="BS5:BS33" si="18">IF(J5&gt;0,AC5/J5,"")</f>
        <v/>
      </c>
      <c r="BT5" s="39"/>
      <c r="BU5" s="51" t="e">
        <f t="shared" ref="BU5:BU33" si="19">IF(AM5&gt;0,(E5/AM5),"")</f>
        <v>#VALUE!</v>
      </c>
      <c r="BV5" s="28" t="e">
        <f t="shared" ref="BV5:BV33" si="20">IF(AM5&gt;0,(G5/AM5),"")</f>
        <v>#VALUE!</v>
      </c>
      <c r="BW5" s="28" t="e">
        <f t="shared" ref="BW5:BW33" si="21">IF(AM5&gt;0,(J5/AM5),"")</f>
        <v>#VALUE!</v>
      </c>
      <c r="BX5" s="28" t="e">
        <f t="shared" ref="BX5:BX33" si="22">IF(AM5&gt;0,(K5/AM5),"")</f>
        <v>#VALUE!</v>
      </c>
      <c r="BY5" s="28" t="e">
        <f t="shared" ref="BY5:BY33" si="23">IF(AM5&gt;0,(AI5/AM5),"")</f>
        <v>#VALUE!</v>
      </c>
      <c r="BZ5" s="52" t="e">
        <f t="shared" ref="BZ5:BZ33" si="24">IF(AM5&gt;0,(AJ5/AM5),"")</f>
        <v>#VALUE!</v>
      </c>
      <c r="CA5" s="39"/>
      <c r="CB5" s="49" t="str">
        <f t="shared" ref="CB5:CB33" si="25">IFERROR(((AM5-AN5)*3600)/J5,"-")</f>
        <v>-</v>
      </c>
      <c r="CC5" s="29" t="str">
        <f t="shared" ref="CC5:CC33" si="26">IFERROR((AQ5*3600)/J5,"-")</f>
        <v>-</v>
      </c>
      <c r="CD5" s="29" t="str">
        <f t="shared" ref="CD5:CD33" si="27">IFERROR((AP5*3600)/J5,"-")</f>
        <v>-</v>
      </c>
      <c r="CE5" s="29" t="str">
        <f t="shared" ref="CE5:CE33" si="28">IFERROR((AN5*3600)/J5,"-")</f>
        <v>-</v>
      </c>
      <c r="CF5" s="50" t="str">
        <f t="shared" ref="CF5:CF33" si="29">IFERROR((AO5*3600)/J5,"-")</f>
        <v>-</v>
      </c>
      <c r="CG5" s="39"/>
    </row>
    <row r="6" spans="1:85" s="27" customFormat="1" ht="12.4" customHeight="1" thickBot="1" x14ac:dyDescent="0.25">
      <c r="A6" s="43">
        <f t="shared" ref="A6:A31" si="30">A5+1</f>
        <v>46298</v>
      </c>
      <c r="B6" s="44" t="str">
        <f t="shared" si="0"/>
        <v>Sat</v>
      </c>
      <c r="C6" s="2">
        <f>SUM(EL_DEL_CD2_JO_!C6,EL_DEL_CD2_PTP_!C6,EL_DEL_CD2_SBI_1_4_!C6,EL_DEL_CD2_SBI_5_6_!C6,EL_DEL_CD2_STAB_!C6,EL_DEL_CD1_WST_PTP_!C6,EL_DEL_CD1_NTH_PTP_!C6)</f>
        <v>0</v>
      </c>
      <c r="D6" s="2">
        <f>SUM(EL_DEL_CD2_JO_!D6,EL_DEL_CD2_PTP_!D6,EL_DEL_CD2_SBI_1_4_!D6,EL_DEL_CD2_SBI_5_6_!D6,EL_DEL_CD2_STAB_!D6,EL_DEL_CD1_WST_PTP_!D6,EL_DEL_CD1_NTH_PTP_!D6)</f>
        <v>0</v>
      </c>
      <c r="E6" s="3">
        <f>SUM(EL_DEL_CD2_JO_!E6,EL_DEL_CD2_PTP_!E6,EL_DEL_CD2_SBI_1_4_!E6,EL_DEL_CD2_SBI_5_6_!E6,EL_DEL_CD2_STAB_!E6,EL_DEL_CD1_WST_PTP_!E6,EL_DEL_CD1_NTH_PTP_!E6)</f>
        <v>0</v>
      </c>
      <c r="F6" s="2">
        <f>SUM(EL_DEL_CD2_JO_!F6,EL_DEL_CD2_PTP_!F6,EL_DEL_CD2_SBI_1_4_!F6,EL_DEL_CD2_SBI_5_6_!F6,EL_DEL_CD2_STAB_!F6,EL_DEL_CD1_WST_PTP_!F6,EL_DEL_CD1_NTH_PTP_!F6)</f>
        <v>0</v>
      </c>
      <c r="G6" s="2">
        <f>SUM(EL_DEL_CD2_JO_!G6,EL_DEL_CD2_PTP_!G6,EL_DEL_CD2_SBI_1_4_!G6,EL_DEL_CD2_SBI_5_6_!G6,EL_DEL_CD2_STAB_!G6,EL_DEL_CD1_WST_PTP_!G6,EL_DEL_CD1_NTH_PTP_!G6)</f>
        <v>0</v>
      </c>
      <c r="H6" s="4">
        <f>SUM(EL_DEL_CD2_JO_!H6,EL_DEL_CD2_PTP_!H6,EL_DEL_CD2_SBI_1_4_!H6,EL_DEL_CD2_SBI_5_6_!H6,EL_DEL_CD2_STAB_!H6,EL_DEL_CD1_WST_PTP_!H6,EL_DEL_CD1_NTH_PTP_!H6)</f>
        <v>0</v>
      </c>
      <c r="I6" s="4">
        <f>SUM(EL_DEL_CD2_JO_!I6,EL_DEL_CD2_PTP_!I6,EL_DEL_CD2_SBI_1_4_!I6,EL_DEL_CD2_SBI_5_6_!I6,EL_DEL_CD2_STAB_!I6,EL_DEL_CD1_WST_PTP_!I6,EL_DEL_CD1_NTH_PTP_!I6)</f>
        <v>0</v>
      </c>
      <c r="J6" s="58">
        <f>SUM(EL_DEL_CD2_JO_!J6,EL_DEL_CD2_PTP_!J6,EL_DEL_CD2_SBI_1_4_!J6,EL_DEL_CD2_SBI_5_6_!J6,EL_DEL_CD2_STAB_!J6,EL_DEL_CD1_WST_PTP_!J6,EL_DEL_CD1_NTH_PTP_!J6)</f>
        <v>0</v>
      </c>
      <c r="K6" s="5">
        <f>SUM(EL_DEL_CD2_JO_!K6,EL_DEL_CD2_PTP_!K6,EL_DEL_CD2_SBI_1_4_!K6,EL_DEL_CD2_SBI_5_6_!K6,EL_DEL_CD2_STAB_!K6,EL_DEL_CD1_WST_PTP_!K6,EL_DEL_CD1_NTH_PTP_!K6)</f>
        <v>0</v>
      </c>
      <c r="L6" s="2">
        <f>SUM(EL_DEL_CD2_JO_!L6,EL_DEL_CD2_PTP_!L6,EL_DEL_CD2_SBI_1_4_!L6,EL_DEL_CD2_SBI_5_6_!L6,EL_DEL_CD2_STAB_!L6,EL_DEL_CD1_WST_PTP_!L6,EL_DEL_CD1_NTH_PTP_!L6)</f>
        <v>0</v>
      </c>
      <c r="M6" s="2">
        <f>SUM(EL_DEL_CD2_JO_!M6,EL_DEL_CD2_PTP_!M6,EL_DEL_CD2_SBI_1_4_!M6,EL_DEL_CD2_SBI_5_6_!M6,EL_DEL_CD2_STAB_!M6,EL_DEL_CD1_WST_PTP_!M6,EL_DEL_CD1_NTH_PTP_!M6)</f>
        <v>0</v>
      </c>
      <c r="N6" s="2">
        <f>SUM(EL_DEL_CD2_JO_!N6,EL_DEL_CD2_PTP_!N6,EL_DEL_CD2_SBI_1_4_!N6,EL_DEL_CD2_SBI_5_6_!N6,EL_DEL_CD2_STAB_!N6,EL_DEL_CD1_WST_PTP_!N6,EL_DEL_CD1_NTH_PTP_!N6)</f>
        <v>0</v>
      </c>
      <c r="O6" s="2">
        <f>SUM(EL_DEL_CD2_JO_!O6,EL_DEL_CD2_PTP_!O6,EL_DEL_CD2_SBI_1_4_!O6,EL_DEL_CD2_SBI_5_6_!O6,EL_DEL_CD2_STAB_!O6,EL_DEL_CD1_WST_PTP_!O6,EL_DEL_CD1_NTH_PTP_!O6)</f>
        <v>0</v>
      </c>
      <c r="P6" s="3">
        <f>SUM(EL_DEL_CD2_JO_!P6,EL_DEL_CD2_PTP_!P6,EL_DEL_CD2_SBI_1_4_!P6,EL_DEL_CD2_SBI_5_6_!P6,EL_DEL_CD2_STAB_!P6,EL_DEL_CD1_WST_PTP_!P6,EL_DEL_CD1_NTH_PTP_!P6)</f>
        <v>0</v>
      </c>
      <c r="Q6" s="2">
        <f>SUM(EL_DEL_CD2_JO_!Q6,EL_DEL_CD2_PTP_!Q6,EL_DEL_CD2_SBI_1_4_!Q6,EL_DEL_CD2_SBI_5_6_!Q6,EL_DEL_CD2_STAB_!Q6,EL_DEL_CD1_WST_PTP_!Q6,EL_DEL_CD1_NTH_PTP_!Q6)</f>
        <v>0</v>
      </c>
      <c r="R6" s="2">
        <f>SUM(EL_DEL_CD2_JO_!R6,EL_DEL_CD2_PTP_!R6,EL_DEL_CD2_SBI_1_4_!R6,EL_DEL_CD2_SBI_5_6_!R6,EL_DEL_CD2_STAB_!R6,EL_DEL_CD1_WST_PTP_!R6,EL_DEL_CD1_NTH_PTP_!R6)</f>
        <v>0</v>
      </c>
      <c r="S6" s="2">
        <f>SUM(EL_DEL_CD2_JO_!S6,EL_DEL_CD2_PTP_!S6,EL_DEL_CD2_SBI_1_4_!S6,EL_DEL_CD2_SBI_5_6_!S6,EL_DEL_CD2_STAB_!S6,EL_DEL_CD1_WST_PTP_!S6,EL_DEL_CD1_NTH_PTP_!S6)</f>
        <v>0</v>
      </c>
      <c r="T6" s="2">
        <f>SUM(EL_DEL_CD2_JO_!T6,EL_DEL_CD2_PTP_!T6,EL_DEL_CD2_SBI_1_4_!T6,EL_DEL_CD2_SBI_5_6_!T6,EL_DEL_CD2_STAB_!T6,EL_DEL_CD1_WST_PTP_!T6,EL_DEL_CD1_NTH_PTP_!T6)</f>
        <v>0</v>
      </c>
      <c r="U6" s="3">
        <f>SUM(EL_DEL_CD2_JO_!V6,EL_DEL_CD2_PTP_!V6,EL_DEL_CD2_SBI_1_4_!V6,EL_DEL_CD2_SBI_5_6_!V6,EL_DEL_CD2_STAB_!V6,EL_DEL_CD1_WST_PTP_!V6,EL_DEL_CD1_NTH_PTP_!V6)</f>
        <v>0</v>
      </c>
      <c r="V6" s="3">
        <f>SUM(EL_DEL_CD2_JO_!W6,EL_DEL_CD2_PTP_!W6,EL_DEL_CD2_SBI_1_4_!W6,EL_DEL_CD2_SBI_5_6_!W6,EL_DEL_CD2_STAB_!W6,EL_DEL_CD1_WST_PTP_!W6,EL_DEL_CD1_NTH_PTP_!W6)</f>
        <v>0</v>
      </c>
      <c r="W6" s="2">
        <f>SUM(EL_DEL_CD2_JO_!X6,EL_DEL_CD2_PTP_!X6,EL_DEL_CD2_SBI_1_4_!X6,EL_DEL_CD2_SBI_5_6_!X6,EL_DEL_CD2_STAB_!X6,EL_DEL_CD1_WST_PTP_!X6,EL_DEL_CD1_NTH_PTP_!X6)</f>
        <v>0</v>
      </c>
      <c r="X6" s="2">
        <f>SUM(EL_DEL_CD2_JO_!Y6,EL_DEL_CD2_PTP_!Y6,EL_DEL_CD2_SBI_1_4_!Y6,EL_DEL_CD2_SBI_5_6_!Y6,EL_DEL_CD2_STAB_!Y6,EL_DEL_CD1_WST_PTP_!Y6,EL_DEL_CD1_NTH_PTP_!Y6)</f>
        <v>0</v>
      </c>
      <c r="Y6" s="2">
        <f>SUM(EL_DEL_CD2_JO_!Z6,EL_DEL_CD2_PTP_!Z6,EL_DEL_CD2_SBI_1_4_!Z6,EL_DEL_CD2_SBI_5_6_!Z6,EL_DEL_CD2_STAB_!Z6,EL_DEL_CD1_WST_PTP_!Z6,EL_DEL_CD1_NTH_PTP_!Z6)</f>
        <v>0</v>
      </c>
      <c r="Z6" s="2">
        <f>SUM(EL_DEL_CD2_JO_!AA6,EL_DEL_CD2_PTP_!AA6,EL_DEL_CD2_SBI_1_4_!AA6,EL_DEL_CD2_SBI_5_6_!AA6,EL_DEL_CD2_STAB_!AA6,EL_DEL_CD1_WST_PTP_!AA6,EL_DEL_CD1_NTH_PTP_!AA6)</f>
        <v>0</v>
      </c>
      <c r="AA6" s="2">
        <f>SUM(EL_DEL_CD2_JO_!AB6,EL_DEL_CD2_PTP_!AB6,EL_DEL_CD2_SBI_1_4_!AB6,EL_DEL_CD2_SBI_5_6_!AB6,EL_DEL_CD2_STAB_!AB6,EL_DEL_CD1_WST_PTP_!AB6,EL_DEL_CD1_NTH_PTP_!AB6)</f>
        <v>0</v>
      </c>
      <c r="AB6" s="2">
        <f>SUM(EL_DEL_CD2_JO_!AC6,EL_DEL_CD2_PTP_!AC6,EL_DEL_CD2_SBI_1_4_!AC6,EL_DEL_CD2_SBI_5_6_!AC6,EL_DEL_CD2_STAB_!AC6,EL_DEL_CD1_WST_PTP_!AC6,EL_DEL_CD1_NTH_PTP_!AC6)</f>
        <v>0</v>
      </c>
      <c r="AC6" s="2">
        <f>SUM(EL_DEL_CD2_JO_!AD6,EL_DEL_CD2_PTP_!AD6,EL_DEL_CD2_SBI_1_4_!AD6,EL_DEL_CD2_SBI_5_6_!AD6,EL_DEL_CD2_STAB_!AD6,EL_DEL_CD1_WST_PTP_!AD6,EL_DEL_CD1_NTH_PTP_!AD6)</f>
        <v>0</v>
      </c>
      <c r="AD6" s="2">
        <f>SUM(EL_DEL_CD2_JO_!AE6,EL_DEL_CD2_PTP_!AE6,EL_DEL_CD2_SBI_1_4_!AE6,EL_DEL_CD2_SBI_5_6_!AE6,EL_DEL_CD2_STAB_!AE6,EL_DEL_CD1_WST_PTP_!AE6,EL_DEL_CD1_NTH_PTP_!AE6)</f>
        <v>0</v>
      </c>
      <c r="AE6" s="3">
        <f>SUM(EL_DEL_CD2_JO_!AF6,EL_DEL_CD2_PTP_!AF6,EL_DEL_CD2_SBI_1_4_!AF6,EL_DEL_CD2_SBI_5_6_!AF6,EL_DEL_CD2_STAB_!AF6,EL_DEL_CD1_WST_PTP_!AF6,EL_DEL_CD1_NTH_PTP_!AF6)</f>
        <v>0</v>
      </c>
      <c r="AF6" s="3">
        <f>SUM(EL_DEL_CD2_JO_!AG6,EL_DEL_CD2_PTP_!AG6,EL_DEL_CD2_SBI_1_4_!AG6,EL_DEL_CD2_SBI_5_6_!AG6,EL_DEL_CD2_STAB_!AG6,EL_DEL_CD1_WST_PTP_!AG6,EL_DEL_CD1_NTH_PTP_!AG6)</f>
        <v>0</v>
      </c>
      <c r="AG6" s="2">
        <f>SUM(EL_DEL_CD2_JO_!AH6,EL_DEL_CD2_PTP_!AH6,EL_DEL_CD2_SBI_1_4_!AH6,EL_DEL_CD2_SBI_5_6_!AH6,EL_DEL_CD2_STAB_!AH6,EL_DEL_CD1_WST_PTP_!AH6,EL_DEL_CD1_NTH_PTP_!AH6)</f>
        <v>0</v>
      </c>
      <c r="AH6" s="6">
        <f>SUM(EL_DEL_CD2_JO_!AI6,EL_DEL_CD2_PTP_!AI6,EL_DEL_CD2_SBI_1_4_!AI6,EL_DEL_CD2_SBI_5_6_!AI6,EL_DEL_CD2_STAB_!AI6,EL_DEL_CD1_WST_PTP_!AI6,EL_DEL_CD1_NTH_PTP_!AI6)</f>
        <v>0</v>
      </c>
      <c r="AI6" s="7">
        <f>SUM(EL_DEL_CD2_JO_!AJ6,EL_DEL_CD2_PTP_!AJ6,EL_DEL_CD2_SBI_1_4_!AJ6,EL_DEL_CD2_SBI_5_6_!AJ6,EL_DEL_CD2_STAB_!AJ6,EL_DEL_CD1_WST_PTP_!AJ6,EL_DEL_CD1_NTH_PTP_!AJ6)</f>
        <v>0</v>
      </c>
      <c r="AJ6" s="6">
        <f>SUM(EL_DEL_CD2_JO_!AK6,EL_DEL_CD2_PTP_!AK6,EL_DEL_CD2_SBI_1_4_!AK6,EL_DEL_CD2_SBI_5_6_!AK6,EL_DEL_CD2_STAB_!AK6,EL_DEL_CD1_WST_PTP_!AK6,EL_DEL_CD1_NTH_PTP_!AK6)</f>
        <v>0</v>
      </c>
      <c r="AK6" s="59" t="str">
        <f>IFERROR(AVERAGE(EL_DEL_CD2_JO_!AL6,EL_DEL_CD2_PTP_!AL6,EL_DEL_CD2_SBI_1_4_!AL6,EL_DEL_CD2_SBI_5_6_!AL6,EL_DEL_CD2_STAB_!AL6,EL_DEL_CD1_WST_PTP_!AL6,EL_DEL_CD1_NTH_PTP_!AL6),"")</f>
        <v/>
      </c>
      <c r="AL6" s="59" t="str">
        <f>IFERROR(AVERAGE(EL_DEL_CD2_JO_!AM6,EL_DEL_CD2_PTP_!AM6,EL_DEL_CD2_SBI_1_4_!AM6,EL_DEL_CD2_SBI_5_6_!AM6,EL_DEL_CD2_STAB_!AM6,EL_DEL_CD1_WST_PTP_!AM6,EL_DEL_CD1_NTH_PTP_!AM6),"")</f>
        <v/>
      </c>
      <c r="AM6" s="59" t="str">
        <f>IFERROR(AVERAGE(EL_DEL_CD2_JO_!AN6,EL_DEL_CD2_PTP_!AN6,EL_DEL_CD2_SBI_1_4_!AN6,EL_DEL_CD2_SBI_5_6_!AN6,EL_DEL_CD2_STAB_!AN6,EL_DEL_CD1_WST_PTP_!AN6,EL_DEL_CD1_NTH_PTP_!AN6),"")</f>
        <v/>
      </c>
      <c r="AN6" s="59" t="str">
        <f>IFERROR(AVERAGE(EL_DEL_CD2_JO_!AO6,EL_DEL_CD2_PTP_!AO6,EL_DEL_CD2_SBI_1_4_!AO6,EL_DEL_CD2_SBI_5_6_!AO6,EL_DEL_CD2_STAB_!AO6,EL_DEL_CD1_WST_PTP_!AO6,EL_DEL_CD1_NTH_PTP_!AO6),"")</f>
        <v/>
      </c>
      <c r="AO6" s="59" t="str">
        <f>IFERROR(AVERAGE(EL_DEL_CD2_JO_!AP6,EL_DEL_CD2_PTP_!AP6,EL_DEL_CD2_SBI_1_4_!AP6,EL_DEL_CD2_SBI_5_6_!AP6,EL_DEL_CD2_STAB_!AP6,EL_DEL_CD1_WST_PTP_!AP6,EL_DEL_CD1_NTH_PTP_!AP6),"")</f>
        <v/>
      </c>
      <c r="AP6" s="59" t="str">
        <f>IFERROR(AVERAGE(EL_DEL_CD2_JO_!AQ6,EL_DEL_CD2_PTP_!AQ6,EL_DEL_CD2_SBI_1_4_!AQ6,EL_DEL_CD2_SBI_5_6_!AQ6,EL_DEL_CD2_STAB_!AQ6,EL_DEL_CD1_WST_PTP_!AQ6,EL_DEL_CD1_NTH_PTP_!AQ6),"")</f>
        <v/>
      </c>
      <c r="AQ6" s="59" t="str">
        <f>IFERROR(AVERAGE(EL_DEL_CD2_JO_!AR6,EL_DEL_CD2_PTP_!AR6,EL_DEL_CD2_SBI_1_4_!AR6,EL_DEL_CD2_SBI_5_6_!AR6,EL_DEL_CD2_STAB_!AR6,EL_DEL_CD1_WST_PTP_!AR6,EL_DEL_CD1_NTH_PTP_!AR6),"")</f>
        <v/>
      </c>
      <c r="AR6" s="59" t="str">
        <f>IFERROR(AVERAGE(EL_DEL_CD2_JO_!AS6,EL_DEL_CD2_PTP_!AS6,EL_DEL_CD2_SBI_1_4_!AS6,EL_DEL_CD2_SBI_5_6_!AS6,EL_DEL_CD2_STAB_!AS6,EL_DEL_CD1_WST_PTP_!AS6,EL_DEL_CD1_NTH_PTP_!AS6),"")</f>
        <v/>
      </c>
      <c r="AS6" s="8">
        <f>SUM(EL_DEL_CD2_JO_!AT6,EL_DEL_CD2_PTP_!AT6,EL_DEL_CD2_SBI_1_4_!AT6,EL_DEL_CD2_SBI_5_6_!AT6,EL_DEL_CD2_STAB_!AT6,EL_DEL_CD1_WST_PTP_!AT6,EL_DEL_CD1_NTH_PTP_!AT6)</f>
        <v>0</v>
      </c>
      <c r="AT6" s="8">
        <f>SUM(EL_DEL_CD2_JO_!AU6,EL_DEL_CD2_PTP_!AU6,EL_DEL_CD2_SBI_1_4_!AU6,EL_DEL_CD2_SBI_5_6_!AU6,EL_DEL_CD2_STAB_!AU6,EL_DEL_CD1_WST_PTP_!AU6,EL_DEL_CD1_NTH_PTP_!AU6)</f>
        <v>0</v>
      </c>
      <c r="AU6" s="9">
        <f>SUM(EL_DEL_CD2_JO_!AV6,EL_DEL_CD2_PTP_!AV6,EL_DEL_CD2_SBI_1_4_!AV6,EL_DEL_CD2_SBI_5_6_!AV6,EL_DEL_CD2_STAB_!AV6,EL_DEL_CD1_WST_PTP_!AV6,EL_DEL_CD1_NTH_PTP_!AV6)</f>
        <v>0</v>
      </c>
      <c r="AV6" s="8" t="str">
        <f>IFERROR(AVERAGE(EL_DEL_CD2_JO_!AW6,EL_DEL_CD2_PTP_!AW6,EL_DEL_CD2_SBI_1_4_!AW6,EL_DEL_CD2_SBI_5_6_!AW6,EL_DEL_CD2_STAB_!AW6,EL_DEL_CD1_WST_PTP_!AW6,EL_DEL_CD1_NTH_PTP_!AW6),"")</f>
        <v/>
      </c>
      <c r="AW6" s="10" t="str">
        <f t="shared" si="1"/>
        <v>-</v>
      </c>
      <c r="AX6" s="39"/>
      <c r="AY6" s="1" t="str">
        <f t="shared" si="2"/>
        <v/>
      </c>
      <c r="AZ6" s="11" t="str">
        <f t="shared" si="3"/>
        <v/>
      </c>
      <c r="BA6" s="1" t="str">
        <f t="shared" si="4"/>
        <v/>
      </c>
      <c r="BB6" s="39"/>
      <c r="BC6" s="53" t="str">
        <f t="shared" si="5"/>
        <v/>
      </c>
      <c r="BD6" s="70" t="str">
        <f t="shared" si="6"/>
        <v/>
      </c>
      <c r="BE6" s="12" t="str">
        <f t="shared" si="7"/>
        <v/>
      </c>
      <c r="BF6" s="12" t="str">
        <f t="shared" si="8"/>
        <v/>
      </c>
      <c r="BG6" s="12" t="str">
        <f t="shared" si="9"/>
        <v/>
      </c>
      <c r="BH6" s="54" t="str">
        <f t="shared" si="10"/>
        <v/>
      </c>
      <c r="BI6" s="39"/>
      <c r="BJ6" s="55" t="str">
        <f t="shared" si="11"/>
        <v/>
      </c>
      <c r="BK6" s="13" t="str">
        <f t="shared" si="12"/>
        <v/>
      </c>
      <c r="BL6" s="13" t="str">
        <f t="shared" si="13"/>
        <v/>
      </c>
      <c r="BM6" s="56" t="str">
        <f t="shared" si="14"/>
        <v/>
      </c>
      <c r="BN6" s="39"/>
      <c r="BO6" s="14" t="str">
        <f t="shared" si="15"/>
        <v/>
      </c>
      <c r="BP6" s="15">
        <v>0</v>
      </c>
      <c r="BQ6" s="15" t="str">
        <f t="shared" si="16"/>
        <v/>
      </c>
      <c r="BR6" s="15" t="str">
        <f t="shared" si="17"/>
        <v/>
      </c>
      <c r="BS6" s="16" t="str">
        <f t="shared" si="18"/>
        <v/>
      </c>
      <c r="BT6" s="39"/>
      <c r="BU6" s="51" t="e">
        <f t="shared" si="19"/>
        <v>#VALUE!</v>
      </c>
      <c r="BV6" s="28" t="e">
        <f t="shared" si="20"/>
        <v>#VALUE!</v>
      </c>
      <c r="BW6" s="28" t="e">
        <f t="shared" si="21"/>
        <v>#VALUE!</v>
      </c>
      <c r="BX6" s="28" t="e">
        <f t="shared" si="22"/>
        <v>#VALUE!</v>
      </c>
      <c r="BY6" s="28" t="e">
        <f t="shared" si="23"/>
        <v>#VALUE!</v>
      </c>
      <c r="BZ6" s="52" t="e">
        <f t="shared" si="24"/>
        <v>#VALUE!</v>
      </c>
      <c r="CA6" s="39"/>
      <c r="CB6" s="49" t="str">
        <f t="shared" si="25"/>
        <v>-</v>
      </c>
      <c r="CC6" s="29" t="str">
        <f t="shared" si="26"/>
        <v>-</v>
      </c>
      <c r="CD6" s="29" t="str">
        <f t="shared" si="27"/>
        <v>-</v>
      </c>
      <c r="CE6" s="29" t="str">
        <f t="shared" si="28"/>
        <v>-</v>
      </c>
      <c r="CF6" s="50" t="str">
        <f t="shared" si="29"/>
        <v>-</v>
      </c>
      <c r="CG6" s="39"/>
    </row>
    <row r="7" spans="1:85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2">
        <f>SUM(EL_DEL_CD2_JO_!C7,EL_DEL_CD2_PTP_!C7,EL_DEL_CD2_SBI_1_4_!C7,EL_DEL_CD2_SBI_5_6_!C7,EL_DEL_CD2_STAB_!C7,EL_DEL_CD1_WST_PTP_!C7,EL_DEL_CD1_NTH_PTP_!C7)</f>
        <v>0</v>
      </c>
      <c r="D7" s="2">
        <f>SUM(EL_DEL_CD2_JO_!D7,EL_DEL_CD2_PTP_!D7,EL_DEL_CD2_SBI_1_4_!D7,EL_DEL_CD2_SBI_5_6_!D7,EL_DEL_CD2_STAB_!D7,EL_DEL_CD1_WST_PTP_!D7,EL_DEL_CD1_NTH_PTP_!D7)</f>
        <v>0</v>
      </c>
      <c r="E7" s="3">
        <f>SUM(EL_DEL_CD2_JO_!E7,EL_DEL_CD2_PTP_!E7,EL_DEL_CD2_SBI_1_4_!E7,EL_DEL_CD2_SBI_5_6_!E7,EL_DEL_CD2_STAB_!E7,EL_DEL_CD1_WST_PTP_!E7,EL_DEL_CD1_NTH_PTP_!E7)</f>
        <v>0</v>
      </c>
      <c r="F7" s="2">
        <f>SUM(EL_DEL_CD2_JO_!F7,EL_DEL_CD2_PTP_!F7,EL_DEL_CD2_SBI_1_4_!F7,EL_DEL_CD2_SBI_5_6_!F7,EL_DEL_CD2_STAB_!F7,EL_DEL_CD1_WST_PTP_!F7,EL_DEL_CD1_NTH_PTP_!F7)</f>
        <v>0</v>
      </c>
      <c r="G7" s="2">
        <f>SUM(EL_DEL_CD2_JO_!G7,EL_DEL_CD2_PTP_!G7,EL_DEL_CD2_SBI_1_4_!G7,EL_DEL_CD2_SBI_5_6_!G7,EL_DEL_CD2_STAB_!G7,EL_DEL_CD1_WST_PTP_!G7,EL_DEL_CD1_NTH_PTP_!G7)</f>
        <v>0</v>
      </c>
      <c r="H7" s="4">
        <f>SUM(EL_DEL_CD2_JO_!H7,EL_DEL_CD2_PTP_!H7,EL_DEL_CD2_SBI_1_4_!H7,EL_DEL_CD2_SBI_5_6_!H7,EL_DEL_CD2_STAB_!H7,EL_DEL_CD1_WST_PTP_!H7,EL_DEL_CD1_NTH_PTP_!H7)</f>
        <v>0</v>
      </c>
      <c r="I7" s="4">
        <f>SUM(EL_DEL_CD2_JO_!I7,EL_DEL_CD2_PTP_!I7,EL_DEL_CD2_SBI_1_4_!I7,EL_DEL_CD2_SBI_5_6_!I7,EL_DEL_CD2_STAB_!I7,EL_DEL_CD1_WST_PTP_!I7,EL_DEL_CD1_NTH_PTP_!I7)</f>
        <v>0</v>
      </c>
      <c r="J7" s="58">
        <f>SUM(EL_DEL_CD2_JO_!J7,EL_DEL_CD2_PTP_!J7,EL_DEL_CD2_SBI_1_4_!J7,EL_DEL_CD2_SBI_5_6_!J7,EL_DEL_CD2_STAB_!J7,EL_DEL_CD1_WST_PTP_!J7,EL_DEL_CD1_NTH_PTP_!J7)</f>
        <v>0</v>
      </c>
      <c r="K7" s="5">
        <f>SUM(EL_DEL_CD2_JO_!K7,EL_DEL_CD2_PTP_!K7,EL_DEL_CD2_SBI_1_4_!K7,EL_DEL_CD2_SBI_5_6_!K7,EL_DEL_CD2_STAB_!K7,EL_DEL_CD1_WST_PTP_!K7,EL_DEL_CD1_NTH_PTP_!K7)</f>
        <v>0</v>
      </c>
      <c r="L7" s="2">
        <f>SUM(EL_DEL_CD2_JO_!L7,EL_DEL_CD2_PTP_!L7,EL_DEL_CD2_SBI_1_4_!L7,EL_DEL_CD2_SBI_5_6_!L7,EL_DEL_CD2_STAB_!L7,EL_DEL_CD1_WST_PTP_!L7,EL_DEL_CD1_NTH_PTP_!L7)</f>
        <v>0</v>
      </c>
      <c r="M7" s="2">
        <f>SUM(EL_DEL_CD2_JO_!M7,EL_DEL_CD2_PTP_!M7,EL_DEL_CD2_SBI_1_4_!M7,EL_DEL_CD2_SBI_5_6_!M7,EL_DEL_CD2_STAB_!M7,EL_DEL_CD1_WST_PTP_!M7,EL_DEL_CD1_NTH_PTP_!M7)</f>
        <v>0</v>
      </c>
      <c r="N7" s="2">
        <f>SUM(EL_DEL_CD2_JO_!N7,EL_DEL_CD2_PTP_!N7,EL_DEL_CD2_SBI_1_4_!N7,EL_DEL_CD2_SBI_5_6_!N7,EL_DEL_CD2_STAB_!N7,EL_DEL_CD1_WST_PTP_!N7,EL_DEL_CD1_NTH_PTP_!N7)</f>
        <v>0</v>
      </c>
      <c r="O7" s="2">
        <f>SUM(EL_DEL_CD2_JO_!O7,EL_DEL_CD2_PTP_!O7,EL_DEL_CD2_SBI_1_4_!O7,EL_DEL_CD2_SBI_5_6_!O7,EL_DEL_CD2_STAB_!O7,EL_DEL_CD1_WST_PTP_!O7,EL_DEL_CD1_NTH_PTP_!O7)</f>
        <v>0</v>
      </c>
      <c r="P7" s="3">
        <f>SUM(EL_DEL_CD2_JO_!P7,EL_DEL_CD2_PTP_!P7,EL_DEL_CD2_SBI_1_4_!P7,EL_DEL_CD2_SBI_5_6_!P7,EL_DEL_CD2_STAB_!P7,EL_DEL_CD1_WST_PTP_!P7,EL_DEL_CD1_NTH_PTP_!P7)</f>
        <v>0</v>
      </c>
      <c r="Q7" s="2">
        <f>SUM(EL_DEL_CD2_JO_!Q7,EL_DEL_CD2_PTP_!Q7,EL_DEL_CD2_SBI_1_4_!Q7,EL_DEL_CD2_SBI_5_6_!Q7,EL_DEL_CD2_STAB_!Q7,EL_DEL_CD1_WST_PTP_!Q7,EL_DEL_CD1_NTH_PTP_!Q7)</f>
        <v>0</v>
      </c>
      <c r="R7" s="2">
        <f>SUM(EL_DEL_CD2_JO_!R7,EL_DEL_CD2_PTP_!R7,EL_DEL_CD2_SBI_1_4_!R7,EL_DEL_CD2_SBI_5_6_!R7,EL_DEL_CD2_STAB_!R7,EL_DEL_CD1_WST_PTP_!R7,EL_DEL_CD1_NTH_PTP_!R7)</f>
        <v>0</v>
      </c>
      <c r="S7" s="2">
        <f>SUM(EL_DEL_CD2_JO_!S7,EL_DEL_CD2_PTP_!S7,EL_DEL_CD2_SBI_1_4_!S7,EL_DEL_CD2_SBI_5_6_!S7,EL_DEL_CD2_STAB_!S7,EL_DEL_CD1_WST_PTP_!S7,EL_DEL_CD1_NTH_PTP_!S7)</f>
        <v>0</v>
      </c>
      <c r="T7" s="2">
        <f>SUM(EL_DEL_CD2_JO_!T7,EL_DEL_CD2_PTP_!T7,EL_DEL_CD2_SBI_1_4_!T7,EL_DEL_CD2_SBI_5_6_!T7,EL_DEL_CD2_STAB_!T7,EL_DEL_CD1_WST_PTP_!T7,EL_DEL_CD1_NTH_PTP_!T7)</f>
        <v>0</v>
      </c>
      <c r="U7" s="3">
        <f>SUM(EL_DEL_CD2_JO_!V7,EL_DEL_CD2_PTP_!V7,EL_DEL_CD2_SBI_1_4_!V7,EL_DEL_CD2_SBI_5_6_!V7,EL_DEL_CD2_STAB_!V7,EL_DEL_CD1_WST_PTP_!V7,EL_DEL_CD1_NTH_PTP_!V7)</f>
        <v>0</v>
      </c>
      <c r="V7" s="3">
        <f>SUM(EL_DEL_CD2_JO_!W7,EL_DEL_CD2_PTP_!W7,EL_DEL_CD2_SBI_1_4_!W7,EL_DEL_CD2_SBI_5_6_!W7,EL_DEL_CD2_STAB_!W7,EL_DEL_CD1_WST_PTP_!W7,EL_DEL_CD1_NTH_PTP_!W7)</f>
        <v>0</v>
      </c>
      <c r="W7" s="2">
        <f>SUM(EL_DEL_CD2_JO_!X7,EL_DEL_CD2_PTP_!X7,EL_DEL_CD2_SBI_1_4_!X7,EL_DEL_CD2_SBI_5_6_!X7,EL_DEL_CD2_STAB_!X7,EL_DEL_CD1_WST_PTP_!X7,EL_DEL_CD1_NTH_PTP_!X7)</f>
        <v>0</v>
      </c>
      <c r="X7" s="2">
        <f>SUM(EL_DEL_CD2_JO_!Y7,EL_DEL_CD2_PTP_!Y7,EL_DEL_CD2_SBI_1_4_!Y7,EL_DEL_CD2_SBI_5_6_!Y7,EL_DEL_CD2_STAB_!Y7,EL_DEL_CD1_WST_PTP_!Y7,EL_DEL_CD1_NTH_PTP_!Y7)</f>
        <v>0</v>
      </c>
      <c r="Y7" s="2">
        <f>SUM(EL_DEL_CD2_JO_!Z7,EL_DEL_CD2_PTP_!Z7,EL_DEL_CD2_SBI_1_4_!Z7,EL_DEL_CD2_SBI_5_6_!Z7,EL_DEL_CD2_STAB_!Z7,EL_DEL_CD1_WST_PTP_!Z7,EL_DEL_CD1_NTH_PTP_!Z7)</f>
        <v>0</v>
      </c>
      <c r="Z7" s="2">
        <f>SUM(EL_DEL_CD2_JO_!AA7,EL_DEL_CD2_PTP_!AA7,EL_DEL_CD2_SBI_1_4_!AA7,EL_DEL_CD2_SBI_5_6_!AA7,EL_DEL_CD2_STAB_!AA7,EL_DEL_CD1_WST_PTP_!AA7,EL_DEL_CD1_NTH_PTP_!AA7)</f>
        <v>0</v>
      </c>
      <c r="AA7" s="2">
        <f>SUM(EL_DEL_CD2_JO_!AB7,EL_DEL_CD2_PTP_!AB7,EL_DEL_CD2_SBI_1_4_!AB7,EL_DEL_CD2_SBI_5_6_!AB7,EL_DEL_CD2_STAB_!AB7,EL_DEL_CD1_WST_PTP_!AB7,EL_DEL_CD1_NTH_PTP_!AB7)</f>
        <v>0</v>
      </c>
      <c r="AB7" s="2">
        <f>SUM(EL_DEL_CD2_JO_!AC7,EL_DEL_CD2_PTP_!AC7,EL_DEL_CD2_SBI_1_4_!AC7,EL_DEL_CD2_SBI_5_6_!AC7,EL_DEL_CD2_STAB_!AC7,EL_DEL_CD1_WST_PTP_!AC7,EL_DEL_CD1_NTH_PTP_!AC7)</f>
        <v>0</v>
      </c>
      <c r="AC7" s="2">
        <f>SUM(EL_DEL_CD2_JO_!AD7,EL_DEL_CD2_PTP_!AD7,EL_DEL_CD2_SBI_1_4_!AD7,EL_DEL_CD2_SBI_5_6_!AD7,EL_DEL_CD2_STAB_!AD7,EL_DEL_CD1_WST_PTP_!AD7,EL_DEL_CD1_NTH_PTP_!AD7)</f>
        <v>0</v>
      </c>
      <c r="AD7" s="2">
        <f>SUM(EL_DEL_CD2_JO_!AE7,EL_DEL_CD2_PTP_!AE7,EL_DEL_CD2_SBI_1_4_!AE7,EL_DEL_CD2_SBI_5_6_!AE7,EL_DEL_CD2_STAB_!AE7,EL_DEL_CD1_WST_PTP_!AE7,EL_DEL_CD1_NTH_PTP_!AE7)</f>
        <v>0</v>
      </c>
      <c r="AE7" s="3">
        <f>SUM(EL_DEL_CD2_JO_!AF7,EL_DEL_CD2_PTP_!AF7,EL_DEL_CD2_SBI_1_4_!AF7,EL_DEL_CD2_SBI_5_6_!AF7,EL_DEL_CD2_STAB_!AF7,EL_DEL_CD1_WST_PTP_!AF7,EL_DEL_CD1_NTH_PTP_!AF7)</f>
        <v>0</v>
      </c>
      <c r="AF7" s="3">
        <f>SUM(EL_DEL_CD2_JO_!AG7,EL_DEL_CD2_PTP_!AG7,EL_DEL_CD2_SBI_1_4_!AG7,EL_DEL_CD2_SBI_5_6_!AG7,EL_DEL_CD2_STAB_!AG7,EL_DEL_CD1_WST_PTP_!AG7,EL_DEL_CD1_NTH_PTP_!AG7)</f>
        <v>0</v>
      </c>
      <c r="AG7" s="2">
        <f>SUM(EL_DEL_CD2_JO_!AH7,EL_DEL_CD2_PTP_!AH7,EL_DEL_CD2_SBI_1_4_!AH7,EL_DEL_CD2_SBI_5_6_!AH7,EL_DEL_CD2_STAB_!AH7,EL_DEL_CD1_WST_PTP_!AH7,EL_DEL_CD1_NTH_PTP_!AH7)</f>
        <v>0</v>
      </c>
      <c r="AH7" s="6">
        <f>SUM(EL_DEL_CD2_JO_!AI7,EL_DEL_CD2_PTP_!AI7,EL_DEL_CD2_SBI_1_4_!AI7,EL_DEL_CD2_SBI_5_6_!AI7,EL_DEL_CD2_STAB_!AI7,EL_DEL_CD1_WST_PTP_!AI7,EL_DEL_CD1_NTH_PTP_!AI7)</f>
        <v>0</v>
      </c>
      <c r="AI7" s="7">
        <f>SUM(EL_DEL_CD2_JO_!AJ7,EL_DEL_CD2_PTP_!AJ7,EL_DEL_CD2_SBI_1_4_!AJ7,EL_DEL_CD2_SBI_5_6_!AJ7,EL_DEL_CD2_STAB_!AJ7,EL_DEL_CD1_WST_PTP_!AJ7,EL_DEL_CD1_NTH_PTP_!AJ7)</f>
        <v>0</v>
      </c>
      <c r="AJ7" s="6">
        <f>SUM(EL_DEL_CD2_JO_!AK7,EL_DEL_CD2_PTP_!AK7,EL_DEL_CD2_SBI_1_4_!AK7,EL_DEL_CD2_SBI_5_6_!AK7,EL_DEL_CD2_STAB_!AK7,EL_DEL_CD1_WST_PTP_!AK7,EL_DEL_CD1_NTH_PTP_!AK7)</f>
        <v>0</v>
      </c>
      <c r="AK7" s="59" t="str">
        <f>IFERROR(AVERAGE(EL_DEL_CD2_JO_!AL7,EL_DEL_CD2_PTP_!AL7,EL_DEL_CD2_SBI_1_4_!AL7,EL_DEL_CD2_SBI_5_6_!AL7,EL_DEL_CD2_STAB_!AL7,EL_DEL_CD1_WST_PTP_!AL7,EL_DEL_CD1_NTH_PTP_!AL7),"")</f>
        <v/>
      </c>
      <c r="AL7" s="59" t="str">
        <f>IFERROR(AVERAGE(EL_DEL_CD2_JO_!AM7,EL_DEL_CD2_PTP_!AM7,EL_DEL_CD2_SBI_1_4_!AM7,EL_DEL_CD2_SBI_5_6_!AM7,EL_DEL_CD2_STAB_!AM7,EL_DEL_CD1_WST_PTP_!AM7,EL_DEL_CD1_NTH_PTP_!AM7),"")</f>
        <v/>
      </c>
      <c r="AM7" s="59" t="str">
        <f>IFERROR(AVERAGE(EL_DEL_CD2_JO_!AN7,EL_DEL_CD2_PTP_!AN7,EL_DEL_CD2_SBI_1_4_!AN7,EL_DEL_CD2_SBI_5_6_!AN7,EL_DEL_CD2_STAB_!AN7,EL_DEL_CD1_WST_PTP_!AN7,EL_DEL_CD1_NTH_PTP_!AN7),"")</f>
        <v/>
      </c>
      <c r="AN7" s="59" t="str">
        <f>IFERROR(AVERAGE(EL_DEL_CD2_JO_!AO7,EL_DEL_CD2_PTP_!AO7,EL_DEL_CD2_SBI_1_4_!AO7,EL_DEL_CD2_SBI_5_6_!AO7,EL_DEL_CD2_STAB_!AO7,EL_DEL_CD1_WST_PTP_!AO7,EL_DEL_CD1_NTH_PTP_!AO7),"")</f>
        <v/>
      </c>
      <c r="AO7" s="59" t="str">
        <f>IFERROR(AVERAGE(EL_DEL_CD2_JO_!AP7,EL_DEL_CD2_PTP_!AP7,EL_DEL_CD2_SBI_1_4_!AP7,EL_DEL_CD2_SBI_5_6_!AP7,EL_DEL_CD2_STAB_!AP7,EL_DEL_CD1_WST_PTP_!AP7,EL_DEL_CD1_NTH_PTP_!AP7),"")</f>
        <v/>
      </c>
      <c r="AP7" s="59" t="str">
        <f>IFERROR(AVERAGE(EL_DEL_CD2_JO_!AQ7,EL_DEL_CD2_PTP_!AQ7,EL_DEL_CD2_SBI_1_4_!AQ7,EL_DEL_CD2_SBI_5_6_!AQ7,EL_DEL_CD2_STAB_!AQ7,EL_DEL_CD1_WST_PTP_!AQ7,EL_DEL_CD1_NTH_PTP_!AQ7),"")</f>
        <v/>
      </c>
      <c r="AQ7" s="59" t="str">
        <f>IFERROR(AVERAGE(EL_DEL_CD2_JO_!AR7,EL_DEL_CD2_PTP_!AR7,EL_DEL_CD2_SBI_1_4_!AR7,EL_DEL_CD2_SBI_5_6_!AR7,EL_DEL_CD2_STAB_!AR7,EL_DEL_CD1_WST_PTP_!AR7,EL_DEL_CD1_NTH_PTP_!AR7),"")</f>
        <v/>
      </c>
      <c r="AR7" s="59" t="str">
        <f>IFERROR(AVERAGE(EL_DEL_CD2_JO_!AS7,EL_DEL_CD2_PTP_!AS7,EL_DEL_CD2_SBI_1_4_!AS7,EL_DEL_CD2_SBI_5_6_!AS7,EL_DEL_CD2_STAB_!AS7,EL_DEL_CD1_WST_PTP_!AS7,EL_DEL_CD1_NTH_PTP_!AS7),"")</f>
        <v/>
      </c>
      <c r="AS7" s="8">
        <f>SUM(EL_DEL_CD2_JO_!AT7,EL_DEL_CD2_PTP_!AT7,EL_DEL_CD2_SBI_1_4_!AT7,EL_DEL_CD2_SBI_5_6_!AT7,EL_DEL_CD2_STAB_!AT7,EL_DEL_CD1_WST_PTP_!AT7,EL_DEL_CD1_NTH_PTP_!AT7)</f>
        <v>0</v>
      </c>
      <c r="AT7" s="8">
        <f>SUM(EL_DEL_CD2_JO_!AU7,EL_DEL_CD2_PTP_!AU7,EL_DEL_CD2_SBI_1_4_!AU7,EL_DEL_CD2_SBI_5_6_!AU7,EL_DEL_CD2_STAB_!AU7,EL_DEL_CD1_WST_PTP_!AU7,EL_DEL_CD1_NTH_PTP_!AU7)</f>
        <v>0</v>
      </c>
      <c r="AU7" s="9">
        <f>SUM(EL_DEL_CD2_JO_!AV7,EL_DEL_CD2_PTP_!AV7,EL_DEL_CD2_SBI_1_4_!AV7,EL_DEL_CD2_SBI_5_6_!AV7,EL_DEL_CD2_STAB_!AV7,EL_DEL_CD1_WST_PTP_!AV7,EL_DEL_CD1_NTH_PTP_!AV7)</f>
        <v>0</v>
      </c>
      <c r="AV7" s="8" t="str">
        <f>IFERROR(AVERAGE(EL_DEL_CD2_JO_!AW7,EL_DEL_CD2_PTP_!AW7,EL_DEL_CD2_SBI_1_4_!AW7,EL_DEL_CD2_SBI_5_6_!AW7,EL_DEL_CD2_STAB_!AW7,EL_DEL_CD1_WST_PTP_!AW7,EL_DEL_CD1_NTH_PTP_!AW7),"")</f>
        <v/>
      </c>
      <c r="AW7" s="10" t="str">
        <f t="shared" si="1"/>
        <v>-</v>
      </c>
      <c r="AX7" s="39"/>
      <c r="AY7" s="1" t="str">
        <f t="shared" si="2"/>
        <v/>
      </c>
      <c r="AZ7" s="11" t="str">
        <f t="shared" si="3"/>
        <v/>
      </c>
      <c r="BA7" s="1" t="str">
        <f t="shared" si="4"/>
        <v/>
      </c>
      <c r="BB7" s="39"/>
      <c r="BC7" s="53" t="str">
        <f t="shared" si="5"/>
        <v/>
      </c>
      <c r="BD7" s="70" t="str">
        <f t="shared" si="6"/>
        <v/>
      </c>
      <c r="BE7" s="12" t="str">
        <f t="shared" si="7"/>
        <v/>
      </c>
      <c r="BF7" s="12" t="str">
        <f t="shared" si="8"/>
        <v/>
      </c>
      <c r="BG7" s="12" t="str">
        <f t="shared" si="9"/>
        <v/>
      </c>
      <c r="BH7" s="54" t="str">
        <f t="shared" si="10"/>
        <v/>
      </c>
      <c r="BI7" s="39"/>
      <c r="BJ7" s="55" t="str">
        <f t="shared" si="11"/>
        <v/>
      </c>
      <c r="BK7" s="13" t="str">
        <f t="shared" si="12"/>
        <v/>
      </c>
      <c r="BL7" s="13" t="str">
        <f t="shared" si="13"/>
        <v/>
      </c>
      <c r="BM7" s="56" t="str">
        <f t="shared" si="14"/>
        <v/>
      </c>
      <c r="BN7" s="39"/>
      <c r="BO7" s="14" t="str">
        <f t="shared" si="15"/>
        <v/>
      </c>
      <c r="BP7" s="15">
        <v>0</v>
      </c>
      <c r="BQ7" s="15" t="str">
        <f t="shared" si="16"/>
        <v/>
      </c>
      <c r="BR7" s="15" t="str">
        <f t="shared" si="17"/>
        <v/>
      </c>
      <c r="BS7" s="16" t="str">
        <f t="shared" si="18"/>
        <v/>
      </c>
      <c r="BT7" s="39"/>
      <c r="BU7" s="51" t="e">
        <f t="shared" si="19"/>
        <v>#VALUE!</v>
      </c>
      <c r="BV7" s="28" t="e">
        <f t="shared" si="20"/>
        <v>#VALUE!</v>
      </c>
      <c r="BW7" s="28" t="e">
        <f t="shared" si="21"/>
        <v>#VALUE!</v>
      </c>
      <c r="BX7" s="28" t="e">
        <f t="shared" si="22"/>
        <v>#VALUE!</v>
      </c>
      <c r="BY7" s="28" t="e">
        <f t="shared" si="23"/>
        <v>#VALUE!</v>
      </c>
      <c r="BZ7" s="52" t="e">
        <f t="shared" si="24"/>
        <v>#VALUE!</v>
      </c>
      <c r="CA7" s="39"/>
      <c r="CB7" s="49" t="str">
        <f t="shared" si="25"/>
        <v>-</v>
      </c>
      <c r="CC7" s="29" t="str">
        <f t="shared" si="26"/>
        <v>-</v>
      </c>
      <c r="CD7" s="29" t="str">
        <f t="shared" si="27"/>
        <v>-</v>
      </c>
      <c r="CE7" s="29" t="str">
        <f t="shared" si="28"/>
        <v>-</v>
      </c>
      <c r="CF7" s="50" t="str">
        <f t="shared" si="29"/>
        <v>-</v>
      </c>
      <c r="CG7" s="39"/>
    </row>
    <row r="8" spans="1:85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2">
        <f>SUM(EL_DEL_CD2_JO_!C8,EL_DEL_CD2_PTP_!C8,EL_DEL_CD2_SBI_1_4_!C8,EL_DEL_CD2_SBI_5_6_!C8,EL_DEL_CD2_STAB_!C8,EL_DEL_CD1_WST_PTP_!C8,EL_DEL_CD1_NTH_PTP_!C8)</f>
        <v>0</v>
      </c>
      <c r="D8" s="2">
        <f>SUM(EL_DEL_CD2_JO_!D8,EL_DEL_CD2_PTP_!D8,EL_DEL_CD2_SBI_1_4_!D8,EL_DEL_CD2_SBI_5_6_!D8,EL_DEL_CD2_STAB_!D8,EL_DEL_CD1_WST_PTP_!D8,EL_DEL_CD1_NTH_PTP_!D8)</f>
        <v>0</v>
      </c>
      <c r="E8" s="3">
        <f>SUM(EL_DEL_CD2_JO_!E8,EL_DEL_CD2_PTP_!E8,EL_DEL_CD2_SBI_1_4_!E8,EL_DEL_CD2_SBI_5_6_!E8,EL_DEL_CD2_STAB_!E8,EL_DEL_CD1_WST_PTP_!E8,EL_DEL_CD1_NTH_PTP_!E8)</f>
        <v>0</v>
      </c>
      <c r="F8" s="2">
        <f>SUM(EL_DEL_CD2_JO_!F8,EL_DEL_CD2_PTP_!F8,EL_DEL_CD2_SBI_1_4_!F8,EL_DEL_CD2_SBI_5_6_!F8,EL_DEL_CD2_STAB_!F8,EL_DEL_CD1_WST_PTP_!F8,EL_DEL_CD1_NTH_PTP_!F8)</f>
        <v>0</v>
      </c>
      <c r="G8" s="2">
        <f>SUM(EL_DEL_CD2_JO_!G8,EL_DEL_CD2_PTP_!G8,EL_DEL_CD2_SBI_1_4_!G8,EL_DEL_CD2_SBI_5_6_!G8,EL_DEL_CD2_STAB_!G8,EL_DEL_CD1_WST_PTP_!G8,EL_DEL_CD1_NTH_PTP_!G8)</f>
        <v>0</v>
      </c>
      <c r="H8" s="4">
        <f>SUM(EL_DEL_CD2_JO_!H8,EL_DEL_CD2_PTP_!H8,EL_DEL_CD2_SBI_1_4_!H8,EL_DEL_CD2_SBI_5_6_!H8,EL_DEL_CD2_STAB_!H8,EL_DEL_CD1_WST_PTP_!H8,EL_DEL_CD1_NTH_PTP_!H8)</f>
        <v>0</v>
      </c>
      <c r="I8" s="4">
        <f>SUM(EL_DEL_CD2_JO_!I8,EL_DEL_CD2_PTP_!I8,EL_DEL_CD2_SBI_1_4_!I8,EL_DEL_CD2_SBI_5_6_!I8,EL_DEL_CD2_STAB_!I8,EL_DEL_CD1_WST_PTP_!I8,EL_DEL_CD1_NTH_PTP_!I8)</f>
        <v>0</v>
      </c>
      <c r="J8" s="58">
        <f>SUM(EL_DEL_CD2_JO_!J8,EL_DEL_CD2_PTP_!J8,EL_DEL_CD2_SBI_1_4_!J8,EL_DEL_CD2_SBI_5_6_!J8,EL_DEL_CD2_STAB_!J8,EL_DEL_CD1_WST_PTP_!J8,EL_DEL_CD1_NTH_PTP_!J8)</f>
        <v>0</v>
      </c>
      <c r="K8" s="5">
        <f>SUM(EL_DEL_CD2_JO_!K8,EL_DEL_CD2_PTP_!K8,EL_DEL_CD2_SBI_1_4_!K8,EL_DEL_CD2_SBI_5_6_!K8,EL_DEL_CD2_STAB_!K8,EL_DEL_CD1_WST_PTP_!K8,EL_DEL_CD1_NTH_PTP_!K8)</f>
        <v>0</v>
      </c>
      <c r="L8" s="2">
        <f>SUM(EL_DEL_CD2_JO_!L8,EL_DEL_CD2_PTP_!L8,EL_DEL_CD2_SBI_1_4_!L8,EL_DEL_CD2_SBI_5_6_!L8,EL_DEL_CD2_STAB_!L8,EL_DEL_CD1_WST_PTP_!L8,EL_DEL_CD1_NTH_PTP_!L8)</f>
        <v>0</v>
      </c>
      <c r="M8" s="2">
        <f>SUM(EL_DEL_CD2_JO_!M8,EL_DEL_CD2_PTP_!M8,EL_DEL_CD2_SBI_1_4_!M8,EL_DEL_CD2_SBI_5_6_!M8,EL_DEL_CD2_STAB_!M8,EL_DEL_CD1_WST_PTP_!M8,EL_DEL_CD1_NTH_PTP_!M8)</f>
        <v>0</v>
      </c>
      <c r="N8" s="2">
        <f>SUM(EL_DEL_CD2_JO_!N8,EL_DEL_CD2_PTP_!N8,EL_DEL_CD2_SBI_1_4_!N8,EL_DEL_CD2_SBI_5_6_!N8,EL_DEL_CD2_STAB_!N8,EL_DEL_CD1_WST_PTP_!N8,EL_DEL_CD1_NTH_PTP_!N8)</f>
        <v>0</v>
      </c>
      <c r="O8" s="2">
        <f>SUM(EL_DEL_CD2_JO_!O8,EL_DEL_CD2_PTP_!O8,EL_DEL_CD2_SBI_1_4_!O8,EL_DEL_CD2_SBI_5_6_!O8,EL_DEL_CD2_STAB_!O8,EL_DEL_CD1_WST_PTP_!O8,EL_DEL_CD1_NTH_PTP_!O8)</f>
        <v>0</v>
      </c>
      <c r="P8" s="3">
        <f>SUM(EL_DEL_CD2_JO_!P8,EL_DEL_CD2_PTP_!P8,EL_DEL_CD2_SBI_1_4_!P8,EL_DEL_CD2_SBI_5_6_!P8,EL_DEL_CD2_STAB_!P8,EL_DEL_CD1_WST_PTP_!P8,EL_DEL_CD1_NTH_PTP_!P8)</f>
        <v>0</v>
      </c>
      <c r="Q8" s="2">
        <f>SUM(EL_DEL_CD2_JO_!Q8,EL_DEL_CD2_PTP_!Q8,EL_DEL_CD2_SBI_1_4_!Q8,EL_DEL_CD2_SBI_5_6_!Q8,EL_DEL_CD2_STAB_!Q8,EL_DEL_CD1_WST_PTP_!Q8,EL_DEL_CD1_NTH_PTP_!Q8)</f>
        <v>0</v>
      </c>
      <c r="R8" s="2">
        <f>SUM(EL_DEL_CD2_JO_!R8,EL_DEL_CD2_PTP_!R8,EL_DEL_CD2_SBI_1_4_!R8,EL_DEL_CD2_SBI_5_6_!R8,EL_DEL_CD2_STAB_!R8,EL_DEL_CD1_WST_PTP_!R8,EL_DEL_CD1_NTH_PTP_!R8)</f>
        <v>0</v>
      </c>
      <c r="S8" s="2">
        <f>SUM(EL_DEL_CD2_JO_!S8,EL_DEL_CD2_PTP_!S8,EL_DEL_CD2_SBI_1_4_!S8,EL_DEL_CD2_SBI_5_6_!S8,EL_DEL_CD2_STAB_!S8,EL_DEL_CD1_WST_PTP_!S8,EL_DEL_CD1_NTH_PTP_!S8)</f>
        <v>0</v>
      </c>
      <c r="T8" s="2">
        <f>SUM(EL_DEL_CD2_JO_!T8,EL_DEL_CD2_PTP_!T8,EL_DEL_CD2_SBI_1_4_!T8,EL_DEL_CD2_SBI_5_6_!T8,EL_DEL_CD2_STAB_!T8,EL_DEL_CD1_WST_PTP_!T8,EL_DEL_CD1_NTH_PTP_!T8)</f>
        <v>0</v>
      </c>
      <c r="U8" s="3">
        <f>SUM(EL_DEL_CD2_JO_!V8,EL_DEL_CD2_PTP_!V8,EL_DEL_CD2_SBI_1_4_!V8,EL_DEL_CD2_SBI_5_6_!V8,EL_DEL_CD2_STAB_!V8,EL_DEL_CD1_WST_PTP_!V8,EL_DEL_CD1_NTH_PTP_!V8)</f>
        <v>0</v>
      </c>
      <c r="V8" s="3">
        <f>SUM(EL_DEL_CD2_JO_!W8,EL_DEL_CD2_PTP_!W8,EL_DEL_CD2_SBI_1_4_!W8,EL_DEL_CD2_SBI_5_6_!W8,EL_DEL_CD2_STAB_!W8,EL_DEL_CD1_WST_PTP_!W8,EL_DEL_CD1_NTH_PTP_!W8)</f>
        <v>0</v>
      </c>
      <c r="W8" s="2">
        <f>SUM(EL_DEL_CD2_JO_!X8,EL_DEL_CD2_PTP_!X8,EL_DEL_CD2_SBI_1_4_!X8,EL_DEL_CD2_SBI_5_6_!X8,EL_DEL_CD2_STAB_!X8,EL_DEL_CD1_WST_PTP_!X8,EL_DEL_CD1_NTH_PTP_!X8)</f>
        <v>0</v>
      </c>
      <c r="X8" s="2">
        <f>SUM(EL_DEL_CD2_JO_!Y8,EL_DEL_CD2_PTP_!Y8,EL_DEL_CD2_SBI_1_4_!Y8,EL_DEL_CD2_SBI_5_6_!Y8,EL_DEL_CD2_STAB_!Y8,EL_DEL_CD1_WST_PTP_!Y8,EL_DEL_CD1_NTH_PTP_!Y8)</f>
        <v>0</v>
      </c>
      <c r="Y8" s="2">
        <f>SUM(EL_DEL_CD2_JO_!Z8,EL_DEL_CD2_PTP_!Z8,EL_DEL_CD2_SBI_1_4_!Z8,EL_DEL_CD2_SBI_5_6_!Z8,EL_DEL_CD2_STAB_!Z8,EL_DEL_CD1_WST_PTP_!Z8,EL_DEL_CD1_NTH_PTP_!Z8)</f>
        <v>0</v>
      </c>
      <c r="Z8" s="2">
        <f>SUM(EL_DEL_CD2_JO_!AA8,EL_DEL_CD2_PTP_!AA8,EL_DEL_CD2_SBI_1_4_!AA8,EL_DEL_CD2_SBI_5_6_!AA8,EL_DEL_CD2_STAB_!AA8,EL_DEL_CD1_WST_PTP_!AA8,EL_DEL_CD1_NTH_PTP_!AA8)</f>
        <v>0</v>
      </c>
      <c r="AA8" s="2">
        <f>SUM(EL_DEL_CD2_JO_!AB8,EL_DEL_CD2_PTP_!AB8,EL_DEL_CD2_SBI_1_4_!AB8,EL_DEL_CD2_SBI_5_6_!AB8,EL_DEL_CD2_STAB_!AB8,EL_DEL_CD1_WST_PTP_!AB8,EL_DEL_CD1_NTH_PTP_!AB8)</f>
        <v>0</v>
      </c>
      <c r="AB8" s="2">
        <f>SUM(EL_DEL_CD2_JO_!AC8,EL_DEL_CD2_PTP_!AC8,EL_DEL_CD2_SBI_1_4_!AC8,EL_DEL_CD2_SBI_5_6_!AC8,EL_DEL_CD2_STAB_!AC8,EL_DEL_CD1_WST_PTP_!AC8,EL_DEL_CD1_NTH_PTP_!AC8)</f>
        <v>0</v>
      </c>
      <c r="AC8" s="2">
        <f>SUM(EL_DEL_CD2_JO_!AD8,EL_DEL_CD2_PTP_!AD8,EL_DEL_CD2_SBI_1_4_!AD8,EL_DEL_CD2_SBI_5_6_!AD8,EL_DEL_CD2_STAB_!AD8,EL_DEL_CD1_WST_PTP_!AD8,EL_DEL_CD1_NTH_PTP_!AD8)</f>
        <v>0</v>
      </c>
      <c r="AD8" s="2">
        <f>SUM(EL_DEL_CD2_JO_!AE8,EL_DEL_CD2_PTP_!AE8,EL_DEL_CD2_SBI_1_4_!AE8,EL_DEL_CD2_SBI_5_6_!AE8,EL_DEL_CD2_STAB_!AE8,EL_DEL_CD1_WST_PTP_!AE8,EL_DEL_CD1_NTH_PTP_!AE8)</f>
        <v>0</v>
      </c>
      <c r="AE8" s="3">
        <f>SUM(EL_DEL_CD2_JO_!AF8,EL_DEL_CD2_PTP_!AF8,EL_DEL_CD2_SBI_1_4_!AF8,EL_DEL_CD2_SBI_5_6_!AF8,EL_DEL_CD2_STAB_!AF8,EL_DEL_CD1_WST_PTP_!AF8,EL_DEL_CD1_NTH_PTP_!AF8)</f>
        <v>0</v>
      </c>
      <c r="AF8" s="3">
        <f>SUM(EL_DEL_CD2_JO_!AG8,EL_DEL_CD2_PTP_!AG8,EL_DEL_CD2_SBI_1_4_!AG8,EL_DEL_CD2_SBI_5_6_!AG8,EL_DEL_CD2_STAB_!AG8,EL_DEL_CD1_WST_PTP_!AG8,EL_DEL_CD1_NTH_PTP_!AG8)</f>
        <v>0</v>
      </c>
      <c r="AG8" s="2">
        <f>SUM(EL_DEL_CD2_JO_!AH8,EL_DEL_CD2_PTP_!AH8,EL_DEL_CD2_SBI_1_4_!AH8,EL_DEL_CD2_SBI_5_6_!AH8,EL_DEL_CD2_STAB_!AH8,EL_DEL_CD1_WST_PTP_!AH8,EL_DEL_CD1_NTH_PTP_!AH8)</f>
        <v>0</v>
      </c>
      <c r="AH8" s="6">
        <f>SUM(EL_DEL_CD2_JO_!AI8,EL_DEL_CD2_PTP_!AI8,EL_DEL_CD2_SBI_1_4_!AI8,EL_DEL_CD2_SBI_5_6_!AI8,EL_DEL_CD2_STAB_!AI8,EL_DEL_CD1_WST_PTP_!AI8,EL_DEL_CD1_NTH_PTP_!AI8)</f>
        <v>0</v>
      </c>
      <c r="AI8" s="7">
        <f>SUM(EL_DEL_CD2_JO_!AJ8,EL_DEL_CD2_PTP_!AJ8,EL_DEL_CD2_SBI_1_4_!AJ8,EL_DEL_CD2_SBI_5_6_!AJ8,EL_DEL_CD2_STAB_!AJ8,EL_DEL_CD1_WST_PTP_!AJ8,EL_DEL_CD1_NTH_PTP_!AJ8)</f>
        <v>0</v>
      </c>
      <c r="AJ8" s="6">
        <f>SUM(EL_DEL_CD2_JO_!AK8,EL_DEL_CD2_PTP_!AK8,EL_DEL_CD2_SBI_1_4_!AK8,EL_DEL_CD2_SBI_5_6_!AK8,EL_DEL_CD2_STAB_!AK8,EL_DEL_CD1_WST_PTP_!AK8,EL_DEL_CD1_NTH_PTP_!AK8)</f>
        <v>0</v>
      </c>
      <c r="AK8" s="59" t="str">
        <f>IFERROR(AVERAGE(EL_DEL_CD2_JO_!AL8,EL_DEL_CD2_PTP_!AL8,EL_DEL_CD2_SBI_1_4_!AL8,EL_DEL_CD2_SBI_5_6_!AL8,EL_DEL_CD2_STAB_!AL8,EL_DEL_CD1_WST_PTP_!AL8,EL_DEL_CD1_NTH_PTP_!AL8),"")</f>
        <v/>
      </c>
      <c r="AL8" s="59" t="str">
        <f>IFERROR(AVERAGE(EL_DEL_CD2_JO_!AM8,EL_DEL_CD2_PTP_!AM8,EL_DEL_CD2_SBI_1_4_!AM8,EL_DEL_CD2_SBI_5_6_!AM8,EL_DEL_CD2_STAB_!AM8,EL_DEL_CD1_WST_PTP_!AM8,EL_DEL_CD1_NTH_PTP_!AM8),"")</f>
        <v/>
      </c>
      <c r="AM8" s="59" t="str">
        <f>IFERROR(AVERAGE(EL_DEL_CD2_JO_!AN8,EL_DEL_CD2_PTP_!AN8,EL_DEL_CD2_SBI_1_4_!AN8,EL_DEL_CD2_SBI_5_6_!AN8,EL_DEL_CD2_STAB_!AN8,EL_DEL_CD1_WST_PTP_!AN8,EL_DEL_CD1_NTH_PTP_!AN8),"")</f>
        <v/>
      </c>
      <c r="AN8" s="59" t="str">
        <f>IFERROR(AVERAGE(EL_DEL_CD2_JO_!AO8,EL_DEL_CD2_PTP_!AO8,EL_DEL_CD2_SBI_1_4_!AO8,EL_DEL_CD2_SBI_5_6_!AO8,EL_DEL_CD2_STAB_!AO8,EL_DEL_CD1_WST_PTP_!AO8,EL_DEL_CD1_NTH_PTP_!AO8),"")</f>
        <v/>
      </c>
      <c r="AO8" s="59" t="str">
        <f>IFERROR(AVERAGE(EL_DEL_CD2_JO_!AP8,EL_DEL_CD2_PTP_!AP8,EL_DEL_CD2_SBI_1_4_!AP8,EL_DEL_CD2_SBI_5_6_!AP8,EL_DEL_CD2_STAB_!AP8,EL_DEL_CD1_WST_PTP_!AP8,EL_DEL_CD1_NTH_PTP_!AP8),"")</f>
        <v/>
      </c>
      <c r="AP8" s="59" t="str">
        <f>IFERROR(AVERAGE(EL_DEL_CD2_JO_!AQ8,EL_DEL_CD2_PTP_!AQ8,EL_DEL_CD2_SBI_1_4_!AQ8,EL_DEL_CD2_SBI_5_6_!AQ8,EL_DEL_CD2_STAB_!AQ8,EL_DEL_CD1_WST_PTP_!AQ8,EL_DEL_CD1_NTH_PTP_!AQ8),"")</f>
        <v/>
      </c>
      <c r="AQ8" s="59" t="str">
        <f>IFERROR(AVERAGE(EL_DEL_CD2_JO_!AR8,EL_DEL_CD2_PTP_!AR8,EL_DEL_CD2_SBI_1_4_!AR8,EL_DEL_CD2_SBI_5_6_!AR8,EL_DEL_CD2_STAB_!AR8,EL_DEL_CD1_WST_PTP_!AR8,EL_DEL_CD1_NTH_PTP_!AR8),"")</f>
        <v/>
      </c>
      <c r="AR8" s="59" t="str">
        <f>IFERROR(AVERAGE(EL_DEL_CD2_JO_!AS8,EL_DEL_CD2_PTP_!AS8,EL_DEL_CD2_SBI_1_4_!AS8,EL_DEL_CD2_SBI_5_6_!AS8,EL_DEL_CD2_STAB_!AS8,EL_DEL_CD1_WST_PTP_!AS8,EL_DEL_CD1_NTH_PTP_!AS8),"")</f>
        <v/>
      </c>
      <c r="AS8" s="8">
        <f>SUM(EL_DEL_CD2_JO_!AT8,EL_DEL_CD2_PTP_!AT8,EL_DEL_CD2_SBI_1_4_!AT8,EL_DEL_CD2_SBI_5_6_!AT8,EL_DEL_CD2_STAB_!AT8,EL_DEL_CD1_WST_PTP_!AT8,EL_DEL_CD1_NTH_PTP_!AT8)</f>
        <v>0</v>
      </c>
      <c r="AT8" s="8">
        <f>SUM(EL_DEL_CD2_JO_!AU8,EL_DEL_CD2_PTP_!AU8,EL_DEL_CD2_SBI_1_4_!AU8,EL_DEL_CD2_SBI_5_6_!AU8,EL_DEL_CD2_STAB_!AU8,EL_DEL_CD1_WST_PTP_!AU8,EL_DEL_CD1_NTH_PTP_!AU8)</f>
        <v>0</v>
      </c>
      <c r="AU8" s="9">
        <f>SUM(EL_DEL_CD2_JO_!AV8,EL_DEL_CD2_PTP_!AV8,EL_DEL_CD2_SBI_1_4_!AV8,EL_DEL_CD2_SBI_5_6_!AV8,EL_DEL_CD2_STAB_!AV8,EL_DEL_CD1_WST_PTP_!AV8,EL_DEL_CD1_NTH_PTP_!AV8)</f>
        <v>0</v>
      </c>
      <c r="AV8" s="8" t="str">
        <f>IFERROR(AVERAGE(EL_DEL_CD2_JO_!AW8,EL_DEL_CD2_PTP_!AW8,EL_DEL_CD2_SBI_1_4_!AW8,EL_DEL_CD2_SBI_5_6_!AW8,EL_DEL_CD2_STAB_!AW8,EL_DEL_CD1_WST_PTP_!AW8,EL_DEL_CD1_NTH_PTP_!AW8),"")</f>
        <v/>
      </c>
      <c r="AW8" s="10" t="str">
        <f t="shared" si="1"/>
        <v>-</v>
      </c>
      <c r="AX8" s="39"/>
      <c r="AY8" s="1" t="str">
        <f t="shared" si="2"/>
        <v/>
      </c>
      <c r="AZ8" s="11" t="str">
        <f t="shared" si="3"/>
        <v/>
      </c>
      <c r="BA8" s="1" t="str">
        <f t="shared" si="4"/>
        <v/>
      </c>
      <c r="BB8" s="39"/>
      <c r="BC8" s="53" t="str">
        <f t="shared" si="5"/>
        <v/>
      </c>
      <c r="BD8" s="70" t="str">
        <f t="shared" si="6"/>
        <v/>
      </c>
      <c r="BE8" s="12" t="str">
        <f t="shared" si="7"/>
        <v/>
      </c>
      <c r="BF8" s="12" t="str">
        <f t="shared" si="8"/>
        <v/>
      </c>
      <c r="BG8" s="12" t="str">
        <f t="shared" si="9"/>
        <v/>
      </c>
      <c r="BH8" s="54" t="str">
        <f t="shared" si="10"/>
        <v/>
      </c>
      <c r="BI8" s="39"/>
      <c r="BJ8" s="55" t="str">
        <f t="shared" si="11"/>
        <v/>
      </c>
      <c r="BK8" s="13" t="str">
        <f t="shared" si="12"/>
        <v/>
      </c>
      <c r="BL8" s="13" t="str">
        <f t="shared" si="13"/>
        <v/>
      </c>
      <c r="BM8" s="56" t="str">
        <f t="shared" si="14"/>
        <v/>
      </c>
      <c r="BN8" s="39"/>
      <c r="BO8" s="14" t="str">
        <f t="shared" si="15"/>
        <v/>
      </c>
      <c r="BP8" s="15">
        <v>0</v>
      </c>
      <c r="BQ8" s="15" t="str">
        <f t="shared" si="16"/>
        <v/>
      </c>
      <c r="BR8" s="15" t="str">
        <f t="shared" si="17"/>
        <v/>
      </c>
      <c r="BS8" s="16" t="str">
        <f t="shared" si="18"/>
        <v/>
      </c>
      <c r="BT8" s="39"/>
      <c r="BU8" s="51" t="e">
        <f t="shared" si="19"/>
        <v>#VALUE!</v>
      </c>
      <c r="BV8" s="28" t="e">
        <f t="shared" si="20"/>
        <v>#VALUE!</v>
      </c>
      <c r="BW8" s="28" t="e">
        <f t="shared" si="21"/>
        <v>#VALUE!</v>
      </c>
      <c r="BX8" s="28" t="e">
        <f t="shared" si="22"/>
        <v>#VALUE!</v>
      </c>
      <c r="BY8" s="28" t="e">
        <f t="shared" si="23"/>
        <v>#VALUE!</v>
      </c>
      <c r="BZ8" s="52" t="e">
        <f t="shared" si="24"/>
        <v>#VALUE!</v>
      </c>
      <c r="CA8" s="39"/>
      <c r="CB8" s="49" t="str">
        <f t="shared" si="25"/>
        <v>-</v>
      </c>
      <c r="CC8" s="29" t="str">
        <f t="shared" si="26"/>
        <v>-</v>
      </c>
      <c r="CD8" s="29" t="str">
        <f t="shared" si="27"/>
        <v>-</v>
      </c>
      <c r="CE8" s="29" t="str">
        <f t="shared" si="28"/>
        <v>-</v>
      </c>
      <c r="CF8" s="50" t="str">
        <f t="shared" si="29"/>
        <v>-</v>
      </c>
      <c r="CG8" s="39"/>
    </row>
    <row r="9" spans="1:85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2">
        <f>SUM(EL_DEL_CD2_JO_!C9,EL_DEL_CD2_PTP_!C9,EL_DEL_CD2_SBI_1_4_!C9,EL_DEL_CD2_SBI_5_6_!C9,EL_DEL_CD2_STAB_!C9,EL_DEL_CD1_WST_PTP_!C9,EL_DEL_CD1_NTH_PTP_!C9)</f>
        <v>0</v>
      </c>
      <c r="D9" s="2">
        <f>SUM(EL_DEL_CD2_JO_!D9,EL_DEL_CD2_PTP_!D9,EL_DEL_CD2_SBI_1_4_!D9,EL_DEL_CD2_SBI_5_6_!D9,EL_DEL_CD2_STAB_!D9,EL_DEL_CD1_WST_PTP_!D9,EL_DEL_CD1_NTH_PTP_!D9)</f>
        <v>0</v>
      </c>
      <c r="E9" s="3">
        <f>SUM(EL_DEL_CD2_JO_!E9,EL_DEL_CD2_PTP_!E9,EL_DEL_CD2_SBI_1_4_!E9,EL_DEL_CD2_SBI_5_6_!E9,EL_DEL_CD2_STAB_!E9,EL_DEL_CD1_WST_PTP_!E9,EL_DEL_CD1_NTH_PTP_!E9)</f>
        <v>0</v>
      </c>
      <c r="F9" s="2">
        <f>SUM(EL_DEL_CD2_JO_!F9,EL_DEL_CD2_PTP_!F9,EL_DEL_CD2_SBI_1_4_!F9,EL_DEL_CD2_SBI_5_6_!F9,EL_DEL_CD2_STAB_!F9,EL_DEL_CD1_WST_PTP_!F9,EL_DEL_CD1_NTH_PTP_!F9)</f>
        <v>0</v>
      </c>
      <c r="G9" s="2">
        <f>SUM(EL_DEL_CD2_JO_!G9,EL_DEL_CD2_PTP_!G9,EL_DEL_CD2_SBI_1_4_!G9,EL_DEL_CD2_SBI_5_6_!G9,EL_DEL_CD2_STAB_!G9,EL_DEL_CD1_WST_PTP_!G9,EL_DEL_CD1_NTH_PTP_!G9)</f>
        <v>0</v>
      </c>
      <c r="H9" s="4">
        <f>SUM(EL_DEL_CD2_JO_!H9,EL_DEL_CD2_PTP_!H9,EL_DEL_CD2_SBI_1_4_!H9,EL_DEL_CD2_SBI_5_6_!H9,EL_DEL_CD2_STAB_!H9,EL_DEL_CD1_WST_PTP_!H9,EL_DEL_CD1_NTH_PTP_!H9)</f>
        <v>0</v>
      </c>
      <c r="I9" s="4">
        <f>SUM(EL_DEL_CD2_JO_!I9,EL_DEL_CD2_PTP_!I9,EL_DEL_CD2_SBI_1_4_!I9,EL_DEL_CD2_SBI_5_6_!I9,EL_DEL_CD2_STAB_!I9,EL_DEL_CD1_WST_PTP_!I9,EL_DEL_CD1_NTH_PTP_!I9)</f>
        <v>0</v>
      </c>
      <c r="J9" s="58">
        <f>SUM(EL_DEL_CD2_JO_!J9,EL_DEL_CD2_PTP_!J9,EL_DEL_CD2_SBI_1_4_!J9,EL_DEL_CD2_SBI_5_6_!J9,EL_DEL_CD2_STAB_!J9,EL_DEL_CD1_WST_PTP_!J9,EL_DEL_CD1_NTH_PTP_!J9)</f>
        <v>0</v>
      </c>
      <c r="K9" s="5">
        <f>SUM(EL_DEL_CD2_JO_!K9,EL_DEL_CD2_PTP_!K9,EL_DEL_CD2_SBI_1_4_!K9,EL_DEL_CD2_SBI_5_6_!K9,EL_DEL_CD2_STAB_!K9,EL_DEL_CD1_WST_PTP_!K9,EL_DEL_CD1_NTH_PTP_!K9)</f>
        <v>0</v>
      </c>
      <c r="L9" s="2">
        <f>SUM(EL_DEL_CD2_JO_!L9,EL_DEL_CD2_PTP_!L9,EL_DEL_CD2_SBI_1_4_!L9,EL_DEL_CD2_SBI_5_6_!L9,EL_DEL_CD2_STAB_!L9,EL_DEL_CD1_WST_PTP_!L9,EL_DEL_CD1_NTH_PTP_!L9)</f>
        <v>0</v>
      </c>
      <c r="M9" s="2">
        <f>SUM(EL_DEL_CD2_JO_!M9,EL_DEL_CD2_PTP_!M9,EL_DEL_CD2_SBI_1_4_!M9,EL_DEL_CD2_SBI_5_6_!M9,EL_DEL_CD2_STAB_!M9,EL_DEL_CD1_WST_PTP_!M9,EL_DEL_CD1_NTH_PTP_!M9)</f>
        <v>0</v>
      </c>
      <c r="N9" s="2">
        <f>SUM(EL_DEL_CD2_JO_!N9,EL_DEL_CD2_PTP_!N9,EL_DEL_CD2_SBI_1_4_!N9,EL_DEL_CD2_SBI_5_6_!N9,EL_DEL_CD2_STAB_!N9,EL_DEL_CD1_WST_PTP_!N9,EL_DEL_CD1_NTH_PTP_!N9)</f>
        <v>0</v>
      </c>
      <c r="O9" s="2">
        <f>SUM(EL_DEL_CD2_JO_!O9,EL_DEL_CD2_PTP_!O9,EL_DEL_CD2_SBI_1_4_!O9,EL_DEL_CD2_SBI_5_6_!O9,EL_DEL_CD2_STAB_!O9,EL_DEL_CD1_WST_PTP_!O9,EL_DEL_CD1_NTH_PTP_!O9)</f>
        <v>0</v>
      </c>
      <c r="P9" s="3">
        <f>SUM(EL_DEL_CD2_JO_!P9,EL_DEL_CD2_PTP_!P9,EL_DEL_CD2_SBI_1_4_!P9,EL_DEL_CD2_SBI_5_6_!P9,EL_DEL_CD2_STAB_!P9,EL_DEL_CD1_WST_PTP_!P9,EL_DEL_CD1_NTH_PTP_!P9)</f>
        <v>0</v>
      </c>
      <c r="Q9" s="2">
        <f>SUM(EL_DEL_CD2_JO_!Q9,EL_DEL_CD2_PTP_!Q9,EL_DEL_CD2_SBI_1_4_!Q9,EL_DEL_CD2_SBI_5_6_!Q9,EL_DEL_CD2_STAB_!Q9,EL_DEL_CD1_WST_PTP_!Q9,EL_DEL_CD1_NTH_PTP_!Q9)</f>
        <v>0</v>
      </c>
      <c r="R9" s="2">
        <f>SUM(EL_DEL_CD2_JO_!R9,EL_DEL_CD2_PTP_!R9,EL_DEL_CD2_SBI_1_4_!R9,EL_DEL_CD2_SBI_5_6_!R9,EL_DEL_CD2_STAB_!R9,EL_DEL_CD1_WST_PTP_!R9,EL_DEL_CD1_NTH_PTP_!R9)</f>
        <v>0</v>
      </c>
      <c r="S9" s="2">
        <f>SUM(EL_DEL_CD2_JO_!S9,EL_DEL_CD2_PTP_!S9,EL_DEL_CD2_SBI_1_4_!S9,EL_DEL_CD2_SBI_5_6_!S9,EL_DEL_CD2_STAB_!S9,EL_DEL_CD1_WST_PTP_!S9,EL_DEL_CD1_NTH_PTP_!S9)</f>
        <v>0</v>
      </c>
      <c r="T9" s="2">
        <f>SUM(EL_DEL_CD2_JO_!T9,EL_DEL_CD2_PTP_!T9,EL_DEL_CD2_SBI_1_4_!T9,EL_DEL_CD2_SBI_5_6_!T9,EL_DEL_CD2_STAB_!T9,EL_DEL_CD1_WST_PTP_!T9,EL_DEL_CD1_NTH_PTP_!T9)</f>
        <v>0</v>
      </c>
      <c r="U9" s="3">
        <f>SUM(EL_DEL_CD2_JO_!V9,EL_DEL_CD2_PTP_!V9,EL_DEL_CD2_SBI_1_4_!V9,EL_DEL_CD2_SBI_5_6_!V9,EL_DEL_CD2_STAB_!V9,EL_DEL_CD1_WST_PTP_!V9,EL_DEL_CD1_NTH_PTP_!V9)</f>
        <v>0</v>
      </c>
      <c r="V9" s="3">
        <f>SUM(EL_DEL_CD2_JO_!W9,EL_DEL_CD2_PTP_!W9,EL_DEL_CD2_SBI_1_4_!W9,EL_DEL_CD2_SBI_5_6_!W9,EL_DEL_CD2_STAB_!W9,EL_DEL_CD1_WST_PTP_!W9,EL_DEL_CD1_NTH_PTP_!W9)</f>
        <v>0</v>
      </c>
      <c r="W9" s="2">
        <f>SUM(EL_DEL_CD2_JO_!X9,EL_DEL_CD2_PTP_!X9,EL_DEL_CD2_SBI_1_4_!X9,EL_DEL_CD2_SBI_5_6_!X9,EL_DEL_CD2_STAB_!X9,EL_DEL_CD1_WST_PTP_!X9,EL_DEL_CD1_NTH_PTP_!X9)</f>
        <v>0</v>
      </c>
      <c r="X9" s="2">
        <f>SUM(EL_DEL_CD2_JO_!Y9,EL_DEL_CD2_PTP_!Y9,EL_DEL_CD2_SBI_1_4_!Y9,EL_DEL_CD2_SBI_5_6_!Y9,EL_DEL_CD2_STAB_!Y9,EL_DEL_CD1_WST_PTP_!Y9,EL_DEL_CD1_NTH_PTP_!Y9)</f>
        <v>0</v>
      </c>
      <c r="Y9" s="2">
        <f>SUM(EL_DEL_CD2_JO_!Z9,EL_DEL_CD2_PTP_!Z9,EL_DEL_CD2_SBI_1_4_!Z9,EL_DEL_CD2_SBI_5_6_!Z9,EL_DEL_CD2_STAB_!Z9,EL_DEL_CD1_WST_PTP_!Z9,EL_DEL_CD1_NTH_PTP_!Z9)</f>
        <v>0</v>
      </c>
      <c r="Z9" s="2">
        <f>SUM(EL_DEL_CD2_JO_!AA9,EL_DEL_CD2_PTP_!AA9,EL_DEL_CD2_SBI_1_4_!AA9,EL_DEL_CD2_SBI_5_6_!AA9,EL_DEL_CD2_STAB_!AA9,EL_DEL_CD1_WST_PTP_!AA9,EL_DEL_CD1_NTH_PTP_!AA9)</f>
        <v>0</v>
      </c>
      <c r="AA9" s="2">
        <f>SUM(EL_DEL_CD2_JO_!AB9,EL_DEL_CD2_PTP_!AB9,EL_DEL_CD2_SBI_1_4_!AB9,EL_DEL_CD2_SBI_5_6_!AB9,EL_DEL_CD2_STAB_!AB9,EL_DEL_CD1_WST_PTP_!AB9,EL_DEL_CD1_NTH_PTP_!AB9)</f>
        <v>0</v>
      </c>
      <c r="AB9" s="2">
        <f>SUM(EL_DEL_CD2_JO_!AC9,EL_DEL_CD2_PTP_!AC9,EL_DEL_CD2_SBI_1_4_!AC9,EL_DEL_CD2_SBI_5_6_!AC9,EL_DEL_CD2_STAB_!AC9,EL_DEL_CD1_WST_PTP_!AC9,EL_DEL_CD1_NTH_PTP_!AC9)</f>
        <v>0</v>
      </c>
      <c r="AC9" s="2">
        <f>SUM(EL_DEL_CD2_JO_!AD9,EL_DEL_CD2_PTP_!AD9,EL_DEL_CD2_SBI_1_4_!AD9,EL_DEL_CD2_SBI_5_6_!AD9,EL_DEL_CD2_STAB_!AD9,EL_DEL_CD1_WST_PTP_!AD9,EL_DEL_CD1_NTH_PTP_!AD9)</f>
        <v>0</v>
      </c>
      <c r="AD9" s="2">
        <f>SUM(EL_DEL_CD2_JO_!AE9,EL_DEL_CD2_PTP_!AE9,EL_DEL_CD2_SBI_1_4_!AE9,EL_DEL_CD2_SBI_5_6_!AE9,EL_DEL_CD2_STAB_!AE9,EL_DEL_CD1_WST_PTP_!AE9,EL_DEL_CD1_NTH_PTP_!AE9)</f>
        <v>0</v>
      </c>
      <c r="AE9" s="3">
        <f>SUM(EL_DEL_CD2_JO_!AF9,EL_DEL_CD2_PTP_!AF9,EL_DEL_CD2_SBI_1_4_!AF9,EL_DEL_CD2_SBI_5_6_!AF9,EL_DEL_CD2_STAB_!AF9,EL_DEL_CD1_WST_PTP_!AF9,EL_DEL_CD1_NTH_PTP_!AF9)</f>
        <v>0</v>
      </c>
      <c r="AF9" s="3">
        <f>SUM(EL_DEL_CD2_JO_!AG9,EL_DEL_CD2_PTP_!AG9,EL_DEL_CD2_SBI_1_4_!AG9,EL_DEL_CD2_SBI_5_6_!AG9,EL_DEL_CD2_STAB_!AG9,EL_DEL_CD1_WST_PTP_!AG9,EL_DEL_CD1_NTH_PTP_!AG9)</f>
        <v>0</v>
      </c>
      <c r="AG9" s="2">
        <f>SUM(EL_DEL_CD2_JO_!AH9,EL_DEL_CD2_PTP_!AH9,EL_DEL_CD2_SBI_1_4_!AH9,EL_DEL_CD2_SBI_5_6_!AH9,EL_DEL_CD2_STAB_!AH9,EL_DEL_CD1_WST_PTP_!AH9,EL_DEL_CD1_NTH_PTP_!AH9)</f>
        <v>0</v>
      </c>
      <c r="AH9" s="6">
        <f>SUM(EL_DEL_CD2_JO_!AI9,EL_DEL_CD2_PTP_!AI9,EL_DEL_CD2_SBI_1_4_!AI9,EL_DEL_CD2_SBI_5_6_!AI9,EL_DEL_CD2_STAB_!AI9,EL_DEL_CD1_WST_PTP_!AI9,EL_DEL_CD1_NTH_PTP_!AI9)</f>
        <v>0</v>
      </c>
      <c r="AI9" s="7">
        <f>SUM(EL_DEL_CD2_JO_!AJ9,EL_DEL_CD2_PTP_!AJ9,EL_DEL_CD2_SBI_1_4_!AJ9,EL_DEL_CD2_SBI_5_6_!AJ9,EL_DEL_CD2_STAB_!AJ9,EL_DEL_CD1_WST_PTP_!AJ9,EL_DEL_CD1_NTH_PTP_!AJ9)</f>
        <v>0</v>
      </c>
      <c r="AJ9" s="6">
        <f>SUM(EL_DEL_CD2_JO_!AK9,EL_DEL_CD2_PTP_!AK9,EL_DEL_CD2_SBI_1_4_!AK9,EL_DEL_CD2_SBI_5_6_!AK9,EL_DEL_CD2_STAB_!AK9,EL_DEL_CD1_WST_PTP_!AK9,EL_DEL_CD1_NTH_PTP_!AK9)</f>
        <v>0</v>
      </c>
      <c r="AK9" s="59" t="str">
        <f>IFERROR(AVERAGE(EL_DEL_CD2_JO_!AL9,EL_DEL_CD2_PTP_!AL9,EL_DEL_CD2_SBI_1_4_!AL9,EL_DEL_CD2_SBI_5_6_!AL9,EL_DEL_CD2_STAB_!AL9,EL_DEL_CD1_WST_PTP_!AL9,EL_DEL_CD1_NTH_PTP_!AL9),"")</f>
        <v/>
      </c>
      <c r="AL9" s="59" t="str">
        <f>IFERROR(AVERAGE(EL_DEL_CD2_JO_!AM9,EL_DEL_CD2_PTP_!AM9,EL_DEL_CD2_SBI_1_4_!AM9,EL_DEL_CD2_SBI_5_6_!AM9,EL_DEL_CD2_STAB_!AM9,EL_DEL_CD1_WST_PTP_!AM9,EL_DEL_CD1_NTH_PTP_!AM9),"")</f>
        <v/>
      </c>
      <c r="AM9" s="59" t="str">
        <f>IFERROR(AVERAGE(EL_DEL_CD2_JO_!AN9,EL_DEL_CD2_PTP_!AN9,EL_DEL_CD2_SBI_1_4_!AN9,EL_DEL_CD2_SBI_5_6_!AN9,EL_DEL_CD2_STAB_!AN9,EL_DEL_CD1_WST_PTP_!AN9,EL_DEL_CD1_NTH_PTP_!AN9),"")</f>
        <v/>
      </c>
      <c r="AN9" s="59" t="str">
        <f>IFERROR(AVERAGE(EL_DEL_CD2_JO_!AO9,EL_DEL_CD2_PTP_!AO9,EL_DEL_CD2_SBI_1_4_!AO9,EL_DEL_CD2_SBI_5_6_!AO9,EL_DEL_CD2_STAB_!AO9,EL_DEL_CD1_WST_PTP_!AO9,EL_DEL_CD1_NTH_PTP_!AO9),"")</f>
        <v/>
      </c>
      <c r="AO9" s="59" t="str">
        <f>IFERROR(AVERAGE(EL_DEL_CD2_JO_!AP9,EL_DEL_CD2_PTP_!AP9,EL_DEL_CD2_SBI_1_4_!AP9,EL_DEL_CD2_SBI_5_6_!AP9,EL_DEL_CD2_STAB_!AP9,EL_DEL_CD1_WST_PTP_!AP9,EL_DEL_CD1_NTH_PTP_!AP9),"")</f>
        <v/>
      </c>
      <c r="AP9" s="59" t="str">
        <f>IFERROR(AVERAGE(EL_DEL_CD2_JO_!AQ9,EL_DEL_CD2_PTP_!AQ9,EL_DEL_CD2_SBI_1_4_!AQ9,EL_DEL_CD2_SBI_5_6_!AQ9,EL_DEL_CD2_STAB_!AQ9,EL_DEL_CD1_WST_PTP_!AQ9,EL_DEL_CD1_NTH_PTP_!AQ9),"")</f>
        <v/>
      </c>
      <c r="AQ9" s="59" t="str">
        <f>IFERROR(AVERAGE(EL_DEL_CD2_JO_!AR9,EL_DEL_CD2_PTP_!AR9,EL_DEL_CD2_SBI_1_4_!AR9,EL_DEL_CD2_SBI_5_6_!AR9,EL_DEL_CD2_STAB_!AR9,EL_DEL_CD1_WST_PTP_!AR9,EL_DEL_CD1_NTH_PTP_!AR9),"")</f>
        <v/>
      </c>
      <c r="AR9" s="59" t="str">
        <f>IFERROR(AVERAGE(EL_DEL_CD2_JO_!AS9,EL_DEL_CD2_PTP_!AS9,EL_DEL_CD2_SBI_1_4_!AS9,EL_DEL_CD2_SBI_5_6_!AS9,EL_DEL_CD2_STAB_!AS9,EL_DEL_CD1_WST_PTP_!AS9,EL_DEL_CD1_NTH_PTP_!AS9),"")</f>
        <v/>
      </c>
      <c r="AS9" s="8">
        <f>SUM(EL_DEL_CD2_JO_!AT9,EL_DEL_CD2_PTP_!AT9,EL_DEL_CD2_SBI_1_4_!AT9,EL_DEL_CD2_SBI_5_6_!AT9,EL_DEL_CD2_STAB_!AT9,EL_DEL_CD1_WST_PTP_!AT9,EL_DEL_CD1_NTH_PTP_!AT9)</f>
        <v>0</v>
      </c>
      <c r="AT9" s="8">
        <f>SUM(EL_DEL_CD2_JO_!AU9,EL_DEL_CD2_PTP_!AU9,EL_DEL_CD2_SBI_1_4_!AU9,EL_DEL_CD2_SBI_5_6_!AU9,EL_DEL_CD2_STAB_!AU9,EL_DEL_CD1_WST_PTP_!AU9,EL_DEL_CD1_NTH_PTP_!AU9)</f>
        <v>0</v>
      </c>
      <c r="AU9" s="9">
        <f>SUM(EL_DEL_CD2_JO_!AV9,EL_DEL_CD2_PTP_!AV9,EL_DEL_CD2_SBI_1_4_!AV9,EL_DEL_CD2_SBI_5_6_!AV9,EL_DEL_CD2_STAB_!AV9,EL_DEL_CD1_WST_PTP_!AV9,EL_DEL_CD1_NTH_PTP_!AV9)</f>
        <v>0</v>
      </c>
      <c r="AV9" s="8" t="str">
        <f>IFERROR(AVERAGE(EL_DEL_CD2_JO_!AW9,EL_DEL_CD2_PTP_!AW9,EL_DEL_CD2_SBI_1_4_!AW9,EL_DEL_CD2_SBI_5_6_!AW9,EL_DEL_CD2_STAB_!AW9,EL_DEL_CD1_WST_PTP_!AW9,EL_DEL_CD1_NTH_PTP_!AW9),"")</f>
        <v/>
      </c>
      <c r="AW9" s="10" t="str">
        <f t="shared" si="1"/>
        <v>-</v>
      </c>
      <c r="AX9" s="39"/>
      <c r="AY9" s="1" t="str">
        <f t="shared" si="2"/>
        <v/>
      </c>
      <c r="AZ9" s="11" t="str">
        <f t="shared" si="3"/>
        <v/>
      </c>
      <c r="BA9" s="1" t="str">
        <f t="shared" si="4"/>
        <v/>
      </c>
      <c r="BB9" s="39"/>
      <c r="BC9" s="53" t="str">
        <f t="shared" si="5"/>
        <v/>
      </c>
      <c r="BD9" s="70" t="str">
        <f t="shared" si="6"/>
        <v/>
      </c>
      <c r="BE9" s="12" t="str">
        <f t="shared" si="7"/>
        <v/>
      </c>
      <c r="BF9" s="12" t="str">
        <f t="shared" si="8"/>
        <v/>
      </c>
      <c r="BG9" s="12" t="str">
        <f t="shared" si="9"/>
        <v/>
      </c>
      <c r="BH9" s="54" t="str">
        <f t="shared" si="10"/>
        <v/>
      </c>
      <c r="BI9" s="39"/>
      <c r="BJ9" s="55" t="str">
        <f t="shared" si="11"/>
        <v/>
      </c>
      <c r="BK9" s="13" t="str">
        <f t="shared" si="12"/>
        <v/>
      </c>
      <c r="BL9" s="13" t="str">
        <f t="shared" si="13"/>
        <v/>
      </c>
      <c r="BM9" s="56" t="str">
        <f t="shared" si="14"/>
        <v/>
      </c>
      <c r="BN9" s="39"/>
      <c r="BO9" s="14" t="str">
        <f t="shared" si="15"/>
        <v/>
      </c>
      <c r="BP9" s="15">
        <v>0</v>
      </c>
      <c r="BQ9" s="15" t="str">
        <f t="shared" si="16"/>
        <v/>
      </c>
      <c r="BR9" s="15" t="str">
        <f t="shared" si="17"/>
        <v/>
      </c>
      <c r="BS9" s="16" t="str">
        <f t="shared" si="18"/>
        <v/>
      </c>
      <c r="BT9" s="39"/>
      <c r="BU9" s="51" t="e">
        <f t="shared" si="19"/>
        <v>#VALUE!</v>
      </c>
      <c r="BV9" s="28" t="e">
        <f t="shared" si="20"/>
        <v>#VALUE!</v>
      </c>
      <c r="BW9" s="28" t="e">
        <f t="shared" si="21"/>
        <v>#VALUE!</v>
      </c>
      <c r="BX9" s="28" t="e">
        <f t="shared" si="22"/>
        <v>#VALUE!</v>
      </c>
      <c r="BY9" s="28" t="e">
        <f t="shared" si="23"/>
        <v>#VALUE!</v>
      </c>
      <c r="BZ9" s="52" t="e">
        <f t="shared" si="24"/>
        <v>#VALUE!</v>
      </c>
      <c r="CA9" s="39"/>
      <c r="CB9" s="49" t="str">
        <f t="shared" si="25"/>
        <v>-</v>
      </c>
      <c r="CC9" s="29" t="str">
        <f t="shared" si="26"/>
        <v>-</v>
      </c>
      <c r="CD9" s="29" t="str">
        <f t="shared" si="27"/>
        <v>-</v>
      </c>
      <c r="CE9" s="29" t="str">
        <f t="shared" si="28"/>
        <v>-</v>
      </c>
      <c r="CF9" s="50" t="str">
        <f t="shared" si="29"/>
        <v>-</v>
      </c>
      <c r="CG9" s="39"/>
    </row>
    <row r="10" spans="1:85" s="27" customFormat="1" ht="12.4" customHeight="1" thickBot="1" x14ac:dyDescent="0.25">
      <c r="A10" s="43">
        <f t="shared" si="30"/>
        <v>46302</v>
      </c>
      <c r="B10" s="44" t="str">
        <f>+TEXT(A10,"DDD")</f>
        <v>Wed</v>
      </c>
      <c r="C10" s="2">
        <f>SUM(EL_DEL_CD2_JO_!C10,EL_DEL_CD2_PTP_!C10,EL_DEL_CD2_SBI_1_4_!C10,EL_DEL_CD2_SBI_5_6_!C10,EL_DEL_CD2_STAB_!C10,EL_DEL_CD1_WST_PTP_!C10,EL_DEL_CD1_NTH_PTP_!C10)</f>
        <v>0</v>
      </c>
      <c r="D10" s="2">
        <f>SUM(EL_DEL_CD2_JO_!D10,EL_DEL_CD2_PTP_!D10,EL_DEL_CD2_SBI_1_4_!D10,EL_DEL_CD2_SBI_5_6_!D10,EL_DEL_CD2_STAB_!D10,EL_DEL_CD1_WST_PTP_!D10,EL_DEL_CD1_NTH_PTP_!D10)</f>
        <v>0</v>
      </c>
      <c r="E10" s="3">
        <f>SUM(EL_DEL_CD2_JO_!E10,EL_DEL_CD2_PTP_!E10,EL_DEL_CD2_SBI_1_4_!E10,EL_DEL_CD2_SBI_5_6_!E10,EL_DEL_CD2_STAB_!E10,EL_DEL_CD1_WST_PTP_!E10,EL_DEL_CD1_NTH_PTP_!E10)</f>
        <v>0</v>
      </c>
      <c r="F10" s="2">
        <f>SUM(EL_DEL_CD2_JO_!F10,EL_DEL_CD2_PTP_!F10,EL_DEL_CD2_SBI_1_4_!F10,EL_DEL_CD2_SBI_5_6_!F10,EL_DEL_CD2_STAB_!F10,EL_DEL_CD1_WST_PTP_!F10,EL_DEL_CD1_NTH_PTP_!F10)</f>
        <v>0</v>
      </c>
      <c r="G10" s="2">
        <f>SUM(EL_DEL_CD2_JO_!G10,EL_DEL_CD2_PTP_!G10,EL_DEL_CD2_SBI_1_4_!G10,EL_DEL_CD2_SBI_5_6_!G10,EL_DEL_CD2_STAB_!G10,EL_DEL_CD1_WST_PTP_!G10,EL_DEL_CD1_NTH_PTP_!G10)</f>
        <v>0</v>
      </c>
      <c r="H10" s="4">
        <f>SUM(EL_DEL_CD2_JO_!H10,EL_DEL_CD2_PTP_!H10,EL_DEL_CD2_SBI_1_4_!H10,EL_DEL_CD2_SBI_5_6_!H10,EL_DEL_CD2_STAB_!H10,EL_DEL_CD1_WST_PTP_!H10,EL_DEL_CD1_NTH_PTP_!H10)</f>
        <v>0</v>
      </c>
      <c r="I10" s="4">
        <f>SUM(EL_DEL_CD2_JO_!I10,EL_DEL_CD2_PTP_!I10,EL_DEL_CD2_SBI_1_4_!I10,EL_DEL_CD2_SBI_5_6_!I10,EL_DEL_CD2_STAB_!I10,EL_DEL_CD1_WST_PTP_!I10,EL_DEL_CD1_NTH_PTP_!I10)</f>
        <v>0</v>
      </c>
      <c r="J10" s="58">
        <f>SUM(EL_DEL_CD2_JO_!J10,EL_DEL_CD2_PTP_!J10,EL_DEL_CD2_SBI_1_4_!J10,EL_DEL_CD2_SBI_5_6_!J10,EL_DEL_CD2_STAB_!J10,EL_DEL_CD1_WST_PTP_!J10,EL_DEL_CD1_NTH_PTP_!J10)</f>
        <v>0</v>
      </c>
      <c r="K10" s="5">
        <f>SUM(EL_DEL_CD2_JO_!K10,EL_DEL_CD2_PTP_!K10,EL_DEL_CD2_SBI_1_4_!K10,EL_DEL_CD2_SBI_5_6_!K10,EL_DEL_CD2_STAB_!K10,EL_DEL_CD1_WST_PTP_!K10,EL_DEL_CD1_NTH_PTP_!K10)</f>
        <v>0</v>
      </c>
      <c r="L10" s="2">
        <f>SUM(EL_DEL_CD2_JO_!L10,EL_DEL_CD2_PTP_!L10,EL_DEL_CD2_SBI_1_4_!L10,EL_DEL_CD2_SBI_5_6_!L10,EL_DEL_CD2_STAB_!L10,EL_DEL_CD1_WST_PTP_!L10,EL_DEL_CD1_NTH_PTP_!L10)</f>
        <v>0</v>
      </c>
      <c r="M10" s="2">
        <f>SUM(EL_DEL_CD2_JO_!M10,EL_DEL_CD2_PTP_!M10,EL_DEL_CD2_SBI_1_4_!M10,EL_DEL_CD2_SBI_5_6_!M10,EL_DEL_CD2_STAB_!M10,EL_DEL_CD1_WST_PTP_!M10,EL_DEL_CD1_NTH_PTP_!M10)</f>
        <v>0</v>
      </c>
      <c r="N10" s="2">
        <f>SUM(EL_DEL_CD2_JO_!N10,EL_DEL_CD2_PTP_!N10,EL_DEL_CD2_SBI_1_4_!N10,EL_DEL_CD2_SBI_5_6_!N10,EL_DEL_CD2_STAB_!N10,EL_DEL_CD1_WST_PTP_!N10,EL_DEL_CD1_NTH_PTP_!N10)</f>
        <v>0</v>
      </c>
      <c r="O10" s="2">
        <f>SUM(EL_DEL_CD2_JO_!O10,EL_DEL_CD2_PTP_!O10,EL_DEL_CD2_SBI_1_4_!O10,EL_DEL_CD2_SBI_5_6_!O10,EL_DEL_CD2_STAB_!O10,EL_DEL_CD1_WST_PTP_!O10,EL_DEL_CD1_NTH_PTP_!O10)</f>
        <v>0</v>
      </c>
      <c r="P10" s="3">
        <f>SUM(EL_DEL_CD2_JO_!P10,EL_DEL_CD2_PTP_!P10,EL_DEL_CD2_SBI_1_4_!P10,EL_DEL_CD2_SBI_5_6_!P10,EL_DEL_CD2_STAB_!P10,EL_DEL_CD1_WST_PTP_!P10,EL_DEL_CD1_NTH_PTP_!P10)</f>
        <v>0</v>
      </c>
      <c r="Q10" s="2">
        <f>SUM(EL_DEL_CD2_JO_!Q10,EL_DEL_CD2_PTP_!Q10,EL_DEL_CD2_SBI_1_4_!Q10,EL_DEL_CD2_SBI_5_6_!Q10,EL_DEL_CD2_STAB_!Q10,EL_DEL_CD1_WST_PTP_!Q10,EL_DEL_CD1_NTH_PTP_!Q10)</f>
        <v>0</v>
      </c>
      <c r="R10" s="2">
        <f>SUM(EL_DEL_CD2_JO_!R10,EL_DEL_CD2_PTP_!R10,EL_DEL_CD2_SBI_1_4_!R10,EL_DEL_CD2_SBI_5_6_!R10,EL_DEL_CD2_STAB_!R10,EL_DEL_CD1_WST_PTP_!R10,EL_DEL_CD1_NTH_PTP_!R10)</f>
        <v>0</v>
      </c>
      <c r="S10" s="2">
        <f>SUM(EL_DEL_CD2_JO_!S10,EL_DEL_CD2_PTP_!S10,EL_DEL_CD2_SBI_1_4_!S10,EL_DEL_CD2_SBI_5_6_!S10,EL_DEL_CD2_STAB_!S10,EL_DEL_CD1_WST_PTP_!S10,EL_DEL_CD1_NTH_PTP_!S10)</f>
        <v>0</v>
      </c>
      <c r="T10" s="2">
        <f>SUM(EL_DEL_CD2_JO_!T10,EL_DEL_CD2_PTP_!T10,EL_DEL_CD2_SBI_1_4_!T10,EL_DEL_CD2_SBI_5_6_!T10,EL_DEL_CD2_STAB_!T10,EL_DEL_CD1_WST_PTP_!T10,EL_DEL_CD1_NTH_PTP_!T10)</f>
        <v>0</v>
      </c>
      <c r="U10" s="3">
        <f>SUM(EL_DEL_CD2_JO_!V10,EL_DEL_CD2_PTP_!V10,EL_DEL_CD2_SBI_1_4_!V10,EL_DEL_CD2_SBI_5_6_!V10,EL_DEL_CD2_STAB_!V10,EL_DEL_CD1_WST_PTP_!V10,EL_DEL_CD1_NTH_PTP_!V10)</f>
        <v>0</v>
      </c>
      <c r="V10" s="3">
        <f>SUM(EL_DEL_CD2_JO_!W10,EL_DEL_CD2_PTP_!W10,EL_DEL_CD2_SBI_1_4_!W10,EL_DEL_CD2_SBI_5_6_!W10,EL_DEL_CD2_STAB_!W10,EL_DEL_CD1_WST_PTP_!W10,EL_DEL_CD1_NTH_PTP_!W10)</f>
        <v>0</v>
      </c>
      <c r="W10" s="2">
        <f>SUM(EL_DEL_CD2_JO_!X10,EL_DEL_CD2_PTP_!X10,EL_DEL_CD2_SBI_1_4_!X10,EL_DEL_CD2_SBI_5_6_!X10,EL_DEL_CD2_STAB_!X10,EL_DEL_CD1_WST_PTP_!X10,EL_DEL_CD1_NTH_PTP_!X10)</f>
        <v>0</v>
      </c>
      <c r="X10" s="2">
        <f>SUM(EL_DEL_CD2_JO_!Y10,EL_DEL_CD2_PTP_!Y10,EL_DEL_CD2_SBI_1_4_!Y10,EL_DEL_CD2_SBI_5_6_!Y10,EL_DEL_CD2_STAB_!Y10,EL_DEL_CD1_WST_PTP_!Y10,EL_DEL_CD1_NTH_PTP_!Y10)</f>
        <v>0</v>
      </c>
      <c r="Y10" s="2">
        <f>SUM(EL_DEL_CD2_JO_!Z10,EL_DEL_CD2_PTP_!Z10,EL_DEL_CD2_SBI_1_4_!Z10,EL_DEL_CD2_SBI_5_6_!Z10,EL_DEL_CD2_STAB_!Z10,EL_DEL_CD1_WST_PTP_!Z10,EL_DEL_CD1_NTH_PTP_!Z10)</f>
        <v>0</v>
      </c>
      <c r="Z10" s="2">
        <f>SUM(EL_DEL_CD2_JO_!AA10,EL_DEL_CD2_PTP_!AA10,EL_DEL_CD2_SBI_1_4_!AA10,EL_DEL_CD2_SBI_5_6_!AA10,EL_DEL_CD2_STAB_!AA10,EL_DEL_CD1_WST_PTP_!AA10,EL_DEL_CD1_NTH_PTP_!AA10)</f>
        <v>0</v>
      </c>
      <c r="AA10" s="2">
        <f>SUM(EL_DEL_CD2_JO_!AB10,EL_DEL_CD2_PTP_!AB10,EL_DEL_CD2_SBI_1_4_!AB10,EL_DEL_CD2_SBI_5_6_!AB10,EL_DEL_CD2_STAB_!AB10,EL_DEL_CD1_WST_PTP_!AB10,EL_DEL_CD1_NTH_PTP_!AB10)</f>
        <v>0</v>
      </c>
      <c r="AB10" s="2">
        <f>SUM(EL_DEL_CD2_JO_!AC10,EL_DEL_CD2_PTP_!AC10,EL_DEL_CD2_SBI_1_4_!AC10,EL_DEL_CD2_SBI_5_6_!AC10,EL_DEL_CD2_STAB_!AC10,EL_DEL_CD1_WST_PTP_!AC10,EL_DEL_CD1_NTH_PTP_!AC10)</f>
        <v>0</v>
      </c>
      <c r="AC10" s="2">
        <f>SUM(EL_DEL_CD2_JO_!AD10,EL_DEL_CD2_PTP_!AD10,EL_DEL_CD2_SBI_1_4_!AD10,EL_DEL_CD2_SBI_5_6_!AD10,EL_DEL_CD2_STAB_!AD10,EL_DEL_CD1_WST_PTP_!AD10,EL_DEL_CD1_NTH_PTP_!AD10)</f>
        <v>0</v>
      </c>
      <c r="AD10" s="2">
        <f>SUM(EL_DEL_CD2_JO_!AE10,EL_DEL_CD2_PTP_!AE10,EL_DEL_CD2_SBI_1_4_!AE10,EL_DEL_CD2_SBI_5_6_!AE10,EL_DEL_CD2_STAB_!AE10,EL_DEL_CD1_WST_PTP_!AE10,EL_DEL_CD1_NTH_PTP_!AE10)</f>
        <v>0</v>
      </c>
      <c r="AE10" s="3">
        <f>SUM(EL_DEL_CD2_JO_!AF10,EL_DEL_CD2_PTP_!AF10,EL_DEL_CD2_SBI_1_4_!AF10,EL_DEL_CD2_SBI_5_6_!AF10,EL_DEL_CD2_STAB_!AF10,EL_DEL_CD1_WST_PTP_!AF10,EL_DEL_CD1_NTH_PTP_!AF10)</f>
        <v>0</v>
      </c>
      <c r="AF10" s="3">
        <f>SUM(EL_DEL_CD2_JO_!AG10,EL_DEL_CD2_PTP_!AG10,EL_DEL_CD2_SBI_1_4_!AG10,EL_DEL_CD2_SBI_5_6_!AG10,EL_DEL_CD2_STAB_!AG10,EL_DEL_CD1_WST_PTP_!AG10,EL_DEL_CD1_NTH_PTP_!AG10)</f>
        <v>0</v>
      </c>
      <c r="AG10" s="2">
        <f>SUM(EL_DEL_CD2_JO_!AH10,EL_DEL_CD2_PTP_!AH10,EL_DEL_CD2_SBI_1_4_!AH10,EL_DEL_CD2_SBI_5_6_!AH10,EL_DEL_CD2_STAB_!AH10,EL_DEL_CD1_WST_PTP_!AH10,EL_DEL_CD1_NTH_PTP_!AH10)</f>
        <v>0</v>
      </c>
      <c r="AH10" s="6">
        <f>SUM(EL_DEL_CD2_JO_!AI10,EL_DEL_CD2_PTP_!AI10,EL_DEL_CD2_SBI_1_4_!AI10,EL_DEL_CD2_SBI_5_6_!AI10,EL_DEL_CD2_STAB_!AI10,EL_DEL_CD1_WST_PTP_!AI10,EL_DEL_CD1_NTH_PTP_!AI10)</f>
        <v>0</v>
      </c>
      <c r="AI10" s="7">
        <f>SUM(EL_DEL_CD2_JO_!AJ10,EL_DEL_CD2_PTP_!AJ10,EL_DEL_CD2_SBI_1_4_!AJ10,EL_DEL_CD2_SBI_5_6_!AJ10,EL_DEL_CD2_STAB_!AJ10,EL_DEL_CD1_WST_PTP_!AJ10,EL_DEL_CD1_NTH_PTP_!AJ10)</f>
        <v>0</v>
      </c>
      <c r="AJ10" s="6">
        <f>SUM(EL_DEL_CD2_JO_!AK10,EL_DEL_CD2_PTP_!AK10,EL_DEL_CD2_SBI_1_4_!AK10,EL_DEL_CD2_SBI_5_6_!AK10,EL_DEL_CD2_STAB_!AK10,EL_DEL_CD1_WST_PTP_!AK10,EL_DEL_CD1_NTH_PTP_!AK10)</f>
        <v>0</v>
      </c>
      <c r="AK10" s="59" t="str">
        <f>IFERROR(AVERAGE(EL_DEL_CD2_JO_!AL10,EL_DEL_CD2_PTP_!AL10,EL_DEL_CD2_SBI_1_4_!AL10,EL_DEL_CD2_SBI_5_6_!AL10,EL_DEL_CD2_STAB_!AL10,EL_DEL_CD1_WST_PTP_!AL10,EL_DEL_CD1_NTH_PTP_!AL10),"")</f>
        <v/>
      </c>
      <c r="AL10" s="59" t="str">
        <f>IFERROR(AVERAGE(EL_DEL_CD2_JO_!AM10,EL_DEL_CD2_PTP_!AM10,EL_DEL_CD2_SBI_1_4_!AM10,EL_DEL_CD2_SBI_5_6_!AM10,EL_DEL_CD2_STAB_!AM10,EL_DEL_CD1_WST_PTP_!AM10,EL_DEL_CD1_NTH_PTP_!AM10),"")</f>
        <v/>
      </c>
      <c r="AM10" s="59" t="str">
        <f>IFERROR(AVERAGE(EL_DEL_CD2_JO_!AN10,EL_DEL_CD2_PTP_!AN10,EL_DEL_CD2_SBI_1_4_!AN10,EL_DEL_CD2_SBI_5_6_!AN10,EL_DEL_CD2_STAB_!AN10,EL_DEL_CD1_WST_PTP_!AN10,EL_DEL_CD1_NTH_PTP_!AN10),"")</f>
        <v/>
      </c>
      <c r="AN10" s="59" t="str">
        <f>IFERROR(AVERAGE(EL_DEL_CD2_JO_!AO10,EL_DEL_CD2_PTP_!AO10,EL_DEL_CD2_SBI_1_4_!AO10,EL_DEL_CD2_SBI_5_6_!AO10,EL_DEL_CD2_STAB_!AO10,EL_DEL_CD1_WST_PTP_!AO10,EL_DEL_CD1_NTH_PTP_!AO10),"")</f>
        <v/>
      </c>
      <c r="AO10" s="59" t="str">
        <f>IFERROR(AVERAGE(EL_DEL_CD2_JO_!AP10,EL_DEL_CD2_PTP_!AP10,EL_DEL_CD2_SBI_1_4_!AP10,EL_DEL_CD2_SBI_5_6_!AP10,EL_DEL_CD2_STAB_!AP10,EL_DEL_CD1_WST_PTP_!AP10,EL_DEL_CD1_NTH_PTP_!AP10),"")</f>
        <v/>
      </c>
      <c r="AP10" s="59" t="str">
        <f>IFERROR(AVERAGE(EL_DEL_CD2_JO_!AQ10,EL_DEL_CD2_PTP_!AQ10,EL_DEL_CD2_SBI_1_4_!AQ10,EL_DEL_CD2_SBI_5_6_!AQ10,EL_DEL_CD2_STAB_!AQ10,EL_DEL_CD1_WST_PTP_!AQ10,EL_DEL_CD1_NTH_PTP_!AQ10),"")</f>
        <v/>
      </c>
      <c r="AQ10" s="59" t="str">
        <f>IFERROR(AVERAGE(EL_DEL_CD2_JO_!AR10,EL_DEL_CD2_PTP_!AR10,EL_DEL_CD2_SBI_1_4_!AR10,EL_DEL_CD2_SBI_5_6_!AR10,EL_DEL_CD2_STAB_!AR10,EL_DEL_CD1_WST_PTP_!AR10,EL_DEL_CD1_NTH_PTP_!AR10),"")</f>
        <v/>
      </c>
      <c r="AR10" s="59" t="str">
        <f>IFERROR(AVERAGE(EL_DEL_CD2_JO_!AS10,EL_DEL_CD2_PTP_!AS10,EL_DEL_CD2_SBI_1_4_!AS10,EL_DEL_CD2_SBI_5_6_!AS10,EL_DEL_CD2_STAB_!AS10,EL_DEL_CD1_WST_PTP_!AS10,EL_DEL_CD1_NTH_PTP_!AS10),"")</f>
        <v/>
      </c>
      <c r="AS10" s="8">
        <f>SUM(EL_DEL_CD2_JO_!AT10,EL_DEL_CD2_PTP_!AT10,EL_DEL_CD2_SBI_1_4_!AT10,EL_DEL_CD2_SBI_5_6_!AT10,EL_DEL_CD2_STAB_!AT10,EL_DEL_CD1_WST_PTP_!AT10,EL_DEL_CD1_NTH_PTP_!AT10)</f>
        <v>0</v>
      </c>
      <c r="AT10" s="8">
        <f>SUM(EL_DEL_CD2_JO_!AU10,EL_DEL_CD2_PTP_!AU10,EL_DEL_CD2_SBI_1_4_!AU10,EL_DEL_CD2_SBI_5_6_!AU10,EL_DEL_CD2_STAB_!AU10,EL_DEL_CD1_WST_PTP_!AU10,EL_DEL_CD1_NTH_PTP_!AU10)</f>
        <v>0</v>
      </c>
      <c r="AU10" s="9">
        <f>SUM(EL_DEL_CD2_JO_!AV10,EL_DEL_CD2_PTP_!AV10,EL_DEL_CD2_SBI_1_4_!AV10,EL_DEL_CD2_SBI_5_6_!AV10,EL_DEL_CD2_STAB_!AV10,EL_DEL_CD1_WST_PTP_!AV10,EL_DEL_CD1_NTH_PTP_!AV10)</f>
        <v>0</v>
      </c>
      <c r="AV10" s="8" t="str">
        <f>IFERROR(AVERAGE(EL_DEL_CD2_JO_!AW10,EL_DEL_CD2_PTP_!AW10,EL_DEL_CD2_SBI_1_4_!AW10,EL_DEL_CD2_SBI_5_6_!AW10,EL_DEL_CD2_STAB_!AW10,EL_DEL_CD1_WST_PTP_!AW10,EL_DEL_CD1_NTH_PTP_!AW10),"")</f>
        <v/>
      </c>
      <c r="AW10" s="10" t="str">
        <f t="shared" si="1"/>
        <v>-</v>
      </c>
      <c r="AX10" s="39"/>
      <c r="AY10" s="1" t="str">
        <f t="shared" si="2"/>
        <v/>
      </c>
      <c r="AZ10" s="11" t="str">
        <f t="shared" si="3"/>
        <v/>
      </c>
      <c r="BA10" s="1" t="str">
        <f t="shared" si="4"/>
        <v/>
      </c>
      <c r="BB10" s="39"/>
      <c r="BC10" s="53" t="str">
        <f t="shared" si="5"/>
        <v/>
      </c>
      <c r="BD10" s="70" t="str">
        <f t="shared" si="6"/>
        <v/>
      </c>
      <c r="BE10" s="12" t="str">
        <f t="shared" si="7"/>
        <v/>
      </c>
      <c r="BF10" s="12" t="str">
        <f t="shared" si="8"/>
        <v/>
      </c>
      <c r="BG10" s="12" t="str">
        <f t="shared" si="9"/>
        <v/>
      </c>
      <c r="BH10" s="54" t="str">
        <f t="shared" si="10"/>
        <v/>
      </c>
      <c r="BI10" s="39"/>
      <c r="BJ10" s="55" t="str">
        <f t="shared" si="11"/>
        <v/>
      </c>
      <c r="BK10" s="13" t="str">
        <f t="shared" si="12"/>
        <v/>
      </c>
      <c r="BL10" s="13" t="str">
        <f t="shared" si="13"/>
        <v/>
      </c>
      <c r="BM10" s="56" t="str">
        <f t="shared" si="14"/>
        <v/>
      </c>
      <c r="BN10" s="39"/>
      <c r="BO10" s="14" t="str">
        <f t="shared" si="15"/>
        <v/>
      </c>
      <c r="BP10" s="15">
        <v>0</v>
      </c>
      <c r="BQ10" s="15" t="str">
        <f t="shared" si="16"/>
        <v/>
      </c>
      <c r="BR10" s="15" t="str">
        <f t="shared" si="17"/>
        <v/>
      </c>
      <c r="BS10" s="16" t="str">
        <f t="shared" si="18"/>
        <v/>
      </c>
      <c r="BT10" s="39"/>
      <c r="BU10" s="51" t="e">
        <f t="shared" si="19"/>
        <v>#VALUE!</v>
      </c>
      <c r="BV10" s="28" t="e">
        <f t="shared" si="20"/>
        <v>#VALUE!</v>
      </c>
      <c r="BW10" s="28" t="e">
        <f t="shared" si="21"/>
        <v>#VALUE!</v>
      </c>
      <c r="BX10" s="28" t="e">
        <f t="shared" si="22"/>
        <v>#VALUE!</v>
      </c>
      <c r="BY10" s="28" t="e">
        <f t="shared" si="23"/>
        <v>#VALUE!</v>
      </c>
      <c r="BZ10" s="52" t="e">
        <f t="shared" si="24"/>
        <v>#VALUE!</v>
      </c>
      <c r="CA10" s="39"/>
      <c r="CB10" s="49" t="str">
        <f t="shared" si="25"/>
        <v>-</v>
      </c>
      <c r="CC10" s="29" t="str">
        <f t="shared" si="26"/>
        <v>-</v>
      </c>
      <c r="CD10" s="29" t="str">
        <f t="shared" si="27"/>
        <v>-</v>
      </c>
      <c r="CE10" s="29" t="str">
        <f t="shared" si="28"/>
        <v>-</v>
      </c>
      <c r="CF10" s="50" t="str">
        <f t="shared" si="29"/>
        <v>-</v>
      </c>
      <c r="CG10" s="39"/>
    </row>
    <row r="11" spans="1:85" s="27" customFormat="1" ht="12.4" customHeight="1" thickBot="1" x14ac:dyDescent="0.25">
      <c r="A11" s="43">
        <f t="shared" si="30"/>
        <v>46303</v>
      </c>
      <c r="B11" s="44" t="str">
        <f>+TEXT(A11,"DDD")</f>
        <v>Thu</v>
      </c>
      <c r="C11" s="2">
        <f>SUM(EL_DEL_CD2_JO_!C11,EL_DEL_CD2_PTP_!C11,EL_DEL_CD2_SBI_1_4_!C11,EL_DEL_CD2_SBI_5_6_!C11,EL_DEL_CD2_STAB_!C11,EL_DEL_CD1_WST_PTP_!C11,EL_DEL_CD1_NTH_PTP_!C11)</f>
        <v>0</v>
      </c>
      <c r="D11" s="2">
        <f>SUM(EL_DEL_CD2_JO_!D11,EL_DEL_CD2_PTP_!D11,EL_DEL_CD2_SBI_1_4_!D11,EL_DEL_CD2_SBI_5_6_!D11,EL_DEL_CD2_STAB_!D11,EL_DEL_CD1_WST_PTP_!D11,EL_DEL_CD1_NTH_PTP_!D11)</f>
        <v>0</v>
      </c>
      <c r="E11" s="3">
        <f>SUM(EL_DEL_CD2_JO_!E11,EL_DEL_CD2_PTP_!E11,EL_DEL_CD2_SBI_1_4_!E11,EL_DEL_CD2_SBI_5_6_!E11,EL_DEL_CD2_STAB_!E11,EL_DEL_CD1_WST_PTP_!E11,EL_DEL_CD1_NTH_PTP_!E11)</f>
        <v>0</v>
      </c>
      <c r="F11" s="2">
        <f>SUM(EL_DEL_CD2_JO_!F11,EL_DEL_CD2_PTP_!F11,EL_DEL_CD2_SBI_1_4_!F11,EL_DEL_CD2_SBI_5_6_!F11,EL_DEL_CD2_STAB_!F11,EL_DEL_CD1_WST_PTP_!F11,EL_DEL_CD1_NTH_PTP_!F11)</f>
        <v>0</v>
      </c>
      <c r="G11" s="2">
        <f>SUM(EL_DEL_CD2_JO_!G11,EL_DEL_CD2_PTP_!G11,EL_DEL_CD2_SBI_1_4_!G11,EL_DEL_CD2_SBI_5_6_!G11,EL_DEL_CD2_STAB_!G11,EL_DEL_CD1_WST_PTP_!G11,EL_DEL_CD1_NTH_PTP_!G11)</f>
        <v>0</v>
      </c>
      <c r="H11" s="4">
        <f>SUM(EL_DEL_CD2_JO_!H11,EL_DEL_CD2_PTP_!H11,EL_DEL_CD2_SBI_1_4_!H11,EL_DEL_CD2_SBI_5_6_!H11,EL_DEL_CD2_STAB_!H11,EL_DEL_CD1_WST_PTP_!H11,EL_DEL_CD1_NTH_PTP_!H11)</f>
        <v>0</v>
      </c>
      <c r="I11" s="4">
        <f>SUM(EL_DEL_CD2_JO_!I11,EL_DEL_CD2_PTP_!I11,EL_DEL_CD2_SBI_1_4_!I11,EL_DEL_CD2_SBI_5_6_!I11,EL_DEL_CD2_STAB_!I11,EL_DEL_CD1_WST_PTP_!I11,EL_DEL_CD1_NTH_PTP_!I11)</f>
        <v>0</v>
      </c>
      <c r="J11" s="58">
        <f>SUM(EL_DEL_CD2_JO_!J11,EL_DEL_CD2_PTP_!J11,EL_DEL_CD2_SBI_1_4_!J11,EL_DEL_CD2_SBI_5_6_!J11,EL_DEL_CD2_STAB_!J11,EL_DEL_CD1_WST_PTP_!J11,EL_DEL_CD1_NTH_PTP_!J11)</f>
        <v>0</v>
      </c>
      <c r="K11" s="5">
        <f>SUM(EL_DEL_CD2_JO_!K11,EL_DEL_CD2_PTP_!K11,EL_DEL_CD2_SBI_1_4_!K11,EL_DEL_CD2_SBI_5_6_!K11,EL_DEL_CD2_STAB_!K11,EL_DEL_CD1_WST_PTP_!K11,EL_DEL_CD1_NTH_PTP_!K11)</f>
        <v>0</v>
      </c>
      <c r="L11" s="2">
        <f>SUM(EL_DEL_CD2_JO_!L11,EL_DEL_CD2_PTP_!L11,EL_DEL_CD2_SBI_1_4_!L11,EL_DEL_CD2_SBI_5_6_!L11,EL_DEL_CD2_STAB_!L11,EL_DEL_CD1_WST_PTP_!L11,EL_DEL_CD1_NTH_PTP_!L11)</f>
        <v>0</v>
      </c>
      <c r="M11" s="2">
        <f>SUM(EL_DEL_CD2_JO_!M11,EL_DEL_CD2_PTP_!M11,EL_DEL_CD2_SBI_1_4_!M11,EL_DEL_CD2_SBI_5_6_!M11,EL_DEL_CD2_STAB_!M11,EL_DEL_CD1_WST_PTP_!M11,EL_DEL_CD1_NTH_PTP_!M11)</f>
        <v>0</v>
      </c>
      <c r="N11" s="2">
        <f>SUM(EL_DEL_CD2_JO_!N11,EL_DEL_CD2_PTP_!N11,EL_DEL_CD2_SBI_1_4_!N11,EL_DEL_CD2_SBI_5_6_!N11,EL_DEL_CD2_STAB_!N11,EL_DEL_CD1_WST_PTP_!N11,EL_DEL_CD1_NTH_PTP_!N11)</f>
        <v>0</v>
      </c>
      <c r="O11" s="2">
        <f>SUM(EL_DEL_CD2_JO_!O11,EL_DEL_CD2_PTP_!O11,EL_DEL_CD2_SBI_1_4_!O11,EL_DEL_CD2_SBI_5_6_!O11,EL_DEL_CD2_STAB_!O11,EL_DEL_CD1_WST_PTP_!O11,EL_DEL_CD1_NTH_PTP_!O11)</f>
        <v>0</v>
      </c>
      <c r="P11" s="3">
        <f>SUM(EL_DEL_CD2_JO_!P11,EL_DEL_CD2_PTP_!P11,EL_DEL_CD2_SBI_1_4_!P11,EL_DEL_CD2_SBI_5_6_!P11,EL_DEL_CD2_STAB_!P11,EL_DEL_CD1_WST_PTP_!P11,EL_DEL_CD1_NTH_PTP_!P11)</f>
        <v>0</v>
      </c>
      <c r="Q11" s="2">
        <f>SUM(EL_DEL_CD2_JO_!Q11,EL_DEL_CD2_PTP_!Q11,EL_DEL_CD2_SBI_1_4_!Q11,EL_DEL_CD2_SBI_5_6_!Q11,EL_DEL_CD2_STAB_!Q11,EL_DEL_CD1_WST_PTP_!Q11,EL_DEL_CD1_NTH_PTP_!Q11)</f>
        <v>0</v>
      </c>
      <c r="R11" s="2">
        <f>SUM(EL_DEL_CD2_JO_!R11,EL_DEL_CD2_PTP_!R11,EL_DEL_CD2_SBI_1_4_!R11,EL_DEL_CD2_SBI_5_6_!R11,EL_DEL_CD2_STAB_!R11,EL_DEL_CD1_WST_PTP_!R11,EL_DEL_CD1_NTH_PTP_!R11)</f>
        <v>0</v>
      </c>
      <c r="S11" s="2">
        <f>SUM(EL_DEL_CD2_JO_!S11,EL_DEL_CD2_PTP_!S11,EL_DEL_CD2_SBI_1_4_!S11,EL_DEL_CD2_SBI_5_6_!S11,EL_DEL_CD2_STAB_!S11,EL_DEL_CD1_WST_PTP_!S11,EL_DEL_CD1_NTH_PTP_!S11)</f>
        <v>0</v>
      </c>
      <c r="T11" s="2">
        <f>SUM(EL_DEL_CD2_JO_!T11,EL_DEL_CD2_PTP_!T11,EL_DEL_CD2_SBI_1_4_!T11,EL_DEL_CD2_SBI_5_6_!T11,EL_DEL_CD2_STAB_!T11,EL_DEL_CD1_WST_PTP_!T11,EL_DEL_CD1_NTH_PTP_!T11)</f>
        <v>0</v>
      </c>
      <c r="U11" s="3">
        <f>SUM(EL_DEL_CD2_JO_!V11,EL_DEL_CD2_PTP_!V11,EL_DEL_CD2_SBI_1_4_!V11,EL_DEL_CD2_SBI_5_6_!V11,EL_DEL_CD2_STAB_!V11,EL_DEL_CD1_WST_PTP_!V11,EL_DEL_CD1_NTH_PTP_!V11)</f>
        <v>0</v>
      </c>
      <c r="V11" s="3">
        <f>SUM(EL_DEL_CD2_JO_!W11,EL_DEL_CD2_PTP_!W11,EL_DEL_CD2_SBI_1_4_!W11,EL_DEL_CD2_SBI_5_6_!W11,EL_DEL_CD2_STAB_!W11,EL_DEL_CD1_WST_PTP_!W11,EL_DEL_CD1_NTH_PTP_!W11)</f>
        <v>0</v>
      </c>
      <c r="W11" s="2">
        <f>SUM(EL_DEL_CD2_JO_!X11,EL_DEL_CD2_PTP_!X11,EL_DEL_CD2_SBI_1_4_!X11,EL_DEL_CD2_SBI_5_6_!X11,EL_DEL_CD2_STAB_!X11,EL_DEL_CD1_WST_PTP_!X11,EL_DEL_CD1_NTH_PTP_!X11)</f>
        <v>0</v>
      </c>
      <c r="X11" s="2">
        <f>SUM(EL_DEL_CD2_JO_!Y11,EL_DEL_CD2_PTP_!Y11,EL_DEL_CD2_SBI_1_4_!Y11,EL_DEL_CD2_SBI_5_6_!Y11,EL_DEL_CD2_STAB_!Y11,EL_DEL_CD1_WST_PTP_!Y11,EL_DEL_CD1_NTH_PTP_!Y11)</f>
        <v>0</v>
      </c>
      <c r="Y11" s="2">
        <f>SUM(EL_DEL_CD2_JO_!Z11,EL_DEL_CD2_PTP_!Z11,EL_DEL_CD2_SBI_1_4_!Z11,EL_DEL_CD2_SBI_5_6_!Z11,EL_DEL_CD2_STAB_!Z11,EL_DEL_CD1_WST_PTP_!Z11,EL_DEL_CD1_NTH_PTP_!Z11)</f>
        <v>0</v>
      </c>
      <c r="Z11" s="2">
        <f>SUM(EL_DEL_CD2_JO_!AA11,EL_DEL_CD2_PTP_!AA11,EL_DEL_CD2_SBI_1_4_!AA11,EL_DEL_CD2_SBI_5_6_!AA11,EL_DEL_CD2_STAB_!AA11,EL_DEL_CD1_WST_PTP_!AA11,EL_DEL_CD1_NTH_PTP_!AA11)</f>
        <v>0</v>
      </c>
      <c r="AA11" s="2">
        <f>SUM(EL_DEL_CD2_JO_!AB11,EL_DEL_CD2_PTP_!AB11,EL_DEL_CD2_SBI_1_4_!AB11,EL_DEL_CD2_SBI_5_6_!AB11,EL_DEL_CD2_STAB_!AB11,EL_DEL_CD1_WST_PTP_!AB11,EL_DEL_CD1_NTH_PTP_!AB11)</f>
        <v>0</v>
      </c>
      <c r="AB11" s="2">
        <f>SUM(EL_DEL_CD2_JO_!AC11,EL_DEL_CD2_PTP_!AC11,EL_DEL_CD2_SBI_1_4_!AC11,EL_DEL_CD2_SBI_5_6_!AC11,EL_DEL_CD2_STAB_!AC11,EL_DEL_CD1_WST_PTP_!AC11,EL_DEL_CD1_NTH_PTP_!AC11)</f>
        <v>0</v>
      </c>
      <c r="AC11" s="2">
        <f>SUM(EL_DEL_CD2_JO_!AD11,EL_DEL_CD2_PTP_!AD11,EL_DEL_CD2_SBI_1_4_!AD11,EL_DEL_CD2_SBI_5_6_!AD11,EL_DEL_CD2_STAB_!AD11,EL_DEL_CD1_WST_PTP_!AD11,EL_DEL_CD1_NTH_PTP_!AD11)</f>
        <v>0</v>
      </c>
      <c r="AD11" s="2">
        <f>SUM(EL_DEL_CD2_JO_!AE11,EL_DEL_CD2_PTP_!AE11,EL_DEL_CD2_SBI_1_4_!AE11,EL_DEL_CD2_SBI_5_6_!AE11,EL_DEL_CD2_STAB_!AE11,EL_DEL_CD1_WST_PTP_!AE11,EL_DEL_CD1_NTH_PTP_!AE11)</f>
        <v>0</v>
      </c>
      <c r="AE11" s="3">
        <f>SUM(EL_DEL_CD2_JO_!AF11,EL_DEL_CD2_PTP_!AF11,EL_DEL_CD2_SBI_1_4_!AF11,EL_DEL_CD2_SBI_5_6_!AF11,EL_DEL_CD2_STAB_!AF11,EL_DEL_CD1_WST_PTP_!AF11,EL_DEL_CD1_NTH_PTP_!AF11)</f>
        <v>0</v>
      </c>
      <c r="AF11" s="3">
        <f>SUM(EL_DEL_CD2_JO_!AG11,EL_DEL_CD2_PTP_!AG11,EL_DEL_CD2_SBI_1_4_!AG11,EL_DEL_CD2_SBI_5_6_!AG11,EL_DEL_CD2_STAB_!AG11,EL_DEL_CD1_WST_PTP_!AG11,EL_DEL_CD1_NTH_PTP_!AG11)</f>
        <v>0</v>
      </c>
      <c r="AG11" s="2">
        <f>SUM(EL_DEL_CD2_JO_!AH11,EL_DEL_CD2_PTP_!AH11,EL_DEL_CD2_SBI_1_4_!AH11,EL_DEL_CD2_SBI_5_6_!AH11,EL_DEL_CD2_STAB_!AH11,EL_DEL_CD1_WST_PTP_!AH11,EL_DEL_CD1_NTH_PTP_!AH11)</f>
        <v>0</v>
      </c>
      <c r="AH11" s="6">
        <f>SUM(EL_DEL_CD2_JO_!AI11,EL_DEL_CD2_PTP_!AI11,EL_DEL_CD2_SBI_1_4_!AI11,EL_DEL_CD2_SBI_5_6_!AI11,EL_DEL_CD2_STAB_!AI11,EL_DEL_CD1_WST_PTP_!AI11,EL_DEL_CD1_NTH_PTP_!AI11)</f>
        <v>0</v>
      </c>
      <c r="AI11" s="7">
        <f>SUM(EL_DEL_CD2_JO_!AJ11,EL_DEL_CD2_PTP_!AJ11,EL_DEL_CD2_SBI_1_4_!AJ11,EL_DEL_CD2_SBI_5_6_!AJ11,EL_DEL_CD2_STAB_!AJ11,EL_DEL_CD1_WST_PTP_!AJ11,EL_DEL_CD1_NTH_PTP_!AJ11)</f>
        <v>0</v>
      </c>
      <c r="AJ11" s="6">
        <f>SUM(EL_DEL_CD2_JO_!AK11,EL_DEL_CD2_PTP_!AK11,EL_DEL_CD2_SBI_1_4_!AK11,EL_DEL_CD2_SBI_5_6_!AK11,EL_DEL_CD2_STAB_!AK11,EL_DEL_CD1_WST_PTP_!AK11,EL_DEL_CD1_NTH_PTP_!AK11)</f>
        <v>0</v>
      </c>
      <c r="AK11" s="59" t="str">
        <f>IFERROR(AVERAGE(EL_DEL_CD2_JO_!AL11,EL_DEL_CD2_PTP_!AL11,EL_DEL_CD2_SBI_1_4_!AL11,EL_DEL_CD2_SBI_5_6_!AL11,EL_DEL_CD2_STAB_!AL11,EL_DEL_CD1_WST_PTP_!AL11,EL_DEL_CD1_NTH_PTP_!AL11),"")</f>
        <v/>
      </c>
      <c r="AL11" s="59" t="str">
        <f>IFERROR(AVERAGE(EL_DEL_CD2_JO_!AM11,EL_DEL_CD2_PTP_!AM11,EL_DEL_CD2_SBI_1_4_!AM11,EL_DEL_CD2_SBI_5_6_!AM11,EL_DEL_CD2_STAB_!AM11,EL_DEL_CD1_WST_PTP_!AM11,EL_DEL_CD1_NTH_PTP_!AM11),"")</f>
        <v/>
      </c>
      <c r="AM11" s="59" t="str">
        <f>IFERROR(AVERAGE(EL_DEL_CD2_JO_!AN11,EL_DEL_CD2_PTP_!AN11,EL_DEL_CD2_SBI_1_4_!AN11,EL_DEL_CD2_SBI_5_6_!AN11,EL_DEL_CD2_STAB_!AN11,EL_DEL_CD1_WST_PTP_!AN11,EL_DEL_CD1_NTH_PTP_!AN11),"")</f>
        <v/>
      </c>
      <c r="AN11" s="59" t="str">
        <f>IFERROR(AVERAGE(EL_DEL_CD2_JO_!AO11,EL_DEL_CD2_PTP_!AO11,EL_DEL_CD2_SBI_1_4_!AO11,EL_DEL_CD2_SBI_5_6_!AO11,EL_DEL_CD2_STAB_!AO11,EL_DEL_CD1_WST_PTP_!AO11,EL_DEL_CD1_NTH_PTP_!AO11),"")</f>
        <v/>
      </c>
      <c r="AO11" s="59" t="str">
        <f>IFERROR(AVERAGE(EL_DEL_CD2_JO_!AP11,EL_DEL_CD2_PTP_!AP11,EL_DEL_CD2_SBI_1_4_!AP11,EL_DEL_CD2_SBI_5_6_!AP11,EL_DEL_CD2_STAB_!AP11,EL_DEL_CD1_WST_PTP_!AP11,EL_DEL_CD1_NTH_PTP_!AP11),"")</f>
        <v/>
      </c>
      <c r="AP11" s="59" t="str">
        <f>IFERROR(AVERAGE(EL_DEL_CD2_JO_!AQ11,EL_DEL_CD2_PTP_!AQ11,EL_DEL_CD2_SBI_1_4_!AQ11,EL_DEL_CD2_SBI_5_6_!AQ11,EL_DEL_CD2_STAB_!AQ11,EL_DEL_CD1_WST_PTP_!AQ11,EL_DEL_CD1_NTH_PTP_!AQ11),"")</f>
        <v/>
      </c>
      <c r="AQ11" s="59" t="str">
        <f>IFERROR(AVERAGE(EL_DEL_CD2_JO_!AR11,EL_DEL_CD2_PTP_!AR11,EL_DEL_CD2_SBI_1_4_!AR11,EL_DEL_CD2_SBI_5_6_!AR11,EL_DEL_CD2_STAB_!AR11,EL_DEL_CD1_WST_PTP_!AR11,EL_DEL_CD1_NTH_PTP_!AR11),"")</f>
        <v/>
      </c>
      <c r="AR11" s="59" t="str">
        <f>IFERROR(AVERAGE(EL_DEL_CD2_JO_!AS11,EL_DEL_CD2_PTP_!AS11,EL_DEL_CD2_SBI_1_4_!AS11,EL_DEL_CD2_SBI_5_6_!AS11,EL_DEL_CD2_STAB_!AS11,EL_DEL_CD1_WST_PTP_!AS11,EL_DEL_CD1_NTH_PTP_!AS11),"")</f>
        <v/>
      </c>
      <c r="AS11" s="8">
        <f>SUM(EL_DEL_CD2_JO_!AT11,EL_DEL_CD2_PTP_!AT11,EL_DEL_CD2_SBI_1_4_!AT11,EL_DEL_CD2_SBI_5_6_!AT11,EL_DEL_CD2_STAB_!AT11,EL_DEL_CD1_WST_PTP_!AT11,EL_DEL_CD1_NTH_PTP_!AT11)</f>
        <v>0</v>
      </c>
      <c r="AT11" s="8">
        <f>SUM(EL_DEL_CD2_JO_!AU11,EL_DEL_CD2_PTP_!AU11,EL_DEL_CD2_SBI_1_4_!AU11,EL_DEL_CD2_SBI_5_6_!AU11,EL_DEL_CD2_STAB_!AU11,EL_DEL_CD1_WST_PTP_!AU11,EL_DEL_CD1_NTH_PTP_!AU11)</f>
        <v>0</v>
      </c>
      <c r="AU11" s="9">
        <f>SUM(EL_DEL_CD2_JO_!AV11,EL_DEL_CD2_PTP_!AV11,EL_DEL_CD2_SBI_1_4_!AV11,EL_DEL_CD2_SBI_5_6_!AV11,EL_DEL_CD2_STAB_!AV11,EL_DEL_CD1_WST_PTP_!AV11,EL_DEL_CD1_NTH_PTP_!AV11)</f>
        <v>0</v>
      </c>
      <c r="AV11" s="8" t="str">
        <f>IFERROR(AVERAGE(EL_DEL_CD2_JO_!AW11,EL_DEL_CD2_PTP_!AW11,EL_DEL_CD2_SBI_1_4_!AW11,EL_DEL_CD2_SBI_5_6_!AW11,EL_DEL_CD2_STAB_!AW11,EL_DEL_CD1_WST_PTP_!AW11,EL_DEL_CD1_NTH_PTP_!AW11),"")</f>
        <v/>
      </c>
      <c r="AW11" s="10" t="str">
        <f t="shared" si="1"/>
        <v>-</v>
      </c>
      <c r="AX11" s="39"/>
      <c r="AY11" s="1" t="str">
        <f t="shared" si="2"/>
        <v/>
      </c>
      <c r="AZ11" s="11" t="str">
        <f t="shared" si="3"/>
        <v/>
      </c>
      <c r="BA11" s="1" t="str">
        <f t="shared" si="4"/>
        <v/>
      </c>
      <c r="BB11" s="39"/>
      <c r="BC11" s="53" t="str">
        <f t="shared" si="5"/>
        <v/>
      </c>
      <c r="BD11" s="12" t="str">
        <f t="shared" si="6"/>
        <v/>
      </c>
      <c r="BE11" s="12" t="str">
        <f t="shared" si="7"/>
        <v/>
      </c>
      <c r="BF11" s="12" t="str">
        <f t="shared" si="8"/>
        <v/>
      </c>
      <c r="BG11" s="12" t="str">
        <f t="shared" si="9"/>
        <v/>
      </c>
      <c r="BH11" s="54" t="str">
        <f t="shared" si="10"/>
        <v/>
      </c>
      <c r="BI11" s="39"/>
      <c r="BJ11" s="55" t="str">
        <f t="shared" si="11"/>
        <v/>
      </c>
      <c r="BK11" s="13" t="str">
        <f t="shared" si="12"/>
        <v/>
      </c>
      <c r="BL11" s="13" t="str">
        <f t="shared" si="13"/>
        <v/>
      </c>
      <c r="BM11" s="56" t="str">
        <f t="shared" si="14"/>
        <v/>
      </c>
      <c r="BN11" s="39"/>
      <c r="BO11" s="14" t="str">
        <f t="shared" si="15"/>
        <v/>
      </c>
      <c r="BP11" s="15">
        <v>0</v>
      </c>
      <c r="BQ11" s="15" t="str">
        <f t="shared" si="16"/>
        <v/>
      </c>
      <c r="BR11" s="15" t="str">
        <f t="shared" si="17"/>
        <v/>
      </c>
      <c r="BS11" s="16" t="str">
        <f t="shared" si="18"/>
        <v/>
      </c>
      <c r="BT11" s="39"/>
      <c r="BU11" s="51" t="e">
        <f t="shared" si="19"/>
        <v>#VALUE!</v>
      </c>
      <c r="BV11" s="28" t="e">
        <f t="shared" si="20"/>
        <v>#VALUE!</v>
      </c>
      <c r="BW11" s="28" t="e">
        <f t="shared" si="21"/>
        <v>#VALUE!</v>
      </c>
      <c r="BX11" s="28" t="e">
        <f t="shared" si="22"/>
        <v>#VALUE!</v>
      </c>
      <c r="BY11" s="28" t="e">
        <f t="shared" si="23"/>
        <v>#VALUE!</v>
      </c>
      <c r="BZ11" s="52" t="e">
        <f t="shared" si="24"/>
        <v>#VALUE!</v>
      </c>
      <c r="CA11" s="39"/>
      <c r="CB11" s="49" t="str">
        <f t="shared" si="25"/>
        <v>-</v>
      </c>
      <c r="CC11" s="29" t="str">
        <f t="shared" si="26"/>
        <v>-</v>
      </c>
      <c r="CD11" s="29" t="str">
        <f t="shared" si="27"/>
        <v>-</v>
      </c>
      <c r="CE11" s="29" t="str">
        <f t="shared" si="28"/>
        <v>-</v>
      </c>
      <c r="CF11" s="50" t="str">
        <f t="shared" si="29"/>
        <v>-</v>
      </c>
      <c r="CG11" s="39"/>
    </row>
    <row r="12" spans="1:85" s="27" customFormat="1" ht="12.4" customHeight="1" thickBot="1" x14ac:dyDescent="0.25">
      <c r="A12" s="43">
        <f t="shared" si="30"/>
        <v>46304</v>
      </c>
      <c r="B12" s="44" t="str">
        <f>+TEXT(A12,"DDD")</f>
        <v>Fri</v>
      </c>
      <c r="C12" s="2">
        <f>SUM(EL_DEL_CD2_JO_!C12,EL_DEL_CD2_PTP_!C12,EL_DEL_CD2_SBI_1_4_!C12,EL_DEL_CD2_SBI_5_6_!C12,EL_DEL_CD2_STAB_!C12,EL_DEL_CD1_WST_PTP_!C12,EL_DEL_CD1_NTH_PTP_!C12)</f>
        <v>0</v>
      </c>
      <c r="D12" s="2">
        <f>SUM(EL_DEL_CD2_JO_!D12,EL_DEL_CD2_PTP_!D12,EL_DEL_CD2_SBI_1_4_!D12,EL_DEL_CD2_SBI_5_6_!D12,EL_DEL_CD2_STAB_!D12,EL_DEL_CD1_WST_PTP_!D12,EL_DEL_CD1_NTH_PTP_!D12)</f>
        <v>0</v>
      </c>
      <c r="E12" s="3">
        <f>SUM(EL_DEL_CD2_JO_!E12,EL_DEL_CD2_PTP_!E12,EL_DEL_CD2_SBI_1_4_!E12,EL_DEL_CD2_SBI_5_6_!E12,EL_DEL_CD2_STAB_!E12,EL_DEL_CD1_WST_PTP_!E12,EL_DEL_CD1_NTH_PTP_!E12)</f>
        <v>0</v>
      </c>
      <c r="F12" s="2">
        <f>SUM(EL_DEL_CD2_JO_!F12,EL_DEL_CD2_PTP_!F12,EL_DEL_CD2_SBI_1_4_!F12,EL_DEL_CD2_SBI_5_6_!F12,EL_DEL_CD2_STAB_!F12,EL_DEL_CD1_WST_PTP_!F12,EL_DEL_CD1_NTH_PTP_!F12)</f>
        <v>0</v>
      </c>
      <c r="G12" s="2">
        <f>SUM(EL_DEL_CD2_JO_!G12,EL_DEL_CD2_PTP_!G12,EL_DEL_CD2_SBI_1_4_!G12,EL_DEL_CD2_SBI_5_6_!G12,EL_DEL_CD2_STAB_!G12,EL_DEL_CD1_WST_PTP_!G12,EL_DEL_CD1_NTH_PTP_!G12)</f>
        <v>0</v>
      </c>
      <c r="H12" s="4">
        <f>SUM(EL_DEL_CD2_JO_!H12,EL_DEL_CD2_PTP_!H12,EL_DEL_CD2_SBI_1_4_!H12,EL_DEL_CD2_SBI_5_6_!H12,EL_DEL_CD2_STAB_!H12,EL_DEL_CD1_WST_PTP_!H12,EL_DEL_CD1_NTH_PTP_!H12)</f>
        <v>0</v>
      </c>
      <c r="I12" s="4">
        <f>SUM(EL_DEL_CD2_JO_!I12,EL_DEL_CD2_PTP_!I12,EL_DEL_CD2_SBI_1_4_!I12,EL_DEL_CD2_SBI_5_6_!I12,EL_DEL_CD2_STAB_!I12,EL_DEL_CD1_WST_PTP_!I12,EL_DEL_CD1_NTH_PTP_!I12)</f>
        <v>0</v>
      </c>
      <c r="J12" s="58">
        <f>SUM(EL_DEL_CD2_JO_!J12,EL_DEL_CD2_PTP_!J12,EL_DEL_CD2_SBI_1_4_!J12,EL_DEL_CD2_SBI_5_6_!J12,EL_DEL_CD2_STAB_!J12,EL_DEL_CD1_WST_PTP_!J12,EL_DEL_CD1_NTH_PTP_!J12)</f>
        <v>0</v>
      </c>
      <c r="K12" s="5">
        <f>SUM(EL_DEL_CD2_JO_!K12,EL_DEL_CD2_PTP_!K12,EL_DEL_CD2_SBI_1_4_!K12,EL_DEL_CD2_SBI_5_6_!K12,EL_DEL_CD2_STAB_!K12,EL_DEL_CD1_WST_PTP_!K12,EL_DEL_CD1_NTH_PTP_!K12)</f>
        <v>0</v>
      </c>
      <c r="L12" s="2">
        <f>SUM(EL_DEL_CD2_JO_!L12,EL_DEL_CD2_PTP_!L12,EL_DEL_CD2_SBI_1_4_!L12,EL_DEL_CD2_SBI_5_6_!L12,EL_DEL_CD2_STAB_!L12,EL_DEL_CD1_WST_PTP_!L12,EL_DEL_CD1_NTH_PTP_!L12)</f>
        <v>0</v>
      </c>
      <c r="M12" s="2">
        <f>SUM(EL_DEL_CD2_JO_!M12,EL_DEL_CD2_PTP_!M12,EL_DEL_CD2_SBI_1_4_!M12,EL_DEL_CD2_SBI_5_6_!M12,EL_DEL_CD2_STAB_!M12,EL_DEL_CD1_WST_PTP_!M12,EL_DEL_CD1_NTH_PTP_!M12)</f>
        <v>0</v>
      </c>
      <c r="N12" s="2">
        <f>SUM(EL_DEL_CD2_JO_!N12,EL_DEL_CD2_PTP_!N12,EL_DEL_CD2_SBI_1_4_!N12,EL_DEL_CD2_SBI_5_6_!N12,EL_DEL_CD2_STAB_!N12,EL_DEL_CD1_WST_PTP_!N12,EL_DEL_CD1_NTH_PTP_!N12)</f>
        <v>0</v>
      </c>
      <c r="O12" s="2">
        <f>SUM(EL_DEL_CD2_JO_!O12,EL_DEL_CD2_PTP_!O12,EL_DEL_CD2_SBI_1_4_!O12,EL_DEL_CD2_SBI_5_6_!O12,EL_DEL_CD2_STAB_!O12,EL_DEL_CD1_WST_PTP_!O12,EL_DEL_CD1_NTH_PTP_!O12)</f>
        <v>0</v>
      </c>
      <c r="P12" s="3">
        <f>SUM(EL_DEL_CD2_JO_!P12,EL_DEL_CD2_PTP_!P12,EL_DEL_CD2_SBI_1_4_!P12,EL_DEL_CD2_SBI_5_6_!P12,EL_DEL_CD2_STAB_!P12,EL_DEL_CD1_WST_PTP_!P12,EL_DEL_CD1_NTH_PTP_!P12)</f>
        <v>0</v>
      </c>
      <c r="Q12" s="2">
        <f>SUM(EL_DEL_CD2_JO_!Q12,EL_DEL_CD2_PTP_!Q12,EL_DEL_CD2_SBI_1_4_!Q12,EL_DEL_CD2_SBI_5_6_!Q12,EL_DEL_CD2_STAB_!Q12,EL_DEL_CD1_WST_PTP_!Q12,EL_DEL_CD1_NTH_PTP_!Q12)</f>
        <v>0</v>
      </c>
      <c r="R12" s="2">
        <f>SUM(EL_DEL_CD2_JO_!R12,EL_DEL_CD2_PTP_!R12,EL_DEL_CD2_SBI_1_4_!R12,EL_DEL_CD2_SBI_5_6_!R12,EL_DEL_CD2_STAB_!R12,EL_DEL_CD1_WST_PTP_!R12,EL_DEL_CD1_NTH_PTP_!R12)</f>
        <v>0</v>
      </c>
      <c r="S12" s="2">
        <f>SUM(EL_DEL_CD2_JO_!S12,EL_DEL_CD2_PTP_!S12,EL_DEL_CD2_SBI_1_4_!S12,EL_DEL_CD2_SBI_5_6_!S12,EL_DEL_CD2_STAB_!S12,EL_DEL_CD1_WST_PTP_!S12,EL_DEL_CD1_NTH_PTP_!S12)</f>
        <v>0</v>
      </c>
      <c r="T12" s="2">
        <f>SUM(EL_DEL_CD2_JO_!T12,EL_DEL_CD2_PTP_!T12,EL_DEL_CD2_SBI_1_4_!T12,EL_DEL_CD2_SBI_5_6_!T12,EL_DEL_CD2_STAB_!T12,EL_DEL_CD1_WST_PTP_!T12,EL_DEL_CD1_NTH_PTP_!T12)</f>
        <v>0</v>
      </c>
      <c r="U12" s="3">
        <f>SUM(EL_DEL_CD2_JO_!V12,EL_DEL_CD2_PTP_!V12,EL_DEL_CD2_SBI_1_4_!V12,EL_DEL_CD2_SBI_5_6_!V12,EL_DEL_CD2_STAB_!V12,EL_DEL_CD1_WST_PTP_!V12,EL_DEL_CD1_NTH_PTP_!V12)</f>
        <v>0</v>
      </c>
      <c r="V12" s="3">
        <f>SUM(EL_DEL_CD2_JO_!W12,EL_DEL_CD2_PTP_!W12,EL_DEL_CD2_SBI_1_4_!W12,EL_DEL_CD2_SBI_5_6_!W12,EL_DEL_CD2_STAB_!W12,EL_DEL_CD1_WST_PTP_!W12,EL_DEL_CD1_NTH_PTP_!W12)</f>
        <v>0</v>
      </c>
      <c r="W12" s="2">
        <f>SUM(EL_DEL_CD2_JO_!X12,EL_DEL_CD2_PTP_!X12,EL_DEL_CD2_SBI_1_4_!X12,EL_DEL_CD2_SBI_5_6_!X12,EL_DEL_CD2_STAB_!X12,EL_DEL_CD1_WST_PTP_!X12,EL_DEL_CD1_NTH_PTP_!X12)</f>
        <v>0</v>
      </c>
      <c r="X12" s="2">
        <f>SUM(EL_DEL_CD2_JO_!Y12,EL_DEL_CD2_PTP_!Y12,EL_DEL_CD2_SBI_1_4_!Y12,EL_DEL_CD2_SBI_5_6_!Y12,EL_DEL_CD2_STAB_!Y12,EL_DEL_CD1_WST_PTP_!Y12,EL_DEL_CD1_NTH_PTP_!Y12)</f>
        <v>0</v>
      </c>
      <c r="Y12" s="2">
        <f>SUM(EL_DEL_CD2_JO_!Z12,EL_DEL_CD2_PTP_!Z12,EL_DEL_CD2_SBI_1_4_!Z12,EL_DEL_CD2_SBI_5_6_!Z12,EL_DEL_CD2_STAB_!Z12,EL_DEL_CD1_WST_PTP_!Z12,EL_DEL_CD1_NTH_PTP_!Z12)</f>
        <v>0</v>
      </c>
      <c r="Z12" s="2">
        <f>SUM(EL_DEL_CD2_JO_!AA12,EL_DEL_CD2_PTP_!AA12,EL_DEL_CD2_SBI_1_4_!AA12,EL_DEL_CD2_SBI_5_6_!AA12,EL_DEL_CD2_STAB_!AA12,EL_DEL_CD1_WST_PTP_!AA12,EL_DEL_CD1_NTH_PTP_!AA12)</f>
        <v>0</v>
      </c>
      <c r="AA12" s="2">
        <f>SUM(EL_DEL_CD2_JO_!AB12,EL_DEL_CD2_PTP_!AB12,EL_DEL_CD2_SBI_1_4_!AB12,EL_DEL_CD2_SBI_5_6_!AB12,EL_DEL_CD2_STAB_!AB12,EL_DEL_CD1_WST_PTP_!AB12,EL_DEL_CD1_NTH_PTP_!AB12)</f>
        <v>0</v>
      </c>
      <c r="AB12" s="2">
        <f>SUM(EL_DEL_CD2_JO_!AC12,EL_DEL_CD2_PTP_!AC12,EL_DEL_CD2_SBI_1_4_!AC12,EL_DEL_CD2_SBI_5_6_!AC12,EL_DEL_CD2_STAB_!AC12,EL_DEL_CD1_WST_PTP_!AC12,EL_DEL_CD1_NTH_PTP_!AC12)</f>
        <v>0</v>
      </c>
      <c r="AC12" s="2">
        <f>SUM(EL_DEL_CD2_JO_!AD12,EL_DEL_CD2_PTP_!AD12,EL_DEL_CD2_SBI_1_4_!AD12,EL_DEL_CD2_SBI_5_6_!AD12,EL_DEL_CD2_STAB_!AD12,EL_DEL_CD1_WST_PTP_!AD12,EL_DEL_CD1_NTH_PTP_!AD12)</f>
        <v>0</v>
      </c>
      <c r="AD12" s="2">
        <f>SUM(EL_DEL_CD2_JO_!AE12,EL_DEL_CD2_PTP_!AE12,EL_DEL_CD2_SBI_1_4_!AE12,EL_DEL_CD2_SBI_5_6_!AE12,EL_DEL_CD2_STAB_!AE12,EL_DEL_CD1_WST_PTP_!AE12,EL_DEL_CD1_NTH_PTP_!AE12)</f>
        <v>0</v>
      </c>
      <c r="AE12" s="3">
        <f>SUM(EL_DEL_CD2_JO_!AF12,EL_DEL_CD2_PTP_!AF12,EL_DEL_CD2_SBI_1_4_!AF12,EL_DEL_CD2_SBI_5_6_!AF12,EL_DEL_CD2_STAB_!AF12,EL_DEL_CD1_WST_PTP_!AF12,EL_DEL_CD1_NTH_PTP_!AF12)</f>
        <v>0</v>
      </c>
      <c r="AF12" s="3">
        <f>SUM(EL_DEL_CD2_JO_!AG12,EL_DEL_CD2_PTP_!AG12,EL_DEL_CD2_SBI_1_4_!AG12,EL_DEL_CD2_SBI_5_6_!AG12,EL_DEL_CD2_STAB_!AG12,EL_DEL_CD1_WST_PTP_!AG12,EL_DEL_CD1_NTH_PTP_!AG12)</f>
        <v>0</v>
      </c>
      <c r="AG12" s="2">
        <f>SUM(EL_DEL_CD2_JO_!AH12,EL_DEL_CD2_PTP_!AH12,EL_DEL_CD2_SBI_1_4_!AH12,EL_DEL_CD2_SBI_5_6_!AH12,EL_DEL_CD2_STAB_!AH12,EL_DEL_CD1_WST_PTP_!AH12,EL_DEL_CD1_NTH_PTP_!AH12)</f>
        <v>0</v>
      </c>
      <c r="AH12" s="6">
        <f>SUM(EL_DEL_CD2_JO_!AI12,EL_DEL_CD2_PTP_!AI12,EL_DEL_CD2_SBI_1_4_!AI12,EL_DEL_CD2_SBI_5_6_!AI12,EL_DEL_CD2_STAB_!AI12,EL_DEL_CD1_WST_PTP_!AI12,EL_DEL_CD1_NTH_PTP_!AI12)</f>
        <v>0</v>
      </c>
      <c r="AI12" s="7">
        <f>SUM(EL_DEL_CD2_JO_!AJ12,EL_DEL_CD2_PTP_!AJ12,EL_DEL_CD2_SBI_1_4_!AJ12,EL_DEL_CD2_SBI_5_6_!AJ12,EL_DEL_CD2_STAB_!AJ12,EL_DEL_CD1_WST_PTP_!AJ12,EL_DEL_CD1_NTH_PTP_!AJ12)</f>
        <v>0</v>
      </c>
      <c r="AJ12" s="6">
        <f>SUM(EL_DEL_CD2_JO_!AK12,EL_DEL_CD2_PTP_!AK12,EL_DEL_CD2_SBI_1_4_!AK12,EL_DEL_CD2_SBI_5_6_!AK12,EL_DEL_CD2_STAB_!AK12,EL_DEL_CD1_WST_PTP_!AK12,EL_DEL_CD1_NTH_PTP_!AK12)</f>
        <v>0</v>
      </c>
      <c r="AK12" s="59" t="str">
        <f>IFERROR(AVERAGE(EL_DEL_CD2_JO_!AL12,EL_DEL_CD2_PTP_!AL12,EL_DEL_CD2_SBI_1_4_!AL12,EL_DEL_CD2_SBI_5_6_!AL12,EL_DEL_CD2_STAB_!AL12,EL_DEL_CD1_WST_PTP_!AL12,EL_DEL_CD1_NTH_PTP_!AL12),"")</f>
        <v/>
      </c>
      <c r="AL12" s="59" t="str">
        <f>IFERROR(AVERAGE(EL_DEL_CD2_JO_!AM12,EL_DEL_CD2_PTP_!AM12,EL_DEL_CD2_SBI_1_4_!AM12,EL_DEL_CD2_SBI_5_6_!AM12,EL_DEL_CD2_STAB_!AM12,EL_DEL_CD1_WST_PTP_!AM12,EL_DEL_CD1_NTH_PTP_!AM12),"")</f>
        <v/>
      </c>
      <c r="AM12" s="59" t="str">
        <f>IFERROR(AVERAGE(EL_DEL_CD2_JO_!AN12,EL_DEL_CD2_PTP_!AN12,EL_DEL_CD2_SBI_1_4_!AN12,EL_DEL_CD2_SBI_5_6_!AN12,EL_DEL_CD2_STAB_!AN12,EL_DEL_CD1_WST_PTP_!AN12,EL_DEL_CD1_NTH_PTP_!AN12),"")</f>
        <v/>
      </c>
      <c r="AN12" s="59" t="str">
        <f>IFERROR(AVERAGE(EL_DEL_CD2_JO_!AO12,EL_DEL_CD2_PTP_!AO12,EL_DEL_CD2_SBI_1_4_!AO12,EL_DEL_CD2_SBI_5_6_!AO12,EL_DEL_CD2_STAB_!AO12,EL_DEL_CD1_WST_PTP_!AO12,EL_DEL_CD1_NTH_PTP_!AO12),"")</f>
        <v/>
      </c>
      <c r="AO12" s="59" t="str">
        <f>IFERROR(AVERAGE(EL_DEL_CD2_JO_!AP12,EL_DEL_CD2_PTP_!AP12,EL_DEL_CD2_SBI_1_4_!AP12,EL_DEL_CD2_SBI_5_6_!AP12,EL_DEL_CD2_STAB_!AP12,EL_DEL_CD1_WST_PTP_!AP12,EL_DEL_CD1_NTH_PTP_!AP12),"")</f>
        <v/>
      </c>
      <c r="AP12" s="59" t="str">
        <f>IFERROR(AVERAGE(EL_DEL_CD2_JO_!AQ12,EL_DEL_CD2_PTP_!AQ12,EL_DEL_CD2_SBI_1_4_!AQ12,EL_DEL_CD2_SBI_5_6_!AQ12,EL_DEL_CD2_STAB_!AQ12,EL_DEL_CD1_WST_PTP_!AQ12,EL_DEL_CD1_NTH_PTP_!AQ12),"")</f>
        <v/>
      </c>
      <c r="AQ12" s="59" t="str">
        <f>IFERROR(AVERAGE(EL_DEL_CD2_JO_!AR12,EL_DEL_CD2_PTP_!AR12,EL_DEL_CD2_SBI_1_4_!AR12,EL_DEL_CD2_SBI_5_6_!AR12,EL_DEL_CD2_STAB_!AR12,EL_DEL_CD1_WST_PTP_!AR12,EL_DEL_CD1_NTH_PTP_!AR12),"")</f>
        <v/>
      </c>
      <c r="AR12" s="59" t="str">
        <f>IFERROR(AVERAGE(EL_DEL_CD2_JO_!AS12,EL_DEL_CD2_PTP_!AS12,EL_DEL_CD2_SBI_1_4_!AS12,EL_DEL_CD2_SBI_5_6_!AS12,EL_DEL_CD2_STAB_!AS12,EL_DEL_CD1_WST_PTP_!AS12,EL_DEL_CD1_NTH_PTP_!AS12),"")</f>
        <v/>
      </c>
      <c r="AS12" s="8">
        <f>SUM(EL_DEL_CD2_JO_!AT12,EL_DEL_CD2_PTP_!AT12,EL_DEL_CD2_SBI_1_4_!AT12,EL_DEL_CD2_SBI_5_6_!AT12,EL_DEL_CD2_STAB_!AT12,EL_DEL_CD1_WST_PTP_!AT12,EL_DEL_CD1_NTH_PTP_!AT12)</f>
        <v>0</v>
      </c>
      <c r="AT12" s="8">
        <f>SUM(EL_DEL_CD2_JO_!AU12,EL_DEL_CD2_PTP_!AU12,EL_DEL_CD2_SBI_1_4_!AU12,EL_DEL_CD2_SBI_5_6_!AU12,EL_DEL_CD2_STAB_!AU12,EL_DEL_CD1_WST_PTP_!AU12,EL_DEL_CD1_NTH_PTP_!AU12)</f>
        <v>0</v>
      </c>
      <c r="AU12" s="9">
        <f>SUM(EL_DEL_CD2_JO_!AV12,EL_DEL_CD2_PTP_!AV12,EL_DEL_CD2_SBI_1_4_!AV12,EL_DEL_CD2_SBI_5_6_!AV12,EL_DEL_CD2_STAB_!AV12,EL_DEL_CD1_WST_PTP_!AV12,EL_DEL_CD1_NTH_PTP_!AV12)</f>
        <v>0</v>
      </c>
      <c r="AV12" s="8" t="str">
        <f>IFERROR(AVERAGE(EL_DEL_CD2_JO_!AW12,EL_DEL_CD2_PTP_!AW12,EL_DEL_CD2_SBI_1_4_!AW12,EL_DEL_CD2_SBI_5_6_!AW12,EL_DEL_CD2_STAB_!AW12,EL_DEL_CD1_WST_PTP_!AW12,EL_DEL_CD1_NTH_PTP_!AW12),"")</f>
        <v/>
      </c>
      <c r="AW12" s="10" t="str">
        <f t="shared" si="1"/>
        <v>-</v>
      </c>
      <c r="AX12" s="39"/>
      <c r="AY12" s="1" t="str">
        <f t="shared" si="2"/>
        <v/>
      </c>
      <c r="AZ12" s="11" t="str">
        <f t="shared" si="3"/>
        <v/>
      </c>
      <c r="BA12" s="1" t="str">
        <f t="shared" si="4"/>
        <v/>
      </c>
      <c r="BB12" s="39"/>
      <c r="BC12" s="53" t="str">
        <f t="shared" si="5"/>
        <v/>
      </c>
      <c r="BD12" s="12" t="str">
        <f t="shared" si="6"/>
        <v/>
      </c>
      <c r="BE12" s="12" t="str">
        <f t="shared" si="7"/>
        <v/>
      </c>
      <c r="BF12" s="12" t="str">
        <f t="shared" si="8"/>
        <v/>
      </c>
      <c r="BG12" s="12" t="str">
        <f t="shared" si="9"/>
        <v/>
      </c>
      <c r="BH12" s="54" t="str">
        <f t="shared" si="10"/>
        <v/>
      </c>
      <c r="BI12" s="39"/>
      <c r="BJ12" s="55" t="str">
        <f t="shared" si="11"/>
        <v/>
      </c>
      <c r="BK12" s="13" t="str">
        <f t="shared" si="12"/>
        <v/>
      </c>
      <c r="BL12" s="13" t="str">
        <f t="shared" si="13"/>
        <v/>
      </c>
      <c r="BM12" s="56" t="str">
        <f t="shared" si="14"/>
        <v/>
      </c>
      <c r="BN12" s="39"/>
      <c r="BO12" s="14" t="str">
        <f t="shared" si="15"/>
        <v/>
      </c>
      <c r="BP12" s="15">
        <v>0</v>
      </c>
      <c r="BQ12" s="15" t="str">
        <f t="shared" si="16"/>
        <v/>
      </c>
      <c r="BR12" s="15" t="str">
        <f t="shared" si="17"/>
        <v/>
      </c>
      <c r="BS12" s="16" t="str">
        <f t="shared" si="18"/>
        <v/>
      </c>
      <c r="BT12" s="39"/>
      <c r="BU12" s="51" t="e">
        <f t="shared" si="19"/>
        <v>#VALUE!</v>
      </c>
      <c r="BV12" s="28" t="e">
        <f t="shared" si="20"/>
        <v>#VALUE!</v>
      </c>
      <c r="BW12" s="28" t="e">
        <f t="shared" si="21"/>
        <v>#VALUE!</v>
      </c>
      <c r="BX12" s="28" t="e">
        <f t="shared" si="22"/>
        <v>#VALUE!</v>
      </c>
      <c r="BY12" s="28" t="e">
        <f t="shared" si="23"/>
        <v>#VALUE!</v>
      </c>
      <c r="BZ12" s="52" t="e">
        <f t="shared" si="24"/>
        <v>#VALUE!</v>
      </c>
      <c r="CA12" s="39"/>
      <c r="CB12" s="49" t="str">
        <f t="shared" si="25"/>
        <v>-</v>
      </c>
      <c r="CC12" s="29" t="str">
        <f t="shared" si="26"/>
        <v>-</v>
      </c>
      <c r="CD12" s="29" t="str">
        <f t="shared" si="27"/>
        <v>-</v>
      </c>
      <c r="CE12" s="29" t="str">
        <f t="shared" si="28"/>
        <v>-</v>
      </c>
      <c r="CF12" s="50" t="str">
        <f t="shared" si="29"/>
        <v>-</v>
      </c>
      <c r="CG12" s="39"/>
    </row>
    <row r="13" spans="1:85" s="27" customFormat="1" ht="12.4" customHeight="1" thickBot="1" x14ac:dyDescent="0.25">
      <c r="A13" s="43">
        <f t="shared" si="30"/>
        <v>46305</v>
      </c>
      <c r="B13" s="44" t="str">
        <f>+TEXT(A13,"DDD")</f>
        <v>Sat</v>
      </c>
      <c r="C13" s="2">
        <f>SUM(EL_DEL_CD2_JO_!C13,EL_DEL_CD2_PTP_!C13,EL_DEL_CD2_SBI_1_4_!C13,EL_DEL_CD2_SBI_5_6_!C13,EL_DEL_CD2_STAB_!C13,EL_DEL_CD1_WST_PTP_!C13,EL_DEL_CD1_NTH_PTP_!C13)</f>
        <v>0</v>
      </c>
      <c r="D13" s="2">
        <f>SUM(EL_DEL_CD2_JO_!D13,EL_DEL_CD2_PTP_!D13,EL_DEL_CD2_SBI_1_4_!D13,EL_DEL_CD2_SBI_5_6_!D13,EL_DEL_CD2_STAB_!D13,EL_DEL_CD1_WST_PTP_!D13,EL_DEL_CD1_NTH_PTP_!D13)</f>
        <v>0</v>
      </c>
      <c r="E13" s="3">
        <f>SUM(EL_DEL_CD2_JO_!E13,EL_DEL_CD2_PTP_!E13,EL_DEL_CD2_SBI_1_4_!E13,EL_DEL_CD2_SBI_5_6_!E13,EL_DEL_CD2_STAB_!E13,EL_DEL_CD1_WST_PTP_!E13,EL_DEL_CD1_NTH_PTP_!E13)</f>
        <v>0</v>
      </c>
      <c r="F13" s="2">
        <f>SUM(EL_DEL_CD2_JO_!F13,EL_DEL_CD2_PTP_!F13,EL_DEL_CD2_SBI_1_4_!F13,EL_DEL_CD2_SBI_5_6_!F13,EL_DEL_CD2_STAB_!F13,EL_DEL_CD1_WST_PTP_!F13,EL_DEL_CD1_NTH_PTP_!F13)</f>
        <v>0</v>
      </c>
      <c r="G13" s="2">
        <f>SUM(EL_DEL_CD2_JO_!G13,EL_DEL_CD2_PTP_!G13,EL_DEL_CD2_SBI_1_4_!G13,EL_DEL_CD2_SBI_5_6_!G13,EL_DEL_CD2_STAB_!G13,EL_DEL_CD1_WST_PTP_!G13,EL_DEL_CD1_NTH_PTP_!G13)</f>
        <v>0</v>
      </c>
      <c r="H13" s="4">
        <f>SUM(EL_DEL_CD2_JO_!H13,EL_DEL_CD2_PTP_!H13,EL_DEL_CD2_SBI_1_4_!H13,EL_DEL_CD2_SBI_5_6_!H13,EL_DEL_CD2_STAB_!H13,EL_DEL_CD1_WST_PTP_!H13,EL_DEL_CD1_NTH_PTP_!H13)</f>
        <v>0</v>
      </c>
      <c r="I13" s="4">
        <f>SUM(EL_DEL_CD2_JO_!I13,EL_DEL_CD2_PTP_!I13,EL_DEL_CD2_SBI_1_4_!I13,EL_DEL_CD2_SBI_5_6_!I13,EL_DEL_CD2_STAB_!I13,EL_DEL_CD1_WST_PTP_!I13,EL_DEL_CD1_NTH_PTP_!I13)</f>
        <v>0</v>
      </c>
      <c r="J13" s="58">
        <f>SUM(EL_DEL_CD2_JO_!J13,EL_DEL_CD2_PTP_!J13,EL_DEL_CD2_SBI_1_4_!J13,EL_DEL_CD2_SBI_5_6_!J13,EL_DEL_CD2_STAB_!J13,EL_DEL_CD1_WST_PTP_!J13,EL_DEL_CD1_NTH_PTP_!J13)</f>
        <v>0</v>
      </c>
      <c r="K13" s="5">
        <f>SUM(EL_DEL_CD2_JO_!K13,EL_DEL_CD2_PTP_!K13,EL_DEL_CD2_SBI_1_4_!K13,EL_DEL_CD2_SBI_5_6_!K13,EL_DEL_CD2_STAB_!K13,EL_DEL_CD1_WST_PTP_!K13,EL_DEL_CD1_NTH_PTP_!K13)</f>
        <v>0</v>
      </c>
      <c r="L13" s="2">
        <f>SUM(EL_DEL_CD2_JO_!L13,EL_DEL_CD2_PTP_!L13,EL_DEL_CD2_SBI_1_4_!L13,EL_DEL_CD2_SBI_5_6_!L13,EL_DEL_CD2_STAB_!L13,EL_DEL_CD1_WST_PTP_!L13,EL_DEL_CD1_NTH_PTP_!L13)</f>
        <v>0</v>
      </c>
      <c r="M13" s="2">
        <f>SUM(EL_DEL_CD2_JO_!M13,EL_DEL_CD2_PTP_!M13,EL_DEL_CD2_SBI_1_4_!M13,EL_DEL_CD2_SBI_5_6_!M13,EL_DEL_CD2_STAB_!M13,EL_DEL_CD1_WST_PTP_!M13,EL_DEL_CD1_NTH_PTP_!M13)</f>
        <v>0</v>
      </c>
      <c r="N13" s="2">
        <f>SUM(EL_DEL_CD2_JO_!N13,EL_DEL_CD2_PTP_!N13,EL_DEL_CD2_SBI_1_4_!N13,EL_DEL_CD2_SBI_5_6_!N13,EL_DEL_CD2_STAB_!N13,EL_DEL_CD1_WST_PTP_!N13,EL_DEL_CD1_NTH_PTP_!N13)</f>
        <v>0</v>
      </c>
      <c r="O13" s="2">
        <f>SUM(EL_DEL_CD2_JO_!O13,EL_DEL_CD2_PTP_!O13,EL_DEL_CD2_SBI_1_4_!O13,EL_DEL_CD2_SBI_5_6_!O13,EL_DEL_CD2_STAB_!O13,EL_DEL_CD1_WST_PTP_!O13,EL_DEL_CD1_NTH_PTP_!O13)</f>
        <v>0</v>
      </c>
      <c r="P13" s="3">
        <f>SUM(EL_DEL_CD2_JO_!P13,EL_DEL_CD2_PTP_!P13,EL_DEL_CD2_SBI_1_4_!P13,EL_DEL_CD2_SBI_5_6_!P13,EL_DEL_CD2_STAB_!P13,EL_DEL_CD1_WST_PTP_!P13,EL_DEL_CD1_NTH_PTP_!P13)</f>
        <v>0</v>
      </c>
      <c r="Q13" s="2">
        <f>SUM(EL_DEL_CD2_JO_!Q13,EL_DEL_CD2_PTP_!Q13,EL_DEL_CD2_SBI_1_4_!Q13,EL_DEL_CD2_SBI_5_6_!Q13,EL_DEL_CD2_STAB_!Q13,EL_DEL_CD1_WST_PTP_!Q13,EL_DEL_CD1_NTH_PTP_!Q13)</f>
        <v>0</v>
      </c>
      <c r="R13" s="2">
        <f>SUM(EL_DEL_CD2_JO_!R13,EL_DEL_CD2_PTP_!R13,EL_DEL_CD2_SBI_1_4_!R13,EL_DEL_CD2_SBI_5_6_!R13,EL_DEL_CD2_STAB_!R13,EL_DEL_CD1_WST_PTP_!R13,EL_DEL_CD1_NTH_PTP_!R13)</f>
        <v>0</v>
      </c>
      <c r="S13" s="2">
        <f>SUM(EL_DEL_CD2_JO_!S13,EL_DEL_CD2_PTP_!S13,EL_DEL_CD2_SBI_1_4_!S13,EL_DEL_CD2_SBI_5_6_!S13,EL_DEL_CD2_STAB_!S13,EL_DEL_CD1_WST_PTP_!S13,EL_DEL_CD1_NTH_PTP_!S13)</f>
        <v>0</v>
      </c>
      <c r="T13" s="2">
        <f>SUM(EL_DEL_CD2_JO_!T13,EL_DEL_CD2_PTP_!T13,EL_DEL_CD2_SBI_1_4_!T13,EL_DEL_CD2_SBI_5_6_!T13,EL_DEL_CD2_STAB_!T13,EL_DEL_CD1_WST_PTP_!T13,EL_DEL_CD1_NTH_PTP_!T13)</f>
        <v>0</v>
      </c>
      <c r="U13" s="3">
        <f>SUM(EL_DEL_CD2_JO_!V13,EL_DEL_CD2_PTP_!V13,EL_DEL_CD2_SBI_1_4_!V13,EL_DEL_CD2_SBI_5_6_!V13,EL_DEL_CD2_STAB_!V13,EL_DEL_CD1_WST_PTP_!V13,EL_DEL_CD1_NTH_PTP_!V13)</f>
        <v>0</v>
      </c>
      <c r="V13" s="3">
        <f>SUM(EL_DEL_CD2_JO_!W13,EL_DEL_CD2_PTP_!W13,EL_DEL_CD2_SBI_1_4_!W13,EL_DEL_CD2_SBI_5_6_!W13,EL_DEL_CD2_STAB_!W13,EL_DEL_CD1_WST_PTP_!W13,EL_DEL_CD1_NTH_PTP_!W13)</f>
        <v>0</v>
      </c>
      <c r="W13" s="2">
        <f>SUM(EL_DEL_CD2_JO_!X13,EL_DEL_CD2_PTP_!X13,EL_DEL_CD2_SBI_1_4_!X13,EL_DEL_CD2_SBI_5_6_!X13,EL_DEL_CD2_STAB_!X13,EL_DEL_CD1_WST_PTP_!X13,EL_DEL_CD1_NTH_PTP_!X13)</f>
        <v>0</v>
      </c>
      <c r="X13" s="2">
        <f>SUM(EL_DEL_CD2_JO_!Y13,EL_DEL_CD2_PTP_!Y13,EL_DEL_CD2_SBI_1_4_!Y13,EL_DEL_CD2_SBI_5_6_!Y13,EL_DEL_CD2_STAB_!Y13,EL_DEL_CD1_WST_PTP_!Y13,EL_DEL_CD1_NTH_PTP_!Y13)</f>
        <v>0</v>
      </c>
      <c r="Y13" s="2">
        <f>SUM(EL_DEL_CD2_JO_!Z13,EL_DEL_CD2_PTP_!Z13,EL_DEL_CD2_SBI_1_4_!Z13,EL_DEL_CD2_SBI_5_6_!Z13,EL_DEL_CD2_STAB_!Z13,EL_DEL_CD1_WST_PTP_!Z13,EL_DEL_CD1_NTH_PTP_!Z13)</f>
        <v>0</v>
      </c>
      <c r="Z13" s="2">
        <f>SUM(EL_DEL_CD2_JO_!AA13,EL_DEL_CD2_PTP_!AA13,EL_DEL_CD2_SBI_1_4_!AA13,EL_DEL_CD2_SBI_5_6_!AA13,EL_DEL_CD2_STAB_!AA13,EL_DEL_CD1_WST_PTP_!AA13,EL_DEL_CD1_NTH_PTP_!AA13)</f>
        <v>0</v>
      </c>
      <c r="AA13" s="2">
        <f>SUM(EL_DEL_CD2_JO_!AB13,EL_DEL_CD2_PTP_!AB13,EL_DEL_CD2_SBI_1_4_!AB13,EL_DEL_CD2_SBI_5_6_!AB13,EL_DEL_CD2_STAB_!AB13,EL_DEL_CD1_WST_PTP_!AB13,EL_DEL_CD1_NTH_PTP_!AB13)</f>
        <v>0</v>
      </c>
      <c r="AB13" s="2">
        <f>SUM(EL_DEL_CD2_JO_!AC13,EL_DEL_CD2_PTP_!AC13,EL_DEL_CD2_SBI_1_4_!AC13,EL_DEL_CD2_SBI_5_6_!AC13,EL_DEL_CD2_STAB_!AC13,EL_DEL_CD1_WST_PTP_!AC13,EL_DEL_CD1_NTH_PTP_!AC13)</f>
        <v>0</v>
      </c>
      <c r="AC13" s="2">
        <f>SUM(EL_DEL_CD2_JO_!AD13,EL_DEL_CD2_PTP_!AD13,EL_DEL_CD2_SBI_1_4_!AD13,EL_DEL_CD2_SBI_5_6_!AD13,EL_DEL_CD2_STAB_!AD13,EL_DEL_CD1_WST_PTP_!AD13,EL_DEL_CD1_NTH_PTP_!AD13)</f>
        <v>0</v>
      </c>
      <c r="AD13" s="2">
        <f>SUM(EL_DEL_CD2_JO_!AE13,EL_DEL_CD2_PTP_!AE13,EL_DEL_CD2_SBI_1_4_!AE13,EL_DEL_CD2_SBI_5_6_!AE13,EL_DEL_CD2_STAB_!AE13,EL_DEL_CD1_WST_PTP_!AE13,EL_DEL_CD1_NTH_PTP_!AE13)</f>
        <v>0</v>
      </c>
      <c r="AE13" s="3">
        <f>SUM(EL_DEL_CD2_JO_!AF13,EL_DEL_CD2_PTP_!AF13,EL_DEL_CD2_SBI_1_4_!AF13,EL_DEL_CD2_SBI_5_6_!AF13,EL_DEL_CD2_STAB_!AF13,EL_DEL_CD1_WST_PTP_!AF13,EL_DEL_CD1_NTH_PTP_!AF13)</f>
        <v>0</v>
      </c>
      <c r="AF13" s="3">
        <f>SUM(EL_DEL_CD2_JO_!AG13,EL_DEL_CD2_PTP_!AG13,EL_DEL_CD2_SBI_1_4_!AG13,EL_DEL_CD2_SBI_5_6_!AG13,EL_DEL_CD2_STAB_!AG13,EL_DEL_CD1_WST_PTP_!AG13,EL_DEL_CD1_NTH_PTP_!AG13)</f>
        <v>0</v>
      </c>
      <c r="AG13" s="2">
        <f>SUM(EL_DEL_CD2_JO_!AH13,EL_DEL_CD2_PTP_!AH13,EL_DEL_CD2_SBI_1_4_!AH13,EL_DEL_CD2_SBI_5_6_!AH13,EL_DEL_CD2_STAB_!AH13,EL_DEL_CD1_WST_PTP_!AH13,EL_DEL_CD1_NTH_PTP_!AH13)</f>
        <v>0</v>
      </c>
      <c r="AH13" s="6">
        <f>SUM(EL_DEL_CD2_JO_!AI13,EL_DEL_CD2_PTP_!AI13,EL_DEL_CD2_SBI_1_4_!AI13,EL_DEL_CD2_SBI_5_6_!AI13,EL_DEL_CD2_STAB_!AI13,EL_DEL_CD1_WST_PTP_!AI13,EL_DEL_CD1_NTH_PTP_!AI13)</f>
        <v>0</v>
      </c>
      <c r="AI13" s="7">
        <f>SUM(EL_DEL_CD2_JO_!AJ13,EL_DEL_CD2_PTP_!AJ13,EL_DEL_CD2_SBI_1_4_!AJ13,EL_DEL_CD2_SBI_5_6_!AJ13,EL_DEL_CD2_STAB_!AJ13,EL_DEL_CD1_WST_PTP_!AJ13,EL_DEL_CD1_NTH_PTP_!AJ13)</f>
        <v>0</v>
      </c>
      <c r="AJ13" s="6">
        <f>SUM(EL_DEL_CD2_JO_!AK13,EL_DEL_CD2_PTP_!AK13,EL_DEL_CD2_SBI_1_4_!AK13,EL_DEL_CD2_SBI_5_6_!AK13,EL_DEL_CD2_STAB_!AK13,EL_DEL_CD1_WST_PTP_!AK13,EL_DEL_CD1_NTH_PTP_!AK13)</f>
        <v>0</v>
      </c>
      <c r="AK13" s="59" t="str">
        <f>IFERROR(AVERAGE(EL_DEL_CD2_JO_!AL13,EL_DEL_CD2_PTP_!AL13,EL_DEL_CD2_SBI_1_4_!AL13,EL_DEL_CD2_SBI_5_6_!AL13,EL_DEL_CD2_STAB_!AL13,EL_DEL_CD1_WST_PTP_!AL13,EL_DEL_CD1_NTH_PTP_!AL13),"")</f>
        <v/>
      </c>
      <c r="AL13" s="59" t="str">
        <f>IFERROR(AVERAGE(EL_DEL_CD2_JO_!AM13,EL_DEL_CD2_PTP_!AM13,EL_DEL_CD2_SBI_1_4_!AM13,EL_DEL_CD2_SBI_5_6_!AM13,EL_DEL_CD2_STAB_!AM13,EL_DEL_CD1_WST_PTP_!AM13,EL_DEL_CD1_NTH_PTP_!AM13),"")</f>
        <v/>
      </c>
      <c r="AM13" s="59" t="str">
        <f>IFERROR(AVERAGE(EL_DEL_CD2_JO_!AN13,EL_DEL_CD2_PTP_!AN13,EL_DEL_CD2_SBI_1_4_!AN13,EL_DEL_CD2_SBI_5_6_!AN13,EL_DEL_CD2_STAB_!AN13,EL_DEL_CD1_WST_PTP_!AN13,EL_DEL_CD1_NTH_PTP_!AN13),"")</f>
        <v/>
      </c>
      <c r="AN13" s="59" t="str">
        <f>IFERROR(AVERAGE(EL_DEL_CD2_JO_!AO13,EL_DEL_CD2_PTP_!AO13,EL_DEL_CD2_SBI_1_4_!AO13,EL_DEL_CD2_SBI_5_6_!AO13,EL_DEL_CD2_STAB_!AO13,EL_DEL_CD1_WST_PTP_!AO13,EL_DEL_CD1_NTH_PTP_!AO13),"")</f>
        <v/>
      </c>
      <c r="AO13" s="59" t="str">
        <f>IFERROR(AVERAGE(EL_DEL_CD2_JO_!AP13,EL_DEL_CD2_PTP_!AP13,EL_DEL_CD2_SBI_1_4_!AP13,EL_DEL_CD2_SBI_5_6_!AP13,EL_DEL_CD2_STAB_!AP13,EL_DEL_CD1_WST_PTP_!AP13,EL_DEL_CD1_NTH_PTP_!AP13),"")</f>
        <v/>
      </c>
      <c r="AP13" s="59" t="str">
        <f>IFERROR(AVERAGE(EL_DEL_CD2_JO_!AQ13,EL_DEL_CD2_PTP_!AQ13,EL_DEL_CD2_SBI_1_4_!AQ13,EL_DEL_CD2_SBI_5_6_!AQ13,EL_DEL_CD2_STAB_!AQ13,EL_DEL_CD1_WST_PTP_!AQ13,EL_DEL_CD1_NTH_PTP_!AQ13),"")</f>
        <v/>
      </c>
      <c r="AQ13" s="59" t="str">
        <f>IFERROR(AVERAGE(EL_DEL_CD2_JO_!AR13,EL_DEL_CD2_PTP_!AR13,EL_DEL_CD2_SBI_1_4_!AR13,EL_DEL_CD2_SBI_5_6_!AR13,EL_DEL_CD2_STAB_!AR13,EL_DEL_CD1_WST_PTP_!AR13,EL_DEL_CD1_NTH_PTP_!AR13),"")</f>
        <v/>
      </c>
      <c r="AR13" s="59" t="str">
        <f>IFERROR(AVERAGE(EL_DEL_CD2_JO_!AS13,EL_DEL_CD2_PTP_!AS13,EL_DEL_CD2_SBI_1_4_!AS13,EL_DEL_CD2_SBI_5_6_!AS13,EL_DEL_CD2_STAB_!AS13,EL_DEL_CD1_WST_PTP_!AS13,EL_DEL_CD1_NTH_PTP_!AS13),"")</f>
        <v/>
      </c>
      <c r="AS13" s="8">
        <f>SUM(EL_DEL_CD2_JO_!AT13,EL_DEL_CD2_PTP_!AT13,EL_DEL_CD2_SBI_1_4_!AT13,EL_DEL_CD2_SBI_5_6_!AT13,EL_DEL_CD2_STAB_!AT13,EL_DEL_CD1_WST_PTP_!AT13,EL_DEL_CD1_NTH_PTP_!AT13)</f>
        <v>0</v>
      </c>
      <c r="AT13" s="8">
        <f>SUM(EL_DEL_CD2_JO_!AU13,EL_DEL_CD2_PTP_!AU13,EL_DEL_CD2_SBI_1_4_!AU13,EL_DEL_CD2_SBI_5_6_!AU13,EL_DEL_CD2_STAB_!AU13,EL_DEL_CD1_WST_PTP_!AU13,EL_DEL_CD1_NTH_PTP_!AU13)</f>
        <v>0</v>
      </c>
      <c r="AU13" s="9">
        <f>SUM(EL_DEL_CD2_JO_!AV13,EL_DEL_CD2_PTP_!AV13,EL_DEL_CD2_SBI_1_4_!AV13,EL_DEL_CD2_SBI_5_6_!AV13,EL_DEL_CD2_STAB_!AV13,EL_DEL_CD1_WST_PTP_!AV13,EL_DEL_CD1_NTH_PTP_!AV13)</f>
        <v>0</v>
      </c>
      <c r="AV13" s="8" t="str">
        <f>IFERROR(AVERAGE(EL_DEL_CD2_JO_!AW13,EL_DEL_CD2_PTP_!AW13,EL_DEL_CD2_SBI_1_4_!AW13,EL_DEL_CD2_SBI_5_6_!AW13,EL_DEL_CD2_STAB_!AW13,EL_DEL_CD1_WST_PTP_!AW13,EL_DEL_CD1_NTH_PTP_!AW13),"")</f>
        <v/>
      </c>
      <c r="AW13" s="10" t="str">
        <f t="shared" si="1"/>
        <v>-</v>
      </c>
      <c r="AX13" s="39"/>
      <c r="AY13" s="1" t="str">
        <f t="shared" si="2"/>
        <v/>
      </c>
      <c r="AZ13" s="11" t="str">
        <f t="shared" si="3"/>
        <v/>
      </c>
      <c r="BA13" s="1" t="str">
        <f t="shared" si="4"/>
        <v/>
      </c>
      <c r="BB13" s="39"/>
      <c r="BC13" s="53" t="str">
        <f t="shared" si="5"/>
        <v/>
      </c>
      <c r="BD13" s="12" t="str">
        <f t="shared" si="6"/>
        <v/>
      </c>
      <c r="BE13" s="12" t="str">
        <f t="shared" si="7"/>
        <v/>
      </c>
      <c r="BF13" s="12" t="str">
        <f t="shared" si="8"/>
        <v/>
      </c>
      <c r="BG13" s="12" t="str">
        <f t="shared" si="9"/>
        <v/>
      </c>
      <c r="BH13" s="54" t="str">
        <f t="shared" si="10"/>
        <v/>
      </c>
      <c r="BI13" s="39"/>
      <c r="BJ13" s="55" t="str">
        <f t="shared" si="11"/>
        <v/>
      </c>
      <c r="BK13" s="13" t="str">
        <f t="shared" si="12"/>
        <v/>
      </c>
      <c r="BL13" s="13" t="str">
        <f t="shared" si="13"/>
        <v/>
      </c>
      <c r="BM13" s="56" t="str">
        <f t="shared" si="14"/>
        <v/>
      </c>
      <c r="BN13" s="39"/>
      <c r="BO13" s="14" t="str">
        <f t="shared" si="15"/>
        <v/>
      </c>
      <c r="BP13" s="15">
        <v>0</v>
      </c>
      <c r="BQ13" s="15" t="str">
        <f t="shared" si="16"/>
        <v/>
      </c>
      <c r="BR13" s="15" t="str">
        <f t="shared" si="17"/>
        <v/>
      </c>
      <c r="BS13" s="16" t="str">
        <f t="shared" si="18"/>
        <v/>
      </c>
      <c r="BT13" s="39"/>
      <c r="BU13" s="51" t="e">
        <f t="shared" si="19"/>
        <v>#VALUE!</v>
      </c>
      <c r="BV13" s="28" t="e">
        <f t="shared" si="20"/>
        <v>#VALUE!</v>
      </c>
      <c r="BW13" s="28" t="e">
        <f t="shared" si="21"/>
        <v>#VALUE!</v>
      </c>
      <c r="BX13" s="28" t="e">
        <f t="shared" si="22"/>
        <v>#VALUE!</v>
      </c>
      <c r="BY13" s="28" t="e">
        <f t="shared" si="23"/>
        <v>#VALUE!</v>
      </c>
      <c r="BZ13" s="52" t="e">
        <f t="shared" si="24"/>
        <v>#VALUE!</v>
      </c>
      <c r="CA13" s="39"/>
      <c r="CB13" s="49" t="str">
        <f t="shared" si="25"/>
        <v>-</v>
      </c>
      <c r="CC13" s="29" t="str">
        <f t="shared" si="26"/>
        <v>-</v>
      </c>
      <c r="CD13" s="29" t="str">
        <f t="shared" si="27"/>
        <v>-</v>
      </c>
      <c r="CE13" s="29" t="str">
        <f t="shared" si="28"/>
        <v>-</v>
      </c>
      <c r="CF13" s="50" t="str">
        <f t="shared" si="29"/>
        <v>-</v>
      </c>
      <c r="CG13" s="39"/>
    </row>
    <row r="14" spans="1:85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2">
        <f>SUM(EL_DEL_CD2_JO_!C14,EL_DEL_CD2_PTP_!C14,EL_DEL_CD2_SBI_1_4_!C14,EL_DEL_CD2_SBI_5_6_!C14,EL_DEL_CD2_STAB_!C14,EL_DEL_CD1_WST_PTP_!C14,EL_DEL_CD1_NTH_PTP_!C14)</f>
        <v>0</v>
      </c>
      <c r="D14" s="2">
        <f>SUM(EL_DEL_CD2_JO_!D14,EL_DEL_CD2_PTP_!D14,EL_DEL_CD2_SBI_1_4_!D14,EL_DEL_CD2_SBI_5_6_!D14,EL_DEL_CD2_STAB_!D14,EL_DEL_CD1_WST_PTP_!D14,EL_DEL_CD1_NTH_PTP_!D14)</f>
        <v>0</v>
      </c>
      <c r="E14" s="3">
        <f>SUM(EL_DEL_CD2_JO_!E14,EL_DEL_CD2_PTP_!E14,EL_DEL_CD2_SBI_1_4_!E14,EL_DEL_CD2_SBI_5_6_!E14,EL_DEL_CD2_STAB_!E14,EL_DEL_CD1_WST_PTP_!E14,EL_DEL_CD1_NTH_PTP_!E14)</f>
        <v>0</v>
      </c>
      <c r="F14" s="2">
        <f>SUM(EL_DEL_CD2_JO_!F14,EL_DEL_CD2_PTP_!F14,EL_DEL_CD2_SBI_1_4_!F14,EL_DEL_CD2_SBI_5_6_!F14,EL_DEL_CD2_STAB_!F14,EL_DEL_CD1_WST_PTP_!F14,EL_DEL_CD1_NTH_PTP_!F14)</f>
        <v>0</v>
      </c>
      <c r="G14" s="2">
        <f>SUM(EL_DEL_CD2_JO_!G14,EL_DEL_CD2_PTP_!G14,EL_DEL_CD2_SBI_1_4_!G14,EL_DEL_CD2_SBI_5_6_!G14,EL_DEL_CD2_STAB_!G14,EL_DEL_CD1_WST_PTP_!G14,EL_DEL_CD1_NTH_PTP_!G14)</f>
        <v>0</v>
      </c>
      <c r="H14" s="4">
        <f>SUM(EL_DEL_CD2_JO_!H14,EL_DEL_CD2_PTP_!H14,EL_DEL_CD2_SBI_1_4_!H14,EL_DEL_CD2_SBI_5_6_!H14,EL_DEL_CD2_STAB_!H14,EL_DEL_CD1_WST_PTP_!H14,EL_DEL_CD1_NTH_PTP_!H14)</f>
        <v>0</v>
      </c>
      <c r="I14" s="4">
        <f>SUM(EL_DEL_CD2_JO_!J17,EL_DEL_CD2_PTP_!I14,EL_DEL_CD2_SBI_1_4_!I14,EL_DEL_CD2_SBI_5_6_!I14,EL_DEL_CD2_STAB_!I14,EL_DEL_CD1_WST_PTP_!I14,EL_DEL_CD1_NTH_PTP_!I14)</f>
        <v>0</v>
      </c>
      <c r="J14" s="58">
        <f>SUM(EL_DEL_CD2_JO_!J14,EL_DEL_CD2_PTP_!J14,EL_DEL_CD2_SBI_1_4_!J14,EL_DEL_CD2_SBI_5_6_!J14,EL_DEL_CD2_STAB_!J14,EL_DEL_CD1_WST_PTP_!J14,EL_DEL_CD1_NTH_PTP_!J14)</f>
        <v>0</v>
      </c>
      <c r="K14" s="5">
        <f>SUM(EL_DEL_CD2_JO_!K14,EL_DEL_CD2_PTP_!K14,EL_DEL_CD2_SBI_1_4_!K14,EL_DEL_CD2_SBI_5_6_!K14,EL_DEL_CD2_STAB_!K14,EL_DEL_CD1_WST_PTP_!K14,EL_DEL_CD1_NTH_PTP_!K14)</f>
        <v>0</v>
      </c>
      <c r="L14" s="2">
        <f>SUM(EL_DEL_CD2_JO_!L14,EL_DEL_CD2_PTP_!L14,EL_DEL_CD2_SBI_1_4_!L14,EL_DEL_CD2_SBI_5_6_!L14,EL_DEL_CD2_STAB_!L14,EL_DEL_CD1_WST_PTP_!L14,EL_DEL_CD1_NTH_PTP_!L14)</f>
        <v>0</v>
      </c>
      <c r="M14" s="2">
        <f>SUM(EL_DEL_CD2_JO_!M14,EL_DEL_CD2_PTP_!M14,EL_DEL_CD2_SBI_1_4_!M14,EL_DEL_CD2_SBI_5_6_!M14,EL_DEL_CD2_STAB_!M14,EL_DEL_CD1_WST_PTP_!M14,EL_DEL_CD1_NTH_PTP_!M14)</f>
        <v>0</v>
      </c>
      <c r="N14" s="2">
        <f>SUM(EL_DEL_CD2_JO_!N14,EL_DEL_CD2_PTP_!N14,EL_DEL_CD2_SBI_1_4_!N14,EL_DEL_CD2_SBI_5_6_!N14,EL_DEL_CD2_STAB_!N14,EL_DEL_CD1_WST_PTP_!N14,EL_DEL_CD1_NTH_PTP_!N14)</f>
        <v>0</v>
      </c>
      <c r="O14" s="2">
        <f>SUM(EL_DEL_CD2_JO_!O14,EL_DEL_CD2_PTP_!O14,EL_DEL_CD2_SBI_1_4_!O14,EL_DEL_CD2_SBI_5_6_!O14,EL_DEL_CD2_STAB_!O14,EL_DEL_CD1_WST_PTP_!O14,EL_DEL_CD1_NTH_PTP_!O14)</f>
        <v>0</v>
      </c>
      <c r="P14" s="3">
        <f>SUM(EL_DEL_CD2_JO_!P14,EL_DEL_CD2_PTP_!P14,EL_DEL_CD2_SBI_1_4_!P14,EL_DEL_CD2_SBI_5_6_!P14,EL_DEL_CD2_STAB_!P14,EL_DEL_CD1_WST_PTP_!P14,EL_DEL_CD1_NTH_PTP_!P14)</f>
        <v>0</v>
      </c>
      <c r="Q14" s="2">
        <f>SUM(EL_DEL_CD2_JO_!Q14,EL_DEL_CD2_PTP_!Q14,EL_DEL_CD2_SBI_1_4_!Q14,EL_DEL_CD2_SBI_5_6_!Q14,EL_DEL_CD2_STAB_!Q14,EL_DEL_CD1_WST_PTP_!Q14,EL_DEL_CD1_NTH_PTP_!Q14)</f>
        <v>0</v>
      </c>
      <c r="R14" s="2">
        <f>SUM(EL_DEL_CD2_JO_!R14,EL_DEL_CD2_PTP_!R14,EL_DEL_CD2_SBI_1_4_!R14,EL_DEL_CD2_SBI_5_6_!R14,EL_DEL_CD2_STAB_!R14,EL_DEL_CD1_WST_PTP_!R14,EL_DEL_CD1_NTH_PTP_!R14)</f>
        <v>0</v>
      </c>
      <c r="S14" s="2">
        <f>SUM(EL_DEL_CD2_JO_!S14,EL_DEL_CD2_PTP_!S14,EL_DEL_CD2_SBI_1_4_!S14,EL_DEL_CD2_SBI_5_6_!S14,EL_DEL_CD2_STAB_!S14,EL_DEL_CD1_WST_PTP_!S14,EL_DEL_CD1_NTH_PTP_!S14)</f>
        <v>0</v>
      </c>
      <c r="T14" s="2">
        <f>SUM(EL_DEL_CD2_JO_!T14,EL_DEL_CD2_PTP_!T14,EL_DEL_CD2_SBI_1_4_!T14,EL_DEL_CD2_SBI_5_6_!T14,EL_DEL_CD2_STAB_!T14,EL_DEL_CD1_WST_PTP_!T14,EL_DEL_CD1_NTH_PTP_!T14)</f>
        <v>0</v>
      </c>
      <c r="U14" s="3">
        <f>SUM(EL_DEL_CD2_JO_!V14,EL_DEL_CD2_PTP_!V14,EL_DEL_CD2_SBI_1_4_!V14,EL_DEL_CD2_SBI_5_6_!V14,EL_DEL_CD2_STAB_!V14,EL_DEL_CD1_WST_PTP_!V14,EL_DEL_CD1_NTH_PTP_!V14)</f>
        <v>0</v>
      </c>
      <c r="V14" s="3">
        <f>SUM(EL_DEL_CD2_JO_!W14,EL_DEL_CD2_PTP_!W14,EL_DEL_CD2_SBI_1_4_!W14,EL_DEL_CD2_SBI_5_6_!W14,EL_DEL_CD2_STAB_!W14,EL_DEL_CD1_WST_PTP_!W14,EL_DEL_CD1_NTH_PTP_!W14)</f>
        <v>0</v>
      </c>
      <c r="W14" s="2">
        <f>SUM(EL_DEL_CD2_JO_!X14,EL_DEL_CD2_PTP_!X14,EL_DEL_CD2_SBI_1_4_!X14,EL_DEL_CD2_SBI_5_6_!X14,EL_DEL_CD2_STAB_!X14,EL_DEL_CD1_WST_PTP_!X14,EL_DEL_CD1_NTH_PTP_!X14)</f>
        <v>0</v>
      </c>
      <c r="X14" s="2">
        <f>SUM(EL_DEL_CD2_JO_!Y14,EL_DEL_CD2_PTP_!Y14,EL_DEL_CD2_SBI_1_4_!Y14,EL_DEL_CD2_SBI_5_6_!Y14,EL_DEL_CD2_STAB_!Y14,EL_DEL_CD1_WST_PTP_!Y14,EL_DEL_CD1_NTH_PTP_!Y14)</f>
        <v>0</v>
      </c>
      <c r="Y14" s="2">
        <f>SUM(EL_DEL_CD2_JO_!Z14,EL_DEL_CD2_PTP_!Z14,EL_DEL_CD2_SBI_1_4_!Z14,EL_DEL_CD2_SBI_5_6_!Z14,EL_DEL_CD2_STAB_!Z14,EL_DEL_CD1_WST_PTP_!Z14,EL_DEL_CD1_NTH_PTP_!Z14)</f>
        <v>0</v>
      </c>
      <c r="Z14" s="2">
        <f>SUM(EL_DEL_CD2_JO_!AA14,EL_DEL_CD2_PTP_!AA14,EL_DEL_CD2_SBI_1_4_!AA14,EL_DEL_CD2_SBI_5_6_!AA14,EL_DEL_CD2_STAB_!AA14,EL_DEL_CD1_WST_PTP_!AA14,EL_DEL_CD1_NTH_PTP_!AA14)</f>
        <v>0</v>
      </c>
      <c r="AA14" s="2">
        <f>SUM(EL_DEL_CD2_JO_!AB14,EL_DEL_CD2_PTP_!AB14,EL_DEL_CD2_SBI_1_4_!AB14,EL_DEL_CD2_SBI_5_6_!AB14,EL_DEL_CD2_STAB_!AB14,EL_DEL_CD1_WST_PTP_!AB14,EL_DEL_CD1_NTH_PTP_!AB14)</f>
        <v>0</v>
      </c>
      <c r="AB14" s="2">
        <f>SUM(EL_DEL_CD2_JO_!AC14,EL_DEL_CD2_PTP_!AC14,EL_DEL_CD2_SBI_1_4_!AC14,EL_DEL_CD2_SBI_5_6_!AC14,EL_DEL_CD2_STAB_!AC14,EL_DEL_CD1_WST_PTP_!AC14,EL_DEL_CD1_NTH_PTP_!AC14)</f>
        <v>0</v>
      </c>
      <c r="AC14" s="2">
        <f>SUM(EL_DEL_CD2_JO_!AD14,EL_DEL_CD2_PTP_!AD14,EL_DEL_CD2_SBI_1_4_!AD14,EL_DEL_CD2_SBI_5_6_!AD14,EL_DEL_CD2_STAB_!AD14,EL_DEL_CD1_WST_PTP_!AD14,EL_DEL_CD1_NTH_PTP_!AD14)</f>
        <v>0</v>
      </c>
      <c r="AD14" s="2">
        <f>SUM(EL_DEL_CD2_JO_!AE14,EL_DEL_CD2_PTP_!AE14,EL_DEL_CD2_SBI_1_4_!AE14,EL_DEL_CD2_SBI_5_6_!AE14,EL_DEL_CD2_STAB_!AE14,EL_DEL_CD1_WST_PTP_!AE14,EL_DEL_CD1_NTH_PTP_!AE14)</f>
        <v>0</v>
      </c>
      <c r="AE14" s="3">
        <f>SUM(EL_DEL_CD2_JO_!AF14,EL_DEL_CD2_PTP_!AF14,EL_DEL_CD2_SBI_1_4_!AF14,EL_DEL_CD2_SBI_5_6_!AF14,EL_DEL_CD2_STAB_!AF14,EL_DEL_CD1_WST_PTP_!AF14,EL_DEL_CD1_NTH_PTP_!AF14)</f>
        <v>0</v>
      </c>
      <c r="AF14" s="3">
        <f>SUM(EL_DEL_CD2_JO_!AG14,EL_DEL_CD2_PTP_!AG14,EL_DEL_CD2_SBI_1_4_!AG14,EL_DEL_CD2_SBI_5_6_!AG14,EL_DEL_CD2_STAB_!AG14,EL_DEL_CD1_WST_PTP_!AG14,EL_DEL_CD1_NTH_PTP_!AG14)</f>
        <v>0</v>
      </c>
      <c r="AG14" s="2">
        <f>SUM(EL_DEL_CD2_JO_!AH14,EL_DEL_CD2_PTP_!AH14,EL_DEL_CD2_SBI_1_4_!AH14,EL_DEL_CD2_SBI_5_6_!AH14,EL_DEL_CD2_STAB_!AH14,EL_DEL_CD1_WST_PTP_!AH14,EL_DEL_CD1_NTH_PTP_!AH14)</f>
        <v>0</v>
      </c>
      <c r="AH14" s="6">
        <f>SUM(EL_DEL_CD2_JO_!AI14,EL_DEL_CD2_PTP_!AI14,EL_DEL_CD2_SBI_1_4_!AI14,EL_DEL_CD2_SBI_5_6_!AI14,EL_DEL_CD2_STAB_!AI14,EL_DEL_CD1_WST_PTP_!AI14,EL_DEL_CD1_NTH_PTP_!AI14)</f>
        <v>0</v>
      </c>
      <c r="AI14" s="7">
        <f>SUM(EL_DEL_CD2_JO_!AJ14,EL_DEL_CD2_PTP_!AJ14,EL_DEL_CD2_SBI_1_4_!AJ14,EL_DEL_CD2_SBI_5_6_!AJ14,EL_DEL_CD2_STAB_!AJ14,EL_DEL_CD1_WST_PTP_!AJ14,EL_DEL_CD1_NTH_PTP_!AJ14)</f>
        <v>0</v>
      </c>
      <c r="AJ14" s="6">
        <f>SUM(EL_DEL_CD2_JO_!AK14,EL_DEL_CD2_PTP_!AK14,EL_DEL_CD2_SBI_1_4_!AK14,EL_DEL_CD2_SBI_5_6_!AK14,EL_DEL_CD2_STAB_!AK14,EL_DEL_CD1_WST_PTP_!AK14,EL_DEL_CD1_NTH_PTP_!AK14)</f>
        <v>0</v>
      </c>
      <c r="AK14" s="59" t="str">
        <f>IFERROR(AVERAGE(EL_DEL_CD2_JO_!AL14,EL_DEL_CD2_PTP_!AL14,EL_DEL_CD2_SBI_1_4_!AL14,EL_DEL_CD2_SBI_5_6_!AL14,EL_DEL_CD2_STAB_!AL14,EL_DEL_CD1_WST_PTP_!AL14,EL_DEL_CD1_NTH_PTP_!AL14),"")</f>
        <v/>
      </c>
      <c r="AL14" s="59" t="str">
        <f>IFERROR(AVERAGE(EL_DEL_CD2_JO_!AM14,EL_DEL_CD2_PTP_!AM14,EL_DEL_CD2_SBI_1_4_!AM14,EL_DEL_CD2_SBI_5_6_!AM14,EL_DEL_CD2_STAB_!AM14,EL_DEL_CD1_WST_PTP_!AM14,EL_DEL_CD1_NTH_PTP_!AM14),"")</f>
        <v/>
      </c>
      <c r="AM14" s="59" t="str">
        <f>IFERROR(AVERAGE(EL_DEL_CD2_JO_!AN14,EL_DEL_CD2_PTP_!AN14,EL_DEL_CD2_SBI_1_4_!AN14,EL_DEL_CD2_SBI_5_6_!AN14,EL_DEL_CD2_STAB_!AN14,EL_DEL_CD1_WST_PTP_!AN14,EL_DEL_CD1_NTH_PTP_!AN14),"")</f>
        <v/>
      </c>
      <c r="AN14" s="59" t="str">
        <f>IFERROR(AVERAGE(EL_DEL_CD2_JO_!AO14,EL_DEL_CD2_PTP_!AO14,EL_DEL_CD2_SBI_1_4_!AO14,EL_DEL_CD2_SBI_5_6_!AO14,EL_DEL_CD2_STAB_!AO14,EL_DEL_CD1_WST_PTP_!AO14,EL_DEL_CD1_NTH_PTP_!AO14),"")</f>
        <v/>
      </c>
      <c r="AO14" s="59" t="str">
        <f>IFERROR(AVERAGE(EL_DEL_CD2_JO_!AP14,EL_DEL_CD2_PTP_!AP14,EL_DEL_CD2_SBI_1_4_!AP14,EL_DEL_CD2_SBI_5_6_!AP14,EL_DEL_CD2_STAB_!AP14,EL_DEL_CD1_WST_PTP_!AP14,EL_DEL_CD1_NTH_PTP_!AP14),"")</f>
        <v/>
      </c>
      <c r="AP14" s="59" t="str">
        <f>IFERROR(AVERAGE(EL_DEL_CD2_JO_!AQ14,EL_DEL_CD2_PTP_!AQ14,EL_DEL_CD2_SBI_1_4_!AQ14,EL_DEL_CD2_SBI_5_6_!AQ14,EL_DEL_CD2_STAB_!AQ14,EL_DEL_CD1_WST_PTP_!AQ14,EL_DEL_CD1_NTH_PTP_!AQ14),"")</f>
        <v/>
      </c>
      <c r="AQ14" s="59" t="str">
        <f>IFERROR(AVERAGE(EL_DEL_CD2_JO_!AR14,EL_DEL_CD2_PTP_!AR14,EL_DEL_CD2_SBI_1_4_!AR14,EL_DEL_CD2_SBI_5_6_!AR14,EL_DEL_CD2_STAB_!AR14,EL_DEL_CD1_WST_PTP_!AR14,EL_DEL_CD1_NTH_PTP_!AR14),"")</f>
        <v/>
      </c>
      <c r="AR14" s="59" t="str">
        <f>IFERROR(AVERAGE(EL_DEL_CD2_JO_!AS14,EL_DEL_CD2_PTP_!AS14,EL_DEL_CD2_SBI_1_4_!AS14,EL_DEL_CD2_SBI_5_6_!AS14,EL_DEL_CD2_STAB_!AS14,EL_DEL_CD1_WST_PTP_!AS14,EL_DEL_CD1_NTH_PTP_!AS14),"")</f>
        <v/>
      </c>
      <c r="AS14" s="8">
        <f>SUM(EL_DEL_CD2_JO_!AT14,EL_DEL_CD2_PTP_!AT14,EL_DEL_CD2_SBI_1_4_!AT14,EL_DEL_CD2_SBI_5_6_!AT14,EL_DEL_CD2_STAB_!AT14,EL_DEL_CD1_WST_PTP_!AT14,EL_DEL_CD1_NTH_PTP_!AT14)</f>
        <v>0</v>
      </c>
      <c r="AT14" s="8">
        <f>SUM(EL_DEL_CD2_JO_!AU14,EL_DEL_CD2_PTP_!AU14,EL_DEL_CD2_SBI_1_4_!AU14,EL_DEL_CD2_SBI_5_6_!AU14,EL_DEL_CD2_STAB_!AU14,EL_DEL_CD1_WST_PTP_!AU14,EL_DEL_CD1_NTH_PTP_!AU14)</f>
        <v>0</v>
      </c>
      <c r="AU14" s="9">
        <f>SUM(EL_DEL_CD2_JO_!AV14,EL_DEL_CD2_PTP_!AV14,EL_DEL_CD2_SBI_1_4_!AV14,EL_DEL_CD2_SBI_5_6_!AV14,EL_DEL_CD2_STAB_!AV14,EL_DEL_CD1_WST_PTP_!AV14,EL_DEL_CD1_NTH_PTP_!AV14)</f>
        <v>0</v>
      </c>
      <c r="AV14" s="8" t="str">
        <f>IFERROR(AVERAGE(EL_DEL_CD2_JO_!AW14,EL_DEL_CD2_PTP_!AW14,EL_DEL_CD2_SBI_1_4_!AW14,EL_DEL_CD2_SBI_5_6_!AW14,EL_DEL_CD2_STAB_!AW14,EL_DEL_CD1_WST_PTP_!AW14,EL_DEL_CD1_NTH_PTP_!AW14),"")</f>
        <v/>
      </c>
      <c r="AW14" s="10" t="str">
        <f t="shared" si="1"/>
        <v>-</v>
      </c>
      <c r="AX14" s="39"/>
      <c r="AY14" s="1" t="str">
        <f t="shared" si="2"/>
        <v/>
      </c>
      <c r="AZ14" s="11" t="str">
        <f t="shared" si="3"/>
        <v/>
      </c>
      <c r="BA14" s="1" t="str">
        <f t="shared" si="4"/>
        <v/>
      </c>
      <c r="BB14" s="39"/>
      <c r="BC14" s="53" t="str">
        <f t="shared" si="5"/>
        <v/>
      </c>
      <c r="BD14" s="12" t="str">
        <f t="shared" si="6"/>
        <v/>
      </c>
      <c r="BE14" s="12" t="str">
        <f t="shared" si="7"/>
        <v/>
      </c>
      <c r="BF14" s="12" t="str">
        <f t="shared" si="8"/>
        <v/>
      </c>
      <c r="BG14" s="12" t="str">
        <f t="shared" si="9"/>
        <v/>
      </c>
      <c r="BH14" s="54" t="str">
        <f t="shared" si="10"/>
        <v/>
      </c>
      <c r="BI14" s="39"/>
      <c r="BJ14" s="55" t="str">
        <f t="shared" si="11"/>
        <v/>
      </c>
      <c r="BK14" s="13" t="str">
        <f t="shared" si="12"/>
        <v/>
      </c>
      <c r="BL14" s="13" t="str">
        <f t="shared" si="13"/>
        <v/>
      </c>
      <c r="BM14" s="56" t="str">
        <f t="shared" si="14"/>
        <v/>
      </c>
      <c r="BN14" s="39"/>
      <c r="BO14" s="14" t="str">
        <f t="shared" si="15"/>
        <v/>
      </c>
      <c r="BP14" s="15">
        <v>0</v>
      </c>
      <c r="BQ14" s="15" t="str">
        <f t="shared" si="16"/>
        <v/>
      </c>
      <c r="BR14" s="15" t="str">
        <f t="shared" si="17"/>
        <v/>
      </c>
      <c r="BS14" s="16" t="str">
        <f t="shared" si="18"/>
        <v/>
      </c>
      <c r="BT14" s="39"/>
      <c r="BU14" s="51" t="e">
        <f t="shared" si="19"/>
        <v>#VALUE!</v>
      </c>
      <c r="BV14" s="28" t="e">
        <f t="shared" si="20"/>
        <v>#VALUE!</v>
      </c>
      <c r="BW14" s="28" t="e">
        <f t="shared" si="21"/>
        <v>#VALUE!</v>
      </c>
      <c r="BX14" s="28" t="e">
        <f t="shared" si="22"/>
        <v>#VALUE!</v>
      </c>
      <c r="BY14" s="28" t="e">
        <f t="shared" si="23"/>
        <v>#VALUE!</v>
      </c>
      <c r="BZ14" s="52" t="e">
        <f t="shared" si="24"/>
        <v>#VALUE!</v>
      </c>
      <c r="CA14" s="39"/>
      <c r="CB14" s="49" t="str">
        <f t="shared" si="25"/>
        <v>-</v>
      </c>
      <c r="CC14" s="29" t="str">
        <f t="shared" si="26"/>
        <v>-</v>
      </c>
      <c r="CD14" s="29" t="str">
        <f t="shared" si="27"/>
        <v>-</v>
      </c>
      <c r="CE14" s="29" t="str">
        <f t="shared" si="28"/>
        <v>-</v>
      </c>
      <c r="CF14" s="50" t="str">
        <f t="shared" si="29"/>
        <v>-</v>
      </c>
      <c r="CG14" s="39"/>
    </row>
    <row r="15" spans="1:85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2">
        <f>SUM(EL_DEL_CD2_JO_!C15,EL_DEL_CD2_PTP_!C15,EL_DEL_CD2_SBI_1_4_!C15,EL_DEL_CD2_SBI_5_6_!C15,EL_DEL_CD2_STAB_!C15,EL_DEL_CD1_WST_PTP_!C15,EL_DEL_CD1_NTH_PTP_!C15)</f>
        <v>0</v>
      </c>
      <c r="D15" s="2">
        <f>SUM(EL_DEL_CD2_JO_!D15,EL_DEL_CD2_PTP_!D15,EL_DEL_CD2_SBI_1_4_!D15,EL_DEL_CD2_SBI_5_6_!D15,EL_DEL_CD2_STAB_!D15,EL_DEL_CD1_WST_PTP_!D15,EL_DEL_CD1_NTH_PTP_!D15)</f>
        <v>0</v>
      </c>
      <c r="E15" s="3">
        <f>SUM(EL_DEL_CD2_JO_!E15,EL_DEL_CD2_PTP_!E15,EL_DEL_CD2_SBI_1_4_!E15,EL_DEL_CD2_SBI_5_6_!E15,EL_DEL_CD2_STAB_!E15,EL_DEL_CD1_WST_PTP_!E15,EL_DEL_CD1_NTH_PTP_!E15)</f>
        <v>0</v>
      </c>
      <c r="F15" s="2">
        <f>SUM(EL_DEL_CD2_JO_!F15,EL_DEL_CD2_PTP_!F15,EL_DEL_CD2_SBI_1_4_!F15,EL_DEL_CD2_SBI_5_6_!F15,EL_DEL_CD2_STAB_!F15,EL_DEL_CD1_WST_PTP_!F15,EL_DEL_CD1_NTH_PTP_!F15)</f>
        <v>0</v>
      </c>
      <c r="G15" s="2">
        <f>SUM(EL_DEL_CD2_JO_!G15,EL_DEL_CD2_PTP_!G15,EL_DEL_CD2_SBI_1_4_!G15,EL_DEL_CD2_SBI_5_6_!G15,EL_DEL_CD2_STAB_!G15,EL_DEL_CD1_WST_PTP_!G15,EL_DEL_CD1_NTH_PTP_!G15)</f>
        <v>0</v>
      </c>
      <c r="H15" s="4">
        <f>SUM(EL_DEL_CD2_JO_!H15,EL_DEL_CD2_PTP_!H15,EL_DEL_CD2_SBI_1_4_!H15,EL_DEL_CD2_SBI_5_6_!H15,EL_DEL_CD2_STAB_!H15,EL_DEL_CD1_WST_PTP_!H15,EL_DEL_CD1_NTH_PTP_!H15)</f>
        <v>0</v>
      </c>
      <c r="I15" s="4">
        <f>SUM(EL_DEL_CD2_JO_!I15,EL_DEL_CD2_PTP_!I15,EL_DEL_CD2_SBI_1_4_!I15,EL_DEL_CD2_SBI_5_6_!I15,EL_DEL_CD2_STAB_!I15,EL_DEL_CD1_WST_PTP_!I15,EL_DEL_CD1_NTH_PTP_!I15)</f>
        <v>0</v>
      </c>
      <c r="J15" s="58">
        <f>SUM(EL_DEL_CD2_JO_!J15,EL_DEL_CD2_PTP_!J15,EL_DEL_CD2_SBI_1_4_!J15,EL_DEL_CD2_SBI_5_6_!J15,EL_DEL_CD2_STAB_!J15,EL_DEL_CD1_WST_PTP_!J15,EL_DEL_CD1_NTH_PTP_!J15)</f>
        <v>0</v>
      </c>
      <c r="K15" s="5">
        <f>SUM(EL_DEL_CD2_JO_!K15,EL_DEL_CD2_PTP_!K15,EL_DEL_CD2_SBI_1_4_!K15,EL_DEL_CD2_SBI_5_6_!K15,EL_DEL_CD2_STAB_!K15,EL_DEL_CD1_WST_PTP_!K15,EL_DEL_CD1_NTH_PTP_!K15)</f>
        <v>0</v>
      </c>
      <c r="L15" s="2">
        <f>SUM(EL_DEL_CD2_JO_!L15,EL_DEL_CD2_PTP_!L15,EL_DEL_CD2_SBI_1_4_!L15,EL_DEL_CD2_SBI_5_6_!L15,EL_DEL_CD2_STAB_!L15,EL_DEL_CD1_WST_PTP_!L15,EL_DEL_CD1_NTH_PTP_!L15)</f>
        <v>0</v>
      </c>
      <c r="M15" s="2">
        <f>SUM(EL_DEL_CD2_JO_!M15,EL_DEL_CD2_PTP_!M15,EL_DEL_CD2_SBI_1_4_!M15,EL_DEL_CD2_SBI_5_6_!M15,EL_DEL_CD2_STAB_!M15,EL_DEL_CD1_WST_PTP_!M15,EL_DEL_CD1_NTH_PTP_!M15)</f>
        <v>0</v>
      </c>
      <c r="N15" s="2">
        <f>SUM(EL_DEL_CD2_JO_!N15,EL_DEL_CD2_PTP_!N15,EL_DEL_CD2_SBI_1_4_!N15,EL_DEL_CD2_SBI_5_6_!N15,EL_DEL_CD2_STAB_!N15,EL_DEL_CD1_WST_PTP_!N15,EL_DEL_CD1_NTH_PTP_!N15)</f>
        <v>0</v>
      </c>
      <c r="O15" s="2">
        <f>SUM(EL_DEL_CD2_JO_!O15,EL_DEL_CD2_PTP_!O15,EL_DEL_CD2_SBI_1_4_!O15,EL_DEL_CD2_SBI_5_6_!O15,EL_DEL_CD2_STAB_!O15,EL_DEL_CD1_WST_PTP_!O15,EL_DEL_CD1_NTH_PTP_!O15)</f>
        <v>0</v>
      </c>
      <c r="P15" s="3">
        <f>SUM(EL_DEL_CD2_JO_!P15,EL_DEL_CD2_PTP_!P15,EL_DEL_CD2_SBI_1_4_!P15,EL_DEL_CD2_SBI_5_6_!P15,EL_DEL_CD2_STAB_!P15,EL_DEL_CD1_WST_PTP_!P15,EL_DEL_CD1_NTH_PTP_!P15)</f>
        <v>0</v>
      </c>
      <c r="Q15" s="2">
        <f>SUM(EL_DEL_CD2_JO_!Q15,EL_DEL_CD2_PTP_!Q15,EL_DEL_CD2_SBI_1_4_!Q15,EL_DEL_CD2_SBI_5_6_!Q15,EL_DEL_CD2_STAB_!Q15,EL_DEL_CD1_WST_PTP_!Q15,EL_DEL_CD1_NTH_PTP_!Q15)</f>
        <v>0</v>
      </c>
      <c r="R15" s="2">
        <f>SUM(EL_DEL_CD2_JO_!R15,EL_DEL_CD2_PTP_!R15,EL_DEL_CD2_SBI_1_4_!R15,EL_DEL_CD2_SBI_5_6_!R15,EL_DEL_CD2_STAB_!R15,EL_DEL_CD1_WST_PTP_!R15,EL_DEL_CD1_NTH_PTP_!R15)</f>
        <v>0</v>
      </c>
      <c r="S15" s="2">
        <f>SUM(EL_DEL_CD2_JO_!S15,EL_DEL_CD2_PTP_!S15,EL_DEL_CD2_SBI_1_4_!S15,EL_DEL_CD2_SBI_5_6_!S15,EL_DEL_CD2_STAB_!S15,EL_DEL_CD1_WST_PTP_!S15,EL_DEL_CD1_NTH_PTP_!S15)</f>
        <v>0</v>
      </c>
      <c r="T15" s="2">
        <f>SUM(EL_DEL_CD2_JO_!T15,EL_DEL_CD2_PTP_!T15,EL_DEL_CD2_SBI_1_4_!T15,EL_DEL_CD2_SBI_5_6_!T15,EL_DEL_CD2_STAB_!T15,EL_DEL_CD1_WST_PTP_!T15,EL_DEL_CD1_NTH_PTP_!T15)</f>
        <v>0</v>
      </c>
      <c r="U15" s="3">
        <f>SUM(EL_DEL_CD2_JO_!V15,EL_DEL_CD2_PTP_!V15,EL_DEL_CD2_SBI_1_4_!V15,EL_DEL_CD2_SBI_5_6_!V15,EL_DEL_CD2_STAB_!V15,EL_DEL_CD1_WST_PTP_!V15,EL_DEL_CD1_NTH_PTP_!V15)</f>
        <v>0</v>
      </c>
      <c r="V15" s="3">
        <f>SUM(EL_DEL_CD2_JO_!W15,EL_DEL_CD2_PTP_!W15,EL_DEL_CD2_SBI_1_4_!W15,EL_DEL_CD2_SBI_5_6_!W15,EL_DEL_CD2_STAB_!W15,EL_DEL_CD1_WST_PTP_!W15,EL_DEL_CD1_NTH_PTP_!W15)</f>
        <v>0</v>
      </c>
      <c r="W15" s="2">
        <f>SUM(EL_DEL_CD2_JO_!X15,EL_DEL_CD2_PTP_!X15,EL_DEL_CD2_SBI_1_4_!X15,EL_DEL_CD2_SBI_5_6_!X15,EL_DEL_CD2_STAB_!X15,EL_DEL_CD1_WST_PTP_!X15,EL_DEL_CD1_NTH_PTP_!X15)</f>
        <v>0</v>
      </c>
      <c r="X15" s="2">
        <f>SUM(EL_DEL_CD2_JO_!Y15,EL_DEL_CD2_PTP_!Y15,EL_DEL_CD2_SBI_1_4_!Y15,EL_DEL_CD2_SBI_5_6_!Y15,EL_DEL_CD2_STAB_!Y15,EL_DEL_CD1_WST_PTP_!Y15,EL_DEL_CD1_NTH_PTP_!Y15)</f>
        <v>0</v>
      </c>
      <c r="Y15" s="2">
        <f>SUM(EL_DEL_CD2_JO_!Z15,EL_DEL_CD2_PTP_!Z15,EL_DEL_CD2_SBI_1_4_!Z15,EL_DEL_CD2_SBI_5_6_!Z15,EL_DEL_CD2_STAB_!Z15,EL_DEL_CD1_WST_PTP_!Z15,EL_DEL_CD1_NTH_PTP_!Z15)</f>
        <v>0</v>
      </c>
      <c r="Z15" s="2">
        <f>SUM(EL_DEL_CD2_JO_!AA15,EL_DEL_CD2_PTP_!AA15,EL_DEL_CD2_SBI_1_4_!AA15,EL_DEL_CD2_SBI_5_6_!AA15,EL_DEL_CD2_STAB_!AA15,EL_DEL_CD1_WST_PTP_!AA15,EL_DEL_CD1_NTH_PTP_!AA15)</f>
        <v>0</v>
      </c>
      <c r="AA15" s="2">
        <f>SUM(EL_DEL_CD2_JO_!AB15,EL_DEL_CD2_PTP_!AB15,EL_DEL_CD2_SBI_1_4_!AB15,EL_DEL_CD2_SBI_5_6_!AB15,EL_DEL_CD2_STAB_!AB15,EL_DEL_CD1_WST_PTP_!AB15,EL_DEL_CD1_NTH_PTP_!AB15)</f>
        <v>0</v>
      </c>
      <c r="AB15" s="2">
        <f>SUM(EL_DEL_CD2_JO_!AC15,EL_DEL_CD2_PTP_!AC15,EL_DEL_CD2_SBI_1_4_!AC15,EL_DEL_CD2_SBI_5_6_!AC15,EL_DEL_CD2_STAB_!AC15,EL_DEL_CD1_WST_PTP_!AC15,EL_DEL_CD1_NTH_PTP_!AC15)</f>
        <v>0</v>
      </c>
      <c r="AC15" s="2">
        <f>SUM(EL_DEL_CD2_JO_!AD15,EL_DEL_CD2_PTP_!AD15,EL_DEL_CD2_SBI_1_4_!AD15,EL_DEL_CD2_SBI_5_6_!AD15,EL_DEL_CD2_STAB_!AD15,EL_DEL_CD1_WST_PTP_!AD15,EL_DEL_CD1_NTH_PTP_!AD15)</f>
        <v>0</v>
      </c>
      <c r="AD15" s="2">
        <f>SUM(EL_DEL_CD2_JO_!AE15,EL_DEL_CD2_PTP_!AE15,EL_DEL_CD2_SBI_1_4_!AE15,EL_DEL_CD2_SBI_5_6_!AE15,EL_DEL_CD2_STAB_!AE15,EL_DEL_CD1_WST_PTP_!AE15,EL_DEL_CD1_NTH_PTP_!AE15)</f>
        <v>0</v>
      </c>
      <c r="AE15" s="3">
        <f>SUM(EL_DEL_CD2_JO_!AF15,EL_DEL_CD2_PTP_!AF15,EL_DEL_CD2_SBI_1_4_!AF15,EL_DEL_CD2_SBI_5_6_!AF15,EL_DEL_CD2_STAB_!AF15,EL_DEL_CD1_WST_PTP_!AF15,EL_DEL_CD1_NTH_PTP_!AF15)</f>
        <v>0</v>
      </c>
      <c r="AF15" s="3">
        <f>SUM(EL_DEL_CD2_JO_!AG15,EL_DEL_CD2_PTP_!AG15,EL_DEL_CD2_SBI_1_4_!AG15,EL_DEL_CD2_SBI_5_6_!AG15,EL_DEL_CD2_STAB_!AG15,EL_DEL_CD1_WST_PTP_!AG15,EL_DEL_CD1_NTH_PTP_!AG15)</f>
        <v>0</v>
      </c>
      <c r="AG15" s="2">
        <f>SUM(EL_DEL_CD2_JO_!AH15,EL_DEL_CD2_PTP_!AH15,EL_DEL_CD2_SBI_1_4_!AH15,EL_DEL_CD2_SBI_5_6_!AH15,EL_DEL_CD2_STAB_!AH15,EL_DEL_CD1_WST_PTP_!AH15,EL_DEL_CD1_NTH_PTP_!AH15)</f>
        <v>0</v>
      </c>
      <c r="AH15" s="6">
        <f>SUM(EL_DEL_CD2_JO_!AI15,EL_DEL_CD2_PTP_!AI15,EL_DEL_CD2_SBI_1_4_!AI15,EL_DEL_CD2_SBI_5_6_!AI15,EL_DEL_CD2_STAB_!AI15,EL_DEL_CD1_WST_PTP_!AI15,EL_DEL_CD1_NTH_PTP_!AI15)</f>
        <v>0</v>
      </c>
      <c r="AI15" s="7">
        <f>SUM(EL_DEL_CD2_JO_!AJ15,EL_DEL_CD2_PTP_!AJ15,EL_DEL_CD2_SBI_1_4_!AJ15,EL_DEL_CD2_SBI_5_6_!AJ15,EL_DEL_CD2_STAB_!AJ15,EL_DEL_CD1_WST_PTP_!AJ15,EL_DEL_CD1_NTH_PTP_!AJ15)</f>
        <v>0</v>
      </c>
      <c r="AJ15" s="6">
        <f>SUM(EL_DEL_CD2_JO_!AK15,EL_DEL_CD2_PTP_!AK15,EL_DEL_CD2_SBI_1_4_!AK15,EL_DEL_CD2_SBI_5_6_!AK15,EL_DEL_CD2_STAB_!AK15,EL_DEL_CD1_WST_PTP_!AK15,EL_DEL_CD1_NTH_PTP_!AK15)</f>
        <v>0</v>
      </c>
      <c r="AK15" s="59" t="str">
        <f>IFERROR(AVERAGE(EL_DEL_CD2_JO_!AL15,EL_DEL_CD2_PTP_!AL15,EL_DEL_CD2_SBI_1_4_!AL15,EL_DEL_CD2_SBI_5_6_!AL15,EL_DEL_CD2_STAB_!AL15,EL_DEL_CD1_WST_PTP_!AL15,EL_DEL_CD1_NTH_PTP_!AL15),"")</f>
        <v/>
      </c>
      <c r="AL15" s="59" t="str">
        <f>IFERROR(AVERAGE(EL_DEL_CD2_JO_!AM15,EL_DEL_CD2_PTP_!AM15,EL_DEL_CD2_SBI_1_4_!AM15,EL_DEL_CD2_SBI_5_6_!AM15,EL_DEL_CD2_STAB_!AM15,EL_DEL_CD1_WST_PTP_!AM15,EL_DEL_CD1_NTH_PTP_!AM15),"")</f>
        <v/>
      </c>
      <c r="AM15" s="59" t="str">
        <f>IFERROR(AVERAGE(EL_DEL_CD2_JO_!AN15,EL_DEL_CD2_PTP_!AN15,EL_DEL_CD2_SBI_1_4_!AN15,EL_DEL_CD2_SBI_5_6_!AN15,EL_DEL_CD2_STAB_!AN15,EL_DEL_CD1_WST_PTP_!AN15,EL_DEL_CD1_NTH_PTP_!AN15),"")</f>
        <v/>
      </c>
      <c r="AN15" s="59" t="str">
        <f>IFERROR(AVERAGE(EL_DEL_CD2_JO_!AO15,EL_DEL_CD2_PTP_!AO15,EL_DEL_CD2_SBI_1_4_!AO15,EL_DEL_CD2_SBI_5_6_!AO15,EL_DEL_CD2_STAB_!AO15,EL_DEL_CD1_WST_PTP_!AO15,EL_DEL_CD1_NTH_PTP_!AO15),"")</f>
        <v/>
      </c>
      <c r="AO15" s="59" t="str">
        <f>IFERROR(AVERAGE(EL_DEL_CD2_JO_!AP15,EL_DEL_CD2_PTP_!AP15,EL_DEL_CD2_SBI_1_4_!AP15,EL_DEL_CD2_SBI_5_6_!AP15,EL_DEL_CD2_STAB_!AP15,EL_DEL_CD1_WST_PTP_!AP15,EL_DEL_CD1_NTH_PTP_!AP15),"")</f>
        <v/>
      </c>
      <c r="AP15" s="59" t="str">
        <f>IFERROR(AVERAGE(EL_DEL_CD2_JO_!AQ15,EL_DEL_CD2_PTP_!AQ15,EL_DEL_CD2_SBI_1_4_!AQ15,EL_DEL_CD2_SBI_5_6_!AQ15,EL_DEL_CD2_STAB_!AQ15,EL_DEL_CD1_WST_PTP_!AQ15,EL_DEL_CD1_NTH_PTP_!AQ15),"")</f>
        <v/>
      </c>
      <c r="AQ15" s="59" t="str">
        <f>IFERROR(AVERAGE(EL_DEL_CD2_JO_!AR15,EL_DEL_CD2_PTP_!AR15,EL_DEL_CD2_SBI_1_4_!AR15,EL_DEL_CD2_SBI_5_6_!AR15,EL_DEL_CD2_STAB_!AR15,EL_DEL_CD1_WST_PTP_!AR15,EL_DEL_CD1_NTH_PTP_!AR15),"")</f>
        <v/>
      </c>
      <c r="AR15" s="59" t="str">
        <f>IFERROR(AVERAGE(EL_DEL_CD2_JO_!AS15,EL_DEL_CD2_PTP_!AS15,EL_DEL_CD2_SBI_1_4_!AS15,EL_DEL_CD2_SBI_5_6_!AS15,EL_DEL_CD2_STAB_!AS15,EL_DEL_CD1_WST_PTP_!AS15,EL_DEL_CD1_NTH_PTP_!AS15),"")</f>
        <v/>
      </c>
      <c r="AS15" s="8">
        <f>SUM(EL_DEL_CD2_JO_!AT15,EL_DEL_CD2_PTP_!AT15,EL_DEL_CD2_SBI_1_4_!AT15,EL_DEL_CD2_SBI_5_6_!AT15,EL_DEL_CD2_STAB_!AT15,EL_DEL_CD1_WST_PTP_!AT15,EL_DEL_CD1_NTH_PTP_!AT15)</f>
        <v>0</v>
      </c>
      <c r="AT15" s="8">
        <f>SUM(EL_DEL_CD2_JO_!AU15,EL_DEL_CD2_PTP_!AU15,EL_DEL_CD2_SBI_1_4_!AU15,EL_DEL_CD2_SBI_5_6_!AU15,EL_DEL_CD2_STAB_!AU15,EL_DEL_CD1_WST_PTP_!AU15,EL_DEL_CD1_NTH_PTP_!AU15)</f>
        <v>0</v>
      </c>
      <c r="AU15" s="9">
        <f>SUM(EL_DEL_CD2_JO_!AV15,EL_DEL_CD2_PTP_!AV15,EL_DEL_CD2_SBI_1_4_!AV15,EL_DEL_CD2_SBI_5_6_!AV15,EL_DEL_CD2_STAB_!AV15,EL_DEL_CD1_WST_PTP_!AV15,EL_DEL_CD1_NTH_PTP_!AV15)</f>
        <v>0</v>
      </c>
      <c r="AV15" s="8" t="str">
        <f>IFERROR(AVERAGE(EL_DEL_CD2_JO_!AW15,EL_DEL_CD2_PTP_!AW15,EL_DEL_CD2_SBI_1_4_!AW15,EL_DEL_CD2_SBI_5_6_!AW15,EL_DEL_CD2_STAB_!AW15,EL_DEL_CD1_WST_PTP_!AW15,EL_DEL_CD1_NTH_PTP_!AW15),"")</f>
        <v/>
      </c>
      <c r="AW15" s="10" t="str">
        <f t="shared" si="1"/>
        <v>-</v>
      </c>
      <c r="AX15" s="39"/>
      <c r="AY15" s="1" t="str">
        <f t="shared" si="2"/>
        <v/>
      </c>
      <c r="AZ15" s="11" t="str">
        <f t="shared" si="3"/>
        <v/>
      </c>
      <c r="BA15" s="1" t="str">
        <f t="shared" si="4"/>
        <v/>
      </c>
      <c r="BB15" s="39"/>
      <c r="BC15" s="53" t="str">
        <f t="shared" si="5"/>
        <v/>
      </c>
      <c r="BD15" s="12" t="str">
        <f t="shared" si="6"/>
        <v/>
      </c>
      <c r="BE15" s="12" t="str">
        <f t="shared" si="7"/>
        <v/>
      </c>
      <c r="BF15" s="12" t="str">
        <f t="shared" si="8"/>
        <v/>
      </c>
      <c r="BG15" s="12" t="str">
        <f t="shared" si="9"/>
        <v/>
      </c>
      <c r="BH15" s="54" t="str">
        <f t="shared" si="10"/>
        <v/>
      </c>
      <c r="BI15" s="39"/>
      <c r="BJ15" s="55" t="str">
        <f t="shared" si="11"/>
        <v/>
      </c>
      <c r="BK15" s="13" t="str">
        <f t="shared" si="12"/>
        <v/>
      </c>
      <c r="BL15" s="13" t="str">
        <f t="shared" si="13"/>
        <v/>
      </c>
      <c r="BM15" s="56" t="str">
        <f t="shared" si="14"/>
        <v/>
      </c>
      <c r="BN15" s="39"/>
      <c r="BO15" s="14" t="str">
        <f t="shared" si="15"/>
        <v/>
      </c>
      <c r="BP15" s="15">
        <v>0</v>
      </c>
      <c r="BQ15" s="15" t="str">
        <f t="shared" si="16"/>
        <v/>
      </c>
      <c r="BR15" s="15" t="str">
        <f t="shared" si="17"/>
        <v/>
      </c>
      <c r="BS15" s="16" t="str">
        <f t="shared" si="18"/>
        <v/>
      </c>
      <c r="BT15" s="39"/>
      <c r="BU15" s="51" t="e">
        <f t="shared" si="19"/>
        <v>#VALUE!</v>
      </c>
      <c r="BV15" s="28" t="e">
        <f t="shared" si="20"/>
        <v>#VALUE!</v>
      </c>
      <c r="BW15" s="28" t="e">
        <f t="shared" si="21"/>
        <v>#VALUE!</v>
      </c>
      <c r="BX15" s="28" t="e">
        <f t="shared" si="22"/>
        <v>#VALUE!</v>
      </c>
      <c r="BY15" s="28" t="e">
        <f t="shared" si="23"/>
        <v>#VALUE!</v>
      </c>
      <c r="BZ15" s="52" t="e">
        <f t="shared" si="24"/>
        <v>#VALUE!</v>
      </c>
      <c r="CA15" s="39"/>
      <c r="CB15" s="49" t="str">
        <f t="shared" si="25"/>
        <v>-</v>
      </c>
      <c r="CC15" s="29" t="str">
        <f t="shared" si="26"/>
        <v>-</v>
      </c>
      <c r="CD15" s="29" t="str">
        <f t="shared" si="27"/>
        <v>-</v>
      </c>
      <c r="CE15" s="29" t="str">
        <f t="shared" si="28"/>
        <v>-</v>
      </c>
      <c r="CF15" s="50" t="str">
        <f t="shared" si="29"/>
        <v>-</v>
      </c>
      <c r="CG15" s="39"/>
    </row>
    <row r="16" spans="1:85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2">
        <f>SUM(EL_DEL_CD2_JO_!C16,EL_DEL_CD2_PTP_!C16,EL_DEL_CD2_SBI_1_4_!C16,EL_DEL_CD2_SBI_5_6_!C16,EL_DEL_CD2_STAB_!C16,EL_DEL_CD1_WST_PTP_!C16,EL_DEL_CD1_NTH_PTP_!C16)</f>
        <v>0</v>
      </c>
      <c r="D16" s="2">
        <f>SUM(EL_DEL_CD2_JO_!D16,EL_DEL_CD2_PTP_!D16,EL_DEL_CD2_SBI_1_4_!D16,EL_DEL_CD2_SBI_5_6_!D16,EL_DEL_CD2_STAB_!D16,EL_DEL_CD1_WST_PTP_!D16,EL_DEL_CD1_NTH_PTP_!D16)</f>
        <v>0</v>
      </c>
      <c r="E16" s="3">
        <f>SUM(EL_DEL_CD2_JO_!E16,EL_DEL_CD2_PTP_!E16,EL_DEL_CD2_SBI_1_4_!E16,EL_DEL_CD2_SBI_5_6_!E16,EL_DEL_CD2_STAB_!E16,EL_DEL_CD1_WST_PTP_!E16,EL_DEL_CD1_NTH_PTP_!E16)</f>
        <v>0</v>
      </c>
      <c r="F16" s="2">
        <f>SUM(EL_DEL_CD2_JO_!F16,EL_DEL_CD2_PTP_!F16,EL_DEL_CD2_SBI_1_4_!F16,EL_DEL_CD2_SBI_5_6_!F16,EL_DEL_CD2_STAB_!F16,EL_DEL_CD1_WST_PTP_!F16,EL_DEL_CD1_NTH_PTP_!F16)</f>
        <v>0</v>
      </c>
      <c r="G16" s="2">
        <f>SUM(EL_DEL_CD2_JO_!G16,EL_DEL_CD2_PTP_!G16,EL_DEL_CD2_SBI_1_4_!G16,EL_DEL_CD2_SBI_5_6_!G16,EL_DEL_CD2_STAB_!G16,EL_DEL_CD1_WST_PTP_!G16,EL_DEL_CD1_NTH_PTP_!G16)</f>
        <v>0</v>
      </c>
      <c r="H16" s="4">
        <f>SUM(EL_DEL_CD2_JO_!H16,EL_DEL_CD2_PTP_!H16,EL_DEL_CD2_SBI_1_4_!H16,EL_DEL_CD2_SBI_5_6_!H16,EL_DEL_CD2_STAB_!H16,EL_DEL_CD1_WST_PTP_!H16,EL_DEL_CD1_NTH_PTP_!H16)</f>
        <v>0</v>
      </c>
      <c r="I16" s="4">
        <f>SUM(EL_DEL_CD2_JO_!I16,EL_DEL_CD2_PTP_!I16,EL_DEL_CD2_SBI_1_4_!I16,EL_DEL_CD2_SBI_5_6_!I16,EL_DEL_CD2_STAB_!I16,EL_DEL_CD1_WST_PTP_!I16,EL_DEL_CD1_NTH_PTP_!I16)</f>
        <v>0</v>
      </c>
      <c r="J16" s="58">
        <f>SUM(EL_DEL_CD2_JO_!J16,EL_DEL_CD2_PTP_!J16,EL_DEL_CD2_SBI_1_4_!J16,EL_DEL_CD2_SBI_5_6_!J16,EL_DEL_CD2_STAB_!J16,EL_DEL_CD1_WST_PTP_!J16,EL_DEL_CD1_NTH_PTP_!J16)</f>
        <v>0</v>
      </c>
      <c r="K16" s="5">
        <f>SUM(EL_DEL_CD2_JO_!K16,EL_DEL_CD2_PTP_!K16,EL_DEL_CD2_SBI_1_4_!K16,EL_DEL_CD2_SBI_5_6_!K16,EL_DEL_CD2_STAB_!K16,EL_DEL_CD1_WST_PTP_!K16,EL_DEL_CD1_NTH_PTP_!K16)</f>
        <v>0</v>
      </c>
      <c r="L16" s="2">
        <f>SUM(EL_DEL_CD2_JO_!L16,EL_DEL_CD2_PTP_!L16,EL_DEL_CD2_SBI_1_4_!L16,EL_DEL_CD2_SBI_5_6_!L16,EL_DEL_CD2_STAB_!L16,EL_DEL_CD1_WST_PTP_!L16,EL_DEL_CD1_NTH_PTP_!L16)</f>
        <v>0</v>
      </c>
      <c r="M16" s="2">
        <f>SUM(EL_DEL_CD2_JO_!M16,EL_DEL_CD2_PTP_!M16,EL_DEL_CD2_SBI_1_4_!M16,EL_DEL_CD2_SBI_5_6_!M16,EL_DEL_CD2_STAB_!M16,EL_DEL_CD1_WST_PTP_!M16,EL_DEL_CD1_NTH_PTP_!M16)</f>
        <v>0</v>
      </c>
      <c r="N16" s="2">
        <f>SUM(EL_DEL_CD2_JO_!N16,EL_DEL_CD2_PTP_!N16,EL_DEL_CD2_SBI_1_4_!N16,EL_DEL_CD2_SBI_5_6_!N16,EL_DEL_CD2_STAB_!N16,EL_DEL_CD1_WST_PTP_!N16,EL_DEL_CD1_NTH_PTP_!N16)</f>
        <v>0</v>
      </c>
      <c r="O16" s="2">
        <f>SUM(EL_DEL_CD2_JO_!O16,EL_DEL_CD2_PTP_!O16,EL_DEL_CD2_SBI_1_4_!O16,EL_DEL_CD2_SBI_5_6_!O16,EL_DEL_CD2_STAB_!O16,EL_DEL_CD1_WST_PTP_!O16,EL_DEL_CD1_NTH_PTP_!O16)</f>
        <v>0</v>
      </c>
      <c r="P16" s="3">
        <f>SUM(EL_DEL_CD2_JO_!P16,EL_DEL_CD2_PTP_!P16,EL_DEL_CD2_SBI_1_4_!P16,EL_DEL_CD2_SBI_5_6_!P16,EL_DEL_CD2_STAB_!P16,EL_DEL_CD1_WST_PTP_!P16,EL_DEL_CD1_NTH_PTP_!P16)</f>
        <v>0</v>
      </c>
      <c r="Q16" s="2">
        <f>SUM(EL_DEL_CD2_JO_!Q16,EL_DEL_CD2_PTP_!Q16,EL_DEL_CD2_SBI_1_4_!Q16,EL_DEL_CD2_SBI_5_6_!Q16,EL_DEL_CD2_STAB_!Q16,EL_DEL_CD1_WST_PTP_!Q16,EL_DEL_CD1_NTH_PTP_!Q16)</f>
        <v>0</v>
      </c>
      <c r="R16" s="2">
        <f>SUM(EL_DEL_CD2_JO_!R16,EL_DEL_CD2_PTP_!R16,EL_DEL_CD2_SBI_1_4_!R16,EL_DEL_CD2_SBI_5_6_!R16,EL_DEL_CD2_STAB_!R16,EL_DEL_CD1_WST_PTP_!R16,EL_DEL_CD1_NTH_PTP_!R16)</f>
        <v>0</v>
      </c>
      <c r="S16" s="2">
        <f>SUM(EL_DEL_CD2_JO_!S16,EL_DEL_CD2_PTP_!S16,EL_DEL_CD2_SBI_1_4_!S16,EL_DEL_CD2_SBI_5_6_!S16,EL_DEL_CD2_STAB_!S16,EL_DEL_CD1_WST_PTP_!S16,EL_DEL_CD1_NTH_PTP_!S16)</f>
        <v>0</v>
      </c>
      <c r="T16" s="2">
        <f>SUM(EL_DEL_CD2_JO_!T16,EL_DEL_CD2_PTP_!T16,EL_DEL_CD2_SBI_1_4_!T16,EL_DEL_CD2_SBI_5_6_!T16,EL_DEL_CD2_STAB_!T16,EL_DEL_CD1_WST_PTP_!T16,EL_DEL_CD1_NTH_PTP_!T16)</f>
        <v>0</v>
      </c>
      <c r="U16" s="3">
        <f>SUM(EL_DEL_CD2_JO_!V16,EL_DEL_CD2_PTP_!V16,EL_DEL_CD2_SBI_1_4_!V16,EL_DEL_CD2_SBI_5_6_!V16,EL_DEL_CD2_STAB_!V16,EL_DEL_CD1_WST_PTP_!V16,EL_DEL_CD1_NTH_PTP_!V16)</f>
        <v>0</v>
      </c>
      <c r="V16" s="3">
        <f>SUM(EL_DEL_CD2_JO_!W16,EL_DEL_CD2_PTP_!W16,EL_DEL_CD2_SBI_1_4_!W16,EL_DEL_CD2_SBI_5_6_!W16,EL_DEL_CD2_STAB_!W16,EL_DEL_CD1_WST_PTP_!W16,EL_DEL_CD1_NTH_PTP_!W16)</f>
        <v>0</v>
      </c>
      <c r="W16" s="2">
        <f>SUM(EL_DEL_CD2_JO_!X16,EL_DEL_CD2_PTP_!X16,EL_DEL_CD2_SBI_1_4_!X16,EL_DEL_CD2_SBI_5_6_!X16,EL_DEL_CD2_STAB_!X16,EL_DEL_CD1_WST_PTP_!X16,EL_DEL_CD1_NTH_PTP_!X16)</f>
        <v>0</v>
      </c>
      <c r="X16" s="2">
        <f>SUM(EL_DEL_CD2_JO_!Y16,EL_DEL_CD2_PTP_!Y16,EL_DEL_CD2_SBI_1_4_!Y16,EL_DEL_CD2_SBI_5_6_!Y16,EL_DEL_CD2_STAB_!Y16,EL_DEL_CD1_WST_PTP_!Y16,EL_DEL_CD1_NTH_PTP_!Y16)</f>
        <v>0</v>
      </c>
      <c r="Y16" s="2">
        <f>SUM(EL_DEL_CD2_JO_!Z16,EL_DEL_CD2_PTP_!Z16,EL_DEL_CD2_SBI_1_4_!Z16,EL_DEL_CD2_SBI_5_6_!Z16,EL_DEL_CD2_STAB_!Z16,EL_DEL_CD1_WST_PTP_!Z16,EL_DEL_CD1_NTH_PTP_!Z16)</f>
        <v>0</v>
      </c>
      <c r="Z16" s="2">
        <f>SUM(EL_DEL_CD2_JO_!AA16,EL_DEL_CD2_PTP_!AA16,EL_DEL_CD2_SBI_1_4_!AA16,EL_DEL_CD2_SBI_5_6_!AA16,EL_DEL_CD2_STAB_!AA16,EL_DEL_CD1_WST_PTP_!AA16,EL_DEL_CD1_NTH_PTP_!AA16)</f>
        <v>0</v>
      </c>
      <c r="AA16" s="2">
        <f>SUM(EL_DEL_CD2_JO_!AB16,EL_DEL_CD2_PTP_!AB16,EL_DEL_CD2_SBI_1_4_!AB16,EL_DEL_CD2_SBI_5_6_!AB16,EL_DEL_CD2_STAB_!AB16,EL_DEL_CD1_WST_PTP_!AB16,EL_DEL_CD1_NTH_PTP_!AB16)</f>
        <v>0</v>
      </c>
      <c r="AB16" s="2">
        <f>SUM(EL_DEL_CD2_JO_!AC16,EL_DEL_CD2_PTP_!AC16,EL_DEL_CD2_SBI_1_4_!AC16,EL_DEL_CD2_SBI_5_6_!AC16,EL_DEL_CD2_STAB_!AC16,EL_DEL_CD1_WST_PTP_!AC16,EL_DEL_CD1_NTH_PTP_!AC16)</f>
        <v>0</v>
      </c>
      <c r="AC16" s="2">
        <f>SUM(EL_DEL_CD2_JO_!AD16,EL_DEL_CD2_PTP_!AD16,EL_DEL_CD2_SBI_1_4_!AD16,EL_DEL_CD2_SBI_5_6_!AD16,EL_DEL_CD2_STAB_!AD16,EL_DEL_CD1_WST_PTP_!AD16,EL_DEL_CD1_NTH_PTP_!AD16)</f>
        <v>0</v>
      </c>
      <c r="AD16" s="2">
        <f>SUM(EL_DEL_CD2_JO_!AE16,EL_DEL_CD2_PTP_!AE16,EL_DEL_CD2_SBI_1_4_!AE16,EL_DEL_CD2_SBI_5_6_!AE16,EL_DEL_CD2_STAB_!AE16,EL_DEL_CD1_WST_PTP_!AE16,EL_DEL_CD1_NTH_PTP_!AE16)</f>
        <v>0</v>
      </c>
      <c r="AE16" s="3">
        <f>SUM(EL_DEL_CD2_JO_!AF16,EL_DEL_CD2_PTP_!AF16,EL_DEL_CD2_SBI_1_4_!AF16,EL_DEL_CD2_SBI_5_6_!AF16,EL_DEL_CD2_STAB_!AF16,EL_DEL_CD1_WST_PTP_!AF16,EL_DEL_CD1_NTH_PTP_!AF16)</f>
        <v>0</v>
      </c>
      <c r="AF16" s="3">
        <f>SUM(EL_DEL_CD2_JO_!AG16,EL_DEL_CD2_PTP_!AG16,EL_DEL_CD2_SBI_1_4_!AG16,EL_DEL_CD2_SBI_5_6_!AG16,EL_DEL_CD2_STAB_!AG16,EL_DEL_CD1_WST_PTP_!AG16,EL_DEL_CD1_NTH_PTP_!AG16)</f>
        <v>0</v>
      </c>
      <c r="AG16" s="2">
        <f>SUM(EL_DEL_CD2_JO_!AH16,EL_DEL_CD2_PTP_!AH16,EL_DEL_CD2_SBI_1_4_!AH16,EL_DEL_CD2_SBI_5_6_!AH16,EL_DEL_CD2_STAB_!AH16,EL_DEL_CD1_WST_PTP_!AH16,EL_DEL_CD1_NTH_PTP_!AH16)</f>
        <v>0</v>
      </c>
      <c r="AH16" s="6">
        <f>SUM(EL_DEL_CD2_JO_!AI16,EL_DEL_CD2_PTP_!AI16,EL_DEL_CD2_SBI_1_4_!AI16,EL_DEL_CD2_SBI_5_6_!AI16,EL_DEL_CD2_STAB_!AI16,EL_DEL_CD1_WST_PTP_!AI16,EL_DEL_CD1_NTH_PTP_!AI16)</f>
        <v>0</v>
      </c>
      <c r="AI16" s="7">
        <f>SUM(EL_DEL_CD2_JO_!AJ16,EL_DEL_CD2_PTP_!AJ16,EL_DEL_CD2_SBI_1_4_!AJ16,EL_DEL_CD2_SBI_5_6_!AJ16,EL_DEL_CD2_STAB_!AJ16,EL_DEL_CD1_WST_PTP_!AJ16,EL_DEL_CD1_NTH_PTP_!AJ16)</f>
        <v>0</v>
      </c>
      <c r="AJ16" s="6">
        <f>SUM(EL_DEL_CD2_JO_!AK16,EL_DEL_CD2_PTP_!AK16,EL_DEL_CD2_SBI_1_4_!AK16,EL_DEL_CD2_SBI_5_6_!AK16,EL_DEL_CD2_STAB_!AK16,EL_DEL_CD1_WST_PTP_!AK16,EL_DEL_CD1_NTH_PTP_!AK16)</f>
        <v>0</v>
      </c>
      <c r="AK16" s="59" t="str">
        <f>IFERROR(AVERAGE(EL_DEL_CD2_JO_!AL16,EL_DEL_CD2_PTP_!AL16,EL_DEL_CD2_SBI_1_4_!AL16,EL_DEL_CD2_SBI_5_6_!AL16,EL_DEL_CD2_STAB_!AL16,EL_DEL_CD1_WST_PTP_!AL16,EL_DEL_CD1_NTH_PTP_!AL16),"")</f>
        <v/>
      </c>
      <c r="AL16" s="59" t="str">
        <f>IFERROR(AVERAGE(EL_DEL_CD2_JO_!AM16,EL_DEL_CD2_PTP_!AM16,EL_DEL_CD2_SBI_1_4_!AM16,EL_DEL_CD2_SBI_5_6_!AM16,EL_DEL_CD2_STAB_!AM16,EL_DEL_CD1_WST_PTP_!AM16,EL_DEL_CD1_NTH_PTP_!AM16),"")</f>
        <v/>
      </c>
      <c r="AM16" s="59" t="str">
        <f>IFERROR(AVERAGE(EL_DEL_CD2_JO_!AN16,EL_DEL_CD2_PTP_!AN16,EL_DEL_CD2_SBI_1_4_!AN16,EL_DEL_CD2_SBI_5_6_!AN16,EL_DEL_CD2_STAB_!AN16,EL_DEL_CD1_WST_PTP_!AN16,EL_DEL_CD1_NTH_PTP_!AN16),"")</f>
        <v/>
      </c>
      <c r="AN16" s="59" t="str">
        <f>IFERROR(AVERAGE(EL_DEL_CD2_JO_!AO16,EL_DEL_CD2_PTP_!AO16,EL_DEL_CD2_SBI_1_4_!AO16,EL_DEL_CD2_SBI_5_6_!AO16,EL_DEL_CD2_STAB_!AO16,EL_DEL_CD1_WST_PTP_!AO16,EL_DEL_CD1_NTH_PTP_!AO16),"")</f>
        <v/>
      </c>
      <c r="AO16" s="59" t="str">
        <f>IFERROR(AVERAGE(EL_DEL_CD2_JO_!AP16,EL_DEL_CD2_PTP_!AP16,EL_DEL_CD2_SBI_1_4_!AP16,EL_DEL_CD2_SBI_5_6_!AP16,EL_DEL_CD2_STAB_!AP16,EL_DEL_CD1_WST_PTP_!AP16,EL_DEL_CD1_NTH_PTP_!AP16),"")</f>
        <v/>
      </c>
      <c r="AP16" s="59" t="str">
        <f>IFERROR(AVERAGE(EL_DEL_CD2_JO_!AQ16,EL_DEL_CD2_PTP_!AQ16,EL_DEL_CD2_SBI_1_4_!AQ16,EL_DEL_CD2_SBI_5_6_!AQ16,EL_DEL_CD2_STAB_!AQ16,EL_DEL_CD1_WST_PTP_!AQ16,EL_DEL_CD1_NTH_PTP_!AQ16),"")</f>
        <v/>
      </c>
      <c r="AQ16" s="59" t="str">
        <f>IFERROR(AVERAGE(EL_DEL_CD2_JO_!AR16,EL_DEL_CD2_PTP_!AR16,EL_DEL_CD2_SBI_1_4_!AR16,EL_DEL_CD2_SBI_5_6_!AR16,EL_DEL_CD2_STAB_!AR16,EL_DEL_CD1_WST_PTP_!AR16,EL_DEL_CD1_NTH_PTP_!AR16),"")</f>
        <v/>
      </c>
      <c r="AR16" s="59" t="str">
        <f>IFERROR(AVERAGE(EL_DEL_CD2_JO_!AS16,EL_DEL_CD2_PTP_!AS16,EL_DEL_CD2_SBI_1_4_!AS16,EL_DEL_CD2_SBI_5_6_!AS16,EL_DEL_CD2_STAB_!AS16,EL_DEL_CD1_WST_PTP_!AS16,EL_DEL_CD1_NTH_PTP_!AS16),"")</f>
        <v/>
      </c>
      <c r="AS16" s="8">
        <f>SUM(EL_DEL_CD2_JO_!AT16,EL_DEL_CD2_PTP_!AT16,EL_DEL_CD2_SBI_1_4_!AT16,EL_DEL_CD2_SBI_5_6_!AT16,EL_DEL_CD2_STAB_!AT16,EL_DEL_CD1_WST_PTP_!AT16,EL_DEL_CD1_NTH_PTP_!AT16)</f>
        <v>0</v>
      </c>
      <c r="AT16" s="8">
        <f>SUM(EL_DEL_CD2_JO_!AU16,EL_DEL_CD2_PTP_!AU16,EL_DEL_CD2_SBI_1_4_!AU16,EL_DEL_CD2_SBI_5_6_!AU16,EL_DEL_CD2_STAB_!AU16,EL_DEL_CD1_WST_PTP_!AU16,EL_DEL_CD1_NTH_PTP_!AU16)</f>
        <v>0</v>
      </c>
      <c r="AU16" s="9">
        <f>SUM(EL_DEL_CD2_JO_!AV16,EL_DEL_CD2_PTP_!AV16,EL_DEL_CD2_SBI_1_4_!AV16,EL_DEL_CD2_SBI_5_6_!AV16,EL_DEL_CD2_STAB_!AV16,EL_DEL_CD1_WST_PTP_!AV16,EL_DEL_CD1_NTH_PTP_!AV16)</f>
        <v>0</v>
      </c>
      <c r="AV16" s="8" t="str">
        <f>IFERROR(AVERAGE(EL_DEL_CD2_JO_!AW16,EL_DEL_CD2_PTP_!AW16,EL_DEL_CD2_SBI_1_4_!AW16,EL_DEL_CD2_SBI_5_6_!AW16,EL_DEL_CD2_STAB_!AW16,EL_DEL_CD1_WST_PTP_!AW16,EL_DEL_CD1_NTH_PTP_!AW16),"")</f>
        <v/>
      </c>
      <c r="AW16" s="10" t="str">
        <f t="shared" si="1"/>
        <v>-</v>
      </c>
      <c r="AX16" s="39"/>
      <c r="AY16" s="1" t="str">
        <f t="shared" si="2"/>
        <v/>
      </c>
      <c r="AZ16" s="11" t="str">
        <f t="shared" si="3"/>
        <v/>
      </c>
      <c r="BA16" s="1" t="str">
        <f t="shared" si="4"/>
        <v/>
      </c>
      <c r="BB16" s="39"/>
      <c r="BC16" s="53" t="str">
        <f t="shared" si="5"/>
        <v/>
      </c>
      <c r="BD16" s="12" t="str">
        <f t="shared" si="6"/>
        <v/>
      </c>
      <c r="BE16" s="12" t="str">
        <f t="shared" si="7"/>
        <v/>
      </c>
      <c r="BF16" s="12" t="str">
        <f t="shared" si="8"/>
        <v/>
      </c>
      <c r="BG16" s="12" t="str">
        <f t="shared" si="9"/>
        <v/>
      </c>
      <c r="BH16" s="54" t="str">
        <f t="shared" si="10"/>
        <v/>
      </c>
      <c r="BI16" s="39"/>
      <c r="BJ16" s="55" t="str">
        <f t="shared" si="11"/>
        <v/>
      </c>
      <c r="BK16" s="13" t="str">
        <f t="shared" si="12"/>
        <v/>
      </c>
      <c r="BL16" s="13" t="str">
        <f t="shared" si="13"/>
        <v/>
      </c>
      <c r="BM16" s="56" t="str">
        <f t="shared" si="14"/>
        <v/>
      </c>
      <c r="BN16" s="39"/>
      <c r="BO16" s="14" t="str">
        <f t="shared" si="15"/>
        <v/>
      </c>
      <c r="BP16" s="15">
        <v>0</v>
      </c>
      <c r="BQ16" s="15" t="str">
        <f t="shared" si="16"/>
        <v/>
      </c>
      <c r="BR16" s="15" t="str">
        <f t="shared" si="17"/>
        <v/>
      </c>
      <c r="BS16" s="16" t="str">
        <f t="shared" si="18"/>
        <v/>
      </c>
      <c r="BT16" s="39"/>
      <c r="BU16" s="51" t="e">
        <f t="shared" si="19"/>
        <v>#VALUE!</v>
      </c>
      <c r="BV16" s="28" t="e">
        <f t="shared" si="20"/>
        <v>#VALUE!</v>
      </c>
      <c r="BW16" s="28" t="e">
        <f t="shared" si="21"/>
        <v>#VALUE!</v>
      </c>
      <c r="BX16" s="28" t="e">
        <f t="shared" si="22"/>
        <v>#VALUE!</v>
      </c>
      <c r="BY16" s="28" t="e">
        <f t="shared" si="23"/>
        <v>#VALUE!</v>
      </c>
      <c r="BZ16" s="52" t="e">
        <f t="shared" si="24"/>
        <v>#VALUE!</v>
      </c>
      <c r="CA16" s="39"/>
      <c r="CB16" s="49" t="str">
        <f t="shared" si="25"/>
        <v>-</v>
      </c>
      <c r="CC16" s="29" t="str">
        <f t="shared" si="26"/>
        <v>-</v>
      </c>
      <c r="CD16" s="29" t="str">
        <f t="shared" si="27"/>
        <v>-</v>
      </c>
      <c r="CE16" s="29" t="str">
        <f t="shared" si="28"/>
        <v>-</v>
      </c>
      <c r="CF16" s="50" t="str">
        <f t="shared" si="29"/>
        <v>-</v>
      </c>
      <c r="CG16" s="39"/>
    </row>
    <row r="17" spans="1:85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2">
        <f>SUM(EL_DEL_CD2_JO_!C17,EL_DEL_CD2_PTP_!C17,EL_DEL_CD2_SBI_1_4_!C17,EL_DEL_CD2_SBI_5_6_!C17,EL_DEL_CD2_STAB_!C17,EL_DEL_CD1_WST_PTP_!C17,EL_DEL_CD1_NTH_PTP_!C17)</f>
        <v>0</v>
      </c>
      <c r="D17" s="2">
        <f>SUM(EL_DEL_CD2_JO_!D17,EL_DEL_CD2_PTP_!D17,EL_DEL_CD2_SBI_1_4_!D17,EL_DEL_CD2_SBI_5_6_!D17,EL_DEL_CD2_STAB_!D17,EL_DEL_CD1_WST_PTP_!D17,EL_DEL_CD1_NTH_PTP_!D17)</f>
        <v>0</v>
      </c>
      <c r="E17" s="3">
        <f>SUM(EL_DEL_CD2_JO_!E17,EL_DEL_CD2_PTP_!E17,EL_DEL_CD2_SBI_1_4_!E17,EL_DEL_CD2_SBI_5_6_!E17,EL_DEL_CD2_STAB_!E17,EL_DEL_CD1_WST_PTP_!E17,EL_DEL_CD1_NTH_PTP_!E17)</f>
        <v>0</v>
      </c>
      <c r="F17" s="2">
        <f>SUM(EL_DEL_CD2_JO_!F17,EL_DEL_CD2_PTP_!F17,EL_DEL_CD2_SBI_1_4_!F17,EL_DEL_CD2_SBI_5_6_!F17,EL_DEL_CD2_STAB_!F17,EL_DEL_CD1_WST_PTP_!F17,EL_DEL_CD1_NTH_PTP_!F17)</f>
        <v>0</v>
      </c>
      <c r="G17" s="2">
        <f>SUM(EL_DEL_CD2_JO_!G17,EL_DEL_CD2_PTP_!G17,EL_DEL_CD2_SBI_1_4_!G17,EL_DEL_CD2_SBI_5_6_!G17,EL_DEL_CD2_STAB_!G17,EL_DEL_CD1_WST_PTP_!G17,EL_DEL_CD1_NTH_PTP_!G17)</f>
        <v>0</v>
      </c>
      <c r="H17" s="4">
        <f>SUM(EL_DEL_CD2_JO_!H17,EL_DEL_CD2_PTP_!H17,EL_DEL_CD2_SBI_1_4_!H17,EL_DEL_CD2_SBI_5_6_!H17,EL_DEL_CD2_STAB_!H17,EL_DEL_CD1_WST_PTP_!H17,EL_DEL_CD1_NTH_PTP_!H17)</f>
        <v>0</v>
      </c>
      <c r="I17" s="4">
        <f>SUM(EL_DEL_CD2_JO_!I17,EL_DEL_CD2_PTP_!I17,EL_DEL_CD2_SBI_1_4_!I17,EL_DEL_CD2_SBI_5_6_!I17,EL_DEL_CD2_STAB_!I17,EL_DEL_CD1_WST_PTP_!I17,EL_DEL_CD1_NTH_PTP_!I17)</f>
        <v>0</v>
      </c>
      <c r="J17" s="63">
        <f>SUM(EL_DEL_CD2_JO_!J17,EL_DEL_CD2_PTP_!J17,EL_DEL_CD2_SBI_1_4_!J17,EL_DEL_CD2_SBI_5_6_!J17,EL_DEL_CD2_STAB_!J17,EL_DEL_CD1_WST_PTP_!J17,EL_DEL_CD1_NTH_PTP_!J17)</f>
        <v>0</v>
      </c>
      <c r="K17" s="5">
        <f>SUM(EL_DEL_CD2_JO_!K17,EL_DEL_CD2_PTP_!K17,EL_DEL_CD2_SBI_1_4_!K17,EL_DEL_CD2_SBI_5_6_!K17,EL_DEL_CD2_STAB_!K17,EL_DEL_CD1_WST_PTP_!K17,EL_DEL_CD1_NTH_PTP_!K17)</f>
        <v>0</v>
      </c>
      <c r="L17" s="2">
        <f>SUM(EL_DEL_CD2_JO_!L17,EL_DEL_CD2_PTP_!L17,EL_DEL_CD2_SBI_1_4_!L17,EL_DEL_CD2_SBI_5_6_!L17,EL_DEL_CD2_STAB_!L17,EL_DEL_CD1_WST_PTP_!L17,EL_DEL_CD1_NTH_PTP_!L17)</f>
        <v>0</v>
      </c>
      <c r="M17" s="2">
        <f>SUM(EL_DEL_CD2_JO_!M17,EL_DEL_CD2_PTP_!M17,EL_DEL_CD2_SBI_1_4_!M17,EL_DEL_CD2_SBI_5_6_!M17,EL_DEL_CD2_STAB_!M17,EL_DEL_CD1_WST_PTP_!M17,EL_DEL_CD1_NTH_PTP_!M17)</f>
        <v>0</v>
      </c>
      <c r="N17" s="2">
        <f>SUM(EL_DEL_CD2_JO_!N17,EL_DEL_CD2_PTP_!N17,EL_DEL_CD2_SBI_1_4_!N17,EL_DEL_CD2_SBI_5_6_!N17,EL_DEL_CD2_STAB_!N17,EL_DEL_CD1_WST_PTP_!N17,EL_DEL_CD1_NTH_PTP_!N17)</f>
        <v>0</v>
      </c>
      <c r="O17" s="2">
        <f>SUM(EL_DEL_CD2_JO_!O17,EL_DEL_CD2_PTP_!O17,EL_DEL_CD2_SBI_1_4_!O17,EL_DEL_CD2_SBI_5_6_!O17,EL_DEL_CD2_STAB_!O17,EL_DEL_CD1_WST_PTP_!O17,EL_DEL_CD1_NTH_PTP_!O17)</f>
        <v>0</v>
      </c>
      <c r="P17" s="3">
        <f>SUM(EL_DEL_CD2_JO_!P17,EL_DEL_CD2_PTP_!P17,EL_DEL_CD2_SBI_1_4_!P17,EL_DEL_CD2_SBI_5_6_!P17,EL_DEL_CD2_STAB_!P17,EL_DEL_CD1_WST_PTP_!P17,EL_DEL_CD1_NTH_PTP_!P17)</f>
        <v>0</v>
      </c>
      <c r="Q17" s="2">
        <f>SUM(EL_DEL_CD2_JO_!Q17,EL_DEL_CD2_PTP_!Q17,EL_DEL_CD2_SBI_1_4_!Q17,EL_DEL_CD2_SBI_5_6_!Q17,EL_DEL_CD2_STAB_!Q17,EL_DEL_CD1_WST_PTP_!Q17,EL_DEL_CD1_NTH_PTP_!Q17)</f>
        <v>0</v>
      </c>
      <c r="R17" s="2">
        <f>SUM(EL_DEL_CD2_JO_!R17,EL_DEL_CD2_PTP_!R17,EL_DEL_CD2_SBI_1_4_!R17,EL_DEL_CD2_SBI_5_6_!R17,EL_DEL_CD2_STAB_!R17,EL_DEL_CD1_WST_PTP_!R17,EL_DEL_CD1_NTH_PTP_!R17)</f>
        <v>0</v>
      </c>
      <c r="S17" s="2">
        <f>SUM(EL_DEL_CD2_JO_!S17,EL_DEL_CD2_PTP_!S17,EL_DEL_CD2_SBI_1_4_!S17,EL_DEL_CD2_SBI_5_6_!S17,EL_DEL_CD2_STAB_!S17,EL_DEL_CD1_WST_PTP_!S17,EL_DEL_CD1_NTH_PTP_!S17)</f>
        <v>0</v>
      </c>
      <c r="T17" s="2">
        <f>SUM(EL_DEL_CD2_JO_!T17,EL_DEL_CD2_PTP_!T17,EL_DEL_CD2_SBI_1_4_!T17,EL_DEL_CD2_SBI_5_6_!T17,EL_DEL_CD2_STAB_!T17,EL_DEL_CD1_WST_PTP_!T17,EL_DEL_CD1_NTH_PTP_!T17)</f>
        <v>0</v>
      </c>
      <c r="U17" s="3">
        <f>SUM(EL_DEL_CD2_JO_!V17,EL_DEL_CD2_PTP_!V17,EL_DEL_CD2_SBI_1_4_!V17,EL_DEL_CD2_SBI_5_6_!V17,EL_DEL_CD2_STAB_!V17,EL_DEL_CD1_WST_PTP_!V17,EL_DEL_CD1_NTH_PTP_!V17)</f>
        <v>0</v>
      </c>
      <c r="V17" s="3">
        <f>SUM(EL_DEL_CD2_JO_!W17,EL_DEL_CD2_PTP_!W17,EL_DEL_CD2_SBI_1_4_!W17,EL_DEL_CD2_SBI_5_6_!W17,EL_DEL_CD2_STAB_!W17,EL_DEL_CD1_WST_PTP_!W17,EL_DEL_CD1_NTH_PTP_!W17)</f>
        <v>0</v>
      </c>
      <c r="W17" s="2">
        <f>SUM(EL_DEL_CD2_JO_!X17,EL_DEL_CD2_PTP_!X17,EL_DEL_CD2_SBI_1_4_!X17,EL_DEL_CD2_SBI_5_6_!X17,EL_DEL_CD2_STAB_!X17,EL_DEL_CD1_WST_PTP_!X17,EL_DEL_CD1_NTH_PTP_!X17)</f>
        <v>0</v>
      </c>
      <c r="X17" s="2">
        <f>SUM(EL_DEL_CD2_JO_!Y17,EL_DEL_CD2_PTP_!Y17,EL_DEL_CD2_SBI_1_4_!Y17,EL_DEL_CD2_SBI_5_6_!Y17,EL_DEL_CD2_STAB_!Y17,EL_DEL_CD1_WST_PTP_!Y17,EL_DEL_CD1_NTH_PTP_!Y17)</f>
        <v>0</v>
      </c>
      <c r="Y17" s="2">
        <f>SUM(EL_DEL_CD2_JO_!Z17,EL_DEL_CD2_PTP_!Z17,EL_DEL_CD2_SBI_1_4_!Z17,EL_DEL_CD2_SBI_5_6_!Z17,EL_DEL_CD2_STAB_!Z17,EL_DEL_CD1_WST_PTP_!Z17,EL_DEL_CD1_NTH_PTP_!Z17)</f>
        <v>0</v>
      </c>
      <c r="Z17" s="2">
        <f>SUM(EL_DEL_CD2_JO_!AA17,EL_DEL_CD2_PTP_!AA17,EL_DEL_CD2_SBI_1_4_!AA17,EL_DEL_CD2_SBI_5_6_!AA17,EL_DEL_CD2_STAB_!AA17,EL_DEL_CD1_WST_PTP_!AA17,EL_DEL_CD1_NTH_PTP_!AA17)</f>
        <v>0</v>
      </c>
      <c r="AA17" s="2">
        <f>SUM(EL_DEL_CD2_JO_!AB17,EL_DEL_CD2_PTP_!AB17,EL_DEL_CD2_SBI_1_4_!AB17,EL_DEL_CD2_SBI_5_6_!AB17,EL_DEL_CD2_STAB_!AB17,EL_DEL_CD1_WST_PTP_!AB17,EL_DEL_CD1_NTH_PTP_!AB17)</f>
        <v>0</v>
      </c>
      <c r="AB17" s="2">
        <f>SUM(EL_DEL_CD2_JO_!AC17,EL_DEL_CD2_PTP_!AC17,EL_DEL_CD2_SBI_1_4_!AC17,EL_DEL_CD2_SBI_5_6_!AC17,EL_DEL_CD2_STAB_!AC17,EL_DEL_CD1_WST_PTP_!AC17,EL_DEL_CD1_NTH_PTP_!AC17)</f>
        <v>0</v>
      </c>
      <c r="AC17" s="2">
        <f>SUM(EL_DEL_CD2_JO_!AD17,EL_DEL_CD2_PTP_!AD17,EL_DEL_CD2_SBI_1_4_!AD17,EL_DEL_CD2_SBI_5_6_!AD17,EL_DEL_CD2_STAB_!AD17,EL_DEL_CD1_WST_PTP_!AD17,EL_DEL_CD1_NTH_PTP_!AD17)</f>
        <v>0</v>
      </c>
      <c r="AD17" s="2">
        <f>SUM(EL_DEL_CD2_JO_!AE17,EL_DEL_CD2_PTP_!AE17,EL_DEL_CD2_SBI_1_4_!AE17,EL_DEL_CD2_SBI_5_6_!AE17,EL_DEL_CD2_STAB_!AE17,EL_DEL_CD1_WST_PTP_!AE17,EL_DEL_CD1_NTH_PTP_!AE17)</f>
        <v>0</v>
      </c>
      <c r="AE17" s="3">
        <f>SUM(EL_DEL_CD2_JO_!AF17,EL_DEL_CD2_PTP_!AF17,EL_DEL_CD2_SBI_1_4_!AF17,EL_DEL_CD2_SBI_5_6_!AF17,EL_DEL_CD2_STAB_!AF17,EL_DEL_CD1_WST_PTP_!AF17,EL_DEL_CD1_NTH_PTP_!AF17)</f>
        <v>0</v>
      </c>
      <c r="AF17" s="3">
        <f>SUM(EL_DEL_CD2_JO_!AG17,EL_DEL_CD2_PTP_!AG17,EL_DEL_CD2_SBI_1_4_!AG17,EL_DEL_CD2_SBI_5_6_!AG17,EL_DEL_CD2_STAB_!AG17,EL_DEL_CD1_WST_PTP_!AG17,EL_DEL_CD1_NTH_PTP_!AG17)</f>
        <v>0</v>
      </c>
      <c r="AG17" s="2">
        <f>SUM(EL_DEL_CD2_JO_!AH17,EL_DEL_CD2_PTP_!AH17,EL_DEL_CD2_SBI_1_4_!AH17,EL_DEL_CD2_SBI_5_6_!AH17,EL_DEL_CD2_STAB_!AH17,EL_DEL_CD1_WST_PTP_!AH17,EL_DEL_CD1_NTH_PTP_!AH17)</f>
        <v>0</v>
      </c>
      <c r="AH17" s="6">
        <f>SUM(EL_DEL_CD2_JO_!AI17,EL_DEL_CD2_PTP_!AI17,EL_DEL_CD2_SBI_1_4_!AI17,EL_DEL_CD2_SBI_5_6_!AI17,EL_DEL_CD2_STAB_!AI17,EL_DEL_CD1_WST_PTP_!AI17,EL_DEL_CD1_NTH_PTP_!AI17)</f>
        <v>0</v>
      </c>
      <c r="AI17" s="7">
        <f>SUM(EL_DEL_CD2_JO_!AJ17,EL_DEL_CD2_PTP_!AJ17,EL_DEL_CD2_SBI_1_4_!AJ17,EL_DEL_CD2_SBI_5_6_!AJ17,EL_DEL_CD2_STAB_!AJ17,EL_DEL_CD1_WST_PTP_!AJ17,EL_DEL_CD1_NTH_PTP_!AJ17)</f>
        <v>0</v>
      </c>
      <c r="AJ17" s="6">
        <f>SUM(EL_DEL_CD2_JO_!AK17,EL_DEL_CD2_PTP_!AK17,EL_DEL_CD2_SBI_1_4_!AK17,EL_DEL_CD2_SBI_5_6_!AK17,EL_DEL_CD2_STAB_!AK17,EL_DEL_CD1_WST_PTP_!AK17,EL_DEL_CD1_NTH_PTP_!AK17)</f>
        <v>0</v>
      </c>
      <c r="AK17" s="59" t="str">
        <f>IFERROR(AVERAGE(EL_DEL_CD2_JO_!AL17,EL_DEL_CD2_PTP_!AL17,EL_DEL_CD2_SBI_1_4_!AL17,EL_DEL_CD2_SBI_5_6_!AL17,EL_DEL_CD2_STAB_!AL17,EL_DEL_CD1_WST_PTP_!AL17,EL_DEL_CD1_NTH_PTP_!AL17),"")</f>
        <v/>
      </c>
      <c r="AL17" s="59" t="str">
        <f>IFERROR(AVERAGE(EL_DEL_CD2_JO_!AM17,EL_DEL_CD2_PTP_!AM17,EL_DEL_CD2_SBI_1_4_!AM17,EL_DEL_CD2_SBI_5_6_!AM17,EL_DEL_CD2_STAB_!AM17,EL_DEL_CD1_WST_PTP_!AM17,EL_DEL_CD1_NTH_PTP_!AM17),"")</f>
        <v/>
      </c>
      <c r="AM17" s="59" t="str">
        <f>IFERROR(AVERAGE(EL_DEL_CD2_JO_!AN17,EL_DEL_CD2_PTP_!AN17,EL_DEL_CD2_SBI_1_4_!AN17,EL_DEL_CD2_SBI_5_6_!AN17,EL_DEL_CD2_STAB_!AN17,EL_DEL_CD1_WST_PTP_!AN17,EL_DEL_CD1_NTH_PTP_!AN17),"")</f>
        <v/>
      </c>
      <c r="AN17" s="59" t="str">
        <f>IFERROR(AVERAGE(EL_DEL_CD2_JO_!AO17,EL_DEL_CD2_PTP_!AO17,EL_DEL_CD2_SBI_1_4_!AO17,EL_DEL_CD2_SBI_5_6_!AO17,EL_DEL_CD2_STAB_!AO17,EL_DEL_CD1_WST_PTP_!AO17,EL_DEL_CD1_NTH_PTP_!AO17),"")</f>
        <v/>
      </c>
      <c r="AO17" s="59" t="str">
        <f>IFERROR(AVERAGE(EL_DEL_CD2_JO_!AP17,EL_DEL_CD2_PTP_!AP17,EL_DEL_CD2_SBI_1_4_!AP17,EL_DEL_CD2_SBI_5_6_!AP17,EL_DEL_CD2_STAB_!AP17,EL_DEL_CD1_WST_PTP_!AP17,EL_DEL_CD1_NTH_PTP_!AP17),"")</f>
        <v/>
      </c>
      <c r="AP17" s="59" t="str">
        <f>IFERROR(AVERAGE(EL_DEL_CD2_JO_!AQ17,EL_DEL_CD2_PTP_!AQ17,EL_DEL_CD2_SBI_1_4_!AQ17,EL_DEL_CD2_SBI_5_6_!AQ17,EL_DEL_CD2_STAB_!AQ17,EL_DEL_CD1_WST_PTP_!AQ17,EL_DEL_CD1_NTH_PTP_!AQ17),"")</f>
        <v/>
      </c>
      <c r="AQ17" s="59" t="str">
        <f>IFERROR(AVERAGE(EL_DEL_CD2_JO_!AR17,EL_DEL_CD2_PTP_!AR17,EL_DEL_CD2_SBI_1_4_!AR17,EL_DEL_CD2_SBI_5_6_!AR17,EL_DEL_CD2_STAB_!AR17,EL_DEL_CD1_WST_PTP_!AR17,EL_DEL_CD1_NTH_PTP_!AR17),"")</f>
        <v/>
      </c>
      <c r="AR17" s="59" t="str">
        <f>IFERROR(AVERAGE(EL_DEL_CD2_JO_!AS17,EL_DEL_CD2_PTP_!AS17,EL_DEL_CD2_SBI_1_4_!AS17,EL_DEL_CD2_SBI_5_6_!AS17,EL_DEL_CD2_STAB_!AS17,EL_DEL_CD1_WST_PTP_!AS17,EL_DEL_CD1_NTH_PTP_!AS17),"")</f>
        <v/>
      </c>
      <c r="AS17" s="8">
        <f>SUM(EL_DEL_CD2_JO_!AT17,EL_DEL_CD2_PTP_!AT17,EL_DEL_CD2_SBI_1_4_!AT17,EL_DEL_CD2_SBI_5_6_!AT17,EL_DEL_CD2_STAB_!AT17,EL_DEL_CD1_WST_PTP_!AT17,EL_DEL_CD1_NTH_PTP_!AT17)</f>
        <v>0</v>
      </c>
      <c r="AT17" s="8">
        <f>SUM(EL_DEL_CD2_JO_!AU17,EL_DEL_CD2_PTP_!AU17,EL_DEL_CD2_SBI_1_4_!AU17,EL_DEL_CD2_SBI_5_6_!AU17,EL_DEL_CD2_STAB_!AU17,EL_DEL_CD1_WST_PTP_!AU17,EL_DEL_CD1_NTH_PTP_!AU17)</f>
        <v>0</v>
      </c>
      <c r="AU17" s="9">
        <f>SUM(EL_DEL_CD2_JO_!AV17,EL_DEL_CD2_PTP_!AV17,EL_DEL_CD2_SBI_1_4_!AV17,EL_DEL_CD2_SBI_5_6_!AV17,EL_DEL_CD2_STAB_!AV17,EL_DEL_CD1_WST_PTP_!AV17,EL_DEL_CD1_NTH_PTP_!AV17)</f>
        <v>0</v>
      </c>
      <c r="AV17" s="8" t="str">
        <f>IFERROR(AVERAGE(EL_DEL_CD2_JO_!AW17,EL_DEL_CD2_PTP_!AW17,EL_DEL_CD2_SBI_1_4_!AW17,EL_DEL_CD2_SBI_5_6_!AW17,EL_DEL_CD2_STAB_!AW17,EL_DEL_CD1_WST_PTP_!AW17,EL_DEL_CD1_NTH_PTP_!AW17),"")</f>
        <v/>
      </c>
      <c r="AW17" s="10" t="str">
        <f t="shared" si="1"/>
        <v>-</v>
      </c>
      <c r="AX17" s="39"/>
      <c r="AY17" s="1" t="str">
        <f t="shared" si="2"/>
        <v/>
      </c>
      <c r="AZ17" s="11" t="str">
        <f t="shared" si="3"/>
        <v/>
      </c>
      <c r="BA17" s="1" t="str">
        <f t="shared" si="4"/>
        <v/>
      </c>
      <c r="BB17" s="39"/>
      <c r="BC17" s="53" t="str">
        <f t="shared" si="5"/>
        <v/>
      </c>
      <c r="BD17" s="12" t="str">
        <f t="shared" si="6"/>
        <v/>
      </c>
      <c r="BE17" s="12" t="str">
        <f t="shared" si="7"/>
        <v/>
      </c>
      <c r="BF17" s="12" t="str">
        <f t="shared" si="8"/>
        <v/>
      </c>
      <c r="BG17" s="12" t="str">
        <f t="shared" si="9"/>
        <v/>
      </c>
      <c r="BH17" s="54" t="str">
        <f t="shared" si="10"/>
        <v/>
      </c>
      <c r="BI17" s="39"/>
      <c r="BJ17" s="55" t="str">
        <f t="shared" si="11"/>
        <v/>
      </c>
      <c r="BK17" s="13" t="str">
        <f t="shared" si="12"/>
        <v/>
      </c>
      <c r="BL17" s="13" t="str">
        <f t="shared" si="13"/>
        <v/>
      </c>
      <c r="BM17" s="56" t="str">
        <f t="shared" si="14"/>
        <v/>
      </c>
      <c r="BN17" s="39"/>
      <c r="BO17" s="14" t="str">
        <f t="shared" si="15"/>
        <v/>
      </c>
      <c r="BP17" s="15">
        <v>0</v>
      </c>
      <c r="BQ17" s="15" t="str">
        <f t="shared" si="16"/>
        <v/>
      </c>
      <c r="BR17" s="15" t="str">
        <f t="shared" si="17"/>
        <v/>
      </c>
      <c r="BS17" s="16" t="str">
        <f t="shared" si="18"/>
        <v/>
      </c>
      <c r="BT17" s="39"/>
      <c r="BU17" s="51" t="e">
        <f t="shared" si="19"/>
        <v>#VALUE!</v>
      </c>
      <c r="BV17" s="28" t="e">
        <f t="shared" si="20"/>
        <v>#VALUE!</v>
      </c>
      <c r="BW17" s="28" t="e">
        <f t="shared" si="21"/>
        <v>#VALUE!</v>
      </c>
      <c r="BX17" s="28" t="e">
        <f t="shared" si="22"/>
        <v>#VALUE!</v>
      </c>
      <c r="BY17" s="28" t="e">
        <f t="shared" si="23"/>
        <v>#VALUE!</v>
      </c>
      <c r="BZ17" s="52" t="e">
        <f t="shared" si="24"/>
        <v>#VALUE!</v>
      </c>
      <c r="CA17" s="39"/>
      <c r="CB17" s="49" t="str">
        <f t="shared" si="25"/>
        <v>-</v>
      </c>
      <c r="CC17" s="29" t="str">
        <f t="shared" si="26"/>
        <v>-</v>
      </c>
      <c r="CD17" s="29" t="str">
        <f t="shared" si="27"/>
        <v>-</v>
      </c>
      <c r="CE17" s="29" t="str">
        <f t="shared" si="28"/>
        <v>-</v>
      </c>
      <c r="CF17" s="50" t="str">
        <f t="shared" si="29"/>
        <v>-</v>
      </c>
      <c r="CG17" s="39"/>
    </row>
    <row r="18" spans="1:85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2">
        <f>SUM(EL_DEL_CD2_JO_!C18,EL_DEL_CD2_PTP_!C18,EL_DEL_CD2_SBI_1_4_!C18,EL_DEL_CD2_SBI_5_6_!C18,EL_DEL_CD2_STAB_!C18,EL_DEL_CD1_WST_PTP_!C18,EL_DEL_CD1_NTH_PTP_!C18)</f>
        <v>0</v>
      </c>
      <c r="D18" s="2">
        <f>SUM(EL_DEL_CD2_JO_!D18,EL_DEL_CD2_PTP_!D18,EL_DEL_CD2_SBI_1_4_!D18,EL_DEL_CD2_SBI_5_6_!D18,EL_DEL_CD2_STAB_!D18,EL_DEL_CD1_WST_PTP_!D18,EL_DEL_CD1_NTH_PTP_!D18)</f>
        <v>0</v>
      </c>
      <c r="E18" s="3">
        <f>SUM(EL_DEL_CD2_JO_!E18,EL_DEL_CD2_PTP_!E18,EL_DEL_CD2_SBI_1_4_!E18,EL_DEL_CD2_SBI_5_6_!E18,EL_DEL_CD2_STAB_!E18,EL_DEL_CD1_WST_PTP_!E18,EL_DEL_CD1_NTH_PTP_!E18)</f>
        <v>0</v>
      </c>
      <c r="F18" s="2">
        <f>SUM(EL_DEL_CD2_JO_!F18,EL_DEL_CD2_PTP_!F18,EL_DEL_CD2_SBI_1_4_!F18,EL_DEL_CD2_SBI_5_6_!F18,EL_DEL_CD2_STAB_!F18,EL_DEL_CD1_WST_PTP_!F18,EL_DEL_CD1_NTH_PTP_!F18)</f>
        <v>0</v>
      </c>
      <c r="G18" s="2">
        <f>SUM(EL_DEL_CD2_JO_!G18,EL_DEL_CD2_PTP_!G18,EL_DEL_CD2_SBI_1_4_!G18,EL_DEL_CD2_SBI_5_6_!G18,EL_DEL_CD2_STAB_!G18,EL_DEL_CD1_WST_PTP_!G18,EL_DEL_CD1_NTH_PTP_!G18)</f>
        <v>0</v>
      </c>
      <c r="H18" s="4">
        <f>SUM(EL_DEL_CD2_JO_!H18,EL_DEL_CD2_PTP_!H18,EL_DEL_CD2_SBI_1_4_!H18,EL_DEL_CD2_SBI_5_6_!H18,EL_DEL_CD2_STAB_!H18,EL_DEL_CD1_WST_PTP_!H18,EL_DEL_CD1_NTH_PTP_!H18)</f>
        <v>0</v>
      </c>
      <c r="I18" s="4">
        <f>SUM(EL_DEL_CD2_JO_!I18,EL_DEL_CD2_PTP_!I18,EL_DEL_CD2_SBI_1_4_!I18,EL_DEL_CD2_SBI_5_6_!I18,EL_DEL_CD2_STAB_!I18,EL_DEL_CD1_WST_PTP_!I18,EL_DEL_CD1_NTH_PTP_!I18)</f>
        <v>0</v>
      </c>
      <c r="J18" s="58">
        <f>SUM(EL_DEL_CD2_JO_!J18,EL_DEL_CD2_PTP_!J18,EL_DEL_CD2_SBI_1_4_!J18,EL_DEL_CD2_SBI_5_6_!J18,EL_DEL_CD2_STAB_!J18,EL_DEL_CD1_WST_PTP_!J18,EL_DEL_CD1_NTH_PTP_!J18)</f>
        <v>0</v>
      </c>
      <c r="K18" s="5">
        <f>SUM(EL_DEL_CD2_JO_!K18,EL_DEL_CD2_PTP_!K18,EL_DEL_CD2_SBI_1_4_!K18,EL_DEL_CD2_SBI_5_6_!K18,EL_DEL_CD2_STAB_!K18,EL_DEL_CD1_WST_PTP_!K18,EL_DEL_CD1_NTH_PTP_!K18)</f>
        <v>0</v>
      </c>
      <c r="L18" s="2">
        <f>SUM(EL_DEL_CD2_JO_!L18,EL_DEL_CD2_PTP_!L18,EL_DEL_CD2_SBI_1_4_!L18,EL_DEL_CD2_SBI_5_6_!L18,EL_DEL_CD2_STAB_!L18,EL_DEL_CD1_WST_PTP_!L18,EL_DEL_CD1_NTH_PTP_!L18)</f>
        <v>0</v>
      </c>
      <c r="M18" s="2">
        <f>SUM(EL_DEL_CD2_JO_!M18,EL_DEL_CD2_PTP_!M18,EL_DEL_CD2_SBI_1_4_!M18,EL_DEL_CD2_SBI_5_6_!M18,EL_DEL_CD2_STAB_!M18,EL_DEL_CD1_WST_PTP_!M18,EL_DEL_CD1_NTH_PTP_!M18)</f>
        <v>0</v>
      </c>
      <c r="N18" s="2">
        <f>SUM(EL_DEL_CD2_JO_!N18,EL_DEL_CD2_PTP_!N18,EL_DEL_CD2_SBI_1_4_!N18,EL_DEL_CD2_SBI_5_6_!N18,EL_DEL_CD2_STAB_!N18,EL_DEL_CD1_WST_PTP_!N18,EL_DEL_CD1_NTH_PTP_!N18)</f>
        <v>0</v>
      </c>
      <c r="O18" s="2">
        <f>SUM(EL_DEL_CD2_JO_!O18,EL_DEL_CD2_PTP_!O18,EL_DEL_CD2_SBI_1_4_!O18,EL_DEL_CD2_SBI_5_6_!O18,EL_DEL_CD2_STAB_!O18,EL_DEL_CD1_WST_PTP_!O18,EL_DEL_CD1_NTH_PTP_!O18)</f>
        <v>0</v>
      </c>
      <c r="P18" s="3">
        <f>SUM(EL_DEL_CD2_JO_!P18,EL_DEL_CD2_PTP_!P18,EL_DEL_CD2_SBI_1_4_!P18,EL_DEL_CD2_SBI_5_6_!P18,EL_DEL_CD2_STAB_!P18,EL_DEL_CD1_WST_PTP_!P18,EL_DEL_CD1_NTH_PTP_!P18)</f>
        <v>0</v>
      </c>
      <c r="Q18" s="2">
        <f>SUM(EL_DEL_CD2_JO_!Q18,EL_DEL_CD2_PTP_!Q18,EL_DEL_CD2_SBI_1_4_!Q18,EL_DEL_CD2_SBI_5_6_!Q18,EL_DEL_CD2_STAB_!Q18,EL_DEL_CD1_WST_PTP_!Q18,EL_DEL_CD1_NTH_PTP_!Q18)</f>
        <v>0</v>
      </c>
      <c r="R18" s="2">
        <f>SUM(EL_DEL_CD2_JO_!R18,EL_DEL_CD2_PTP_!R18,EL_DEL_CD2_SBI_1_4_!R18,EL_DEL_CD2_SBI_5_6_!R18,EL_DEL_CD2_STAB_!R18,EL_DEL_CD1_WST_PTP_!R18,EL_DEL_CD1_NTH_PTP_!R18)</f>
        <v>0</v>
      </c>
      <c r="S18" s="2">
        <f>SUM(EL_DEL_CD2_JO_!S18,EL_DEL_CD2_PTP_!S18,EL_DEL_CD2_SBI_1_4_!S18,EL_DEL_CD2_SBI_5_6_!S18,EL_DEL_CD2_STAB_!S18,EL_DEL_CD1_WST_PTP_!S18,EL_DEL_CD1_NTH_PTP_!S18)</f>
        <v>0</v>
      </c>
      <c r="T18" s="2">
        <f>SUM(EL_DEL_CD2_JO_!T18,EL_DEL_CD2_PTP_!T18,EL_DEL_CD2_SBI_1_4_!T18,EL_DEL_CD2_SBI_5_6_!T18,EL_DEL_CD2_STAB_!T18,EL_DEL_CD1_WST_PTP_!T18,EL_DEL_CD1_NTH_PTP_!T18)</f>
        <v>0</v>
      </c>
      <c r="U18" s="3">
        <f>SUM(EL_DEL_CD2_JO_!V18,EL_DEL_CD2_PTP_!V18,EL_DEL_CD2_SBI_1_4_!V18,EL_DEL_CD2_SBI_5_6_!V18,EL_DEL_CD2_STAB_!V18,EL_DEL_CD1_WST_PTP_!V18,EL_DEL_CD1_NTH_PTP_!V18)</f>
        <v>0</v>
      </c>
      <c r="V18" s="3">
        <f>SUM(EL_DEL_CD2_JO_!W18,EL_DEL_CD2_PTP_!W18,EL_DEL_CD2_SBI_1_4_!W18,EL_DEL_CD2_SBI_5_6_!W18,EL_DEL_CD2_STAB_!W18,EL_DEL_CD1_WST_PTP_!W18,EL_DEL_CD1_NTH_PTP_!W18)</f>
        <v>0</v>
      </c>
      <c r="W18" s="2">
        <f>SUM(EL_DEL_CD2_JO_!X18,EL_DEL_CD2_PTP_!X18,EL_DEL_CD2_SBI_1_4_!X18,EL_DEL_CD2_SBI_5_6_!X18,EL_DEL_CD2_STAB_!X18,EL_DEL_CD1_WST_PTP_!X18,EL_DEL_CD1_NTH_PTP_!X18)</f>
        <v>0</v>
      </c>
      <c r="X18" s="2">
        <f>SUM(EL_DEL_CD2_JO_!Y18,EL_DEL_CD2_PTP_!Y18,EL_DEL_CD2_SBI_1_4_!Y18,EL_DEL_CD2_SBI_5_6_!Y18,EL_DEL_CD2_STAB_!Y18,EL_DEL_CD1_WST_PTP_!Y18,EL_DEL_CD1_NTH_PTP_!Y18)</f>
        <v>0</v>
      </c>
      <c r="Y18" s="2">
        <f>SUM(EL_DEL_CD2_JO_!Z18,EL_DEL_CD2_PTP_!Z18,EL_DEL_CD2_SBI_1_4_!Z18,EL_DEL_CD2_SBI_5_6_!Z18,EL_DEL_CD2_STAB_!Z18,EL_DEL_CD1_WST_PTP_!Z18,EL_DEL_CD1_NTH_PTP_!Z18)</f>
        <v>0</v>
      </c>
      <c r="Z18" s="2">
        <f>SUM(EL_DEL_CD2_JO_!AA18,EL_DEL_CD2_PTP_!AA18,EL_DEL_CD2_SBI_1_4_!AA18,EL_DEL_CD2_SBI_5_6_!AA18,EL_DEL_CD2_STAB_!AA18,EL_DEL_CD1_WST_PTP_!AA18,EL_DEL_CD1_NTH_PTP_!AA18)</f>
        <v>0</v>
      </c>
      <c r="AA18" s="2">
        <f>SUM(EL_DEL_CD2_JO_!AB18,EL_DEL_CD2_PTP_!AB18,EL_DEL_CD2_SBI_1_4_!AB18,EL_DEL_CD2_SBI_5_6_!AB18,EL_DEL_CD2_STAB_!AB18,EL_DEL_CD1_WST_PTP_!AB18,EL_DEL_CD1_NTH_PTP_!AB18)</f>
        <v>0</v>
      </c>
      <c r="AB18" s="2">
        <f>SUM(EL_DEL_CD2_JO_!AC18,EL_DEL_CD2_PTP_!AC18,EL_DEL_CD2_SBI_1_4_!AC18,EL_DEL_CD2_SBI_5_6_!AC18,EL_DEL_CD2_STAB_!AC18,EL_DEL_CD1_WST_PTP_!AC18,EL_DEL_CD1_NTH_PTP_!AC18)</f>
        <v>0</v>
      </c>
      <c r="AC18" s="2">
        <f>SUM(EL_DEL_CD2_JO_!AD18,EL_DEL_CD2_PTP_!AD18,EL_DEL_CD2_SBI_1_4_!AD18,EL_DEL_CD2_SBI_5_6_!AD18,EL_DEL_CD2_STAB_!AD18,EL_DEL_CD1_WST_PTP_!AD18,EL_DEL_CD1_NTH_PTP_!AD18)</f>
        <v>0</v>
      </c>
      <c r="AD18" s="2">
        <f>SUM(EL_DEL_CD2_JO_!AE18,EL_DEL_CD2_PTP_!AE18,EL_DEL_CD2_SBI_1_4_!AE18,EL_DEL_CD2_SBI_5_6_!AE18,EL_DEL_CD2_STAB_!AE18,EL_DEL_CD1_WST_PTP_!AE18,EL_DEL_CD1_NTH_PTP_!AE18)</f>
        <v>0</v>
      </c>
      <c r="AE18" s="3">
        <f>SUM(EL_DEL_CD2_JO_!AF18,EL_DEL_CD2_PTP_!AF18,EL_DEL_CD2_SBI_1_4_!AF18,EL_DEL_CD2_SBI_5_6_!AF18,EL_DEL_CD2_STAB_!AF18,EL_DEL_CD1_WST_PTP_!AF18,EL_DEL_CD1_NTH_PTP_!AF18)</f>
        <v>0</v>
      </c>
      <c r="AF18" s="3">
        <f>SUM(EL_DEL_CD2_JO_!AG18,EL_DEL_CD2_PTP_!AG18,EL_DEL_CD2_SBI_1_4_!AG18,EL_DEL_CD2_SBI_5_6_!AG18,EL_DEL_CD2_STAB_!AG18,EL_DEL_CD1_WST_PTP_!AG18,EL_DEL_CD1_NTH_PTP_!AG18)</f>
        <v>0</v>
      </c>
      <c r="AG18" s="2">
        <f>SUM(EL_DEL_CD2_JO_!AH18,EL_DEL_CD2_PTP_!AH18,EL_DEL_CD2_SBI_1_4_!AH18,EL_DEL_CD2_SBI_5_6_!AH18,EL_DEL_CD2_STAB_!AH18,EL_DEL_CD1_WST_PTP_!AH18,EL_DEL_CD1_NTH_PTP_!AH18)</f>
        <v>0</v>
      </c>
      <c r="AH18" s="6">
        <f>SUM(EL_DEL_CD2_JO_!AI18,EL_DEL_CD2_PTP_!AI18,EL_DEL_CD2_SBI_1_4_!AI18,EL_DEL_CD2_SBI_5_6_!AI18,EL_DEL_CD2_STAB_!AI18,EL_DEL_CD1_WST_PTP_!AI18,EL_DEL_CD1_NTH_PTP_!AI18)</f>
        <v>0</v>
      </c>
      <c r="AI18" s="7">
        <f>SUM(EL_DEL_CD2_JO_!AJ18,EL_DEL_CD2_PTP_!AJ18,EL_DEL_CD2_SBI_1_4_!AJ18,EL_DEL_CD2_SBI_5_6_!AJ18,EL_DEL_CD2_STAB_!AJ18,EL_DEL_CD1_WST_PTP_!AJ18,EL_DEL_CD1_NTH_PTP_!AJ18)</f>
        <v>0</v>
      </c>
      <c r="AJ18" s="6">
        <f>SUM(EL_DEL_CD2_JO_!AK18,EL_DEL_CD2_PTP_!AK18,EL_DEL_CD2_SBI_1_4_!AK18,EL_DEL_CD2_SBI_5_6_!AK18,EL_DEL_CD2_STAB_!AK18,EL_DEL_CD1_WST_PTP_!AK18,EL_DEL_CD1_NTH_PTP_!AK18)</f>
        <v>0</v>
      </c>
      <c r="AK18" s="59" t="str">
        <f>IFERROR(AVERAGE(EL_DEL_CD2_JO_!AL18,EL_DEL_CD2_PTP_!AL18,EL_DEL_CD2_SBI_1_4_!AL18,EL_DEL_CD2_SBI_5_6_!AL18,EL_DEL_CD2_STAB_!AL18,EL_DEL_CD1_WST_PTP_!AL18,EL_DEL_CD1_NTH_PTP_!AL18),"")</f>
        <v/>
      </c>
      <c r="AL18" s="59" t="str">
        <f>IFERROR(AVERAGE(EL_DEL_CD2_JO_!AM18,EL_DEL_CD2_PTP_!AM18,EL_DEL_CD2_SBI_1_4_!AM18,EL_DEL_CD2_SBI_5_6_!AM18,EL_DEL_CD2_STAB_!AM18,EL_DEL_CD1_WST_PTP_!AM18,EL_DEL_CD1_NTH_PTP_!AM18),"")</f>
        <v/>
      </c>
      <c r="AM18" s="59" t="str">
        <f>IFERROR(AVERAGE(EL_DEL_CD2_JO_!AN18,EL_DEL_CD2_PTP_!AN18,EL_DEL_CD2_SBI_1_4_!AN18,EL_DEL_CD2_SBI_5_6_!AN18,EL_DEL_CD2_STAB_!AN18,EL_DEL_CD1_WST_PTP_!AN18,EL_DEL_CD1_NTH_PTP_!AN18),"")</f>
        <v/>
      </c>
      <c r="AN18" s="59" t="str">
        <f>IFERROR(AVERAGE(EL_DEL_CD2_JO_!AO18,EL_DEL_CD2_PTP_!AO18,EL_DEL_CD2_SBI_1_4_!AO18,EL_DEL_CD2_SBI_5_6_!AO18,EL_DEL_CD2_STAB_!AO18,EL_DEL_CD1_WST_PTP_!AO18,EL_DEL_CD1_NTH_PTP_!AO18),"")</f>
        <v/>
      </c>
      <c r="AO18" s="59" t="str">
        <f>IFERROR(AVERAGE(EL_DEL_CD2_JO_!AP18,EL_DEL_CD2_PTP_!AP18,EL_DEL_CD2_SBI_1_4_!AP18,EL_DEL_CD2_SBI_5_6_!AP18,EL_DEL_CD2_STAB_!AP18,EL_DEL_CD1_WST_PTP_!AP18,EL_DEL_CD1_NTH_PTP_!AP18),"")</f>
        <v/>
      </c>
      <c r="AP18" s="59" t="str">
        <f>IFERROR(AVERAGE(EL_DEL_CD2_JO_!AQ18,EL_DEL_CD2_PTP_!AQ18,EL_DEL_CD2_SBI_1_4_!AQ18,EL_DEL_CD2_SBI_5_6_!AQ18,EL_DEL_CD2_STAB_!AQ18,EL_DEL_CD1_WST_PTP_!AQ18,EL_DEL_CD1_NTH_PTP_!AQ18),"")</f>
        <v/>
      </c>
      <c r="AQ18" s="59" t="str">
        <f>IFERROR(AVERAGE(EL_DEL_CD2_JO_!AR18,EL_DEL_CD2_PTP_!AR18,EL_DEL_CD2_SBI_1_4_!AR18,EL_DEL_CD2_SBI_5_6_!AR18,EL_DEL_CD2_STAB_!AR18,EL_DEL_CD1_WST_PTP_!AR18,EL_DEL_CD1_NTH_PTP_!AR18),"")</f>
        <v/>
      </c>
      <c r="AR18" s="59" t="str">
        <f>IFERROR(AVERAGE(EL_DEL_CD2_JO_!AS18,EL_DEL_CD2_PTP_!AS18,EL_DEL_CD2_SBI_1_4_!AS18,EL_DEL_CD2_SBI_5_6_!AS18,EL_DEL_CD2_STAB_!AS18,EL_DEL_CD1_WST_PTP_!AS18,EL_DEL_CD1_NTH_PTP_!AS18),"")</f>
        <v/>
      </c>
      <c r="AS18" s="8">
        <f>SUM(EL_DEL_CD2_JO_!AT18,EL_DEL_CD2_PTP_!AT18,EL_DEL_CD2_SBI_1_4_!AT18,EL_DEL_CD2_SBI_5_6_!AT18,EL_DEL_CD2_STAB_!AT18,EL_DEL_CD1_WST_PTP_!AT18,EL_DEL_CD1_NTH_PTP_!AT18)</f>
        <v>0</v>
      </c>
      <c r="AT18" s="8">
        <f>SUM(EL_DEL_CD2_JO_!AU18,EL_DEL_CD2_PTP_!AU18,EL_DEL_CD2_SBI_1_4_!AU18,EL_DEL_CD2_SBI_5_6_!AU18,EL_DEL_CD2_STAB_!AU18,EL_DEL_CD1_WST_PTP_!AU18,EL_DEL_CD1_NTH_PTP_!AU18)</f>
        <v>0</v>
      </c>
      <c r="AU18" s="9">
        <f>SUM(EL_DEL_CD2_JO_!AV18,EL_DEL_CD2_PTP_!AV18,EL_DEL_CD2_SBI_1_4_!AV18,EL_DEL_CD2_SBI_5_6_!AV18,EL_DEL_CD2_STAB_!AV18,EL_DEL_CD1_WST_PTP_!AV18,EL_DEL_CD1_NTH_PTP_!AV18)</f>
        <v>0</v>
      </c>
      <c r="AV18" s="8" t="str">
        <f>IFERROR(AVERAGE(EL_DEL_CD2_JO_!AW18,EL_DEL_CD2_PTP_!AW18,EL_DEL_CD2_SBI_1_4_!AW18,EL_DEL_CD2_SBI_5_6_!AW18,EL_DEL_CD2_STAB_!AW18,EL_DEL_CD1_WST_PTP_!AW18,EL_DEL_CD1_NTH_PTP_!AW18),"")</f>
        <v/>
      </c>
      <c r="AW18" s="10" t="str">
        <f t="shared" si="1"/>
        <v>-</v>
      </c>
      <c r="AX18" s="39"/>
      <c r="AY18" s="1" t="str">
        <f t="shared" si="2"/>
        <v/>
      </c>
      <c r="AZ18" s="11" t="str">
        <f t="shared" si="3"/>
        <v/>
      </c>
      <c r="BA18" s="1" t="str">
        <f t="shared" si="4"/>
        <v/>
      </c>
      <c r="BB18" s="39"/>
      <c r="BC18" s="53" t="str">
        <f t="shared" si="5"/>
        <v/>
      </c>
      <c r="BD18" s="12" t="str">
        <f t="shared" si="6"/>
        <v/>
      </c>
      <c r="BE18" s="12" t="str">
        <f t="shared" si="7"/>
        <v/>
      </c>
      <c r="BF18" s="12" t="str">
        <f t="shared" si="8"/>
        <v/>
      </c>
      <c r="BG18" s="12" t="str">
        <f t="shared" si="9"/>
        <v/>
      </c>
      <c r="BH18" s="54" t="str">
        <f t="shared" si="10"/>
        <v/>
      </c>
      <c r="BI18" s="39"/>
      <c r="BJ18" s="55" t="str">
        <f t="shared" si="11"/>
        <v/>
      </c>
      <c r="BK18" s="13" t="str">
        <f t="shared" si="12"/>
        <v/>
      </c>
      <c r="BL18" s="13" t="str">
        <f t="shared" si="13"/>
        <v/>
      </c>
      <c r="BM18" s="56" t="str">
        <f t="shared" si="14"/>
        <v/>
      </c>
      <c r="BN18" s="39"/>
      <c r="BO18" s="14" t="str">
        <f t="shared" si="15"/>
        <v/>
      </c>
      <c r="BP18" s="15">
        <v>0</v>
      </c>
      <c r="BQ18" s="15" t="str">
        <f t="shared" si="16"/>
        <v/>
      </c>
      <c r="BR18" s="15" t="str">
        <f t="shared" si="17"/>
        <v/>
      </c>
      <c r="BS18" s="16" t="str">
        <f t="shared" si="18"/>
        <v/>
      </c>
      <c r="BT18" s="39"/>
      <c r="BU18" s="51" t="e">
        <f t="shared" si="19"/>
        <v>#VALUE!</v>
      </c>
      <c r="BV18" s="28" t="e">
        <f t="shared" si="20"/>
        <v>#VALUE!</v>
      </c>
      <c r="BW18" s="28" t="e">
        <f t="shared" si="21"/>
        <v>#VALUE!</v>
      </c>
      <c r="BX18" s="28" t="e">
        <f t="shared" si="22"/>
        <v>#VALUE!</v>
      </c>
      <c r="BY18" s="28" t="e">
        <f t="shared" si="23"/>
        <v>#VALUE!</v>
      </c>
      <c r="BZ18" s="52" t="e">
        <f t="shared" si="24"/>
        <v>#VALUE!</v>
      </c>
      <c r="CA18" s="39"/>
      <c r="CB18" s="49" t="str">
        <f t="shared" si="25"/>
        <v>-</v>
      </c>
      <c r="CC18" s="29" t="str">
        <f t="shared" si="26"/>
        <v>-</v>
      </c>
      <c r="CD18" s="29" t="str">
        <f t="shared" si="27"/>
        <v>-</v>
      </c>
      <c r="CE18" s="29" t="str">
        <f t="shared" si="28"/>
        <v>-</v>
      </c>
      <c r="CF18" s="50" t="str">
        <f t="shared" si="29"/>
        <v>-</v>
      </c>
      <c r="CG18" s="39"/>
    </row>
    <row r="19" spans="1:85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2">
        <f>SUM(EL_DEL_CD2_JO_!C19,EL_DEL_CD2_PTP_!C19,EL_DEL_CD2_SBI_1_4_!C19,EL_DEL_CD2_SBI_5_6_!C19,EL_DEL_CD2_STAB_!C19,EL_DEL_CD1_WST_PTP_!C19,EL_DEL_CD1_NTH_PTP_!C19)</f>
        <v>0</v>
      </c>
      <c r="D19" s="2">
        <f>SUM(EL_DEL_CD2_JO_!D19,EL_DEL_CD2_PTP_!D19,EL_DEL_CD2_SBI_1_4_!D19,EL_DEL_CD2_SBI_5_6_!D19,EL_DEL_CD2_STAB_!D19,EL_DEL_CD1_WST_PTP_!D19,EL_DEL_CD1_NTH_PTP_!D19)</f>
        <v>0</v>
      </c>
      <c r="E19" s="3">
        <f>SUM(EL_DEL_CD2_JO_!E19,EL_DEL_CD2_PTP_!E19,EL_DEL_CD2_SBI_1_4_!E19,EL_DEL_CD2_SBI_5_6_!E19,EL_DEL_CD2_STAB_!E19,EL_DEL_CD1_WST_PTP_!E19,EL_DEL_CD1_NTH_PTP_!E19)</f>
        <v>0</v>
      </c>
      <c r="F19" s="2">
        <f>SUM(EL_DEL_CD2_JO_!F19,EL_DEL_CD2_PTP_!F19,EL_DEL_CD2_SBI_1_4_!F19,EL_DEL_CD2_SBI_5_6_!F19,EL_DEL_CD2_STAB_!F19,EL_DEL_CD1_WST_PTP_!F19,EL_DEL_CD1_NTH_PTP_!F19)</f>
        <v>0</v>
      </c>
      <c r="G19" s="2">
        <f>SUM(EL_DEL_CD2_JO_!G19,EL_DEL_CD2_PTP_!G19,EL_DEL_CD2_SBI_1_4_!G19,EL_DEL_CD2_SBI_5_6_!G19,EL_DEL_CD2_STAB_!G19,EL_DEL_CD1_WST_PTP_!G19,EL_DEL_CD1_NTH_PTP_!G19)</f>
        <v>0</v>
      </c>
      <c r="H19" s="4">
        <f>SUM(EL_DEL_CD2_JO_!H19,EL_DEL_CD2_PTP_!H19,EL_DEL_CD2_SBI_1_4_!H19,EL_DEL_CD2_SBI_5_6_!H19,EL_DEL_CD2_STAB_!H19,EL_DEL_CD1_WST_PTP_!H19,EL_DEL_CD1_NTH_PTP_!H19)</f>
        <v>0</v>
      </c>
      <c r="I19" s="4">
        <f>SUM(EL_DEL_CD2_JO_!I19,EL_DEL_CD2_PTP_!I19,EL_DEL_CD2_SBI_1_4_!I19,EL_DEL_CD2_SBI_5_6_!I19,EL_DEL_CD2_STAB_!I19,EL_DEL_CD1_WST_PTP_!I19,EL_DEL_CD1_NTH_PTP_!I19)</f>
        <v>0</v>
      </c>
      <c r="J19" s="58">
        <f>SUM(EL_DEL_CD2_JO_!J19,EL_DEL_CD2_PTP_!J19,EL_DEL_CD2_SBI_1_4_!J19,EL_DEL_CD2_SBI_5_6_!J19,EL_DEL_CD2_STAB_!J19,EL_DEL_CD1_WST_PTP_!J19,EL_DEL_CD1_NTH_PTP_!J19)</f>
        <v>0</v>
      </c>
      <c r="K19" s="5">
        <f>SUM(EL_DEL_CD2_JO_!K19,EL_DEL_CD2_PTP_!K19,EL_DEL_CD2_SBI_1_4_!K19,EL_DEL_CD2_SBI_5_6_!K19,EL_DEL_CD2_STAB_!K19,EL_DEL_CD1_WST_PTP_!K19,EL_DEL_CD1_NTH_PTP_!K19)</f>
        <v>0</v>
      </c>
      <c r="L19" s="2">
        <f>SUM(EL_DEL_CD2_JO_!L19,EL_DEL_CD2_PTP_!L19,EL_DEL_CD2_SBI_1_4_!L19,EL_DEL_CD2_SBI_5_6_!L19,EL_DEL_CD2_STAB_!L19,EL_DEL_CD1_WST_PTP_!L19,EL_DEL_CD1_NTH_PTP_!L19)</f>
        <v>0</v>
      </c>
      <c r="M19" s="2">
        <f>SUM(EL_DEL_CD2_JO_!M19,EL_DEL_CD2_PTP_!M19,EL_DEL_CD2_SBI_1_4_!M19,EL_DEL_CD2_SBI_5_6_!M19,EL_DEL_CD2_STAB_!M19,EL_DEL_CD1_WST_PTP_!M19,EL_DEL_CD1_NTH_PTP_!M19)</f>
        <v>0</v>
      </c>
      <c r="N19" s="2">
        <f>SUM(EL_DEL_CD2_JO_!N19,EL_DEL_CD2_PTP_!N19,EL_DEL_CD2_SBI_1_4_!N19,EL_DEL_CD2_SBI_5_6_!N19,EL_DEL_CD2_STAB_!N19,EL_DEL_CD1_WST_PTP_!N19,EL_DEL_CD1_NTH_PTP_!N19)</f>
        <v>0</v>
      </c>
      <c r="O19" s="2">
        <f>SUM(EL_DEL_CD2_JO_!O19,EL_DEL_CD2_PTP_!O19,EL_DEL_CD2_SBI_1_4_!O19,EL_DEL_CD2_SBI_5_6_!O19,EL_DEL_CD2_STAB_!O19,EL_DEL_CD1_WST_PTP_!O19,EL_DEL_CD1_NTH_PTP_!O19)</f>
        <v>0</v>
      </c>
      <c r="P19" s="3">
        <f>SUM(EL_DEL_CD2_JO_!P19,EL_DEL_CD2_PTP_!P19,EL_DEL_CD2_SBI_1_4_!P19,EL_DEL_CD2_SBI_5_6_!P19,EL_DEL_CD2_STAB_!P19,EL_DEL_CD1_WST_PTP_!P19,EL_DEL_CD1_NTH_PTP_!P19)</f>
        <v>0</v>
      </c>
      <c r="Q19" s="2">
        <f>SUM(EL_DEL_CD2_JO_!Q19,EL_DEL_CD2_PTP_!Q19,EL_DEL_CD2_SBI_1_4_!Q19,EL_DEL_CD2_SBI_5_6_!Q19,EL_DEL_CD2_STAB_!Q19,EL_DEL_CD1_WST_PTP_!Q19,EL_DEL_CD1_NTH_PTP_!Q19)</f>
        <v>0</v>
      </c>
      <c r="R19" s="2">
        <f>SUM(EL_DEL_CD2_JO_!R19,EL_DEL_CD2_PTP_!R19,EL_DEL_CD2_SBI_1_4_!R19,EL_DEL_CD2_SBI_5_6_!R19,EL_DEL_CD2_STAB_!R19,EL_DEL_CD1_WST_PTP_!R19,EL_DEL_CD1_NTH_PTP_!R19)</f>
        <v>0</v>
      </c>
      <c r="S19" s="2">
        <f>SUM(EL_DEL_CD2_JO_!S19,EL_DEL_CD2_PTP_!S19,EL_DEL_CD2_SBI_1_4_!S19,EL_DEL_CD2_SBI_5_6_!S19,EL_DEL_CD2_STAB_!S19,EL_DEL_CD1_WST_PTP_!S19,EL_DEL_CD1_NTH_PTP_!S19)</f>
        <v>0</v>
      </c>
      <c r="T19" s="2">
        <f>SUM(EL_DEL_CD2_JO_!T19,EL_DEL_CD2_PTP_!T19,EL_DEL_CD2_SBI_1_4_!T19,EL_DEL_CD2_SBI_5_6_!T19,EL_DEL_CD2_STAB_!T19,EL_DEL_CD1_WST_PTP_!T19,EL_DEL_CD1_NTH_PTP_!T19)</f>
        <v>0</v>
      </c>
      <c r="U19" s="3">
        <f>SUM(EL_DEL_CD2_JO_!V19,EL_DEL_CD2_PTP_!V19,EL_DEL_CD2_SBI_1_4_!V19,EL_DEL_CD2_SBI_5_6_!V19,EL_DEL_CD2_STAB_!V19,EL_DEL_CD1_WST_PTP_!V19,EL_DEL_CD1_NTH_PTP_!V19)</f>
        <v>0</v>
      </c>
      <c r="V19" s="3">
        <f>SUM(EL_DEL_CD2_JO_!W19,EL_DEL_CD2_PTP_!W19,EL_DEL_CD2_SBI_1_4_!W19,EL_DEL_CD2_SBI_5_6_!W19,EL_DEL_CD2_STAB_!W19,EL_DEL_CD1_WST_PTP_!W19,EL_DEL_CD1_NTH_PTP_!W19)</f>
        <v>0</v>
      </c>
      <c r="W19" s="2">
        <f>SUM(EL_DEL_CD2_JO_!X19,EL_DEL_CD2_PTP_!X19,EL_DEL_CD2_SBI_1_4_!X19,EL_DEL_CD2_SBI_5_6_!X19,EL_DEL_CD2_STAB_!X19,EL_DEL_CD1_WST_PTP_!X19,EL_DEL_CD1_NTH_PTP_!X19)</f>
        <v>0</v>
      </c>
      <c r="X19" s="2">
        <f>SUM(EL_DEL_CD2_JO_!Y19,EL_DEL_CD2_PTP_!Y19,EL_DEL_CD2_SBI_1_4_!Y19,EL_DEL_CD2_SBI_5_6_!Y19,EL_DEL_CD2_STAB_!Y19,EL_DEL_CD1_WST_PTP_!Y19,EL_DEL_CD1_NTH_PTP_!Y19)</f>
        <v>0</v>
      </c>
      <c r="Y19" s="2">
        <f>SUM(EL_DEL_CD2_JO_!Z19,EL_DEL_CD2_PTP_!Z19,EL_DEL_CD2_SBI_1_4_!Z19,EL_DEL_CD2_SBI_5_6_!Z19,EL_DEL_CD2_STAB_!Z19,EL_DEL_CD1_WST_PTP_!Z19,EL_DEL_CD1_NTH_PTP_!Z19)</f>
        <v>0</v>
      </c>
      <c r="Z19" s="2">
        <f>SUM(EL_DEL_CD2_JO_!AA19,EL_DEL_CD2_PTP_!AA19,EL_DEL_CD2_SBI_1_4_!AA19,EL_DEL_CD2_SBI_5_6_!AA19,EL_DEL_CD2_STAB_!AA19,EL_DEL_CD1_WST_PTP_!AA19,EL_DEL_CD1_NTH_PTP_!AA19)</f>
        <v>0</v>
      </c>
      <c r="AA19" s="2">
        <f>SUM(EL_DEL_CD2_JO_!AB19,EL_DEL_CD2_PTP_!AB19,EL_DEL_CD2_SBI_1_4_!AB19,EL_DEL_CD2_SBI_5_6_!AB19,EL_DEL_CD2_STAB_!AB19,EL_DEL_CD1_WST_PTP_!AB19,EL_DEL_CD1_NTH_PTP_!AB19)</f>
        <v>0</v>
      </c>
      <c r="AB19" s="2">
        <f>SUM(EL_DEL_CD2_JO_!AC19,EL_DEL_CD2_PTP_!AC19,EL_DEL_CD2_SBI_1_4_!AC19,EL_DEL_CD2_SBI_5_6_!AC19,EL_DEL_CD2_STAB_!AC19,EL_DEL_CD1_WST_PTP_!AC19,EL_DEL_CD1_NTH_PTP_!AC19)</f>
        <v>0</v>
      </c>
      <c r="AC19" s="2">
        <f>SUM(EL_DEL_CD2_JO_!AD19,EL_DEL_CD2_PTP_!AD19,EL_DEL_CD2_SBI_1_4_!AD19,EL_DEL_CD2_SBI_5_6_!AD19,EL_DEL_CD2_STAB_!AD19,EL_DEL_CD1_WST_PTP_!AD19,EL_DEL_CD1_NTH_PTP_!AD19)</f>
        <v>0</v>
      </c>
      <c r="AD19" s="2">
        <f>SUM(EL_DEL_CD2_JO_!AE19,EL_DEL_CD2_PTP_!AE19,EL_DEL_CD2_SBI_1_4_!AE19,EL_DEL_CD2_SBI_5_6_!AE19,EL_DEL_CD2_STAB_!AE19,EL_DEL_CD1_WST_PTP_!AE19,EL_DEL_CD1_NTH_PTP_!AE19)</f>
        <v>0</v>
      </c>
      <c r="AE19" s="3">
        <f>SUM(EL_DEL_CD2_JO_!AF19,EL_DEL_CD2_PTP_!AF19,EL_DEL_CD2_SBI_1_4_!AF19,EL_DEL_CD2_SBI_5_6_!AF19,EL_DEL_CD2_STAB_!AF19,EL_DEL_CD1_WST_PTP_!AF19,EL_DEL_CD1_NTH_PTP_!AF19)</f>
        <v>0</v>
      </c>
      <c r="AF19" s="3">
        <f>SUM(EL_DEL_CD2_JO_!AG19,EL_DEL_CD2_PTP_!AG19,EL_DEL_CD2_SBI_1_4_!AG19,EL_DEL_CD2_SBI_5_6_!AG19,EL_DEL_CD2_STAB_!AG19,EL_DEL_CD1_WST_PTP_!AG19,EL_DEL_CD1_NTH_PTP_!AG19)</f>
        <v>0</v>
      </c>
      <c r="AG19" s="2">
        <f>SUM(EL_DEL_CD2_JO_!AH19,EL_DEL_CD2_PTP_!AH19,EL_DEL_CD2_SBI_1_4_!AH19,EL_DEL_CD2_SBI_5_6_!AH19,EL_DEL_CD2_STAB_!AH19,EL_DEL_CD1_WST_PTP_!AH19,EL_DEL_CD1_NTH_PTP_!AH19)</f>
        <v>0</v>
      </c>
      <c r="AH19" s="6">
        <f>SUM(EL_DEL_CD2_JO_!AI19,EL_DEL_CD2_PTP_!AI19,EL_DEL_CD2_SBI_1_4_!AI19,EL_DEL_CD2_SBI_5_6_!AI19,EL_DEL_CD2_STAB_!AI19,EL_DEL_CD1_WST_PTP_!AI19,EL_DEL_CD1_NTH_PTP_!AI19)</f>
        <v>0</v>
      </c>
      <c r="AI19" s="7">
        <f>SUM(EL_DEL_CD2_JO_!AJ19,EL_DEL_CD2_PTP_!AJ19,EL_DEL_CD2_SBI_1_4_!AJ19,EL_DEL_CD2_SBI_5_6_!AJ19,EL_DEL_CD2_STAB_!AJ19,EL_DEL_CD1_WST_PTP_!AJ19,EL_DEL_CD1_NTH_PTP_!AJ19)</f>
        <v>0</v>
      </c>
      <c r="AJ19" s="6">
        <f>SUM(EL_DEL_CD2_JO_!AK19,EL_DEL_CD2_PTP_!AK19,EL_DEL_CD2_SBI_1_4_!AK19,EL_DEL_CD2_SBI_5_6_!AK19,EL_DEL_CD2_STAB_!AK19,EL_DEL_CD1_WST_PTP_!AK19,EL_DEL_CD1_NTH_PTP_!AK19)</f>
        <v>0</v>
      </c>
      <c r="AK19" s="59" t="str">
        <f>IFERROR(AVERAGE(EL_DEL_CD2_JO_!AL19,EL_DEL_CD2_PTP_!AL19,EL_DEL_CD2_SBI_1_4_!AL19,EL_DEL_CD2_SBI_5_6_!AL19,EL_DEL_CD2_STAB_!AL19,EL_DEL_CD1_WST_PTP_!AL19,EL_DEL_CD1_NTH_PTP_!AL19),"")</f>
        <v/>
      </c>
      <c r="AL19" s="59" t="str">
        <f>IFERROR(AVERAGE(EL_DEL_CD2_JO_!AM19,EL_DEL_CD2_PTP_!AM19,EL_DEL_CD2_SBI_1_4_!AM19,EL_DEL_CD2_SBI_5_6_!AM19,EL_DEL_CD2_STAB_!AM19,EL_DEL_CD1_WST_PTP_!AM19,EL_DEL_CD1_NTH_PTP_!AM19),"")</f>
        <v/>
      </c>
      <c r="AM19" s="59" t="str">
        <f>IFERROR(AVERAGE(EL_DEL_CD2_JO_!AN19,EL_DEL_CD2_PTP_!AN19,EL_DEL_CD2_SBI_1_4_!AN19,EL_DEL_CD2_SBI_5_6_!AN19,EL_DEL_CD2_STAB_!AN19,EL_DEL_CD1_WST_PTP_!AN19,EL_DEL_CD1_NTH_PTP_!AN19),"")</f>
        <v/>
      </c>
      <c r="AN19" s="59" t="str">
        <f>IFERROR(AVERAGE(EL_DEL_CD2_JO_!AO19,EL_DEL_CD2_PTP_!AO19,EL_DEL_CD2_SBI_1_4_!AO19,EL_DEL_CD2_SBI_5_6_!AO19,EL_DEL_CD2_STAB_!AO19,EL_DEL_CD1_WST_PTP_!AO19,EL_DEL_CD1_NTH_PTP_!AO19),"")</f>
        <v/>
      </c>
      <c r="AO19" s="59" t="str">
        <f>IFERROR(AVERAGE(EL_DEL_CD2_JO_!AP19,EL_DEL_CD2_PTP_!AP19,EL_DEL_CD2_SBI_1_4_!AP19,EL_DEL_CD2_SBI_5_6_!AP19,EL_DEL_CD2_STAB_!AP19,EL_DEL_CD1_WST_PTP_!AP19,EL_DEL_CD1_NTH_PTP_!AP19),"")</f>
        <v/>
      </c>
      <c r="AP19" s="59" t="str">
        <f>IFERROR(AVERAGE(EL_DEL_CD2_JO_!AQ19,EL_DEL_CD2_PTP_!AQ19,EL_DEL_CD2_SBI_1_4_!AQ19,EL_DEL_CD2_SBI_5_6_!AQ19,EL_DEL_CD2_STAB_!AQ19,EL_DEL_CD1_WST_PTP_!AQ19,EL_DEL_CD1_NTH_PTP_!AQ19),"")</f>
        <v/>
      </c>
      <c r="AQ19" s="59" t="str">
        <f>IFERROR(AVERAGE(EL_DEL_CD2_JO_!AR19,EL_DEL_CD2_PTP_!AR19,EL_DEL_CD2_SBI_1_4_!AR19,EL_DEL_CD2_SBI_5_6_!AR19,EL_DEL_CD2_STAB_!AR19,EL_DEL_CD1_WST_PTP_!AR19,EL_DEL_CD1_NTH_PTP_!AR19),"")</f>
        <v/>
      </c>
      <c r="AR19" s="59" t="str">
        <f>IFERROR(AVERAGE(EL_DEL_CD2_JO_!AS19,EL_DEL_CD2_PTP_!AS19,EL_DEL_CD2_SBI_1_4_!AS19,EL_DEL_CD2_SBI_5_6_!AS19,EL_DEL_CD2_STAB_!AS19,EL_DEL_CD1_WST_PTP_!AS19,EL_DEL_CD1_NTH_PTP_!AS19),"")</f>
        <v/>
      </c>
      <c r="AS19" s="8">
        <f>SUM(EL_DEL_CD2_JO_!AT19,EL_DEL_CD2_PTP_!AT19,EL_DEL_CD2_SBI_1_4_!AT19,EL_DEL_CD2_SBI_5_6_!AT19,EL_DEL_CD2_STAB_!AT19,EL_DEL_CD1_WST_PTP_!AT19,EL_DEL_CD1_NTH_PTP_!AT19)</f>
        <v>0</v>
      </c>
      <c r="AT19" s="8">
        <f>SUM(EL_DEL_CD2_JO_!AU19,EL_DEL_CD2_PTP_!AU19,EL_DEL_CD2_SBI_1_4_!AU19,EL_DEL_CD2_SBI_5_6_!AU19,EL_DEL_CD2_STAB_!AU19,EL_DEL_CD1_WST_PTP_!AU19,EL_DEL_CD1_NTH_PTP_!AU19)</f>
        <v>0</v>
      </c>
      <c r="AU19" s="9">
        <f>SUM(EL_DEL_CD2_JO_!AV19,EL_DEL_CD2_PTP_!AV19,EL_DEL_CD2_SBI_1_4_!AV19,EL_DEL_CD2_SBI_5_6_!AV19,EL_DEL_CD2_STAB_!AV19,EL_DEL_CD1_WST_PTP_!AV19,EL_DEL_CD1_NTH_PTP_!AV19)</f>
        <v>0</v>
      </c>
      <c r="AV19" s="8" t="str">
        <f>IFERROR(AVERAGE(EL_DEL_CD2_JO_!AW19,EL_DEL_CD2_PTP_!AW19,EL_DEL_CD2_SBI_1_4_!AW19,EL_DEL_CD2_SBI_5_6_!AW19,EL_DEL_CD2_STAB_!AW19,EL_DEL_CD1_WST_PTP_!AW19,EL_DEL_CD1_NTH_PTP_!AW19),"")</f>
        <v/>
      </c>
      <c r="AW19" s="10" t="str">
        <f t="shared" si="1"/>
        <v>-</v>
      </c>
      <c r="AX19" s="39"/>
      <c r="AY19" s="1" t="str">
        <f t="shared" si="2"/>
        <v/>
      </c>
      <c r="AZ19" s="11" t="str">
        <f t="shared" si="3"/>
        <v/>
      </c>
      <c r="BA19" s="1" t="str">
        <f t="shared" si="4"/>
        <v/>
      </c>
      <c r="BB19" s="39"/>
      <c r="BC19" s="53" t="str">
        <f t="shared" si="5"/>
        <v/>
      </c>
      <c r="BD19" s="12" t="str">
        <f t="shared" si="6"/>
        <v/>
      </c>
      <c r="BE19" s="12" t="str">
        <f t="shared" si="7"/>
        <v/>
      </c>
      <c r="BF19" s="12" t="str">
        <f t="shared" si="8"/>
        <v/>
      </c>
      <c r="BG19" s="12" t="str">
        <f t="shared" si="9"/>
        <v/>
      </c>
      <c r="BH19" s="54" t="str">
        <f t="shared" si="10"/>
        <v/>
      </c>
      <c r="BI19" s="39"/>
      <c r="BJ19" s="55" t="str">
        <f t="shared" si="11"/>
        <v/>
      </c>
      <c r="BK19" s="13" t="str">
        <f t="shared" si="12"/>
        <v/>
      </c>
      <c r="BL19" s="13" t="str">
        <f t="shared" si="13"/>
        <v/>
      </c>
      <c r="BM19" s="56" t="str">
        <f t="shared" si="14"/>
        <v/>
      </c>
      <c r="BN19" s="39"/>
      <c r="BO19" s="14" t="str">
        <f t="shared" si="15"/>
        <v/>
      </c>
      <c r="BP19" s="15">
        <v>0</v>
      </c>
      <c r="BQ19" s="15" t="str">
        <f t="shared" si="16"/>
        <v/>
      </c>
      <c r="BR19" s="15" t="str">
        <f t="shared" si="17"/>
        <v/>
      </c>
      <c r="BS19" s="16" t="str">
        <f t="shared" si="18"/>
        <v/>
      </c>
      <c r="BT19" s="39"/>
      <c r="BU19" s="51" t="e">
        <f t="shared" si="19"/>
        <v>#VALUE!</v>
      </c>
      <c r="BV19" s="28" t="e">
        <f t="shared" si="20"/>
        <v>#VALUE!</v>
      </c>
      <c r="BW19" s="28" t="e">
        <f t="shared" si="21"/>
        <v>#VALUE!</v>
      </c>
      <c r="BX19" s="28" t="e">
        <f t="shared" si="22"/>
        <v>#VALUE!</v>
      </c>
      <c r="BY19" s="28" t="e">
        <f t="shared" si="23"/>
        <v>#VALUE!</v>
      </c>
      <c r="BZ19" s="52" t="e">
        <f t="shared" si="24"/>
        <v>#VALUE!</v>
      </c>
      <c r="CA19" s="39"/>
      <c r="CB19" s="49" t="str">
        <f t="shared" si="25"/>
        <v>-</v>
      </c>
      <c r="CC19" s="29" t="str">
        <f t="shared" si="26"/>
        <v>-</v>
      </c>
      <c r="CD19" s="29" t="str">
        <f t="shared" si="27"/>
        <v>-</v>
      </c>
      <c r="CE19" s="29" t="str">
        <f t="shared" si="28"/>
        <v>-</v>
      </c>
      <c r="CF19" s="50" t="str">
        <f t="shared" si="29"/>
        <v>-</v>
      </c>
      <c r="CG19" s="39"/>
    </row>
    <row r="20" spans="1:85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2">
        <f>SUM(EL_DEL_CD2_JO_!C20,EL_DEL_CD2_PTP_!C20,EL_DEL_CD2_SBI_1_4_!C20,EL_DEL_CD2_SBI_5_6_!C20,EL_DEL_CD2_STAB_!C20,EL_DEL_CD1_WST_PTP_!C20,EL_DEL_CD1_NTH_PTP_!C20)</f>
        <v>0</v>
      </c>
      <c r="D20" s="2">
        <f>SUM(EL_DEL_CD2_JO_!D20,EL_DEL_CD2_PTP_!D20,EL_DEL_CD2_SBI_1_4_!D20,EL_DEL_CD2_SBI_5_6_!D20,EL_DEL_CD2_STAB_!D20,EL_DEL_CD1_WST_PTP_!D20,EL_DEL_CD1_NTH_PTP_!D20)</f>
        <v>0</v>
      </c>
      <c r="E20" s="3">
        <f>SUM(EL_DEL_CD2_JO_!E20,EL_DEL_CD2_PTP_!E20,EL_DEL_CD2_SBI_1_4_!E20,EL_DEL_CD2_SBI_5_6_!E20,EL_DEL_CD2_STAB_!E20,EL_DEL_CD1_WST_PTP_!E20,EL_DEL_CD1_NTH_PTP_!E20)</f>
        <v>0</v>
      </c>
      <c r="F20" s="2">
        <f>SUM(EL_DEL_CD2_JO_!F20,EL_DEL_CD2_PTP_!F20,EL_DEL_CD2_SBI_1_4_!F20,EL_DEL_CD2_SBI_5_6_!F20,EL_DEL_CD2_STAB_!F20,EL_DEL_CD1_WST_PTP_!F20,EL_DEL_CD1_NTH_PTP_!F20)</f>
        <v>0</v>
      </c>
      <c r="G20" s="2">
        <f>SUM(EL_DEL_CD2_JO_!G20,EL_DEL_CD2_PTP_!G20,EL_DEL_CD2_SBI_1_4_!G20,EL_DEL_CD2_SBI_5_6_!G20,EL_DEL_CD2_STAB_!G20,EL_DEL_CD1_WST_PTP_!G20,EL_DEL_CD1_NTH_PTP_!G20)</f>
        <v>0</v>
      </c>
      <c r="H20" s="4">
        <f>SUM(EL_DEL_CD2_JO_!H20,EL_DEL_CD2_PTP_!H20,EL_DEL_CD2_SBI_1_4_!H20,EL_DEL_CD2_SBI_5_6_!H20,EL_DEL_CD2_STAB_!H20,EL_DEL_CD1_WST_PTP_!H20,EL_DEL_CD1_NTH_PTP_!H20)</f>
        <v>0</v>
      </c>
      <c r="I20" s="4">
        <f>SUM(EL_DEL_CD2_JO_!I20,EL_DEL_CD2_PTP_!I20,EL_DEL_CD2_SBI_1_4_!I20,EL_DEL_CD2_SBI_5_6_!I20,EL_DEL_CD2_STAB_!I20,EL_DEL_CD1_WST_PTP_!I20,EL_DEL_CD1_NTH_PTP_!I20)</f>
        <v>0</v>
      </c>
      <c r="J20" s="58">
        <f>SUM(EL_DEL_CD2_JO_!J20,EL_DEL_CD2_PTP_!J20,EL_DEL_CD2_SBI_1_4_!J20,EL_DEL_CD2_SBI_5_6_!J20,EL_DEL_CD2_STAB_!J20,EL_DEL_CD1_WST_PTP_!J20,EL_DEL_CD1_NTH_PTP_!J20)</f>
        <v>0</v>
      </c>
      <c r="K20" s="5">
        <f>SUM(EL_DEL_CD2_JO_!K20,EL_DEL_CD2_PTP_!K20,EL_DEL_CD2_SBI_1_4_!K20,EL_DEL_CD2_SBI_5_6_!K20,EL_DEL_CD2_STAB_!K20,EL_DEL_CD1_WST_PTP_!K20,EL_DEL_CD1_NTH_PTP_!K20)</f>
        <v>0</v>
      </c>
      <c r="L20" s="2">
        <f>SUM(EL_DEL_CD2_JO_!L20,EL_DEL_CD2_PTP_!L20,EL_DEL_CD2_SBI_1_4_!L20,EL_DEL_CD2_SBI_5_6_!L20,EL_DEL_CD2_STAB_!L20,EL_DEL_CD1_WST_PTP_!L20,EL_DEL_CD1_NTH_PTP_!L20)</f>
        <v>0</v>
      </c>
      <c r="M20" s="2">
        <f>SUM(EL_DEL_CD2_JO_!M20,EL_DEL_CD2_PTP_!M20,EL_DEL_CD2_SBI_1_4_!M20,EL_DEL_CD2_SBI_5_6_!M20,EL_DEL_CD2_STAB_!M20,EL_DEL_CD1_WST_PTP_!M20,EL_DEL_CD1_NTH_PTP_!M20)</f>
        <v>0</v>
      </c>
      <c r="N20" s="2">
        <f>SUM(EL_DEL_CD2_JO_!N20,EL_DEL_CD2_PTP_!N20,EL_DEL_CD2_SBI_1_4_!N20,EL_DEL_CD2_SBI_5_6_!N20,EL_DEL_CD2_STAB_!N20,EL_DEL_CD1_WST_PTP_!N20,EL_DEL_CD1_NTH_PTP_!N20)</f>
        <v>0</v>
      </c>
      <c r="O20" s="2">
        <f>SUM(EL_DEL_CD2_JO_!O20,EL_DEL_CD2_PTP_!O20,EL_DEL_CD2_SBI_1_4_!O20,EL_DEL_CD2_SBI_5_6_!O20,EL_DEL_CD2_STAB_!O20,EL_DEL_CD1_WST_PTP_!O20,EL_DEL_CD1_NTH_PTP_!O20)</f>
        <v>0</v>
      </c>
      <c r="P20" s="3">
        <f>SUM(EL_DEL_CD2_JO_!P20,EL_DEL_CD2_PTP_!P20,EL_DEL_CD2_SBI_1_4_!P20,EL_DEL_CD2_SBI_5_6_!P20,EL_DEL_CD2_STAB_!P20,EL_DEL_CD1_WST_PTP_!P20,EL_DEL_CD1_NTH_PTP_!P20)</f>
        <v>0</v>
      </c>
      <c r="Q20" s="2">
        <f>SUM(EL_DEL_CD2_JO_!Q20,EL_DEL_CD2_PTP_!Q20,EL_DEL_CD2_SBI_1_4_!Q20,EL_DEL_CD2_SBI_5_6_!Q20,EL_DEL_CD2_STAB_!Q20,EL_DEL_CD1_WST_PTP_!Q20,EL_DEL_CD1_NTH_PTP_!Q20)</f>
        <v>0</v>
      </c>
      <c r="R20" s="2">
        <f>SUM(EL_DEL_CD2_JO_!R20,EL_DEL_CD2_PTP_!R20,EL_DEL_CD2_SBI_1_4_!R20,EL_DEL_CD2_SBI_5_6_!R20,EL_DEL_CD2_STAB_!R20,EL_DEL_CD1_WST_PTP_!R20,EL_DEL_CD1_NTH_PTP_!R20)</f>
        <v>0</v>
      </c>
      <c r="S20" s="2">
        <f>SUM(EL_DEL_CD2_JO_!S20,EL_DEL_CD2_PTP_!S20,EL_DEL_CD2_SBI_1_4_!S20,EL_DEL_CD2_SBI_5_6_!S20,EL_DEL_CD2_STAB_!S20,EL_DEL_CD1_WST_PTP_!S20,EL_DEL_CD1_NTH_PTP_!S20)</f>
        <v>0</v>
      </c>
      <c r="T20" s="2">
        <f>SUM(EL_DEL_CD2_JO_!T20,EL_DEL_CD2_PTP_!T20,EL_DEL_CD2_SBI_1_4_!T20,EL_DEL_CD2_SBI_5_6_!T20,EL_DEL_CD2_STAB_!T20,EL_DEL_CD1_WST_PTP_!T20,EL_DEL_CD1_NTH_PTP_!T20)</f>
        <v>0</v>
      </c>
      <c r="U20" s="3">
        <f>SUM(EL_DEL_CD2_JO_!V20,EL_DEL_CD2_PTP_!V20,EL_DEL_CD2_SBI_1_4_!V20,EL_DEL_CD2_SBI_5_6_!V20,EL_DEL_CD2_STAB_!V20,EL_DEL_CD1_WST_PTP_!V20,EL_DEL_CD1_NTH_PTP_!V20)</f>
        <v>0</v>
      </c>
      <c r="V20" s="3">
        <f>SUM(EL_DEL_CD2_JO_!W20,EL_DEL_CD2_PTP_!W20,EL_DEL_CD2_SBI_1_4_!W20,EL_DEL_CD2_SBI_5_6_!W20,EL_DEL_CD2_STAB_!W20,EL_DEL_CD1_WST_PTP_!W20,EL_DEL_CD1_NTH_PTP_!W20)</f>
        <v>0</v>
      </c>
      <c r="W20" s="2">
        <f>SUM(EL_DEL_CD2_JO_!X20,EL_DEL_CD2_PTP_!X20,EL_DEL_CD2_SBI_1_4_!X20,EL_DEL_CD2_SBI_5_6_!X20,EL_DEL_CD2_STAB_!X20,EL_DEL_CD1_WST_PTP_!X20,EL_DEL_CD1_NTH_PTP_!X20)</f>
        <v>0</v>
      </c>
      <c r="X20" s="2">
        <f>SUM(EL_DEL_CD2_JO_!Y20,EL_DEL_CD2_PTP_!Y20,EL_DEL_CD2_SBI_1_4_!Y20,EL_DEL_CD2_SBI_5_6_!Y20,EL_DEL_CD2_STAB_!Y20,EL_DEL_CD1_WST_PTP_!Y20,EL_DEL_CD1_NTH_PTP_!Y20)</f>
        <v>0</v>
      </c>
      <c r="Y20" s="2">
        <f>SUM(EL_DEL_CD2_JO_!Z20,EL_DEL_CD2_PTP_!Z20,EL_DEL_CD2_SBI_1_4_!Z20,EL_DEL_CD2_SBI_5_6_!Z20,EL_DEL_CD2_STAB_!Z20,EL_DEL_CD1_WST_PTP_!Z20,EL_DEL_CD1_NTH_PTP_!Z20)</f>
        <v>0</v>
      </c>
      <c r="Z20" s="2">
        <f>SUM(EL_DEL_CD2_JO_!AA20,EL_DEL_CD2_PTP_!AA20,EL_DEL_CD2_SBI_1_4_!AA20,EL_DEL_CD2_SBI_5_6_!AA20,EL_DEL_CD2_STAB_!AA20,EL_DEL_CD1_WST_PTP_!AA20,EL_DEL_CD1_NTH_PTP_!AA20)</f>
        <v>0</v>
      </c>
      <c r="AA20" s="2">
        <f>SUM(EL_DEL_CD2_JO_!AB20,EL_DEL_CD2_PTP_!AB20,EL_DEL_CD2_SBI_1_4_!AB20,EL_DEL_CD2_SBI_5_6_!AB20,EL_DEL_CD2_STAB_!AB20,EL_DEL_CD1_WST_PTP_!AB20,EL_DEL_CD1_NTH_PTP_!AB20)</f>
        <v>0</v>
      </c>
      <c r="AB20" s="2">
        <f>SUM(EL_DEL_CD2_JO_!AC20,EL_DEL_CD2_PTP_!AC20,EL_DEL_CD2_SBI_1_4_!AC20,EL_DEL_CD2_SBI_5_6_!AC20,EL_DEL_CD2_STAB_!AC20,EL_DEL_CD1_WST_PTP_!AC20,EL_DEL_CD1_NTH_PTP_!AC20)</f>
        <v>0</v>
      </c>
      <c r="AC20" s="2">
        <f>SUM(EL_DEL_CD2_JO_!AD20,EL_DEL_CD2_PTP_!AD20,EL_DEL_CD2_SBI_1_4_!AD20,EL_DEL_CD2_SBI_5_6_!AD20,EL_DEL_CD2_STAB_!AD20,EL_DEL_CD1_WST_PTP_!AD20,EL_DEL_CD1_NTH_PTP_!AD20)</f>
        <v>0</v>
      </c>
      <c r="AD20" s="2">
        <f>SUM(EL_DEL_CD2_JO_!AE20,EL_DEL_CD2_PTP_!AE20,EL_DEL_CD2_SBI_1_4_!AE20,EL_DEL_CD2_SBI_5_6_!AE20,EL_DEL_CD2_STAB_!AE20,EL_DEL_CD1_WST_PTP_!AE20,EL_DEL_CD1_NTH_PTP_!AE20)</f>
        <v>0</v>
      </c>
      <c r="AE20" s="3">
        <f>SUM(EL_DEL_CD2_JO_!AF20,EL_DEL_CD2_PTP_!AF20,EL_DEL_CD2_SBI_1_4_!AF20,EL_DEL_CD2_SBI_5_6_!AF20,EL_DEL_CD2_STAB_!AF20,EL_DEL_CD1_WST_PTP_!AF20,EL_DEL_CD1_NTH_PTP_!AF20)</f>
        <v>0</v>
      </c>
      <c r="AF20" s="3">
        <f>SUM(EL_DEL_CD2_JO_!AG20,EL_DEL_CD2_PTP_!AG20,EL_DEL_CD2_SBI_1_4_!AG20,EL_DEL_CD2_SBI_5_6_!AG20,EL_DEL_CD2_STAB_!AG20,EL_DEL_CD1_WST_PTP_!AG20,EL_DEL_CD1_NTH_PTP_!AG20)</f>
        <v>0</v>
      </c>
      <c r="AG20" s="2">
        <f>SUM(EL_DEL_CD2_JO_!AH20,EL_DEL_CD2_PTP_!AH20,EL_DEL_CD2_SBI_1_4_!AH20,EL_DEL_CD2_SBI_5_6_!AH20,EL_DEL_CD2_STAB_!AH20,EL_DEL_CD1_WST_PTP_!AH20,EL_DEL_CD1_NTH_PTP_!AH20)</f>
        <v>0</v>
      </c>
      <c r="AH20" s="6">
        <f>SUM(EL_DEL_CD2_JO_!AI20,EL_DEL_CD2_PTP_!AI20,EL_DEL_CD2_SBI_1_4_!AI20,EL_DEL_CD2_SBI_5_6_!AI20,EL_DEL_CD2_STAB_!AI20,EL_DEL_CD1_WST_PTP_!AI20,EL_DEL_CD1_NTH_PTP_!AI20)</f>
        <v>0</v>
      </c>
      <c r="AI20" s="7">
        <f>SUM(EL_DEL_CD2_JO_!AJ20,EL_DEL_CD2_PTP_!AJ20,EL_DEL_CD2_SBI_1_4_!AJ20,EL_DEL_CD2_SBI_5_6_!AJ20,EL_DEL_CD2_STAB_!AJ20,EL_DEL_CD1_WST_PTP_!AJ20,EL_DEL_CD1_NTH_PTP_!AJ20)</f>
        <v>0</v>
      </c>
      <c r="AJ20" s="6">
        <f>SUM(EL_DEL_CD2_JO_!AK20,EL_DEL_CD2_PTP_!AK20,EL_DEL_CD2_SBI_1_4_!AK20,EL_DEL_CD2_SBI_5_6_!AK20,EL_DEL_CD2_STAB_!AK20,EL_DEL_CD1_WST_PTP_!AK20,EL_DEL_CD1_NTH_PTP_!AK20)</f>
        <v>0</v>
      </c>
      <c r="AK20" s="59" t="str">
        <f>IFERROR(AVERAGE(EL_DEL_CD2_JO_!AL20,EL_DEL_CD2_PTP_!AL20,EL_DEL_CD2_SBI_1_4_!AL20,EL_DEL_CD2_SBI_5_6_!AL20,EL_DEL_CD2_STAB_!AL20,EL_DEL_CD1_WST_PTP_!AL20,EL_DEL_CD1_NTH_PTP_!AL20),"")</f>
        <v/>
      </c>
      <c r="AL20" s="59" t="str">
        <f>IFERROR(AVERAGE(EL_DEL_CD2_JO_!AM20,EL_DEL_CD2_PTP_!AM20,EL_DEL_CD2_SBI_1_4_!AM20,EL_DEL_CD2_SBI_5_6_!AM20,EL_DEL_CD2_STAB_!AM20,EL_DEL_CD1_WST_PTP_!AM20,EL_DEL_CD1_NTH_PTP_!AM20),"")</f>
        <v/>
      </c>
      <c r="AM20" s="59" t="str">
        <f>IFERROR(AVERAGE(EL_DEL_CD2_JO_!AN20,EL_DEL_CD2_PTP_!AN20,EL_DEL_CD2_SBI_1_4_!AN20,EL_DEL_CD2_SBI_5_6_!AN20,EL_DEL_CD2_STAB_!AN20,EL_DEL_CD1_WST_PTP_!AN20,EL_DEL_CD1_NTH_PTP_!AN20),"")</f>
        <v/>
      </c>
      <c r="AN20" s="59" t="str">
        <f>IFERROR(AVERAGE(EL_DEL_CD2_JO_!AO20,EL_DEL_CD2_PTP_!AO20,EL_DEL_CD2_SBI_1_4_!AO20,EL_DEL_CD2_SBI_5_6_!AO20,EL_DEL_CD2_STAB_!AO20,EL_DEL_CD1_WST_PTP_!AO20,EL_DEL_CD1_NTH_PTP_!AO20),"")</f>
        <v/>
      </c>
      <c r="AO20" s="59" t="str">
        <f>IFERROR(AVERAGE(EL_DEL_CD2_JO_!AP20,EL_DEL_CD2_PTP_!AP20,EL_DEL_CD2_SBI_1_4_!AP20,EL_DEL_CD2_SBI_5_6_!AP20,EL_DEL_CD2_STAB_!AP20,EL_DEL_CD1_WST_PTP_!AP20,EL_DEL_CD1_NTH_PTP_!AP20),"")</f>
        <v/>
      </c>
      <c r="AP20" s="59" t="str">
        <f>IFERROR(AVERAGE(EL_DEL_CD2_JO_!AQ20,EL_DEL_CD2_PTP_!AQ20,EL_DEL_CD2_SBI_1_4_!AQ20,EL_DEL_CD2_SBI_5_6_!AQ20,EL_DEL_CD2_STAB_!AQ20,EL_DEL_CD1_WST_PTP_!AQ20,EL_DEL_CD1_NTH_PTP_!AQ20),"")</f>
        <v/>
      </c>
      <c r="AQ20" s="59" t="str">
        <f>IFERROR(AVERAGE(EL_DEL_CD2_JO_!AR20,EL_DEL_CD2_PTP_!AR20,EL_DEL_CD2_SBI_1_4_!AR20,EL_DEL_CD2_SBI_5_6_!AR20,EL_DEL_CD2_STAB_!AR20,EL_DEL_CD1_WST_PTP_!AR20,EL_DEL_CD1_NTH_PTP_!AR20),"")</f>
        <v/>
      </c>
      <c r="AR20" s="59" t="str">
        <f>IFERROR(AVERAGE(EL_DEL_CD2_JO_!AS20,EL_DEL_CD2_PTP_!AS20,EL_DEL_CD2_SBI_1_4_!AS20,EL_DEL_CD2_SBI_5_6_!AS20,EL_DEL_CD2_STAB_!AS20,EL_DEL_CD1_WST_PTP_!AS20,EL_DEL_CD1_NTH_PTP_!AS20),"")</f>
        <v/>
      </c>
      <c r="AS20" s="8">
        <f>SUM(EL_DEL_CD2_JO_!AT20,EL_DEL_CD2_PTP_!AT20,EL_DEL_CD2_SBI_1_4_!AT20,EL_DEL_CD2_SBI_5_6_!AT20,EL_DEL_CD2_STAB_!AT20,EL_DEL_CD1_WST_PTP_!AT20,EL_DEL_CD1_NTH_PTP_!AT20)</f>
        <v>0</v>
      </c>
      <c r="AT20" s="8">
        <f>SUM(EL_DEL_CD2_JO_!AU20,EL_DEL_CD2_PTP_!AU20,EL_DEL_CD2_SBI_1_4_!AU20,EL_DEL_CD2_SBI_5_6_!AU20,EL_DEL_CD2_STAB_!AU20,EL_DEL_CD1_WST_PTP_!AU20,EL_DEL_CD1_NTH_PTP_!AU20)</f>
        <v>0</v>
      </c>
      <c r="AU20" s="9">
        <f>SUM(EL_DEL_CD2_JO_!AV20,EL_DEL_CD2_PTP_!AV20,EL_DEL_CD2_SBI_1_4_!AV20,EL_DEL_CD2_SBI_5_6_!AV20,EL_DEL_CD2_STAB_!AV20,EL_DEL_CD1_WST_PTP_!AV20,EL_DEL_CD1_NTH_PTP_!AV20)</f>
        <v>0</v>
      </c>
      <c r="AV20" s="8" t="str">
        <f>IFERROR(AVERAGE(EL_DEL_CD2_JO_!AW20,EL_DEL_CD2_PTP_!AW20,EL_DEL_CD2_SBI_1_4_!AW20,EL_DEL_CD2_SBI_5_6_!AW20,EL_DEL_CD2_STAB_!AW20,EL_DEL_CD1_WST_PTP_!AW20,EL_DEL_CD1_NTH_PTP_!AW20),"")</f>
        <v/>
      </c>
      <c r="AW20" s="10" t="str">
        <f t="shared" si="1"/>
        <v>-</v>
      </c>
      <c r="AX20" s="39"/>
      <c r="AY20" s="1" t="str">
        <f t="shared" si="2"/>
        <v/>
      </c>
      <c r="AZ20" s="11" t="str">
        <f t="shared" si="3"/>
        <v/>
      </c>
      <c r="BA20" s="1" t="str">
        <f t="shared" si="4"/>
        <v/>
      </c>
      <c r="BB20" s="39"/>
      <c r="BC20" s="53" t="str">
        <f t="shared" si="5"/>
        <v/>
      </c>
      <c r="BD20" s="12" t="str">
        <f t="shared" si="6"/>
        <v/>
      </c>
      <c r="BE20" s="12" t="str">
        <f t="shared" si="7"/>
        <v/>
      </c>
      <c r="BF20" s="12" t="str">
        <f t="shared" si="8"/>
        <v/>
      </c>
      <c r="BG20" s="12" t="str">
        <f t="shared" si="9"/>
        <v/>
      </c>
      <c r="BH20" s="54" t="str">
        <f t="shared" si="10"/>
        <v/>
      </c>
      <c r="BI20" s="39"/>
      <c r="BJ20" s="55" t="str">
        <f t="shared" si="11"/>
        <v/>
      </c>
      <c r="BK20" s="13" t="str">
        <f t="shared" si="12"/>
        <v/>
      </c>
      <c r="BL20" s="13" t="str">
        <f t="shared" si="13"/>
        <v/>
      </c>
      <c r="BM20" s="56" t="str">
        <f t="shared" si="14"/>
        <v/>
      </c>
      <c r="BN20" s="39"/>
      <c r="BO20" s="14" t="str">
        <f t="shared" si="15"/>
        <v/>
      </c>
      <c r="BP20" s="15">
        <v>0</v>
      </c>
      <c r="BQ20" s="15" t="str">
        <f t="shared" si="16"/>
        <v/>
      </c>
      <c r="BR20" s="15" t="str">
        <f t="shared" si="17"/>
        <v/>
      </c>
      <c r="BS20" s="16" t="str">
        <f t="shared" si="18"/>
        <v/>
      </c>
      <c r="BT20" s="39"/>
      <c r="BU20" s="51" t="e">
        <f t="shared" si="19"/>
        <v>#VALUE!</v>
      </c>
      <c r="BV20" s="28" t="e">
        <f t="shared" si="20"/>
        <v>#VALUE!</v>
      </c>
      <c r="BW20" s="28" t="e">
        <f t="shared" si="21"/>
        <v>#VALUE!</v>
      </c>
      <c r="BX20" s="28" t="e">
        <f t="shared" si="22"/>
        <v>#VALUE!</v>
      </c>
      <c r="BY20" s="28" t="e">
        <f t="shared" si="23"/>
        <v>#VALUE!</v>
      </c>
      <c r="BZ20" s="52" t="e">
        <f t="shared" si="24"/>
        <v>#VALUE!</v>
      </c>
      <c r="CA20" s="39"/>
      <c r="CB20" s="49" t="str">
        <f t="shared" si="25"/>
        <v>-</v>
      </c>
      <c r="CC20" s="29" t="str">
        <f t="shared" si="26"/>
        <v>-</v>
      </c>
      <c r="CD20" s="29" t="str">
        <f t="shared" si="27"/>
        <v>-</v>
      </c>
      <c r="CE20" s="29" t="str">
        <f t="shared" si="28"/>
        <v>-</v>
      </c>
      <c r="CF20" s="50" t="str">
        <f t="shared" si="29"/>
        <v>-</v>
      </c>
      <c r="CG20" s="39"/>
    </row>
    <row r="21" spans="1:85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2">
        <f>SUM(EL_DEL_CD2_JO_!C21,EL_DEL_CD2_PTP_!C21,EL_DEL_CD2_SBI_1_4_!C21,EL_DEL_CD2_SBI_5_6_!C21,EL_DEL_CD2_STAB_!C21,EL_DEL_CD1_WST_PTP_!C21,EL_DEL_CD1_NTH_PTP_!C21)</f>
        <v>0</v>
      </c>
      <c r="D21" s="2">
        <f>SUM(EL_DEL_CD2_JO_!D21,EL_DEL_CD2_PTP_!D21,EL_DEL_CD2_SBI_1_4_!D21,EL_DEL_CD2_SBI_5_6_!D21,EL_DEL_CD2_STAB_!D21,EL_DEL_CD1_WST_PTP_!D21,EL_DEL_CD1_NTH_PTP_!D21)</f>
        <v>0</v>
      </c>
      <c r="E21" s="3">
        <f>SUM(EL_DEL_CD2_JO_!E21,EL_DEL_CD2_PTP_!E21,EL_DEL_CD2_SBI_1_4_!E21,EL_DEL_CD2_SBI_5_6_!E21,EL_DEL_CD2_STAB_!E21,EL_DEL_CD1_WST_PTP_!E21,EL_DEL_CD1_NTH_PTP_!E21)</f>
        <v>0</v>
      </c>
      <c r="F21" s="2">
        <f>SUM(EL_DEL_CD2_JO_!F21,EL_DEL_CD2_PTP_!F21,EL_DEL_CD2_SBI_1_4_!F21,EL_DEL_CD2_SBI_5_6_!F21,EL_DEL_CD2_STAB_!F21,EL_DEL_CD1_WST_PTP_!F21,EL_DEL_CD1_NTH_PTP_!F21)</f>
        <v>0</v>
      </c>
      <c r="G21" s="2">
        <f>SUM(EL_DEL_CD2_JO_!G21,EL_DEL_CD2_PTP_!G21,EL_DEL_CD2_SBI_1_4_!G21,EL_DEL_CD2_SBI_5_6_!G21,EL_DEL_CD2_STAB_!G21,EL_DEL_CD1_WST_PTP_!G21,EL_DEL_CD1_NTH_PTP_!G21)</f>
        <v>0</v>
      </c>
      <c r="H21" s="4">
        <f>SUM(EL_DEL_CD2_JO_!H21,EL_DEL_CD2_PTP_!H21,EL_DEL_CD2_SBI_1_4_!H21,EL_DEL_CD2_SBI_5_6_!H21,EL_DEL_CD2_STAB_!H21,EL_DEL_CD1_WST_PTP_!H21,EL_DEL_CD1_NTH_PTP_!H21)</f>
        <v>0</v>
      </c>
      <c r="I21" s="4">
        <f>SUM(EL_DEL_CD2_JO_!I21,EL_DEL_CD2_PTP_!I21,EL_DEL_CD2_SBI_1_4_!I21,EL_DEL_CD2_SBI_5_6_!I21,EL_DEL_CD2_STAB_!I21,EL_DEL_CD1_WST_PTP_!I21,EL_DEL_CD1_NTH_PTP_!I21)</f>
        <v>0</v>
      </c>
      <c r="J21" s="58">
        <f>SUM(EL_DEL_CD2_JO_!J21,EL_DEL_CD2_PTP_!J21,EL_DEL_CD2_SBI_1_4_!J21,EL_DEL_CD2_SBI_5_6_!J21,EL_DEL_CD2_STAB_!J21,EL_DEL_CD1_WST_PTP_!J21,EL_DEL_CD1_NTH_PTP_!J21)</f>
        <v>0</v>
      </c>
      <c r="K21" s="5">
        <f>SUM(EL_DEL_CD2_JO_!K21,EL_DEL_CD2_PTP_!K21,EL_DEL_CD2_SBI_1_4_!K21,EL_DEL_CD2_SBI_5_6_!K21,EL_DEL_CD2_STAB_!K21,EL_DEL_CD1_WST_PTP_!K21,EL_DEL_CD1_NTH_PTP_!K21)</f>
        <v>0</v>
      </c>
      <c r="L21" s="2">
        <f>SUM(EL_DEL_CD2_JO_!L21,EL_DEL_CD2_PTP_!L21,EL_DEL_CD2_SBI_1_4_!L21,EL_DEL_CD2_SBI_5_6_!L21,EL_DEL_CD2_STAB_!L21,EL_DEL_CD1_WST_PTP_!L21,EL_DEL_CD1_NTH_PTP_!L21)</f>
        <v>0</v>
      </c>
      <c r="M21" s="2">
        <f>SUM(EL_DEL_CD2_JO_!M21,EL_DEL_CD2_PTP_!M21,EL_DEL_CD2_SBI_1_4_!M21,EL_DEL_CD2_SBI_5_6_!M21,EL_DEL_CD2_STAB_!M21,EL_DEL_CD1_WST_PTP_!M21,EL_DEL_CD1_NTH_PTP_!M21)</f>
        <v>0</v>
      </c>
      <c r="N21" s="2">
        <f>SUM(EL_DEL_CD2_JO_!N21,EL_DEL_CD2_PTP_!N21,EL_DEL_CD2_SBI_1_4_!N21,EL_DEL_CD2_SBI_5_6_!N21,EL_DEL_CD2_STAB_!N21,EL_DEL_CD1_WST_PTP_!N21,EL_DEL_CD1_NTH_PTP_!N21)</f>
        <v>0</v>
      </c>
      <c r="O21" s="2">
        <f>SUM(EL_DEL_CD2_JO_!O21,EL_DEL_CD2_PTP_!O21,EL_DEL_CD2_SBI_1_4_!O21,EL_DEL_CD2_SBI_5_6_!O21,EL_DEL_CD2_STAB_!O21,EL_DEL_CD1_WST_PTP_!O21,EL_DEL_CD1_NTH_PTP_!O21)</f>
        <v>0</v>
      </c>
      <c r="P21" s="3">
        <f>SUM(EL_DEL_CD2_JO_!P21,EL_DEL_CD2_PTP_!P21,EL_DEL_CD2_SBI_1_4_!P21,EL_DEL_CD2_SBI_5_6_!P21,EL_DEL_CD2_STAB_!P21,EL_DEL_CD1_WST_PTP_!P21,EL_DEL_CD1_NTH_PTP_!P21)</f>
        <v>0</v>
      </c>
      <c r="Q21" s="2">
        <f>SUM(EL_DEL_CD2_JO_!Q21,EL_DEL_CD2_PTP_!Q21,EL_DEL_CD2_SBI_1_4_!Q21,EL_DEL_CD2_SBI_5_6_!Q21,EL_DEL_CD2_STAB_!Q21,EL_DEL_CD1_WST_PTP_!Q21,EL_DEL_CD1_NTH_PTP_!Q21)</f>
        <v>0</v>
      </c>
      <c r="R21" s="2">
        <f>SUM(EL_DEL_CD2_JO_!R21,EL_DEL_CD2_PTP_!R21,EL_DEL_CD2_SBI_1_4_!R21,EL_DEL_CD2_SBI_5_6_!R21,EL_DEL_CD2_STAB_!R21,EL_DEL_CD1_WST_PTP_!R21,EL_DEL_CD1_NTH_PTP_!R21)</f>
        <v>0</v>
      </c>
      <c r="S21" s="2">
        <f>SUM(EL_DEL_CD2_JO_!S21,EL_DEL_CD2_PTP_!S21,EL_DEL_CD2_SBI_1_4_!S21,EL_DEL_CD2_SBI_5_6_!S21,EL_DEL_CD2_STAB_!S21,EL_DEL_CD1_WST_PTP_!S21,EL_DEL_CD1_NTH_PTP_!S21)</f>
        <v>0</v>
      </c>
      <c r="T21" s="2">
        <f>SUM(EL_DEL_CD2_JO_!T21,EL_DEL_CD2_PTP_!T21,EL_DEL_CD2_SBI_1_4_!T21,EL_DEL_CD2_SBI_5_6_!T21,EL_DEL_CD2_STAB_!T21,EL_DEL_CD1_WST_PTP_!T21,EL_DEL_CD1_NTH_PTP_!T21)</f>
        <v>0</v>
      </c>
      <c r="U21" s="3">
        <f>SUM(EL_DEL_CD2_JO_!V21,EL_DEL_CD2_PTP_!V21,EL_DEL_CD2_SBI_1_4_!V21,EL_DEL_CD2_SBI_5_6_!V21,EL_DEL_CD2_STAB_!V21,EL_DEL_CD1_WST_PTP_!V21,EL_DEL_CD1_NTH_PTP_!V21)</f>
        <v>0</v>
      </c>
      <c r="V21" s="3">
        <f>SUM(EL_DEL_CD2_JO_!W21,EL_DEL_CD2_PTP_!W21,EL_DEL_CD2_SBI_1_4_!W21,EL_DEL_CD2_SBI_5_6_!W21,EL_DEL_CD2_STAB_!W21,EL_DEL_CD1_WST_PTP_!W21,EL_DEL_CD1_NTH_PTP_!W21)</f>
        <v>0</v>
      </c>
      <c r="W21" s="2">
        <f>SUM(EL_DEL_CD2_JO_!X21,EL_DEL_CD2_PTP_!X21,EL_DEL_CD2_SBI_1_4_!X21,EL_DEL_CD2_SBI_5_6_!X21,EL_DEL_CD2_STAB_!X21,EL_DEL_CD1_WST_PTP_!X21,EL_DEL_CD1_NTH_PTP_!X21)</f>
        <v>0</v>
      </c>
      <c r="X21" s="2">
        <f>SUM(EL_DEL_CD2_JO_!Y21,EL_DEL_CD2_PTP_!Y21,EL_DEL_CD2_SBI_1_4_!Y21,EL_DEL_CD2_SBI_5_6_!Y21,EL_DEL_CD2_STAB_!Y21,EL_DEL_CD1_WST_PTP_!Y21,EL_DEL_CD1_NTH_PTP_!Y21)</f>
        <v>0</v>
      </c>
      <c r="Y21" s="2">
        <f>SUM(EL_DEL_CD2_JO_!Z21,EL_DEL_CD2_PTP_!Z21,EL_DEL_CD2_SBI_1_4_!Z21,EL_DEL_CD2_SBI_5_6_!Z21,EL_DEL_CD2_STAB_!Z21,EL_DEL_CD1_WST_PTP_!Z21,EL_DEL_CD1_NTH_PTP_!Z21)</f>
        <v>0</v>
      </c>
      <c r="Z21" s="2">
        <f>SUM(EL_DEL_CD2_JO_!AA21,EL_DEL_CD2_PTP_!AA21,EL_DEL_CD2_SBI_1_4_!AA21,EL_DEL_CD2_SBI_5_6_!AA21,EL_DEL_CD2_STAB_!AA21,EL_DEL_CD1_WST_PTP_!AA21,EL_DEL_CD1_NTH_PTP_!AA21)</f>
        <v>0</v>
      </c>
      <c r="AA21" s="2">
        <f>SUM(EL_DEL_CD2_JO_!AB21,EL_DEL_CD2_PTP_!AB21,EL_DEL_CD2_SBI_1_4_!AB21,EL_DEL_CD2_SBI_5_6_!AB21,EL_DEL_CD2_STAB_!AB21,EL_DEL_CD1_WST_PTP_!AB21,EL_DEL_CD1_NTH_PTP_!AB21)</f>
        <v>0</v>
      </c>
      <c r="AB21" s="2">
        <f>SUM(EL_DEL_CD2_JO_!AC21,EL_DEL_CD2_PTP_!AC21,EL_DEL_CD2_SBI_1_4_!AC21,EL_DEL_CD2_SBI_5_6_!AC21,EL_DEL_CD2_STAB_!AC21,EL_DEL_CD1_WST_PTP_!AC21,EL_DEL_CD1_NTH_PTP_!AC21)</f>
        <v>0</v>
      </c>
      <c r="AC21" s="2">
        <f>SUM(EL_DEL_CD2_JO_!AD21,EL_DEL_CD2_PTP_!AD21,EL_DEL_CD2_SBI_1_4_!AD21,EL_DEL_CD2_SBI_5_6_!AD21,EL_DEL_CD2_STAB_!AD21,EL_DEL_CD1_WST_PTP_!AD21,EL_DEL_CD1_NTH_PTP_!AD21)</f>
        <v>0</v>
      </c>
      <c r="AD21" s="2">
        <f>SUM(EL_DEL_CD2_JO_!AE21,EL_DEL_CD2_PTP_!AE21,EL_DEL_CD2_SBI_1_4_!AE21,EL_DEL_CD2_SBI_5_6_!AE21,EL_DEL_CD2_STAB_!AE21,EL_DEL_CD1_WST_PTP_!AE21,EL_DEL_CD1_NTH_PTP_!AE21)</f>
        <v>0</v>
      </c>
      <c r="AE21" s="3">
        <f>SUM(EL_DEL_CD2_JO_!AF21,EL_DEL_CD2_PTP_!AF21,EL_DEL_CD2_SBI_1_4_!AF21,EL_DEL_CD2_SBI_5_6_!AF21,EL_DEL_CD2_STAB_!AF21,EL_DEL_CD1_WST_PTP_!AF21,EL_DEL_CD1_NTH_PTP_!AF21)</f>
        <v>0</v>
      </c>
      <c r="AF21" s="3">
        <f>SUM(EL_DEL_CD2_JO_!AG21,EL_DEL_CD2_PTP_!AG21,EL_DEL_CD2_SBI_1_4_!AG21,EL_DEL_CD2_SBI_5_6_!AG21,EL_DEL_CD2_STAB_!AG21,EL_DEL_CD1_WST_PTP_!AG21,EL_DEL_CD1_NTH_PTP_!AG21)</f>
        <v>0</v>
      </c>
      <c r="AG21" s="2">
        <f>SUM(EL_DEL_CD2_JO_!AH21,EL_DEL_CD2_PTP_!AH21,EL_DEL_CD2_SBI_1_4_!AH21,EL_DEL_CD2_SBI_5_6_!AH21,EL_DEL_CD2_STAB_!AH21,EL_DEL_CD1_WST_PTP_!AH21,EL_DEL_CD1_NTH_PTP_!AH21)</f>
        <v>0</v>
      </c>
      <c r="AH21" s="6">
        <f>SUM(EL_DEL_CD2_JO_!AI21,EL_DEL_CD2_PTP_!AI21,EL_DEL_CD2_SBI_1_4_!AI21,EL_DEL_CD2_SBI_5_6_!AI21,EL_DEL_CD2_STAB_!AI21,EL_DEL_CD1_WST_PTP_!AI21,EL_DEL_CD1_NTH_PTP_!AI21)</f>
        <v>0</v>
      </c>
      <c r="AI21" s="7">
        <f>SUM(EL_DEL_CD2_JO_!AJ21,EL_DEL_CD2_PTP_!AJ21,EL_DEL_CD2_SBI_1_4_!AJ21,EL_DEL_CD2_SBI_5_6_!AJ21,EL_DEL_CD2_STAB_!AJ21,EL_DEL_CD1_WST_PTP_!AJ21,EL_DEL_CD1_NTH_PTP_!AJ21)</f>
        <v>0</v>
      </c>
      <c r="AJ21" s="6">
        <f>SUM(EL_DEL_CD2_JO_!AK21,EL_DEL_CD2_PTP_!AK21,EL_DEL_CD2_SBI_1_4_!AK21,EL_DEL_CD2_SBI_5_6_!AK21,EL_DEL_CD2_STAB_!AK21,EL_DEL_CD1_WST_PTP_!AK21,EL_DEL_CD1_NTH_PTP_!AK21)</f>
        <v>0</v>
      </c>
      <c r="AK21" s="59" t="str">
        <f>IFERROR(AVERAGE(EL_DEL_CD2_JO_!AL21,EL_DEL_CD2_PTP_!AL21,EL_DEL_CD2_SBI_1_4_!AL21,EL_DEL_CD2_SBI_5_6_!AL21,EL_DEL_CD2_STAB_!AL21,EL_DEL_CD1_WST_PTP_!AL21,EL_DEL_CD1_NTH_PTP_!AL21),"")</f>
        <v/>
      </c>
      <c r="AL21" s="59" t="str">
        <f>IFERROR(AVERAGE(EL_DEL_CD2_JO_!AM21,EL_DEL_CD2_PTP_!AM21,EL_DEL_CD2_SBI_1_4_!AM21,EL_DEL_CD2_SBI_5_6_!AM21,EL_DEL_CD2_STAB_!AM21,EL_DEL_CD1_WST_PTP_!AM21,EL_DEL_CD1_NTH_PTP_!AM21),"")</f>
        <v/>
      </c>
      <c r="AM21" s="59" t="str">
        <f>IFERROR(AVERAGE(EL_DEL_CD2_JO_!AN21,EL_DEL_CD2_PTP_!AN21,EL_DEL_CD2_SBI_1_4_!AN21,EL_DEL_CD2_SBI_5_6_!AN21,EL_DEL_CD2_STAB_!AN21,EL_DEL_CD1_WST_PTP_!AN21,EL_DEL_CD1_NTH_PTP_!AN21),"")</f>
        <v/>
      </c>
      <c r="AN21" s="59" t="str">
        <f>IFERROR(AVERAGE(EL_DEL_CD2_JO_!AO21,EL_DEL_CD2_PTP_!AO21,EL_DEL_CD2_SBI_1_4_!AO21,EL_DEL_CD2_SBI_5_6_!AO21,EL_DEL_CD2_STAB_!AO21,EL_DEL_CD1_WST_PTP_!AO21,EL_DEL_CD1_NTH_PTP_!AO21),"")</f>
        <v/>
      </c>
      <c r="AO21" s="59" t="str">
        <f>IFERROR(AVERAGE(EL_DEL_CD2_JO_!AP21,EL_DEL_CD2_PTP_!AP21,EL_DEL_CD2_SBI_1_4_!AP21,EL_DEL_CD2_SBI_5_6_!AP21,EL_DEL_CD2_STAB_!AP21,EL_DEL_CD1_WST_PTP_!AP21,EL_DEL_CD1_NTH_PTP_!AP21),"")</f>
        <v/>
      </c>
      <c r="AP21" s="59" t="str">
        <f>IFERROR(AVERAGE(EL_DEL_CD2_JO_!AQ21,EL_DEL_CD2_PTP_!AQ21,EL_DEL_CD2_SBI_1_4_!AQ21,EL_DEL_CD2_SBI_5_6_!AQ21,EL_DEL_CD2_STAB_!AQ21,EL_DEL_CD1_WST_PTP_!AQ21,EL_DEL_CD1_NTH_PTP_!AQ21),"")</f>
        <v/>
      </c>
      <c r="AQ21" s="59" t="str">
        <f>IFERROR(AVERAGE(EL_DEL_CD2_JO_!AR21,EL_DEL_CD2_PTP_!AR21,EL_DEL_CD2_SBI_1_4_!AR21,EL_DEL_CD2_SBI_5_6_!AR21,EL_DEL_CD2_STAB_!AR21,EL_DEL_CD1_WST_PTP_!AR21,EL_DEL_CD1_NTH_PTP_!AR21),"")</f>
        <v/>
      </c>
      <c r="AR21" s="59" t="str">
        <f>IFERROR(AVERAGE(EL_DEL_CD2_JO_!AS21,EL_DEL_CD2_PTP_!AS21,EL_DEL_CD2_SBI_1_4_!AS21,EL_DEL_CD2_SBI_5_6_!AS21,EL_DEL_CD2_STAB_!AS21,EL_DEL_CD1_WST_PTP_!AS21,EL_DEL_CD1_NTH_PTP_!AS21),"")</f>
        <v/>
      </c>
      <c r="AS21" s="8">
        <f>SUM(EL_DEL_CD2_JO_!AT21,EL_DEL_CD2_PTP_!AT21,EL_DEL_CD2_SBI_1_4_!AT21,EL_DEL_CD2_SBI_5_6_!AT21,EL_DEL_CD2_STAB_!AT21,EL_DEL_CD1_WST_PTP_!AT21,EL_DEL_CD1_NTH_PTP_!AT21)</f>
        <v>0</v>
      </c>
      <c r="AT21" s="8">
        <f>SUM(EL_DEL_CD2_JO_!AU21,EL_DEL_CD2_PTP_!AU21,EL_DEL_CD2_SBI_1_4_!AU21,EL_DEL_CD2_SBI_5_6_!AU21,EL_DEL_CD2_STAB_!AU21,EL_DEL_CD1_WST_PTP_!AU21,EL_DEL_CD1_NTH_PTP_!AU21)</f>
        <v>0</v>
      </c>
      <c r="AU21" s="9">
        <f>SUM(EL_DEL_CD2_JO_!AV21,EL_DEL_CD2_PTP_!AV21,EL_DEL_CD2_SBI_1_4_!AV21,EL_DEL_CD2_SBI_5_6_!AV21,EL_DEL_CD2_STAB_!AV21,EL_DEL_CD1_WST_PTP_!AV21,EL_DEL_CD1_NTH_PTP_!AV21)</f>
        <v>0</v>
      </c>
      <c r="AV21" s="8" t="str">
        <f>IFERROR(AVERAGE(EL_DEL_CD2_JO_!AW21,EL_DEL_CD2_PTP_!AW21,EL_DEL_CD2_SBI_1_4_!AW21,EL_DEL_CD2_SBI_5_6_!AW21,EL_DEL_CD2_STAB_!AW21,EL_DEL_CD1_WST_PTP_!AW21,EL_DEL_CD1_NTH_PTP_!AW21),"")</f>
        <v/>
      </c>
      <c r="AW21" s="10" t="str">
        <f t="shared" si="1"/>
        <v>-</v>
      </c>
      <c r="AX21" s="39"/>
      <c r="AY21" s="1" t="str">
        <f t="shared" si="2"/>
        <v/>
      </c>
      <c r="AZ21" s="11" t="str">
        <f t="shared" si="3"/>
        <v/>
      </c>
      <c r="BA21" s="1" t="str">
        <f t="shared" si="4"/>
        <v/>
      </c>
      <c r="BB21" s="39"/>
      <c r="BC21" s="53" t="str">
        <f t="shared" si="5"/>
        <v/>
      </c>
      <c r="BD21" s="12" t="str">
        <f t="shared" si="6"/>
        <v/>
      </c>
      <c r="BE21" s="12" t="str">
        <f t="shared" si="7"/>
        <v/>
      </c>
      <c r="BF21" s="12" t="str">
        <f t="shared" si="8"/>
        <v/>
      </c>
      <c r="BG21" s="12" t="str">
        <f t="shared" si="9"/>
        <v/>
      </c>
      <c r="BH21" s="54" t="str">
        <f t="shared" si="10"/>
        <v/>
      </c>
      <c r="BI21" s="39"/>
      <c r="BJ21" s="55" t="str">
        <f t="shared" si="11"/>
        <v/>
      </c>
      <c r="BK21" s="13" t="str">
        <f t="shared" si="12"/>
        <v/>
      </c>
      <c r="BL21" s="13" t="str">
        <f t="shared" si="13"/>
        <v/>
      </c>
      <c r="BM21" s="56" t="str">
        <f t="shared" si="14"/>
        <v/>
      </c>
      <c r="BN21" s="39"/>
      <c r="BO21" s="14" t="str">
        <f t="shared" si="15"/>
        <v/>
      </c>
      <c r="BP21" s="15">
        <v>0</v>
      </c>
      <c r="BQ21" s="15" t="str">
        <f t="shared" si="16"/>
        <v/>
      </c>
      <c r="BR21" s="15" t="str">
        <f t="shared" si="17"/>
        <v/>
      </c>
      <c r="BS21" s="16" t="str">
        <f t="shared" si="18"/>
        <v/>
      </c>
      <c r="BT21" s="39"/>
      <c r="BU21" s="51" t="e">
        <f t="shared" si="19"/>
        <v>#VALUE!</v>
      </c>
      <c r="BV21" s="28" t="e">
        <f t="shared" si="20"/>
        <v>#VALUE!</v>
      </c>
      <c r="BW21" s="28" t="e">
        <f t="shared" si="21"/>
        <v>#VALUE!</v>
      </c>
      <c r="BX21" s="28" t="e">
        <f t="shared" si="22"/>
        <v>#VALUE!</v>
      </c>
      <c r="BY21" s="28" t="e">
        <f t="shared" si="23"/>
        <v>#VALUE!</v>
      </c>
      <c r="BZ21" s="52" t="e">
        <f t="shared" si="24"/>
        <v>#VALUE!</v>
      </c>
      <c r="CA21" s="39"/>
      <c r="CB21" s="49" t="str">
        <f t="shared" si="25"/>
        <v>-</v>
      </c>
      <c r="CC21" s="29" t="str">
        <f t="shared" si="26"/>
        <v>-</v>
      </c>
      <c r="CD21" s="29" t="str">
        <f t="shared" si="27"/>
        <v>-</v>
      </c>
      <c r="CE21" s="29" t="str">
        <f t="shared" si="28"/>
        <v>-</v>
      </c>
      <c r="CF21" s="50" t="str">
        <f t="shared" si="29"/>
        <v>-</v>
      </c>
      <c r="CG21" s="39"/>
    </row>
    <row r="22" spans="1:85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2">
        <f>SUM(EL_DEL_CD2_JO_!C22,EL_DEL_CD2_PTP_!C22,EL_DEL_CD2_SBI_1_4_!C22,EL_DEL_CD2_SBI_5_6_!C22,EL_DEL_CD2_STAB_!C22,EL_DEL_CD1_WST_PTP_!C22,EL_DEL_CD1_NTH_PTP_!C22)</f>
        <v>0</v>
      </c>
      <c r="D22" s="2">
        <f>SUM(EL_DEL_CD2_JO_!D22,EL_DEL_CD2_PTP_!D22,EL_DEL_CD2_SBI_1_4_!D22,EL_DEL_CD2_SBI_5_6_!D22,EL_DEL_CD2_STAB_!D22,EL_DEL_CD1_WST_PTP_!D22,EL_DEL_CD1_NTH_PTP_!D22)</f>
        <v>0</v>
      </c>
      <c r="E22" s="3">
        <f>SUM(EL_DEL_CD2_JO_!E22,EL_DEL_CD2_PTP_!E22,EL_DEL_CD2_SBI_1_4_!E22,EL_DEL_CD2_SBI_5_6_!E22,EL_DEL_CD2_STAB_!E22,EL_DEL_CD1_WST_PTP_!E22,EL_DEL_CD1_NTH_PTP_!E22)</f>
        <v>0</v>
      </c>
      <c r="F22" s="2">
        <f>SUM(EL_DEL_CD2_JO_!F22,EL_DEL_CD2_PTP_!F22,EL_DEL_CD2_SBI_1_4_!F22,EL_DEL_CD2_SBI_5_6_!F22,EL_DEL_CD2_STAB_!F22,EL_DEL_CD1_WST_PTP_!F22,EL_DEL_CD1_NTH_PTP_!F22)</f>
        <v>0</v>
      </c>
      <c r="G22" s="2">
        <f>SUM(EL_DEL_CD2_JO_!G22,EL_DEL_CD2_PTP_!G22,EL_DEL_CD2_SBI_1_4_!G22,EL_DEL_CD2_SBI_5_6_!G22,EL_DEL_CD2_STAB_!G22,EL_DEL_CD1_WST_PTP_!G22,EL_DEL_CD1_NTH_PTP_!G22)</f>
        <v>0</v>
      </c>
      <c r="H22" s="4">
        <f>SUM(EL_DEL_CD2_JO_!H22,EL_DEL_CD2_PTP_!H22,EL_DEL_CD2_SBI_1_4_!H22,EL_DEL_CD2_SBI_5_6_!H22,EL_DEL_CD2_STAB_!H22,EL_DEL_CD1_WST_PTP_!H22,EL_DEL_CD1_NTH_PTP_!H22)</f>
        <v>0</v>
      </c>
      <c r="I22" s="4">
        <f>SUM(EL_DEL_CD2_JO_!I22,EL_DEL_CD2_PTP_!I22,EL_DEL_CD2_SBI_1_4_!I22,EL_DEL_CD2_SBI_5_6_!I22,EL_DEL_CD2_STAB_!I22,EL_DEL_CD1_WST_PTP_!I22,EL_DEL_CD1_NTH_PTP_!I22)</f>
        <v>0</v>
      </c>
      <c r="J22" s="58">
        <f>SUM(EL_DEL_CD2_JO_!J22,EL_DEL_CD2_PTP_!J22,EL_DEL_CD2_SBI_1_4_!J22,EL_DEL_CD2_SBI_5_6_!J22,EL_DEL_CD2_STAB_!J22,EL_DEL_CD1_WST_PTP_!J22,EL_DEL_CD1_NTH_PTP_!J22)</f>
        <v>0</v>
      </c>
      <c r="K22" s="5">
        <f>SUM(EL_DEL_CD2_JO_!K22,EL_DEL_CD2_PTP_!K22,EL_DEL_CD2_SBI_1_4_!K22,EL_DEL_CD2_SBI_5_6_!K22,EL_DEL_CD2_STAB_!K22,EL_DEL_CD1_WST_PTP_!K22,EL_DEL_CD1_NTH_PTP_!K22)</f>
        <v>0</v>
      </c>
      <c r="L22" s="2">
        <f>SUM(EL_DEL_CD2_JO_!L22,EL_DEL_CD2_PTP_!L22,EL_DEL_CD2_SBI_1_4_!L22,EL_DEL_CD2_SBI_5_6_!L22,EL_DEL_CD2_STAB_!L22,EL_DEL_CD1_WST_PTP_!L22,EL_DEL_CD1_NTH_PTP_!L22)</f>
        <v>0</v>
      </c>
      <c r="M22" s="2">
        <f>SUM(EL_DEL_CD2_JO_!M22,EL_DEL_CD2_PTP_!M22,EL_DEL_CD2_SBI_1_4_!M22,EL_DEL_CD2_SBI_5_6_!M22,EL_DEL_CD2_STAB_!M22,EL_DEL_CD1_WST_PTP_!M22,EL_DEL_CD1_NTH_PTP_!M22)</f>
        <v>0</v>
      </c>
      <c r="N22" s="2">
        <f>SUM(EL_DEL_CD2_JO_!N22,EL_DEL_CD2_PTP_!N22,EL_DEL_CD2_SBI_1_4_!N22,EL_DEL_CD2_SBI_5_6_!N22,EL_DEL_CD2_STAB_!N22,EL_DEL_CD1_WST_PTP_!N22,EL_DEL_CD1_NTH_PTP_!N22)</f>
        <v>0</v>
      </c>
      <c r="O22" s="2">
        <f>SUM(EL_DEL_CD2_JO_!O22,EL_DEL_CD2_PTP_!O22,EL_DEL_CD2_SBI_1_4_!O22,EL_DEL_CD2_SBI_5_6_!O22,EL_DEL_CD2_STAB_!O22,EL_DEL_CD1_WST_PTP_!O22,EL_DEL_CD1_NTH_PTP_!O22)</f>
        <v>0</v>
      </c>
      <c r="P22" s="3">
        <f>SUM(EL_DEL_CD2_JO_!P22,EL_DEL_CD2_PTP_!P22,EL_DEL_CD2_SBI_1_4_!P22,EL_DEL_CD2_SBI_5_6_!P22,EL_DEL_CD2_STAB_!P22,EL_DEL_CD1_WST_PTP_!P22,EL_DEL_CD1_NTH_PTP_!P22)</f>
        <v>0</v>
      </c>
      <c r="Q22" s="2">
        <f>SUM(EL_DEL_CD2_JO_!Q22,EL_DEL_CD2_PTP_!Q22,EL_DEL_CD2_SBI_1_4_!Q22,EL_DEL_CD2_SBI_5_6_!Q22,EL_DEL_CD2_STAB_!Q22,EL_DEL_CD1_WST_PTP_!Q22,EL_DEL_CD1_NTH_PTP_!Q22)</f>
        <v>0</v>
      </c>
      <c r="R22" s="2">
        <f>SUM(EL_DEL_CD2_JO_!R22,EL_DEL_CD2_PTP_!R22,EL_DEL_CD2_SBI_1_4_!R22,EL_DEL_CD2_SBI_5_6_!R22,EL_DEL_CD2_STAB_!R22,EL_DEL_CD1_WST_PTP_!R22,EL_DEL_CD1_NTH_PTP_!R22)</f>
        <v>0</v>
      </c>
      <c r="S22" s="2">
        <f>SUM(EL_DEL_CD2_JO_!S22,EL_DEL_CD2_PTP_!S22,EL_DEL_CD2_SBI_1_4_!S22,EL_DEL_CD2_SBI_5_6_!S22,EL_DEL_CD2_STAB_!S22,EL_DEL_CD1_WST_PTP_!S22,EL_DEL_CD1_NTH_PTP_!S22)</f>
        <v>0</v>
      </c>
      <c r="T22" s="2">
        <f>SUM(EL_DEL_CD2_JO_!T22,EL_DEL_CD2_PTP_!T22,EL_DEL_CD2_SBI_1_4_!T22,EL_DEL_CD2_SBI_5_6_!T22,EL_DEL_CD2_STAB_!T22,EL_DEL_CD1_WST_PTP_!T22,EL_DEL_CD1_NTH_PTP_!T22)</f>
        <v>0</v>
      </c>
      <c r="U22" s="3">
        <f>SUM(EL_DEL_CD2_JO_!V22,EL_DEL_CD2_PTP_!V22,EL_DEL_CD2_SBI_1_4_!V22,EL_DEL_CD2_SBI_5_6_!V22,EL_DEL_CD2_STAB_!V22,EL_DEL_CD1_WST_PTP_!V22,EL_DEL_CD1_NTH_PTP_!V22)</f>
        <v>0</v>
      </c>
      <c r="V22" s="3">
        <f>SUM(EL_DEL_CD2_JO_!W22,EL_DEL_CD2_PTP_!W22,EL_DEL_CD2_SBI_1_4_!W22,EL_DEL_CD2_SBI_5_6_!W22,EL_DEL_CD2_STAB_!W22,EL_DEL_CD1_WST_PTP_!W22,EL_DEL_CD1_NTH_PTP_!W22)</f>
        <v>0</v>
      </c>
      <c r="W22" s="2">
        <f>SUM(EL_DEL_CD2_JO_!X22,EL_DEL_CD2_PTP_!X22,EL_DEL_CD2_SBI_1_4_!X22,EL_DEL_CD2_SBI_5_6_!X22,EL_DEL_CD2_STAB_!X22,EL_DEL_CD1_WST_PTP_!X22,EL_DEL_CD1_NTH_PTP_!X22)</f>
        <v>0</v>
      </c>
      <c r="X22" s="2">
        <f>SUM(EL_DEL_CD2_JO_!Y22,EL_DEL_CD2_PTP_!Y22,EL_DEL_CD2_SBI_1_4_!Y22,EL_DEL_CD2_SBI_5_6_!Y22,EL_DEL_CD2_STAB_!Y22,EL_DEL_CD1_WST_PTP_!Y22,EL_DEL_CD1_NTH_PTP_!Y22)</f>
        <v>0</v>
      </c>
      <c r="Y22" s="2">
        <f>SUM(EL_DEL_CD2_JO_!Z22,EL_DEL_CD2_PTP_!Z22,EL_DEL_CD2_SBI_1_4_!Z22,EL_DEL_CD2_SBI_5_6_!Z22,EL_DEL_CD2_STAB_!Z22,EL_DEL_CD1_WST_PTP_!Z22,EL_DEL_CD1_NTH_PTP_!Z22)</f>
        <v>0</v>
      </c>
      <c r="Z22" s="2">
        <f>SUM(EL_DEL_CD2_JO_!AA22,EL_DEL_CD2_PTP_!AA22,EL_DEL_CD2_SBI_1_4_!AA22,EL_DEL_CD2_SBI_5_6_!AA22,EL_DEL_CD2_STAB_!AA22,EL_DEL_CD1_WST_PTP_!AA22,EL_DEL_CD1_NTH_PTP_!AA22)</f>
        <v>0</v>
      </c>
      <c r="AA22" s="2">
        <f>SUM(EL_DEL_CD2_JO_!AB22,EL_DEL_CD2_PTP_!AB22,EL_DEL_CD2_SBI_1_4_!AB22,EL_DEL_CD2_SBI_5_6_!AB22,EL_DEL_CD2_STAB_!AB22,EL_DEL_CD1_WST_PTP_!AB22,EL_DEL_CD1_NTH_PTP_!AB22)</f>
        <v>0</v>
      </c>
      <c r="AB22" s="2">
        <f>SUM(EL_DEL_CD2_JO_!AC22,EL_DEL_CD2_PTP_!AC22,EL_DEL_CD2_SBI_1_4_!AC22,EL_DEL_CD2_SBI_5_6_!AC22,EL_DEL_CD2_STAB_!AC22,EL_DEL_CD1_WST_PTP_!AC22,EL_DEL_CD1_NTH_PTP_!AC22)</f>
        <v>0</v>
      </c>
      <c r="AC22" s="2">
        <f>SUM(EL_DEL_CD2_JO_!AD22,EL_DEL_CD2_PTP_!AD22,EL_DEL_CD2_SBI_1_4_!AD22,EL_DEL_CD2_SBI_5_6_!AD22,EL_DEL_CD2_STAB_!AD22,EL_DEL_CD1_WST_PTP_!AD22,EL_DEL_CD1_NTH_PTP_!AD22)</f>
        <v>0</v>
      </c>
      <c r="AD22" s="2">
        <f>SUM(EL_DEL_CD2_JO_!AE22,EL_DEL_CD2_PTP_!AE22,EL_DEL_CD2_SBI_1_4_!AE22,EL_DEL_CD2_SBI_5_6_!AE22,EL_DEL_CD2_STAB_!AE22,EL_DEL_CD1_WST_PTP_!AE22,EL_DEL_CD1_NTH_PTP_!AE22)</f>
        <v>0</v>
      </c>
      <c r="AE22" s="3">
        <f>SUM(EL_DEL_CD2_JO_!AF22,EL_DEL_CD2_PTP_!AF22,EL_DEL_CD2_SBI_1_4_!AF22,EL_DEL_CD2_SBI_5_6_!AF22,EL_DEL_CD2_STAB_!AF22,EL_DEL_CD1_WST_PTP_!AF22,EL_DEL_CD1_NTH_PTP_!AF22)</f>
        <v>0</v>
      </c>
      <c r="AF22" s="3">
        <f>SUM(EL_DEL_CD2_JO_!AG22,EL_DEL_CD2_PTP_!AG22,EL_DEL_CD2_SBI_1_4_!AG22,EL_DEL_CD2_SBI_5_6_!AG22,EL_DEL_CD2_STAB_!AG22,EL_DEL_CD1_WST_PTP_!AG22,EL_DEL_CD1_NTH_PTP_!AG22)</f>
        <v>0</v>
      </c>
      <c r="AG22" s="2">
        <f>SUM(EL_DEL_CD2_JO_!AH22,EL_DEL_CD2_PTP_!AH22,EL_DEL_CD2_SBI_1_4_!AH22,EL_DEL_CD2_SBI_5_6_!AH22,EL_DEL_CD2_STAB_!AH22,EL_DEL_CD1_WST_PTP_!AH22,EL_DEL_CD1_NTH_PTP_!AH22)</f>
        <v>0</v>
      </c>
      <c r="AH22" s="6">
        <f>SUM(EL_DEL_CD2_JO_!AI22,EL_DEL_CD2_PTP_!AI22,EL_DEL_CD2_SBI_1_4_!AI22,EL_DEL_CD2_SBI_5_6_!AI22,EL_DEL_CD2_STAB_!AI22,EL_DEL_CD1_WST_PTP_!AI22,EL_DEL_CD1_NTH_PTP_!AI22)</f>
        <v>0</v>
      </c>
      <c r="AI22" s="7">
        <f>SUM(EL_DEL_CD2_JO_!AJ22,EL_DEL_CD2_PTP_!AJ22,EL_DEL_CD2_SBI_1_4_!AJ22,EL_DEL_CD2_SBI_5_6_!AJ22,EL_DEL_CD2_STAB_!AJ22,EL_DEL_CD1_WST_PTP_!AJ22,EL_DEL_CD1_NTH_PTP_!AJ22)</f>
        <v>0</v>
      </c>
      <c r="AJ22" s="6">
        <f>SUM(EL_DEL_CD2_JO_!AK22,EL_DEL_CD2_PTP_!AK22,EL_DEL_CD2_SBI_1_4_!AK22,EL_DEL_CD2_SBI_5_6_!AK22,EL_DEL_CD2_STAB_!AK22,EL_DEL_CD1_WST_PTP_!AK22,EL_DEL_CD1_NTH_PTP_!AK22)</f>
        <v>0</v>
      </c>
      <c r="AK22" s="59" t="str">
        <f>IFERROR(AVERAGE(EL_DEL_CD2_JO_!AL22,EL_DEL_CD2_PTP_!AL22,EL_DEL_CD2_SBI_1_4_!AL22,EL_DEL_CD2_SBI_5_6_!AL22,EL_DEL_CD2_STAB_!AL22,EL_DEL_CD1_WST_PTP_!AL22,EL_DEL_CD1_NTH_PTP_!AL22),"")</f>
        <v/>
      </c>
      <c r="AL22" s="59" t="str">
        <f>IFERROR(AVERAGE(EL_DEL_CD2_JO_!AM22,EL_DEL_CD2_PTP_!AM22,EL_DEL_CD2_SBI_1_4_!AM22,EL_DEL_CD2_SBI_5_6_!AM22,EL_DEL_CD2_STAB_!AM22,EL_DEL_CD1_WST_PTP_!AM22,EL_DEL_CD1_NTH_PTP_!AM22),"")</f>
        <v/>
      </c>
      <c r="AM22" s="59" t="str">
        <f>IFERROR(AVERAGE(EL_DEL_CD2_JO_!AN22,EL_DEL_CD2_PTP_!AN22,EL_DEL_CD2_SBI_1_4_!AN22,EL_DEL_CD2_SBI_5_6_!AN22,EL_DEL_CD2_STAB_!AN22,EL_DEL_CD1_WST_PTP_!AN22,EL_DEL_CD1_NTH_PTP_!AN22),"")</f>
        <v/>
      </c>
      <c r="AN22" s="59" t="str">
        <f>IFERROR(AVERAGE(EL_DEL_CD2_JO_!AO22,EL_DEL_CD2_PTP_!AO22,EL_DEL_CD2_SBI_1_4_!AO22,EL_DEL_CD2_SBI_5_6_!AO22,EL_DEL_CD2_STAB_!AO22,EL_DEL_CD1_WST_PTP_!AO22,EL_DEL_CD1_NTH_PTP_!AO22),"")</f>
        <v/>
      </c>
      <c r="AO22" s="59" t="str">
        <f>IFERROR(AVERAGE(EL_DEL_CD2_JO_!AP22,EL_DEL_CD2_PTP_!AP22,EL_DEL_CD2_SBI_1_4_!AP22,EL_DEL_CD2_SBI_5_6_!AP22,EL_DEL_CD2_STAB_!AP22,EL_DEL_CD1_WST_PTP_!AP22,EL_DEL_CD1_NTH_PTP_!AP22),"")</f>
        <v/>
      </c>
      <c r="AP22" s="59" t="str">
        <f>IFERROR(AVERAGE(EL_DEL_CD2_JO_!AQ22,EL_DEL_CD2_PTP_!AQ22,EL_DEL_CD2_SBI_1_4_!AQ22,EL_DEL_CD2_SBI_5_6_!AQ22,EL_DEL_CD2_STAB_!AQ22,EL_DEL_CD1_WST_PTP_!AQ22,EL_DEL_CD1_NTH_PTP_!AQ22),"")</f>
        <v/>
      </c>
      <c r="AQ22" s="59" t="str">
        <f>IFERROR(AVERAGE(EL_DEL_CD2_JO_!AR22,EL_DEL_CD2_PTP_!AR22,EL_DEL_CD2_SBI_1_4_!AR22,EL_DEL_CD2_SBI_5_6_!AR22,EL_DEL_CD2_STAB_!AR22,EL_DEL_CD1_WST_PTP_!AR22,EL_DEL_CD1_NTH_PTP_!AR22),"")</f>
        <v/>
      </c>
      <c r="AR22" s="59" t="str">
        <f>IFERROR(AVERAGE(EL_DEL_CD2_JO_!AS22,EL_DEL_CD2_PTP_!AS22,EL_DEL_CD2_SBI_1_4_!AS22,EL_DEL_CD2_SBI_5_6_!AS22,EL_DEL_CD2_STAB_!AS22,EL_DEL_CD1_WST_PTP_!AS22,EL_DEL_CD1_NTH_PTP_!AS22),"")</f>
        <v/>
      </c>
      <c r="AS22" s="8">
        <f>SUM(EL_DEL_CD2_JO_!AT22,EL_DEL_CD2_PTP_!AT22,EL_DEL_CD2_SBI_1_4_!AT22,EL_DEL_CD2_SBI_5_6_!AT22,EL_DEL_CD2_STAB_!AT22,EL_DEL_CD1_WST_PTP_!AT22,EL_DEL_CD1_NTH_PTP_!AT22)</f>
        <v>0</v>
      </c>
      <c r="AT22" s="8">
        <f>SUM(EL_DEL_CD2_JO_!AU22,EL_DEL_CD2_PTP_!AU22,EL_DEL_CD2_SBI_1_4_!AU22,EL_DEL_CD2_SBI_5_6_!AU22,EL_DEL_CD2_STAB_!AU22,EL_DEL_CD1_WST_PTP_!AU22,EL_DEL_CD1_NTH_PTP_!AU22)</f>
        <v>0</v>
      </c>
      <c r="AU22" s="9">
        <f>SUM(EL_DEL_CD2_JO_!AV22,EL_DEL_CD2_PTP_!AV22,EL_DEL_CD2_SBI_1_4_!AV22,EL_DEL_CD2_SBI_5_6_!AV22,EL_DEL_CD2_STAB_!AV22,EL_DEL_CD1_WST_PTP_!AV22,EL_DEL_CD1_NTH_PTP_!AV22)</f>
        <v>0</v>
      </c>
      <c r="AV22" s="8" t="str">
        <f>IFERROR(AVERAGE(EL_DEL_CD2_JO_!AW22,EL_DEL_CD2_PTP_!AW22,EL_DEL_CD2_SBI_1_4_!AW22,EL_DEL_CD2_SBI_5_6_!AW22,EL_DEL_CD2_STAB_!AW22,EL_DEL_CD1_WST_PTP_!AW22,EL_DEL_CD1_NTH_PTP_!AW22),"")</f>
        <v/>
      </c>
      <c r="AW22" s="10" t="str">
        <f t="shared" si="1"/>
        <v>-</v>
      </c>
      <c r="AX22" s="39"/>
      <c r="AY22" s="1" t="str">
        <f t="shared" si="2"/>
        <v/>
      </c>
      <c r="AZ22" s="11" t="str">
        <f t="shared" si="3"/>
        <v/>
      </c>
      <c r="BA22" s="1" t="str">
        <f t="shared" si="4"/>
        <v/>
      </c>
      <c r="BB22" s="39"/>
      <c r="BC22" s="53" t="str">
        <f t="shared" si="5"/>
        <v/>
      </c>
      <c r="BD22" s="12" t="str">
        <f t="shared" si="6"/>
        <v/>
      </c>
      <c r="BE22" s="12" t="str">
        <f t="shared" si="7"/>
        <v/>
      </c>
      <c r="BF22" s="12" t="str">
        <f t="shared" si="8"/>
        <v/>
      </c>
      <c r="BG22" s="12" t="str">
        <f t="shared" si="9"/>
        <v/>
      </c>
      <c r="BH22" s="54" t="str">
        <f t="shared" si="10"/>
        <v/>
      </c>
      <c r="BI22" s="39"/>
      <c r="BJ22" s="55" t="str">
        <f t="shared" si="11"/>
        <v/>
      </c>
      <c r="BK22" s="13" t="str">
        <f t="shared" si="12"/>
        <v/>
      </c>
      <c r="BL22" s="13" t="str">
        <f t="shared" si="13"/>
        <v/>
      </c>
      <c r="BM22" s="56" t="str">
        <f t="shared" si="14"/>
        <v/>
      </c>
      <c r="BN22" s="39"/>
      <c r="BO22" s="14" t="str">
        <f t="shared" si="15"/>
        <v/>
      </c>
      <c r="BP22" s="15">
        <v>0</v>
      </c>
      <c r="BQ22" s="15" t="str">
        <f t="shared" si="16"/>
        <v/>
      </c>
      <c r="BR22" s="15" t="str">
        <f t="shared" si="17"/>
        <v/>
      </c>
      <c r="BS22" s="16" t="str">
        <f t="shared" si="18"/>
        <v/>
      </c>
      <c r="BT22" s="39"/>
      <c r="BU22" s="51" t="e">
        <f t="shared" si="19"/>
        <v>#VALUE!</v>
      </c>
      <c r="BV22" s="28" t="e">
        <f t="shared" si="20"/>
        <v>#VALUE!</v>
      </c>
      <c r="BW22" s="28" t="e">
        <f t="shared" si="21"/>
        <v>#VALUE!</v>
      </c>
      <c r="BX22" s="28" t="e">
        <f t="shared" si="22"/>
        <v>#VALUE!</v>
      </c>
      <c r="BY22" s="28" t="e">
        <f t="shared" si="23"/>
        <v>#VALUE!</v>
      </c>
      <c r="BZ22" s="52" t="e">
        <f t="shared" si="24"/>
        <v>#VALUE!</v>
      </c>
      <c r="CA22" s="39"/>
      <c r="CB22" s="49" t="str">
        <f t="shared" si="25"/>
        <v>-</v>
      </c>
      <c r="CC22" s="29" t="str">
        <f t="shared" si="26"/>
        <v>-</v>
      </c>
      <c r="CD22" s="29" t="str">
        <f t="shared" si="27"/>
        <v>-</v>
      </c>
      <c r="CE22" s="29" t="str">
        <f t="shared" si="28"/>
        <v>-</v>
      </c>
      <c r="CF22" s="50" t="str">
        <f t="shared" si="29"/>
        <v>-</v>
      </c>
      <c r="CG22" s="39"/>
    </row>
    <row r="23" spans="1:85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2">
        <f>SUM(EL_DEL_CD2_JO_!C23,EL_DEL_CD2_PTP_!C23,EL_DEL_CD2_SBI_1_4_!C23,EL_DEL_CD2_SBI_5_6_!C23,EL_DEL_CD2_STAB_!C23,EL_DEL_CD1_WST_PTP_!C23,EL_DEL_CD1_NTH_PTP_!C23)</f>
        <v>0</v>
      </c>
      <c r="D23" s="2">
        <f>SUM(EL_DEL_CD2_JO_!D23,EL_DEL_CD2_PTP_!D23,EL_DEL_CD2_SBI_1_4_!D23,EL_DEL_CD2_SBI_5_6_!D23,EL_DEL_CD2_STAB_!D23,EL_DEL_CD1_WST_PTP_!D23,EL_DEL_CD1_NTH_PTP_!D23)</f>
        <v>0</v>
      </c>
      <c r="E23" s="3">
        <f>SUM(EL_DEL_CD2_JO_!E23,EL_DEL_CD2_PTP_!E23,EL_DEL_CD2_SBI_1_4_!E23,EL_DEL_CD2_SBI_5_6_!E23,EL_DEL_CD2_STAB_!E23,EL_DEL_CD1_WST_PTP_!E23,EL_DEL_CD1_NTH_PTP_!E23)</f>
        <v>0</v>
      </c>
      <c r="F23" s="2">
        <f>SUM(EL_DEL_CD2_JO_!F23,EL_DEL_CD2_PTP_!F23,EL_DEL_CD2_SBI_1_4_!F23,EL_DEL_CD2_SBI_5_6_!F23,EL_DEL_CD2_STAB_!F23,EL_DEL_CD1_WST_PTP_!F23,EL_DEL_CD1_NTH_PTP_!F23)</f>
        <v>0</v>
      </c>
      <c r="G23" s="2">
        <f>SUM(EL_DEL_CD2_JO_!G23,EL_DEL_CD2_PTP_!G23,EL_DEL_CD2_SBI_1_4_!G23,EL_DEL_CD2_SBI_5_6_!G23,EL_DEL_CD2_STAB_!G23,EL_DEL_CD1_WST_PTP_!G23,EL_DEL_CD1_NTH_PTP_!G23)</f>
        <v>0</v>
      </c>
      <c r="H23" s="4">
        <f>SUM(EL_DEL_CD2_JO_!H23,EL_DEL_CD2_PTP_!H23,EL_DEL_CD2_SBI_1_4_!H23,EL_DEL_CD2_SBI_5_6_!H23,EL_DEL_CD2_STAB_!H23,EL_DEL_CD1_WST_PTP_!H23,EL_DEL_CD1_NTH_PTP_!H23)</f>
        <v>0</v>
      </c>
      <c r="I23" s="4">
        <f>SUM(EL_DEL_CD2_JO_!I23,EL_DEL_CD2_PTP_!I23,EL_DEL_CD2_SBI_1_4_!I23,EL_DEL_CD2_SBI_5_6_!I23,EL_DEL_CD2_STAB_!I23,EL_DEL_CD1_WST_PTP_!I23,EL_DEL_CD1_NTH_PTP_!I23)</f>
        <v>0</v>
      </c>
      <c r="J23" s="58">
        <f>SUM(EL_DEL_CD2_JO_!J23,EL_DEL_CD2_PTP_!J23,EL_DEL_CD2_SBI_1_4_!J23,EL_DEL_CD2_SBI_5_6_!J23,EL_DEL_CD2_STAB_!J23,EL_DEL_CD1_WST_PTP_!J23,EL_DEL_CD1_NTH_PTP_!J23)</f>
        <v>0</v>
      </c>
      <c r="K23" s="5">
        <f>SUM(EL_DEL_CD2_JO_!K23,EL_DEL_CD2_PTP_!K23,EL_DEL_CD2_SBI_1_4_!K23,EL_DEL_CD2_SBI_5_6_!K23,EL_DEL_CD2_STAB_!K23,EL_DEL_CD1_WST_PTP_!K23,EL_DEL_CD1_NTH_PTP_!K23)</f>
        <v>0</v>
      </c>
      <c r="L23" s="2">
        <f>SUM(EL_DEL_CD2_JO_!L23,EL_DEL_CD2_PTP_!L23,EL_DEL_CD2_SBI_1_4_!L23,EL_DEL_CD2_SBI_5_6_!L23,EL_DEL_CD2_STAB_!L23,EL_DEL_CD1_WST_PTP_!L23,EL_DEL_CD1_NTH_PTP_!L23)</f>
        <v>0</v>
      </c>
      <c r="M23" s="2">
        <f>SUM(EL_DEL_CD2_JO_!M23,EL_DEL_CD2_PTP_!M23,EL_DEL_CD2_SBI_1_4_!M23,EL_DEL_CD2_SBI_5_6_!M23,EL_DEL_CD2_STAB_!M23,EL_DEL_CD1_WST_PTP_!M23,EL_DEL_CD1_NTH_PTP_!M23)</f>
        <v>0</v>
      </c>
      <c r="N23" s="2">
        <f>SUM(EL_DEL_CD2_JO_!N23,EL_DEL_CD2_PTP_!N23,EL_DEL_CD2_SBI_1_4_!N23,EL_DEL_CD2_SBI_5_6_!N23,EL_DEL_CD2_STAB_!N23,EL_DEL_CD1_WST_PTP_!N23,EL_DEL_CD1_NTH_PTP_!N23)</f>
        <v>0</v>
      </c>
      <c r="O23" s="2">
        <f>SUM(EL_DEL_CD2_JO_!O23,EL_DEL_CD2_PTP_!O23,EL_DEL_CD2_SBI_1_4_!O23,EL_DEL_CD2_SBI_5_6_!O23,EL_DEL_CD2_STAB_!O23,EL_DEL_CD1_WST_PTP_!O23,EL_DEL_CD1_NTH_PTP_!O23)</f>
        <v>0</v>
      </c>
      <c r="P23" s="3">
        <f>SUM(EL_DEL_CD2_JO_!P23,EL_DEL_CD2_PTP_!P23,EL_DEL_CD2_SBI_1_4_!P23,EL_DEL_CD2_SBI_5_6_!P23,EL_DEL_CD2_STAB_!P23,EL_DEL_CD1_WST_PTP_!P23,EL_DEL_CD1_NTH_PTP_!P23)</f>
        <v>0</v>
      </c>
      <c r="Q23" s="2">
        <f>SUM(EL_DEL_CD2_JO_!Q23,EL_DEL_CD2_PTP_!Q23,EL_DEL_CD2_SBI_1_4_!Q23,EL_DEL_CD2_SBI_5_6_!Q23,EL_DEL_CD2_STAB_!Q23,EL_DEL_CD1_WST_PTP_!Q23,EL_DEL_CD1_NTH_PTP_!Q23)</f>
        <v>0</v>
      </c>
      <c r="R23" s="2">
        <f>SUM(EL_DEL_CD2_JO_!R23,EL_DEL_CD2_PTP_!R23,EL_DEL_CD2_SBI_1_4_!R23,EL_DEL_CD2_SBI_5_6_!R23,EL_DEL_CD2_STAB_!R23,EL_DEL_CD1_WST_PTP_!R23,EL_DEL_CD1_NTH_PTP_!R23)</f>
        <v>0</v>
      </c>
      <c r="S23" s="2">
        <f>SUM(EL_DEL_CD2_JO_!S23,EL_DEL_CD2_PTP_!S23,EL_DEL_CD2_SBI_1_4_!S23,EL_DEL_CD2_SBI_5_6_!S23,EL_DEL_CD2_STAB_!S23,EL_DEL_CD1_WST_PTP_!S23,EL_DEL_CD1_NTH_PTP_!S23)</f>
        <v>0</v>
      </c>
      <c r="T23" s="2">
        <f>SUM(EL_DEL_CD2_JO_!T23,EL_DEL_CD2_PTP_!T23,EL_DEL_CD2_SBI_1_4_!T23,EL_DEL_CD2_SBI_5_6_!T23,EL_DEL_CD2_STAB_!T23,EL_DEL_CD1_WST_PTP_!T23,EL_DEL_CD1_NTH_PTP_!T23)</f>
        <v>0</v>
      </c>
      <c r="U23" s="3">
        <f>SUM(EL_DEL_CD2_JO_!V23,EL_DEL_CD2_PTP_!V23,EL_DEL_CD2_SBI_1_4_!V23,EL_DEL_CD2_SBI_5_6_!V23,EL_DEL_CD2_STAB_!V23,EL_DEL_CD1_WST_PTP_!V23,EL_DEL_CD1_NTH_PTP_!V23)</f>
        <v>0</v>
      </c>
      <c r="V23" s="3">
        <f>SUM(EL_DEL_CD2_JO_!W23,EL_DEL_CD2_PTP_!W23,EL_DEL_CD2_SBI_1_4_!W23,EL_DEL_CD2_SBI_5_6_!W23,EL_DEL_CD2_STAB_!W23,EL_DEL_CD1_WST_PTP_!W23,EL_DEL_CD1_NTH_PTP_!W23)</f>
        <v>0</v>
      </c>
      <c r="W23" s="2">
        <f>SUM(EL_DEL_CD2_JO_!X23,EL_DEL_CD2_PTP_!X23,EL_DEL_CD2_SBI_1_4_!X23,EL_DEL_CD2_SBI_5_6_!X23,EL_DEL_CD2_STAB_!X23,EL_DEL_CD1_WST_PTP_!X23,EL_DEL_CD1_NTH_PTP_!X23)</f>
        <v>0</v>
      </c>
      <c r="X23" s="2">
        <f>SUM(EL_DEL_CD2_JO_!Y23,EL_DEL_CD2_PTP_!Y23,EL_DEL_CD2_SBI_1_4_!Y23,EL_DEL_CD2_SBI_5_6_!Y23,EL_DEL_CD2_STAB_!Y23,EL_DEL_CD1_WST_PTP_!Y23,EL_DEL_CD1_NTH_PTP_!Y23)</f>
        <v>0</v>
      </c>
      <c r="Y23" s="2">
        <f>SUM(EL_DEL_CD2_JO_!Z23,EL_DEL_CD2_PTP_!Z23,EL_DEL_CD2_SBI_1_4_!Z23,EL_DEL_CD2_SBI_5_6_!Z23,EL_DEL_CD2_STAB_!Z23,EL_DEL_CD1_WST_PTP_!Z23,EL_DEL_CD1_NTH_PTP_!Z23)</f>
        <v>0</v>
      </c>
      <c r="Z23" s="2">
        <f>SUM(EL_DEL_CD2_JO_!AA23,EL_DEL_CD2_PTP_!AA23,EL_DEL_CD2_SBI_1_4_!AA23,EL_DEL_CD2_SBI_5_6_!AA23,EL_DEL_CD2_STAB_!AA23,EL_DEL_CD1_WST_PTP_!AA23,EL_DEL_CD1_NTH_PTP_!AA23)</f>
        <v>0</v>
      </c>
      <c r="AA23" s="2">
        <f>SUM(EL_DEL_CD2_JO_!AB23,EL_DEL_CD2_PTP_!AB23,EL_DEL_CD2_SBI_1_4_!AB23,EL_DEL_CD2_SBI_5_6_!AB23,EL_DEL_CD2_STAB_!AB23,EL_DEL_CD1_WST_PTP_!AB23,EL_DEL_CD1_NTH_PTP_!AB23)</f>
        <v>0</v>
      </c>
      <c r="AB23" s="2">
        <f>SUM(EL_DEL_CD2_JO_!AC23,EL_DEL_CD2_PTP_!AC23,EL_DEL_CD2_SBI_1_4_!AC23,EL_DEL_CD2_SBI_5_6_!AC23,EL_DEL_CD2_STAB_!AC23,EL_DEL_CD1_WST_PTP_!AC23,EL_DEL_CD1_NTH_PTP_!AC23)</f>
        <v>0</v>
      </c>
      <c r="AC23" s="2">
        <f>SUM(EL_DEL_CD2_JO_!AD23,EL_DEL_CD2_PTP_!AD23,EL_DEL_CD2_SBI_1_4_!AD23,EL_DEL_CD2_SBI_5_6_!AD23,EL_DEL_CD2_STAB_!AD23,EL_DEL_CD1_WST_PTP_!AD23,EL_DEL_CD1_NTH_PTP_!AD23)</f>
        <v>0</v>
      </c>
      <c r="AD23" s="2">
        <f>SUM(EL_DEL_CD2_JO_!AE23,EL_DEL_CD2_PTP_!AE23,EL_DEL_CD2_SBI_1_4_!AE23,EL_DEL_CD2_SBI_5_6_!AE23,EL_DEL_CD2_STAB_!AE23,EL_DEL_CD1_WST_PTP_!AE23,EL_DEL_CD1_NTH_PTP_!AE23)</f>
        <v>0</v>
      </c>
      <c r="AE23" s="3">
        <f>SUM(EL_DEL_CD2_JO_!AF23,EL_DEL_CD2_PTP_!AF23,EL_DEL_CD2_SBI_1_4_!AF23,EL_DEL_CD2_SBI_5_6_!AF23,EL_DEL_CD2_STAB_!AF23,EL_DEL_CD1_WST_PTP_!AF23,EL_DEL_CD1_NTH_PTP_!AF23)</f>
        <v>0</v>
      </c>
      <c r="AF23" s="3">
        <f>SUM(EL_DEL_CD2_JO_!AG23,EL_DEL_CD2_PTP_!AG23,EL_DEL_CD2_SBI_1_4_!AG23,EL_DEL_CD2_SBI_5_6_!AG23,EL_DEL_CD2_STAB_!AG23,EL_DEL_CD1_WST_PTP_!AG23,EL_DEL_CD1_NTH_PTP_!AG23)</f>
        <v>0</v>
      </c>
      <c r="AG23" s="2">
        <f>SUM(EL_DEL_CD2_JO_!AH23,EL_DEL_CD2_PTP_!AH23,EL_DEL_CD2_SBI_1_4_!AH23,EL_DEL_CD2_SBI_5_6_!AH23,EL_DEL_CD2_STAB_!AH23,EL_DEL_CD1_WST_PTP_!AH23,EL_DEL_CD1_NTH_PTP_!AH23)</f>
        <v>0</v>
      </c>
      <c r="AH23" s="6">
        <f>SUM(EL_DEL_CD2_JO_!AI23,EL_DEL_CD2_PTP_!AI23,EL_DEL_CD2_SBI_1_4_!AI23,EL_DEL_CD2_SBI_5_6_!AI23,EL_DEL_CD2_STAB_!AI23,EL_DEL_CD1_WST_PTP_!AI23,EL_DEL_CD1_NTH_PTP_!AI23)</f>
        <v>0</v>
      </c>
      <c r="AI23" s="7">
        <f>SUM(EL_DEL_CD2_JO_!AJ23,EL_DEL_CD2_PTP_!AJ23,EL_DEL_CD2_SBI_1_4_!AJ23,EL_DEL_CD2_SBI_5_6_!AJ23,EL_DEL_CD2_STAB_!AJ23,EL_DEL_CD1_WST_PTP_!AJ23,EL_DEL_CD1_NTH_PTP_!AJ23)</f>
        <v>0</v>
      </c>
      <c r="AJ23" s="6">
        <f>SUM(EL_DEL_CD2_JO_!AK23,EL_DEL_CD2_PTP_!AK23,EL_DEL_CD2_SBI_1_4_!AK23,EL_DEL_CD2_SBI_5_6_!AK23,EL_DEL_CD2_STAB_!AK23,EL_DEL_CD1_WST_PTP_!AK23,EL_DEL_CD1_NTH_PTP_!AK23)</f>
        <v>0</v>
      </c>
      <c r="AK23" s="59" t="str">
        <f>IFERROR(AVERAGE(EL_DEL_CD2_JO_!AL23,EL_DEL_CD2_PTP_!AL23,EL_DEL_CD2_SBI_1_4_!AL23,EL_DEL_CD2_SBI_5_6_!AL23,EL_DEL_CD2_STAB_!AL23,EL_DEL_CD1_WST_PTP_!AL23,EL_DEL_CD1_NTH_PTP_!AL23),"")</f>
        <v/>
      </c>
      <c r="AL23" s="59" t="str">
        <f>IFERROR(AVERAGE(EL_DEL_CD2_JO_!AM23,EL_DEL_CD2_PTP_!AM23,EL_DEL_CD2_SBI_1_4_!AM23,EL_DEL_CD2_SBI_5_6_!AM23,EL_DEL_CD2_STAB_!AM23,EL_DEL_CD1_WST_PTP_!AM23,EL_DEL_CD1_NTH_PTP_!AM23),"")</f>
        <v/>
      </c>
      <c r="AM23" s="59" t="str">
        <f>IFERROR(AVERAGE(EL_DEL_CD2_JO_!AN23,EL_DEL_CD2_PTP_!AN23,EL_DEL_CD2_SBI_1_4_!AN23,EL_DEL_CD2_SBI_5_6_!AN23,EL_DEL_CD2_STAB_!AN23,EL_DEL_CD1_WST_PTP_!AN23,EL_DEL_CD1_NTH_PTP_!AN23),"")</f>
        <v/>
      </c>
      <c r="AN23" s="59" t="str">
        <f>IFERROR(AVERAGE(EL_DEL_CD2_JO_!AO23,EL_DEL_CD2_PTP_!AO23,EL_DEL_CD2_SBI_1_4_!AO23,EL_DEL_CD2_SBI_5_6_!AO23,EL_DEL_CD2_STAB_!AO23,EL_DEL_CD1_WST_PTP_!AO23,EL_DEL_CD1_NTH_PTP_!AO23),"")</f>
        <v/>
      </c>
      <c r="AO23" s="59" t="str">
        <f>IFERROR(AVERAGE(EL_DEL_CD2_JO_!AP23,EL_DEL_CD2_PTP_!AP23,EL_DEL_CD2_SBI_1_4_!AP23,EL_DEL_CD2_SBI_5_6_!AP23,EL_DEL_CD2_STAB_!AP23,EL_DEL_CD1_WST_PTP_!AP23,EL_DEL_CD1_NTH_PTP_!AP23),"")</f>
        <v/>
      </c>
      <c r="AP23" s="59" t="str">
        <f>IFERROR(AVERAGE(EL_DEL_CD2_JO_!AQ23,EL_DEL_CD2_PTP_!AQ23,EL_DEL_CD2_SBI_1_4_!AQ23,EL_DEL_CD2_SBI_5_6_!AQ23,EL_DEL_CD2_STAB_!AQ23,EL_DEL_CD1_WST_PTP_!AQ23,EL_DEL_CD1_NTH_PTP_!AQ23),"")</f>
        <v/>
      </c>
      <c r="AQ23" s="59" t="str">
        <f>IFERROR(AVERAGE(EL_DEL_CD2_JO_!AR23,EL_DEL_CD2_PTP_!AR23,EL_DEL_CD2_SBI_1_4_!AR23,EL_DEL_CD2_SBI_5_6_!AR23,EL_DEL_CD2_STAB_!AR23,EL_DEL_CD1_WST_PTP_!AR23,EL_DEL_CD1_NTH_PTP_!AR23),"")</f>
        <v/>
      </c>
      <c r="AR23" s="59" t="str">
        <f>IFERROR(AVERAGE(EL_DEL_CD2_JO_!AS23,EL_DEL_CD2_PTP_!AS23,EL_DEL_CD2_SBI_1_4_!AS23,EL_DEL_CD2_SBI_5_6_!AS23,EL_DEL_CD2_STAB_!AS23,EL_DEL_CD1_WST_PTP_!AS23,EL_DEL_CD1_NTH_PTP_!AS23),"")</f>
        <v/>
      </c>
      <c r="AS23" s="8">
        <f>SUM(EL_DEL_CD2_JO_!AT23,EL_DEL_CD2_PTP_!AT23,EL_DEL_CD2_SBI_1_4_!AT23,EL_DEL_CD2_SBI_5_6_!AT23,EL_DEL_CD2_STAB_!AT23,EL_DEL_CD1_WST_PTP_!AT23,EL_DEL_CD1_NTH_PTP_!AT23)</f>
        <v>0</v>
      </c>
      <c r="AT23" s="8">
        <f>SUM(EL_DEL_CD2_JO_!AU23,EL_DEL_CD2_PTP_!AU23,EL_DEL_CD2_SBI_1_4_!AU23,EL_DEL_CD2_SBI_5_6_!AU23,EL_DEL_CD2_STAB_!AU23,EL_DEL_CD1_WST_PTP_!AU23,EL_DEL_CD1_NTH_PTP_!AU23)</f>
        <v>0</v>
      </c>
      <c r="AU23" s="9">
        <f>SUM(EL_DEL_CD2_JO_!AV23,EL_DEL_CD2_PTP_!AV23,EL_DEL_CD2_SBI_1_4_!AV23,EL_DEL_CD2_SBI_5_6_!AV23,EL_DEL_CD2_STAB_!AV23,EL_DEL_CD1_WST_PTP_!AV23,EL_DEL_CD1_NTH_PTP_!AV23)</f>
        <v>0</v>
      </c>
      <c r="AV23" s="8" t="str">
        <f>IFERROR(AVERAGE(EL_DEL_CD2_JO_!AW23,EL_DEL_CD2_PTP_!AW23,EL_DEL_CD2_SBI_1_4_!AW23,EL_DEL_CD2_SBI_5_6_!AW23,EL_DEL_CD2_STAB_!AW23,EL_DEL_CD1_WST_PTP_!AW23,EL_DEL_CD1_NTH_PTP_!AW23),"")</f>
        <v/>
      </c>
      <c r="AW23" s="10" t="str">
        <f t="shared" si="1"/>
        <v>-</v>
      </c>
      <c r="AX23" s="39"/>
      <c r="AY23" s="1" t="str">
        <f t="shared" si="2"/>
        <v/>
      </c>
      <c r="AZ23" s="11" t="str">
        <f t="shared" si="3"/>
        <v/>
      </c>
      <c r="BA23" s="1" t="str">
        <f t="shared" si="4"/>
        <v/>
      </c>
      <c r="BB23" s="39"/>
      <c r="BC23" s="53" t="str">
        <f t="shared" si="5"/>
        <v/>
      </c>
      <c r="BD23" s="12" t="str">
        <f t="shared" si="6"/>
        <v/>
      </c>
      <c r="BE23" s="12" t="str">
        <f t="shared" si="7"/>
        <v/>
      </c>
      <c r="BF23" s="12" t="str">
        <f t="shared" si="8"/>
        <v/>
      </c>
      <c r="BG23" s="12" t="str">
        <f t="shared" si="9"/>
        <v/>
      </c>
      <c r="BH23" s="54" t="str">
        <f t="shared" si="10"/>
        <v/>
      </c>
      <c r="BI23" s="39"/>
      <c r="BJ23" s="55" t="str">
        <f t="shared" si="11"/>
        <v/>
      </c>
      <c r="BK23" s="13" t="str">
        <f t="shared" si="12"/>
        <v/>
      </c>
      <c r="BL23" s="13" t="str">
        <f t="shared" si="13"/>
        <v/>
      </c>
      <c r="BM23" s="56" t="str">
        <f t="shared" si="14"/>
        <v/>
      </c>
      <c r="BN23" s="39"/>
      <c r="BO23" s="14" t="str">
        <f t="shared" si="15"/>
        <v/>
      </c>
      <c r="BP23" s="15">
        <v>0</v>
      </c>
      <c r="BQ23" s="15" t="str">
        <f t="shared" si="16"/>
        <v/>
      </c>
      <c r="BR23" s="15" t="str">
        <f t="shared" si="17"/>
        <v/>
      </c>
      <c r="BS23" s="16" t="str">
        <f t="shared" si="18"/>
        <v/>
      </c>
      <c r="BT23" s="39"/>
      <c r="BU23" s="51" t="e">
        <f t="shared" si="19"/>
        <v>#VALUE!</v>
      </c>
      <c r="BV23" s="28" t="e">
        <f t="shared" si="20"/>
        <v>#VALUE!</v>
      </c>
      <c r="BW23" s="28" t="e">
        <f t="shared" si="21"/>
        <v>#VALUE!</v>
      </c>
      <c r="BX23" s="28" t="e">
        <f t="shared" si="22"/>
        <v>#VALUE!</v>
      </c>
      <c r="BY23" s="28" t="e">
        <f t="shared" si="23"/>
        <v>#VALUE!</v>
      </c>
      <c r="BZ23" s="52" t="e">
        <f t="shared" si="24"/>
        <v>#VALUE!</v>
      </c>
      <c r="CA23" s="39"/>
      <c r="CB23" s="49" t="str">
        <f t="shared" si="25"/>
        <v>-</v>
      </c>
      <c r="CC23" s="29" t="str">
        <f t="shared" si="26"/>
        <v>-</v>
      </c>
      <c r="CD23" s="29" t="str">
        <f t="shared" si="27"/>
        <v>-</v>
      </c>
      <c r="CE23" s="29" t="str">
        <f t="shared" si="28"/>
        <v>-</v>
      </c>
      <c r="CF23" s="50" t="str">
        <f t="shared" si="29"/>
        <v>-</v>
      </c>
      <c r="CG23" s="39"/>
    </row>
    <row r="24" spans="1:85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2">
        <f>SUM(EL_DEL_CD2_JO_!C24,EL_DEL_CD2_PTP_!C24,EL_DEL_CD2_SBI_1_4_!C24,EL_DEL_CD2_SBI_5_6_!C24,EL_DEL_CD2_STAB_!C24,EL_DEL_CD1_WST_PTP_!C24,EL_DEL_CD1_NTH_PTP_!C24)</f>
        <v>0</v>
      </c>
      <c r="D24" s="2">
        <f>SUM(EL_DEL_CD2_JO_!D24,EL_DEL_CD2_PTP_!D24,EL_DEL_CD2_SBI_1_4_!D24,EL_DEL_CD2_SBI_5_6_!D24,EL_DEL_CD2_STAB_!D24,EL_DEL_CD1_WST_PTP_!D24,EL_DEL_CD1_NTH_PTP_!D24)</f>
        <v>0</v>
      </c>
      <c r="E24" s="3">
        <f>SUM(EL_DEL_CD2_JO_!E24,EL_DEL_CD2_PTP_!E24,EL_DEL_CD2_SBI_1_4_!E24,EL_DEL_CD2_SBI_5_6_!E24,EL_DEL_CD2_STAB_!E24,EL_DEL_CD1_WST_PTP_!E24,EL_DEL_CD1_NTH_PTP_!E24)</f>
        <v>0</v>
      </c>
      <c r="F24" s="2">
        <f>SUM(EL_DEL_CD2_JO_!F24,EL_DEL_CD2_PTP_!F24,EL_DEL_CD2_SBI_1_4_!F24,EL_DEL_CD2_SBI_5_6_!F24,EL_DEL_CD2_STAB_!F24,EL_DEL_CD1_WST_PTP_!F24,EL_DEL_CD1_NTH_PTP_!F24)</f>
        <v>0</v>
      </c>
      <c r="G24" s="2">
        <f>SUM(EL_DEL_CD2_JO_!G24,EL_DEL_CD2_PTP_!G24,EL_DEL_CD2_SBI_1_4_!G24,EL_DEL_CD2_SBI_5_6_!G24,EL_DEL_CD2_STAB_!G24,EL_DEL_CD1_WST_PTP_!G24,EL_DEL_CD1_NTH_PTP_!G24)</f>
        <v>0</v>
      </c>
      <c r="H24" s="4">
        <f>SUM(EL_DEL_CD2_JO_!H24,EL_DEL_CD2_PTP_!H24,EL_DEL_CD2_SBI_1_4_!H24,EL_DEL_CD2_SBI_5_6_!H24,EL_DEL_CD2_STAB_!H24,EL_DEL_CD1_WST_PTP_!H24,EL_DEL_CD1_NTH_PTP_!H24)</f>
        <v>0</v>
      </c>
      <c r="I24" s="4">
        <f>SUM(EL_DEL_CD2_JO_!I24,EL_DEL_CD2_PTP_!I24,EL_DEL_CD2_SBI_1_4_!I24,EL_DEL_CD2_SBI_5_6_!I24,EL_DEL_CD2_STAB_!I24,EL_DEL_CD1_WST_PTP_!I24,EL_DEL_CD1_NTH_PTP_!I24)</f>
        <v>0</v>
      </c>
      <c r="J24" s="58">
        <f>SUM(EL_DEL_CD2_JO_!J24,EL_DEL_CD2_PTP_!J24,EL_DEL_CD2_SBI_1_4_!J24,EL_DEL_CD2_SBI_5_6_!J24,EL_DEL_CD2_STAB_!J24,EL_DEL_CD1_WST_PTP_!J24,EL_DEL_CD1_NTH_PTP_!J24)</f>
        <v>0</v>
      </c>
      <c r="K24" s="5">
        <f>SUM(EL_DEL_CD2_JO_!K24,EL_DEL_CD2_PTP_!K24,EL_DEL_CD2_SBI_1_4_!K24,EL_DEL_CD2_SBI_5_6_!K24,EL_DEL_CD2_STAB_!K24,EL_DEL_CD1_WST_PTP_!K24,EL_DEL_CD1_NTH_PTP_!K24)</f>
        <v>0</v>
      </c>
      <c r="L24" s="2">
        <f>SUM(EL_DEL_CD2_JO_!L24,EL_DEL_CD2_PTP_!L24,EL_DEL_CD2_SBI_1_4_!L24,EL_DEL_CD2_SBI_5_6_!L24,EL_DEL_CD2_STAB_!L24,EL_DEL_CD1_WST_PTP_!L24,EL_DEL_CD1_NTH_PTP_!L24)</f>
        <v>0</v>
      </c>
      <c r="M24" s="2">
        <f>SUM(EL_DEL_CD2_JO_!M24,EL_DEL_CD2_PTP_!M24,EL_DEL_CD2_SBI_1_4_!M24,EL_DEL_CD2_SBI_5_6_!M24,EL_DEL_CD2_STAB_!M24,EL_DEL_CD1_WST_PTP_!M24,EL_DEL_CD1_NTH_PTP_!M24)</f>
        <v>0</v>
      </c>
      <c r="N24" s="2">
        <f>SUM(EL_DEL_CD2_JO_!N24,EL_DEL_CD2_PTP_!N24,EL_DEL_CD2_SBI_1_4_!N24,EL_DEL_CD2_SBI_5_6_!N24,EL_DEL_CD2_STAB_!N24,EL_DEL_CD1_WST_PTP_!N24,EL_DEL_CD1_NTH_PTP_!N24)</f>
        <v>0</v>
      </c>
      <c r="O24" s="2">
        <f>SUM(EL_DEL_CD2_JO_!O24,EL_DEL_CD2_PTP_!O24,EL_DEL_CD2_SBI_1_4_!O24,EL_DEL_CD2_SBI_5_6_!O24,EL_DEL_CD2_STAB_!O24,EL_DEL_CD1_WST_PTP_!O24,EL_DEL_CD1_NTH_PTP_!O24)</f>
        <v>0</v>
      </c>
      <c r="P24" s="3">
        <f>SUM(EL_DEL_CD2_JO_!P24,EL_DEL_CD2_PTP_!P24,EL_DEL_CD2_SBI_1_4_!P24,EL_DEL_CD2_SBI_5_6_!P24,EL_DEL_CD2_STAB_!P24,EL_DEL_CD1_WST_PTP_!P24,EL_DEL_CD1_NTH_PTP_!P24)</f>
        <v>0</v>
      </c>
      <c r="Q24" s="2">
        <f>SUM(EL_DEL_CD2_JO_!Q24,EL_DEL_CD2_PTP_!Q24,EL_DEL_CD2_SBI_1_4_!Q24,EL_DEL_CD2_SBI_5_6_!Q24,EL_DEL_CD2_STAB_!Q24,EL_DEL_CD1_WST_PTP_!Q24,EL_DEL_CD1_NTH_PTP_!Q24)</f>
        <v>0</v>
      </c>
      <c r="R24" s="2">
        <f>SUM(EL_DEL_CD2_JO_!R24,EL_DEL_CD2_PTP_!R24,EL_DEL_CD2_SBI_1_4_!R24,EL_DEL_CD2_SBI_5_6_!R24,EL_DEL_CD2_STAB_!R24,EL_DEL_CD1_WST_PTP_!R24,EL_DEL_CD1_NTH_PTP_!R24)</f>
        <v>0</v>
      </c>
      <c r="S24" s="2">
        <f>SUM(EL_DEL_CD2_JO_!S24,EL_DEL_CD2_PTP_!S24,EL_DEL_CD2_SBI_1_4_!S24,EL_DEL_CD2_SBI_5_6_!S24,EL_DEL_CD2_STAB_!S24,EL_DEL_CD1_WST_PTP_!S24,EL_DEL_CD1_NTH_PTP_!S24)</f>
        <v>0</v>
      </c>
      <c r="T24" s="2">
        <f>SUM(EL_DEL_CD2_JO_!T24,EL_DEL_CD2_PTP_!T24,EL_DEL_CD2_SBI_1_4_!T24,EL_DEL_CD2_SBI_5_6_!T24,EL_DEL_CD2_STAB_!T24,EL_DEL_CD1_WST_PTP_!T24,EL_DEL_CD1_NTH_PTP_!T24)</f>
        <v>0</v>
      </c>
      <c r="U24" s="3">
        <f>SUM(EL_DEL_CD2_JO_!V24,EL_DEL_CD2_PTP_!V24,EL_DEL_CD2_SBI_1_4_!V24,EL_DEL_CD2_SBI_5_6_!V24,EL_DEL_CD2_STAB_!V24,EL_DEL_CD1_WST_PTP_!V24,EL_DEL_CD1_NTH_PTP_!V24)</f>
        <v>0</v>
      </c>
      <c r="V24" s="3">
        <f>SUM(EL_DEL_CD2_JO_!W24,EL_DEL_CD2_PTP_!W24,EL_DEL_CD2_SBI_1_4_!W24,EL_DEL_CD2_SBI_5_6_!W24,EL_DEL_CD2_STAB_!W24,EL_DEL_CD1_WST_PTP_!W24,EL_DEL_CD1_NTH_PTP_!W24)</f>
        <v>0</v>
      </c>
      <c r="W24" s="2">
        <f>SUM(EL_DEL_CD2_JO_!X24,EL_DEL_CD2_PTP_!X24,EL_DEL_CD2_SBI_1_4_!X24,EL_DEL_CD2_SBI_5_6_!X24,EL_DEL_CD2_STAB_!X24,EL_DEL_CD1_WST_PTP_!X24,EL_DEL_CD1_NTH_PTP_!X24)</f>
        <v>0</v>
      </c>
      <c r="X24" s="2">
        <f>SUM(EL_DEL_CD2_JO_!Y24,EL_DEL_CD2_PTP_!Y24,EL_DEL_CD2_SBI_1_4_!Y24,EL_DEL_CD2_SBI_5_6_!Y24,EL_DEL_CD2_STAB_!Y24,EL_DEL_CD1_WST_PTP_!Y24,EL_DEL_CD1_NTH_PTP_!Y24)</f>
        <v>0</v>
      </c>
      <c r="Y24" s="2">
        <f>SUM(EL_DEL_CD2_JO_!Z24,EL_DEL_CD2_PTP_!Z24,EL_DEL_CD2_SBI_1_4_!Z24,EL_DEL_CD2_SBI_5_6_!Z24,EL_DEL_CD2_STAB_!Z24,EL_DEL_CD1_WST_PTP_!Z24,EL_DEL_CD1_NTH_PTP_!Z24)</f>
        <v>0</v>
      </c>
      <c r="Z24" s="2">
        <f>SUM(EL_DEL_CD2_JO_!AA24,EL_DEL_CD2_PTP_!AA24,EL_DEL_CD2_SBI_1_4_!AA24,EL_DEL_CD2_SBI_5_6_!AA24,EL_DEL_CD2_STAB_!AA24,EL_DEL_CD1_WST_PTP_!AA24,EL_DEL_CD1_NTH_PTP_!AA24)</f>
        <v>0</v>
      </c>
      <c r="AA24" s="2">
        <f>SUM(EL_DEL_CD2_JO_!AB24,EL_DEL_CD2_PTP_!AB24,EL_DEL_CD2_SBI_1_4_!AB24,EL_DEL_CD2_SBI_5_6_!AB24,EL_DEL_CD2_STAB_!AB24,EL_DEL_CD1_WST_PTP_!AB24,EL_DEL_CD1_NTH_PTP_!AB24)</f>
        <v>0</v>
      </c>
      <c r="AB24" s="2">
        <f>SUM(EL_DEL_CD2_JO_!AC24,EL_DEL_CD2_PTP_!AC24,EL_DEL_CD2_SBI_1_4_!AC24,EL_DEL_CD2_SBI_5_6_!AC24,EL_DEL_CD2_STAB_!AC24,EL_DEL_CD1_WST_PTP_!AC24,EL_DEL_CD1_NTH_PTP_!AC24)</f>
        <v>0</v>
      </c>
      <c r="AC24" s="2">
        <f>SUM(EL_DEL_CD2_JO_!AD24,EL_DEL_CD2_PTP_!AD24,EL_DEL_CD2_SBI_1_4_!AD24,EL_DEL_CD2_SBI_5_6_!AD24,EL_DEL_CD2_STAB_!AD24,EL_DEL_CD1_WST_PTP_!AD24,EL_DEL_CD1_NTH_PTP_!AD24)</f>
        <v>0</v>
      </c>
      <c r="AD24" s="2">
        <f>SUM(EL_DEL_CD2_JO_!AE24,EL_DEL_CD2_PTP_!AE24,EL_DEL_CD2_SBI_1_4_!AE24,EL_DEL_CD2_SBI_5_6_!AE24,EL_DEL_CD2_STAB_!AE24,EL_DEL_CD1_WST_PTP_!AE24,EL_DEL_CD1_NTH_PTP_!AE24)</f>
        <v>0</v>
      </c>
      <c r="AE24" s="3">
        <f>SUM(EL_DEL_CD2_JO_!AF24,EL_DEL_CD2_PTP_!AF24,EL_DEL_CD2_SBI_1_4_!AF24,EL_DEL_CD2_SBI_5_6_!AF24,EL_DEL_CD2_STAB_!AF24,EL_DEL_CD1_WST_PTP_!AF24,EL_DEL_CD1_NTH_PTP_!AF24)</f>
        <v>0</v>
      </c>
      <c r="AF24" s="3">
        <f>SUM(EL_DEL_CD2_JO_!AG24,EL_DEL_CD2_PTP_!AG24,EL_DEL_CD2_SBI_1_4_!AG24,EL_DEL_CD2_SBI_5_6_!AG24,EL_DEL_CD2_STAB_!AG24,EL_DEL_CD1_WST_PTP_!AG24,EL_DEL_CD1_NTH_PTP_!AG24)</f>
        <v>0</v>
      </c>
      <c r="AG24" s="2">
        <f>SUM(EL_DEL_CD2_JO_!AH24,EL_DEL_CD2_PTP_!AH24,EL_DEL_CD2_SBI_1_4_!AH24,EL_DEL_CD2_SBI_5_6_!AH24,EL_DEL_CD2_STAB_!AH24,EL_DEL_CD1_WST_PTP_!AH24,EL_DEL_CD1_NTH_PTP_!AH24)</f>
        <v>0</v>
      </c>
      <c r="AH24" s="6">
        <f>SUM(EL_DEL_CD2_JO_!AI24,EL_DEL_CD2_PTP_!AI24,EL_DEL_CD2_SBI_1_4_!AI24,EL_DEL_CD2_SBI_5_6_!AI24,EL_DEL_CD2_STAB_!AI24,EL_DEL_CD1_WST_PTP_!AI24,EL_DEL_CD1_NTH_PTP_!AI24)</f>
        <v>0</v>
      </c>
      <c r="AI24" s="7">
        <f>SUM(EL_DEL_CD2_JO_!AJ24,EL_DEL_CD2_PTP_!AJ24,EL_DEL_CD2_SBI_1_4_!AJ24,EL_DEL_CD2_SBI_5_6_!AJ24,EL_DEL_CD2_STAB_!AJ24,EL_DEL_CD1_WST_PTP_!AJ24,EL_DEL_CD1_NTH_PTP_!AJ24)</f>
        <v>0</v>
      </c>
      <c r="AJ24" s="6">
        <f>SUM(EL_DEL_CD2_JO_!AK24,EL_DEL_CD2_PTP_!AK24,EL_DEL_CD2_SBI_1_4_!AK24,EL_DEL_CD2_SBI_5_6_!AK24,EL_DEL_CD2_STAB_!AK24,EL_DEL_CD1_WST_PTP_!AK24,EL_DEL_CD1_NTH_PTP_!AK24)</f>
        <v>0</v>
      </c>
      <c r="AK24" s="59" t="str">
        <f>IFERROR(AVERAGE(EL_DEL_CD2_JO_!AL24,EL_DEL_CD2_PTP_!AL24,EL_DEL_CD2_SBI_1_4_!AL24,EL_DEL_CD2_SBI_5_6_!AL24,EL_DEL_CD2_STAB_!AL24,EL_DEL_CD1_WST_PTP_!AL24,EL_DEL_CD1_NTH_PTP_!AL24),"")</f>
        <v/>
      </c>
      <c r="AL24" s="59" t="str">
        <f>IFERROR(AVERAGE(EL_DEL_CD2_JO_!AM24,EL_DEL_CD2_PTP_!AM24,EL_DEL_CD2_SBI_1_4_!AM24,EL_DEL_CD2_SBI_5_6_!AM24,EL_DEL_CD2_STAB_!AM24,EL_DEL_CD1_WST_PTP_!AM24,EL_DEL_CD1_NTH_PTP_!AM24),"")</f>
        <v/>
      </c>
      <c r="AM24" s="59" t="str">
        <f>IFERROR(AVERAGE(EL_DEL_CD2_JO_!AN24,EL_DEL_CD2_PTP_!AN24,EL_DEL_CD2_SBI_1_4_!AN24,EL_DEL_CD2_SBI_5_6_!AN24,EL_DEL_CD2_STAB_!AN24,EL_DEL_CD1_WST_PTP_!AN24,EL_DEL_CD1_NTH_PTP_!AN24),"")</f>
        <v/>
      </c>
      <c r="AN24" s="59" t="str">
        <f>IFERROR(AVERAGE(EL_DEL_CD2_JO_!AO24,EL_DEL_CD2_PTP_!AO24,EL_DEL_CD2_SBI_1_4_!AO24,EL_DEL_CD2_SBI_5_6_!AO24,EL_DEL_CD2_STAB_!AO24,EL_DEL_CD1_WST_PTP_!AO24,EL_DEL_CD1_NTH_PTP_!AO24),"")</f>
        <v/>
      </c>
      <c r="AO24" s="59" t="str">
        <f>IFERROR(AVERAGE(EL_DEL_CD2_JO_!AP24,EL_DEL_CD2_PTP_!AP24,EL_DEL_CD2_SBI_1_4_!AP24,EL_DEL_CD2_SBI_5_6_!AP24,EL_DEL_CD2_STAB_!AP24,EL_DEL_CD1_WST_PTP_!AP24,EL_DEL_CD1_NTH_PTP_!AP24),"")</f>
        <v/>
      </c>
      <c r="AP24" s="59" t="str">
        <f>IFERROR(AVERAGE(EL_DEL_CD2_JO_!AQ24,EL_DEL_CD2_PTP_!AQ24,EL_DEL_CD2_SBI_1_4_!AQ24,EL_DEL_CD2_SBI_5_6_!AQ24,EL_DEL_CD2_STAB_!AQ24,EL_DEL_CD1_WST_PTP_!AQ24,EL_DEL_CD1_NTH_PTP_!AQ24),"")</f>
        <v/>
      </c>
      <c r="AQ24" s="59" t="str">
        <f>IFERROR(AVERAGE(EL_DEL_CD2_JO_!AR24,EL_DEL_CD2_PTP_!AR24,EL_DEL_CD2_SBI_1_4_!AR24,EL_DEL_CD2_SBI_5_6_!AR24,EL_DEL_CD2_STAB_!AR24,EL_DEL_CD1_WST_PTP_!AR24,EL_DEL_CD1_NTH_PTP_!AR24),"")</f>
        <v/>
      </c>
      <c r="AR24" s="59" t="str">
        <f>IFERROR(AVERAGE(EL_DEL_CD2_JO_!AS24,EL_DEL_CD2_PTP_!AS24,EL_DEL_CD2_SBI_1_4_!AS24,EL_DEL_CD2_SBI_5_6_!AS24,EL_DEL_CD2_STAB_!AS24,EL_DEL_CD1_WST_PTP_!AS24,EL_DEL_CD1_NTH_PTP_!AS24),"")</f>
        <v/>
      </c>
      <c r="AS24" s="8">
        <f>SUM(EL_DEL_CD2_JO_!AT24,EL_DEL_CD2_PTP_!AT24,EL_DEL_CD2_SBI_1_4_!AT24,EL_DEL_CD2_SBI_5_6_!AT24,EL_DEL_CD2_STAB_!AT24,EL_DEL_CD1_WST_PTP_!AT24,EL_DEL_CD1_NTH_PTP_!AT24)</f>
        <v>0</v>
      </c>
      <c r="AT24" s="8">
        <f>SUM(EL_DEL_CD2_JO_!AU24,EL_DEL_CD2_PTP_!AU24,EL_DEL_CD2_SBI_1_4_!AU24,EL_DEL_CD2_SBI_5_6_!AU24,EL_DEL_CD2_STAB_!AU24,EL_DEL_CD1_WST_PTP_!AU24,EL_DEL_CD1_NTH_PTP_!AU24)</f>
        <v>0</v>
      </c>
      <c r="AU24" s="9">
        <f>SUM(EL_DEL_CD2_JO_!AV24,EL_DEL_CD2_PTP_!AV24,EL_DEL_CD2_SBI_1_4_!AV24,EL_DEL_CD2_SBI_5_6_!AV24,EL_DEL_CD2_STAB_!AV24,EL_DEL_CD1_WST_PTP_!AV24,EL_DEL_CD1_NTH_PTP_!AV24)</f>
        <v>0</v>
      </c>
      <c r="AV24" s="8" t="str">
        <f>IFERROR(AVERAGE(EL_DEL_CD2_JO_!AW24,EL_DEL_CD2_PTP_!AW24,EL_DEL_CD2_SBI_1_4_!AW24,EL_DEL_CD2_SBI_5_6_!AW24,EL_DEL_CD2_STAB_!AW24,EL_DEL_CD1_WST_PTP_!AW24,EL_DEL_CD1_NTH_PTP_!AW24),"")</f>
        <v/>
      </c>
      <c r="AW24" s="10" t="str">
        <f t="shared" si="1"/>
        <v>-</v>
      </c>
      <c r="AX24" s="39"/>
      <c r="AY24" s="1" t="str">
        <f t="shared" si="2"/>
        <v/>
      </c>
      <c r="AZ24" s="11" t="str">
        <f t="shared" si="3"/>
        <v/>
      </c>
      <c r="BA24" s="1" t="str">
        <f t="shared" si="4"/>
        <v/>
      </c>
      <c r="BB24" s="39"/>
      <c r="BC24" s="53" t="str">
        <f t="shared" si="5"/>
        <v/>
      </c>
      <c r="BD24" s="12" t="str">
        <f t="shared" si="6"/>
        <v/>
      </c>
      <c r="BE24" s="12" t="str">
        <f t="shared" si="7"/>
        <v/>
      </c>
      <c r="BF24" s="12" t="str">
        <f t="shared" si="8"/>
        <v/>
      </c>
      <c r="BG24" s="12" t="str">
        <f t="shared" si="9"/>
        <v/>
      </c>
      <c r="BH24" s="54" t="str">
        <f t="shared" si="10"/>
        <v/>
      </c>
      <c r="BI24" s="39"/>
      <c r="BJ24" s="55" t="str">
        <f t="shared" si="11"/>
        <v/>
      </c>
      <c r="BK24" s="13" t="str">
        <f t="shared" si="12"/>
        <v/>
      </c>
      <c r="BL24" s="13" t="str">
        <f t="shared" si="13"/>
        <v/>
      </c>
      <c r="BM24" s="56" t="str">
        <f t="shared" si="14"/>
        <v/>
      </c>
      <c r="BN24" s="39"/>
      <c r="BO24" s="14" t="str">
        <f t="shared" si="15"/>
        <v/>
      </c>
      <c r="BP24" s="15">
        <v>0</v>
      </c>
      <c r="BQ24" s="15" t="str">
        <f t="shared" si="16"/>
        <v/>
      </c>
      <c r="BR24" s="15" t="str">
        <f t="shared" si="17"/>
        <v/>
      </c>
      <c r="BS24" s="16" t="str">
        <f t="shared" si="18"/>
        <v/>
      </c>
      <c r="BT24" s="39"/>
      <c r="BU24" s="51" t="e">
        <f t="shared" si="19"/>
        <v>#VALUE!</v>
      </c>
      <c r="BV24" s="28" t="e">
        <f t="shared" si="20"/>
        <v>#VALUE!</v>
      </c>
      <c r="BW24" s="28" t="e">
        <f t="shared" si="21"/>
        <v>#VALUE!</v>
      </c>
      <c r="BX24" s="28" t="e">
        <f t="shared" si="22"/>
        <v>#VALUE!</v>
      </c>
      <c r="BY24" s="28" t="e">
        <f t="shared" si="23"/>
        <v>#VALUE!</v>
      </c>
      <c r="BZ24" s="52" t="e">
        <f t="shared" si="24"/>
        <v>#VALUE!</v>
      </c>
      <c r="CA24" s="39"/>
      <c r="CB24" s="49" t="str">
        <f t="shared" si="25"/>
        <v>-</v>
      </c>
      <c r="CC24" s="29" t="str">
        <f t="shared" si="26"/>
        <v>-</v>
      </c>
      <c r="CD24" s="29" t="str">
        <f t="shared" si="27"/>
        <v>-</v>
      </c>
      <c r="CE24" s="29" t="str">
        <f t="shared" si="28"/>
        <v>-</v>
      </c>
      <c r="CF24" s="50" t="str">
        <f t="shared" si="29"/>
        <v>-</v>
      </c>
      <c r="CG24" s="39"/>
    </row>
    <row r="25" spans="1:85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2">
        <f>SUM(EL_DEL_CD2_JO_!C25,EL_DEL_CD2_PTP_!C25,EL_DEL_CD2_SBI_1_4_!C25,EL_DEL_CD2_SBI_5_6_!C25,EL_DEL_CD2_STAB_!C25,EL_DEL_CD1_WST_PTP_!C25,EL_DEL_CD1_NTH_PTP_!C25)</f>
        <v>0</v>
      </c>
      <c r="D25" s="2">
        <f>SUM(EL_DEL_CD2_JO_!D25,EL_DEL_CD2_PTP_!D25,EL_DEL_CD2_SBI_1_4_!D25,EL_DEL_CD2_SBI_5_6_!D25,EL_DEL_CD2_STAB_!D25,EL_DEL_CD1_WST_PTP_!D25,EL_DEL_CD1_NTH_PTP_!D25)</f>
        <v>0</v>
      </c>
      <c r="E25" s="3">
        <f>SUM(EL_DEL_CD2_JO_!E25,EL_DEL_CD2_PTP_!E25,EL_DEL_CD2_SBI_1_4_!E25,EL_DEL_CD2_SBI_5_6_!E25,EL_DEL_CD2_STAB_!E25,EL_DEL_CD1_WST_PTP_!E25,EL_DEL_CD1_NTH_PTP_!E25)</f>
        <v>0</v>
      </c>
      <c r="F25" s="2">
        <f>SUM(EL_DEL_CD2_JO_!F25,EL_DEL_CD2_PTP_!F25,EL_DEL_CD2_SBI_1_4_!F25,EL_DEL_CD2_SBI_5_6_!F25,EL_DEL_CD2_STAB_!F25,EL_DEL_CD1_WST_PTP_!F25,EL_DEL_CD1_NTH_PTP_!F25)</f>
        <v>0</v>
      </c>
      <c r="G25" s="2">
        <f>SUM(EL_DEL_CD2_JO_!G25,EL_DEL_CD2_PTP_!G25,EL_DEL_CD2_SBI_1_4_!G25,EL_DEL_CD2_SBI_5_6_!G25,EL_DEL_CD2_STAB_!G25,EL_DEL_CD1_WST_PTP_!G25,EL_DEL_CD1_NTH_PTP_!G25)</f>
        <v>0</v>
      </c>
      <c r="H25" s="4">
        <f>SUM(EL_DEL_CD2_JO_!H25,EL_DEL_CD2_PTP_!H25,EL_DEL_CD2_SBI_1_4_!H25,EL_DEL_CD2_SBI_5_6_!H25,EL_DEL_CD2_STAB_!H25,EL_DEL_CD1_WST_PTP_!H25,EL_DEL_CD1_NTH_PTP_!H25)</f>
        <v>0</v>
      </c>
      <c r="I25" s="4">
        <f>SUM(EL_DEL_CD2_JO_!I25,EL_DEL_CD2_PTP_!I25,EL_DEL_CD2_SBI_1_4_!I25,EL_DEL_CD2_SBI_5_6_!I25,EL_DEL_CD2_STAB_!I25,EL_DEL_CD1_WST_PTP_!I25,EL_DEL_CD1_NTH_PTP_!I25)</f>
        <v>0</v>
      </c>
      <c r="J25" s="58">
        <f>SUM(EL_DEL_CD2_JO_!J25,EL_DEL_CD2_PTP_!J25,EL_DEL_CD2_SBI_1_4_!J25,EL_DEL_CD2_SBI_5_6_!J25,EL_DEL_CD2_STAB_!J25,EL_DEL_CD1_WST_PTP_!J25,EL_DEL_CD1_NTH_PTP_!J25)</f>
        <v>0</v>
      </c>
      <c r="K25" s="5">
        <f>SUM(EL_DEL_CD2_JO_!K25,EL_DEL_CD2_PTP_!K25,EL_DEL_CD2_SBI_1_4_!K25,EL_DEL_CD2_SBI_5_6_!K25,EL_DEL_CD2_STAB_!K25,EL_DEL_CD1_WST_PTP_!K25,EL_DEL_CD1_NTH_PTP_!K25)</f>
        <v>0</v>
      </c>
      <c r="L25" s="2">
        <f>SUM(EL_DEL_CD2_JO_!L25,EL_DEL_CD2_PTP_!L25,EL_DEL_CD2_SBI_1_4_!L25,EL_DEL_CD2_SBI_5_6_!L25,EL_DEL_CD2_STAB_!L25,EL_DEL_CD1_WST_PTP_!L25,EL_DEL_CD1_NTH_PTP_!L25)</f>
        <v>0</v>
      </c>
      <c r="M25" s="2">
        <f>SUM(EL_DEL_CD2_JO_!M25,EL_DEL_CD2_PTP_!M25,EL_DEL_CD2_SBI_1_4_!M25,EL_DEL_CD2_SBI_5_6_!M25,EL_DEL_CD2_STAB_!M25,EL_DEL_CD1_WST_PTP_!M25,EL_DEL_CD1_NTH_PTP_!M25)</f>
        <v>0</v>
      </c>
      <c r="N25" s="2">
        <f>SUM(EL_DEL_CD2_JO_!N25,EL_DEL_CD2_PTP_!N25,EL_DEL_CD2_SBI_1_4_!N25,EL_DEL_CD2_SBI_5_6_!N25,EL_DEL_CD2_STAB_!N25,EL_DEL_CD1_WST_PTP_!N25,EL_DEL_CD1_NTH_PTP_!N25)</f>
        <v>0</v>
      </c>
      <c r="O25" s="2">
        <f>SUM(EL_DEL_CD2_JO_!O25,EL_DEL_CD2_PTP_!O25,EL_DEL_CD2_SBI_1_4_!O25,EL_DEL_CD2_SBI_5_6_!O25,EL_DEL_CD2_STAB_!O25,EL_DEL_CD1_WST_PTP_!O25,EL_DEL_CD1_NTH_PTP_!O25)</f>
        <v>0</v>
      </c>
      <c r="P25" s="3">
        <f>SUM(EL_DEL_CD2_JO_!P25,EL_DEL_CD2_PTP_!P25,EL_DEL_CD2_SBI_1_4_!P25,EL_DEL_CD2_SBI_5_6_!P25,EL_DEL_CD2_STAB_!P25,EL_DEL_CD1_WST_PTP_!P25,EL_DEL_CD1_NTH_PTP_!P25)</f>
        <v>0</v>
      </c>
      <c r="Q25" s="2">
        <f>SUM(EL_DEL_CD2_JO_!Q25,EL_DEL_CD2_PTP_!Q25,EL_DEL_CD2_SBI_1_4_!Q25,EL_DEL_CD2_SBI_5_6_!Q25,EL_DEL_CD2_STAB_!Q25,EL_DEL_CD1_WST_PTP_!Q25,EL_DEL_CD1_NTH_PTP_!Q25)</f>
        <v>0</v>
      </c>
      <c r="R25" s="2">
        <f>SUM(EL_DEL_CD2_JO_!R25,EL_DEL_CD2_PTP_!R25,EL_DEL_CD2_SBI_1_4_!R25,EL_DEL_CD2_SBI_5_6_!R25,EL_DEL_CD2_STAB_!R25,EL_DEL_CD1_WST_PTP_!R25,EL_DEL_CD1_NTH_PTP_!R25)</f>
        <v>0</v>
      </c>
      <c r="S25" s="2">
        <f>SUM(EL_DEL_CD2_JO_!S25,EL_DEL_CD2_PTP_!S25,EL_DEL_CD2_SBI_1_4_!S25,EL_DEL_CD2_SBI_5_6_!S25,EL_DEL_CD2_STAB_!S25,EL_DEL_CD1_WST_PTP_!S25,EL_DEL_CD1_NTH_PTP_!S25)</f>
        <v>0</v>
      </c>
      <c r="T25" s="2">
        <f>SUM(EL_DEL_CD2_JO_!T25,EL_DEL_CD2_PTP_!T25,EL_DEL_CD2_SBI_1_4_!T25,EL_DEL_CD2_SBI_5_6_!T25,EL_DEL_CD2_STAB_!T25,EL_DEL_CD1_WST_PTP_!T25,EL_DEL_CD1_NTH_PTP_!T25)</f>
        <v>0</v>
      </c>
      <c r="U25" s="3">
        <f>SUM(EL_DEL_CD2_JO_!V25,EL_DEL_CD2_PTP_!V25,EL_DEL_CD2_SBI_1_4_!V25,EL_DEL_CD2_SBI_5_6_!V25,EL_DEL_CD2_STAB_!V25,EL_DEL_CD1_WST_PTP_!V25,EL_DEL_CD1_NTH_PTP_!V25)</f>
        <v>0</v>
      </c>
      <c r="V25" s="3">
        <f>SUM(EL_DEL_CD2_JO_!W25,EL_DEL_CD2_PTP_!W25,EL_DEL_CD2_SBI_1_4_!W25,EL_DEL_CD2_SBI_5_6_!W25,EL_DEL_CD2_STAB_!W25,EL_DEL_CD1_WST_PTP_!W25,EL_DEL_CD1_NTH_PTP_!W25)</f>
        <v>0</v>
      </c>
      <c r="W25" s="2">
        <f>SUM(EL_DEL_CD2_JO_!X25,EL_DEL_CD2_PTP_!X25,EL_DEL_CD2_SBI_1_4_!X25,EL_DEL_CD2_SBI_5_6_!X25,EL_DEL_CD2_STAB_!X25,EL_DEL_CD1_WST_PTP_!X25,EL_DEL_CD1_NTH_PTP_!X25)</f>
        <v>0</v>
      </c>
      <c r="X25" s="2">
        <f>SUM(EL_DEL_CD2_JO_!Y25,EL_DEL_CD2_PTP_!Y25,EL_DEL_CD2_SBI_1_4_!Y25,EL_DEL_CD2_SBI_5_6_!Y25,EL_DEL_CD2_STAB_!Y25,EL_DEL_CD1_WST_PTP_!Y25,EL_DEL_CD1_NTH_PTP_!Y25)</f>
        <v>0</v>
      </c>
      <c r="Y25" s="2">
        <f>SUM(EL_DEL_CD2_JO_!Z25,EL_DEL_CD2_PTP_!Z25,EL_DEL_CD2_SBI_1_4_!Z25,EL_DEL_CD2_SBI_5_6_!Z25,EL_DEL_CD2_STAB_!Z25,EL_DEL_CD1_WST_PTP_!Z25,EL_DEL_CD1_NTH_PTP_!Z25)</f>
        <v>0</v>
      </c>
      <c r="Z25" s="2">
        <f>SUM(EL_DEL_CD2_JO_!AA25,EL_DEL_CD2_PTP_!AA25,EL_DEL_CD2_SBI_1_4_!AA25,EL_DEL_CD2_SBI_5_6_!AA25,EL_DEL_CD2_STAB_!AA25,EL_DEL_CD1_WST_PTP_!AA25,EL_DEL_CD1_NTH_PTP_!AA25)</f>
        <v>0</v>
      </c>
      <c r="AA25" s="2">
        <f>SUM(EL_DEL_CD2_JO_!AB25,EL_DEL_CD2_PTP_!AB25,EL_DEL_CD2_SBI_1_4_!AB25,EL_DEL_CD2_SBI_5_6_!AB25,EL_DEL_CD2_STAB_!AB25,EL_DEL_CD1_WST_PTP_!AB25,EL_DEL_CD1_NTH_PTP_!AB25)</f>
        <v>0</v>
      </c>
      <c r="AB25" s="2">
        <f>SUM(EL_DEL_CD2_JO_!AC25,EL_DEL_CD2_PTP_!AC25,EL_DEL_CD2_SBI_1_4_!AC25,EL_DEL_CD2_SBI_5_6_!AC25,EL_DEL_CD2_STAB_!AC25,EL_DEL_CD1_WST_PTP_!AC25,EL_DEL_CD1_NTH_PTP_!AC25)</f>
        <v>0</v>
      </c>
      <c r="AC25" s="2">
        <f>SUM(EL_DEL_CD2_JO_!AD25,EL_DEL_CD2_PTP_!AD25,EL_DEL_CD2_SBI_1_4_!AD25,EL_DEL_CD2_SBI_5_6_!AD25,EL_DEL_CD2_STAB_!AD25,EL_DEL_CD1_WST_PTP_!AD25,EL_DEL_CD1_NTH_PTP_!AD25)</f>
        <v>0</v>
      </c>
      <c r="AD25" s="2">
        <f>SUM(EL_DEL_CD2_JO_!AE25,EL_DEL_CD2_PTP_!AE25,EL_DEL_CD2_SBI_1_4_!AE25,EL_DEL_CD2_SBI_5_6_!AE25,EL_DEL_CD2_STAB_!AE25,EL_DEL_CD1_WST_PTP_!AE25,EL_DEL_CD1_NTH_PTP_!AE25)</f>
        <v>0</v>
      </c>
      <c r="AE25" s="3">
        <f>SUM(EL_DEL_CD2_JO_!AF25,EL_DEL_CD2_PTP_!AF25,EL_DEL_CD2_SBI_1_4_!AF25,EL_DEL_CD2_SBI_5_6_!AF25,EL_DEL_CD2_STAB_!AF25,EL_DEL_CD1_WST_PTP_!AF25,EL_DEL_CD1_NTH_PTP_!AF25)</f>
        <v>0</v>
      </c>
      <c r="AF25" s="3">
        <f>SUM(EL_DEL_CD2_JO_!AG25,EL_DEL_CD2_PTP_!AG25,EL_DEL_CD2_SBI_1_4_!AG25,EL_DEL_CD2_SBI_5_6_!AG25,EL_DEL_CD2_STAB_!AG25,EL_DEL_CD1_WST_PTP_!AG25,EL_DEL_CD1_NTH_PTP_!AG25)</f>
        <v>0</v>
      </c>
      <c r="AG25" s="2">
        <f>SUM(EL_DEL_CD2_JO_!AH25,EL_DEL_CD2_PTP_!AH25,EL_DEL_CD2_SBI_1_4_!AH25,EL_DEL_CD2_SBI_5_6_!AH25,EL_DEL_CD2_STAB_!AH25,EL_DEL_CD1_WST_PTP_!AH25,EL_DEL_CD1_NTH_PTP_!AH25)</f>
        <v>0</v>
      </c>
      <c r="AH25" s="6">
        <f>SUM(EL_DEL_CD2_JO_!AI25,EL_DEL_CD2_PTP_!AI25,EL_DEL_CD2_SBI_1_4_!AI25,EL_DEL_CD2_SBI_5_6_!AI25,EL_DEL_CD2_STAB_!AI25,EL_DEL_CD1_WST_PTP_!AI25,EL_DEL_CD1_NTH_PTP_!AI25)</f>
        <v>0</v>
      </c>
      <c r="AI25" s="7">
        <f>SUM(EL_DEL_CD2_JO_!AJ25,EL_DEL_CD2_PTP_!AJ25,EL_DEL_CD2_SBI_1_4_!AJ25,EL_DEL_CD2_SBI_5_6_!AJ25,EL_DEL_CD2_STAB_!AJ25,EL_DEL_CD1_WST_PTP_!AJ25,EL_DEL_CD1_NTH_PTP_!AJ25)</f>
        <v>0</v>
      </c>
      <c r="AJ25" s="6">
        <f>SUM(EL_DEL_CD2_JO_!AK25,EL_DEL_CD2_PTP_!AK25,EL_DEL_CD2_SBI_1_4_!AK25,EL_DEL_CD2_SBI_5_6_!AK25,EL_DEL_CD2_STAB_!AK25,EL_DEL_CD1_WST_PTP_!AK25,EL_DEL_CD1_NTH_PTP_!AK25)</f>
        <v>0</v>
      </c>
      <c r="AK25" s="59" t="str">
        <f>IFERROR(AVERAGE(EL_DEL_CD2_JO_!AL25,EL_DEL_CD2_PTP_!AL25,EL_DEL_CD2_SBI_1_4_!AL25,EL_DEL_CD2_SBI_5_6_!AL25,EL_DEL_CD2_STAB_!AL25,EL_DEL_CD1_WST_PTP_!AL25,EL_DEL_CD1_NTH_PTP_!AL25),"")</f>
        <v/>
      </c>
      <c r="AL25" s="59" t="str">
        <f>IFERROR(AVERAGE(EL_DEL_CD2_JO_!AM25,EL_DEL_CD2_PTP_!AM25,EL_DEL_CD2_SBI_1_4_!AM25,EL_DEL_CD2_SBI_5_6_!AM25,EL_DEL_CD2_STAB_!AM25,EL_DEL_CD1_WST_PTP_!AM25,EL_DEL_CD1_NTH_PTP_!AM25),"")</f>
        <v/>
      </c>
      <c r="AM25" s="59" t="str">
        <f>IFERROR(AVERAGE(EL_DEL_CD2_JO_!AN25,EL_DEL_CD2_PTP_!AN25,EL_DEL_CD2_SBI_1_4_!AN25,EL_DEL_CD2_SBI_5_6_!AN25,EL_DEL_CD2_STAB_!AN25,EL_DEL_CD1_WST_PTP_!AN25,EL_DEL_CD1_NTH_PTP_!AN25),"")</f>
        <v/>
      </c>
      <c r="AN25" s="59" t="str">
        <f>IFERROR(AVERAGE(EL_DEL_CD2_JO_!AO25,EL_DEL_CD2_PTP_!AO25,EL_DEL_CD2_SBI_1_4_!AO25,EL_DEL_CD2_SBI_5_6_!AO25,EL_DEL_CD2_STAB_!AO25,EL_DEL_CD1_WST_PTP_!AO25,EL_DEL_CD1_NTH_PTP_!AO25),"")</f>
        <v/>
      </c>
      <c r="AO25" s="59" t="str">
        <f>IFERROR(AVERAGE(EL_DEL_CD2_JO_!AP25,EL_DEL_CD2_PTP_!AP25,EL_DEL_CD2_SBI_1_4_!AP25,EL_DEL_CD2_SBI_5_6_!AP25,EL_DEL_CD2_STAB_!AP25,EL_DEL_CD1_WST_PTP_!AP25,EL_DEL_CD1_NTH_PTP_!AP25),"")</f>
        <v/>
      </c>
      <c r="AP25" s="59" t="str">
        <f>IFERROR(AVERAGE(EL_DEL_CD2_JO_!AQ25,EL_DEL_CD2_PTP_!AQ25,EL_DEL_CD2_SBI_1_4_!AQ25,EL_DEL_CD2_SBI_5_6_!AQ25,EL_DEL_CD2_STAB_!AQ25,EL_DEL_CD1_WST_PTP_!AQ25,EL_DEL_CD1_NTH_PTP_!AQ25),"")</f>
        <v/>
      </c>
      <c r="AQ25" s="59" t="str">
        <f>IFERROR(AVERAGE(EL_DEL_CD2_JO_!AR25,EL_DEL_CD2_PTP_!AR25,EL_DEL_CD2_SBI_1_4_!AR25,EL_DEL_CD2_SBI_5_6_!AR25,EL_DEL_CD2_STAB_!AR25,EL_DEL_CD1_WST_PTP_!AR25,EL_DEL_CD1_NTH_PTP_!AR25),"")</f>
        <v/>
      </c>
      <c r="AR25" s="59" t="str">
        <f>IFERROR(AVERAGE(EL_DEL_CD2_JO_!AS25,EL_DEL_CD2_PTP_!AS25,EL_DEL_CD2_SBI_1_4_!AS25,EL_DEL_CD2_SBI_5_6_!AS25,EL_DEL_CD2_STAB_!AS25,EL_DEL_CD1_WST_PTP_!AS25,EL_DEL_CD1_NTH_PTP_!AS25),"")</f>
        <v/>
      </c>
      <c r="AS25" s="8">
        <f>SUM(EL_DEL_CD2_JO_!AT25,EL_DEL_CD2_PTP_!AT25,EL_DEL_CD2_SBI_1_4_!AT25,EL_DEL_CD2_SBI_5_6_!AT25,EL_DEL_CD2_STAB_!AT25,EL_DEL_CD1_WST_PTP_!AT25,EL_DEL_CD1_NTH_PTP_!AT25)</f>
        <v>0</v>
      </c>
      <c r="AT25" s="8">
        <f>SUM(EL_DEL_CD2_JO_!AU25,EL_DEL_CD2_PTP_!AU25,EL_DEL_CD2_SBI_1_4_!AU25,EL_DEL_CD2_SBI_5_6_!AU25,EL_DEL_CD2_STAB_!AU25,EL_DEL_CD1_WST_PTP_!AU25,EL_DEL_CD1_NTH_PTP_!AU25)</f>
        <v>0</v>
      </c>
      <c r="AU25" s="9">
        <f>SUM(EL_DEL_CD2_JO_!AV25,EL_DEL_CD2_PTP_!AV25,EL_DEL_CD2_SBI_1_4_!AV25,EL_DEL_CD2_SBI_5_6_!AV25,EL_DEL_CD2_STAB_!AV25,EL_DEL_CD1_WST_PTP_!AV25,EL_DEL_CD1_NTH_PTP_!AV25)</f>
        <v>0</v>
      </c>
      <c r="AV25" s="8" t="str">
        <f>IFERROR(AVERAGE(EL_DEL_CD2_JO_!AW25,EL_DEL_CD2_PTP_!AW25,EL_DEL_CD2_SBI_1_4_!AW25,EL_DEL_CD2_SBI_5_6_!AW25,EL_DEL_CD2_STAB_!AW25,EL_DEL_CD1_WST_PTP_!AW25,EL_DEL_CD1_NTH_PTP_!AW25),"")</f>
        <v/>
      </c>
      <c r="AW25" s="10" t="str">
        <f t="shared" si="1"/>
        <v>-</v>
      </c>
      <c r="AX25" s="39"/>
      <c r="AY25" s="1" t="str">
        <f t="shared" si="2"/>
        <v/>
      </c>
      <c r="AZ25" s="11" t="str">
        <f t="shared" si="3"/>
        <v/>
      </c>
      <c r="BA25" s="1" t="str">
        <f t="shared" si="4"/>
        <v/>
      </c>
      <c r="BB25" s="39"/>
      <c r="BC25" s="53" t="str">
        <f t="shared" si="5"/>
        <v/>
      </c>
      <c r="BD25" s="12" t="str">
        <f t="shared" si="6"/>
        <v/>
      </c>
      <c r="BE25" s="12" t="str">
        <f t="shared" si="7"/>
        <v/>
      </c>
      <c r="BF25" s="12" t="str">
        <f t="shared" si="8"/>
        <v/>
      </c>
      <c r="BG25" s="12" t="str">
        <f t="shared" si="9"/>
        <v/>
      </c>
      <c r="BH25" s="54" t="str">
        <f t="shared" si="10"/>
        <v/>
      </c>
      <c r="BI25" s="39"/>
      <c r="BJ25" s="55" t="str">
        <f t="shared" si="11"/>
        <v/>
      </c>
      <c r="BK25" s="13" t="str">
        <f t="shared" si="12"/>
        <v/>
      </c>
      <c r="BL25" s="13" t="str">
        <f t="shared" si="13"/>
        <v/>
      </c>
      <c r="BM25" s="56" t="str">
        <f t="shared" si="14"/>
        <v/>
      </c>
      <c r="BN25" s="39"/>
      <c r="BO25" s="14" t="str">
        <f t="shared" si="15"/>
        <v/>
      </c>
      <c r="BP25" s="15">
        <v>0</v>
      </c>
      <c r="BQ25" s="15" t="str">
        <f t="shared" si="16"/>
        <v/>
      </c>
      <c r="BR25" s="15" t="str">
        <f t="shared" si="17"/>
        <v/>
      </c>
      <c r="BS25" s="16" t="str">
        <f t="shared" si="18"/>
        <v/>
      </c>
      <c r="BT25" s="39"/>
      <c r="BU25" s="51" t="e">
        <f t="shared" si="19"/>
        <v>#VALUE!</v>
      </c>
      <c r="BV25" s="28" t="e">
        <f t="shared" si="20"/>
        <v>#VALUE!</v>
      </c>
      <c r="BW25" s="28" t="e">
        <f t="shared" si="21"/>
        <v>#VALUE!</v>
      </c>
      <c r="BX25" s="28" t="e">
        <f t="shared" si="22"/>
        <v>#VALUE!</v>
      </c>
      <c r="BY25" s="28" t="e">
        <f t="shared" si="23"/>
        <v>#VALUE!</v>
      </c>
      <c r="BZ25" s="52" t="e">
        <f t="shared" si="24"/>
        <v>#VALUE!</v>
      </c>
      <c r="CA25" s="39"/>
      <c r="CB25" s="49" t="str">
        <f t="shared" si="25"/>
        <v>-</v>
      </c>
      <c r="CC25" s="29" t="str">
        <f t="shared" si="26"/>
        <v>-</v>
      </c>
      <c r="CD25" s="29" t="str">
        <f t="shared" si="27"/>
        <v>-</v>
      </c>
      <c r="CE25" s="29" t="str">
        <f t="shared" si="28"/>
        <v>-</v>
      </c>
      <c r="CF25" s="50" t="str">
        <f t="shared" si="29"/>
        <v>-</v>
      </c>
      <c r="CG25" s="39"/>
    </row>
    <row r="26" spans="1:85" s="27" customFormat="1" ht="12.4" customHeight="1" thickBot="1" x14ac:dyDescent="0.25">
      <c r="A26" s="43">
        <f t="shared" si="30"/>
        <v>46318</v>
      </c>
      <c r="B26" s="44" t="str">
        <f>+TEXT(A26,"DDD")</f>
        <v>Fri</v>
      </c>
      <c r="C26" s="2">
        <f>SUM(EL_DEL_CD2_JO_!C26,EL_DEL_CD2_PTP_!C26,EL_DEL_CD2_SBI_1_4_!C26,EL_DEL_CD2_SBI_5_6_!C26,EL_DEL_CD2_STAB_!C26,EL_DEL_CD1_WST_PTP_!C26,EL_DEL_CD1_NTH_PTP_!C26)</f>
        <v>0</v>
      </c>
      <c r="D26" s="2">
        <f>SUM(EL_DEL_CD2_JO_!D26,EL_DEL_CD2_PTP_!D26,EL_DEL_CD2_SBI_1_4_!D26,EL_DEL_CD2_SBI_5_6_!D26,EL_DEL_CD2_STAB_!D26,EL_DEL_CD1_WST_PTP_!D26,EL_DEL_CD1_NTH_PTP_!D26)</f>
        <v>0</v>
      </c>
      <c r="E26" s="3">
        <f>SUM(EL_DEL_CD2_JO_!E26,EL_DEL_CD2_PTP_!E26,EL_DEL_CD2_SBI_1_4_!E26,EL_DEL_CD2_SBI_5_6_!E26,EL_DEL_CD2_STAB_!E26,EL_DEL_CD1_WST_PTP_!E26,EL_DEL_CD1_NTH_PTP_!E26)</f>
        <v>0</v>
      </c>
      <c r="F26" s="2">
        <f>SUM(EL_DEL_CD2_JO_!F26,EL_DEL_CD2_PTP_!F26,EL_DEL_CD2_SBI_1_4_!F26,EL_DEL_CD2_SBI_5_6_!F26,EL_DEL_CD2_STAB_!F26,EL_DEL_CD1_WST_PTP_!F26,EL_DEL_CD1_NTH_PTP_!F26)</f>
        <v>0</v>
      </c>
      <c r="G26" s="2">
        <f>SUM(EL_DEL_CD2_JO_!G26,EL_DEL_CD2_PTP_!G26,EL_DEL_CD2_SBI_1_4_!G26,EL_DEL_CD2_SBI_5_6_!G26,EL_DEL_CD2_STAB_!G26,EL_DEL_CD1_WST_PTP_!G26,EL_DEL_CD1_NTH_PTP_!G26)</f>
        <v>0</v>
      </c>
      <c r="H26" s="4">
        <f>SUM(EL_DEL_CD2_JO_!H26,EL_DEL_CD2_PTP_!H26,EL_DEL_CD2_SBI_1_4_!H26,EL_DEL_CD2_SBI_5_6_!H26,EL_DEL_CD2_STAB_!H26,EL_DEL_CD1_WST_PTP_!H26,EL_DEL_CD1_NTH_PTP_!H26)</f>
        <v>0</v>
      </c>
      <c r="I26" s="4">
        <f>SUM(EL_DEL_CD2_JO_!I26,EL_DEL_CD2_PTP_!I26,EL_DEL_CD2_SBI_1_4_!I26,EL_DEL_CD2_SBI_5_6_!I26,EL_DEL_CD2_STAB_!I26,EL_DEL_CD1_WST_PTP_!I26,EL_DEL_CD1_NTH_PTP_!I26)</f>
        <v>0</v>
      </c>
      <c r="J26" s="58">
        <f>SUM(EL_DEL_CD2_JO_!J26,EL_DEL_CD2_PTP_!J26,EL_DEL_CD2_SBI_1_4_!J26,EL_DEL_CD2_SBI_5_6_!J26,EL_DEL_CD2_STAB_!J26,EL_DEL_CD1_WST_PTP_!J26,EL_DEL_CD1_NTH_PTP_!J26)</f>
        <v>0</v>
      </c>
      <c r="K26" s="5">
        <f>SUM(EL_DEL_CD2_JO_!K26,EL_DEL_CD2_PTP_!K26,EL_DEL_CD2_SBI_1_4_!K26,EL_DEL_CD2_SBI_5_6_!K26,EL_DEL_CD2_STAB_!K26,EL_DEL_CD1_WST_PTP_!K26,EL_DEL_CD1_NTH_PTP_!K26)</f>
        <v>0</v>
      </c>
      <c r="L26" s="2">
        <f>SUM(EL_DEL_CD2_JO_!L26,EL_DEL_CD2_PTP_!L26,EL_DEL_CD2_SBI_1_4_!L26,EL_DEL_CD2_SBI_5_6_!L26,EL_DEL_CD2_STAB_!L26,EL_DEL_CD1_WST_PTP_!L26,EL_DEL_CD1_NTH_PTP_!L26)</f>
        <v>0</v>
      </c>
      <c r="M26" s="2">
        <f>SUM(EL_DEL_CD2_JO_!M26,EL_DEL_CD2_PTP_!M26,EL_DEL_CD2_SBI_1_4_!M26,EL_DEL_CD2_SBI_5_6_!M26,EL_DEL_CD2_STAB_!M26,EL_DEL_CD1_WST_PTP_!M26,EL_DEL_CD1_NTH_PTP_!M26)</f>
        <v>0</v>
      </c>
      <c r="N26" s="2">
        <f>SUM(EL_DEL_CD2_JO_!N26,EL_DEL_CD2_PTP_!N26,EL_DEL_CD2_SBI_1_4_!N26,EL_DEL_CD2_SBI_5_6_!N26,EL_DEL_CD2_STAB_!N26,EL_DEL_CD1_WST_PTP_!N26,EL_DEL_CD1_NTH_PTP_!N26)</f>
        <v>0</v>
      </c>
      <c r="O26" s="2">
        <f>SUM(EL_DEL_CD2_JO_!O26,EL_DEL_CD2_PTP_!O26,EL_DEL_CD2_SBI_1_4_!O26,EL_DEL_CD2_SBI_5_6_!O26,EL_DEL_CD2_STAB_!O26,EL_DEL_CD1_WST_PTP_!O26,EL_DEL_CD1_NTH_PTP_!O26)</f>
        <v>0</v>
      </c>
      <c r="P26" s="3">
        <f>SUM(EL_DEL_CD2_JO_!P26,EL_DEL_CD2_PTP_!P26,EL_DEL_CD2_SBI_1_4_!P26,EL_DEL_CD2_SBI_5_6_!P26,EL_DEL_CD2_STAB_!P26,EL_DEL_CD1_WST_PTP_!P26,EL_DEL_CD1_NTH_PTP_!P26)</f>
        <v>0</v>
      </c>
      <c r="Q26" s="2">
        <f>SUM(EL_DEL_CD2_JO_!Q26,EL_DEL_CD2_PTP_!Q26,EL_DEL_CD2_SBI_1_4_!Q26,EL_DEL_CD2_SBI_5_6_!Q26,EL_DEL_CD2_STAB_!Q26,EL_DEL_CD1_WST_PTP_!Q26,EL_DEL_CD1_NTH_PTP_!Q26)</f>
        <v>0</v>
      </c>
      <c r="R26" s="2">
        <f>SUM(EL_DEL_CD2_JO_!R26,EL_DEL_CD2_PTP_!R26,EL_DEL_CD2_SBI_1_4_!R26,EL_DEL_CD2_SBI_5_6_!R26,EL_DEL_CD2_STAB_!R26,EL_DEL_CD1_WST_PTP_!R26,EL_DEL_CD1_NTH_PTP_!R26)</f>
        <v>0</v>
      </c>
      <c r="S26" s="2">
        <f>SUM(EL_DEL_CD2_JO_!S26,EL_DEL_CD2_PTP_!S26,EL_DEL_CD2_SBI_1_4_!S26,EL_DEL_CD2_SBI_5_6_!S26,EL_DEL_CD2_STAB_!S26,EL_DEL_CD1_WST_PTP_!S26,EL_DEL_CD1_NTH_PTP_!S26)</f>
        <v>0</v>
      </c>
      <c r="T26" s="2">
        <f>SUM(EL_DEL_CD2_JO_!T26,EL_DEL_CD2_PTP_!T26,EL_DEL_CD2_SBI_1_4_!T26,EL_DEL_CD2_SBI_5_6_!T26,EL_DEL_CD2_STAB_!T26,EL_DEL_CD1_WST_PTP_!T26,EL_DEL_CD1_NTH_PTP_!T26)</f>
        <v>0</v>
      </c>
      <c r="U26" s="3">
        <f>SUM(EL_DEL_CD2_JO_!V26,EL_DEL_CD2_PTP_!V26,EL_DEL_CD2_SBI_1_4_!V26,EL_DEL_CD2_SBI_5_6_!V26,EL_DEL_CD2_STAB_!V26,EL_DEL_CD1_WST_PTP_!V26,EL_DEL_CD1_NTH_PTP_!V26)</f>
        <v>0</v>
      </c>
      <c r="V26" s="3">
        <f>SUM(EL_DEL_CD2_JO_!W26,EL_DEL_CD2_PTP_!W26,EL_DEL_CD2_SBI_1_4_!W26,EL_DEL_CD2_SBI_5_6_!W26,EL_DEL_CD2_STAB_!W26,EL_DEL_CD1_WST_PTP_!W26,EL_DEL_CD1_NTH_PTP_!W26)</f>
        <v>0</v>
      </c>
      <c r="W26" s="2">
        <f>SUM(EL_DEL_CD2_JO_!X26,EL_DEL_CD2_PTP_!X26,EL_DEL_CD2_SBI_1_4_!X26,EL_DEL_CD2_SBI_5_6_!X26,EL_DEL_CD2_STAB_!X26,EL_DEL_CD1_WST_PTP_!X26,EL_DEL_CD1_NTH_PTP_!X26)</f>
        <v>0</v>
      </c>
      <c r="X26" s="2">
        <f>SUM(EL_DEL_CD2_JO_!Y26,EL_DEL_CD2_PTP_!Y26,EL_DEL_CD2_SBI_1_4_!Y26,EL_DEL_CD2_SBI_5_6_!Y26,EL_DEL_CD2_STAB_!Y26,EL_DEL_CD1_WST_PTP_!Y26,EL_DEL_CD1_NTH_PTP_!Y26)</f>
        <v>0</v>
      </c>
      <c r="Y26" s="2">
        <f>SUM(EL_DEL_CD2_JO_!Z26,EL_DEL_CD2_PTP_!Z26,EL_DEL_CD2_SBI_1_4_!Z26,EL_DEL_CD2_SBI_5_6_!Z26,EL_DEL_CD2_STAB_!Z26,EL_DEL_CD1_WST_PTP_!Z26,EL_DEL_CD1_NTH_PTP_!Z26)</f>
        <v>0</v>
      </c>
      <c r="Z26" s="2">
        <f>SUM(EL_DEL_CD2_JO_!AA26,EL_DEL_CD2_PTP_!AA26,EL_DEL_CD2_SBI_1_4_!AA26,EL_DEL_CD2_SBI_5_6_!AA26,EL_DEL_CD2_STAB_!AA26,EL_DEL_CD1_WST_PTP_!AA26,EL_DEL_CD1_NTH_PTP_!AA26)</f>
        <v>0</v>
      </c>
      <c r="AA26" s="2">
        <f>SUM(EL_DEL_CD2_JO_!AB26,EL_DEL_CD2_PTP_!AB26,EL_DEL_CD2_SBI_1_4_!AB26,EL_DEL_CD2_SBI_5_6_!AB26,EL_DEL_CD2_STAB_!AB26,EL_DEL_CD1_WST_PTP_!AB26,EL_DEL_CD1_NTH_PTP_!AB26)</f>
        <v>0</v>
      </c>
      <c r="AB26" s="2">
        <f>SUM(EL_DEL_CD2_JO_!AC26,EL_DEL_CD2_PTP_!AC26,EL_DEL_CD2_SBI_1_4_!AC26,EL_DEL_CD2_SBI_5_6_!AC26,EL_DEL_CD2_STAB_!AC26,EL_DEL_CD1_WST_PTP_!AC26,EL_DEL_CD1_NTH_PTP_!AC26)</f>
        <v>0</v>
      </c>
      <c r="AC26" s="2">
        <f>SUM(EL_DEL_CD2_JO_!AD26,EL_DEL_CD2_PTP_!AD26,EL_DEL_CD2_SBI_1_4_!AD26,EL_DEL_CD2_SBI_5_6_!AD26,EL_DEL_CD2_STAB_!AD26,EL_DEL_CD1_WST_PTP_!AD26,EL_DEL_CD1_NTH_PTP_!AD26)</f>
        <v>0</v>
      </c>
      <c r="AD26" s="2">
        <f>SUM(EL_DEL_CD2_JO_!AE26,EL_DEL_CD2_PTP_!AE26,EL_DEL_CD2_SBI_1_4_!AE26,EL_DEL_CD2_SBI_5_6_!AE26,EL_DEL_CD2_STAB_!AE26,EL_DEL_CD1_WST_PTP_!AE26,EL_DEL_CD1_NTH_PTP_!AE26)</f>
        <v>0</v>
      </c>
      <c r="AE26" s="3">
        <f>SUM(EL_DEL_CD2_JO_!AF26,EL_DEL_CD2_PTP_!AF26,EL_DEL_CD2_SBI_1_4_!AF26,EL_DEL_CD2_SBI_5_6_!AF26,EL_DEL_CD2_STAB_!AF26,EL_DEL_CD1_WST_PTP_!AF26,EL_DEL_CD1_NTH_PTP_!AF26)</f>
        <v>0</v>
      </c>
      <c r="AF26" s="3">
        <f>SUM(EL_DEL_CD2_JO_!AG26,EL_DEL_CD2_PTP_!AG26,EL_DEL_CD2_SBI_1_4_!AG26,EL_DEL_CD2_SBI_5_6_!AG26,EL_DEL_CD2_STAB_!AG26,EL_DEL_CD1_WST_PTP_!AG26,EL_DEL_CD1_NTH_PTP_!AG26)</f>
        <v>0</v>
      </c>
      <c r="AG26" s="2">
        <f>SUM(EL_DEL_CD2_JO_!AH26,EL_DEL_CD2_PTP_!AH26,EL_DEL_CD2_SBI_1_4_!AH26,EL_DEL_CD2_SBI_5_6_!AH26,EL_DEL_CD2_STAB_!AH26,EL_DEL_CD1_WST_PTP_!AH26,EL_DEL_CD1_NTH_PTP_!AH26)</f>
        <v>0</v>
      </c>
      <c r="AH26" s="6">
        <f>SUM(EL_DEL_CD2_JO_!AI26,EL_DEL_CD2_PTP_!AI26,EL_DEL_CD2_SBI_1_4_!AI26,EL_DEL_CD2_SBI_5_6_!AI26,EL_DEL_CD2_STAB_!AI26,EL_DEL_CD1_WST_PTP_!AI26,EL_DEL_CD1_NTH_PTP_!AI26)</f>
        <v>0</v>
      </c>
      <c r="AI26" s="7">
        <f>SUM(EL_DEL_CD2_JO_!AJ26,EL_DEL_CD2_PTP_!AJ26,EL_DEL_CD2_SBI_1_4_!AJ26,EL_DEL_CD2_SBI_5_6_!AJ26,EL_DEL_CD2_STAB_!AJ26,EL_DEL_CD1_WST_PTP_!AJ26,EL_DEL_CD1_NTH_PTP_!AJ26)</f>
        <v>0</v>
      </c>
      <c r="AJ26" s="6">
        <f>SUM(EL_DEL_CD2_JO_!AK26,EL_DEL_CD2_PTP_!AK26,EL_DEL_CD2_SBI_1_4_!AK26,EL_DEL_CD2_SBI_5_6_!AK26,EL_DEL_CD2_STAB_!AK26,EL_DEL_CD1_WST_PTP_!AK26,EL_DEL_CD1_NTH_PTP_!AK26)</f>
        <v>0</v>
      </c>
      <c r="AK26" s="59" t="str">
        <f>IFERROR(AVERAGE(EL_DEL_CD2_JO_!AL26,EL_DEL_CD2_PTP_!AL26,EL_DEL_CD2_SBI_1_4_!AL26,EL_DEL_CD2_SBI_5_6_!AL26,EL_DEL_CD2_STAB_!AL26,EL_DEL_CD1_WST_PTP_!AL26,EL_DEL_CD1_NTH_PTP_!AL26),"")</f>
        <v/>
      </c>
      <c r="AL26" s="59" t="str">
        <f>IFERROR(AVERAGE(EL_DEL_CD2_JO_!AM26,EL_DEL_CD2_PTP_!AM26,EL_DEL_CD2_SBI_1_4_!AM26,EL_DEL_CD2_SBI_5_6_!AM26,EL_DEL_CD2_STAB_!AM26,EL_DEL_CD1_WST_PTP_!AM26,EL_DEL_CD1_NTH_PTP_!AM26),"")</f>
        <v/>
      </c>
      <c r="AM26" s="59" t="str">
        <f>IFERROR(AVERAGE(EL_DEL_CD2_JO_!AN26,EL_DEL_CD2_PTP_!AN26,EL_DEL_CD2_SBI_1_4_!AN26,EL_DEL_CD2_SBI_5_6_!AN26,EL_DEL_CD2_STAB_!AN26,EL_DEL_CD1_WST_PTP_!AN26,EL_DEL_CD1_NTH_PTP_!AN26),"")</f>
        <v/>
      </c>
      <c r="AN26" s="59" t="str">
        <f>IFERROR(AVERAGE(EL_DEL_CD2_JO_!AO26,EL_DEL_CD2_PTP_!AO26,EL_DEL_CD2_SBI_1_4_!AO26,EL_DEL_CD2_SBI_5_6_!AO26,EL_DEL_CD2_STAB_!AO26,EL_DEL_CD1_WST_PTP_!AO26,EL_DEL_CD1_NTH_PTP_!AO26),"")</f>
        <v/>
      </c>
      <c r="AO26" s="59" t="str">
        <f>IFERROR(AVERAGE(EL_DEL_CD2_JO_!AP26,EL_DEL_CD2_PTP_!AP26,EL_DEL_CD2_SBI_1_4_!AP26,EL_DEL_CD2_SBI_5_6_!AP26,EL_DEL_CD2_STAB_!AP26,EL_DEL_CD1_WST_PTP_!AP26,EL_DEL_CD1_NTH_PTP_!AP26),"")</f>
        <v/>
      </c>
      <c r="AP26" s="59" t="str">
        <f>IFERROR(AVERAGE(EL_DEL_CD2_JO_!AQ26,EL_DEL_CD2_PTP_!AQ26,EL_DEL_CD2_SBI_1_4_!AQ26,EL_DEL_CD2_SBI_5_6_!AQ26,EL_DEL_CD2_STAB_!AQ26,EL_DEL_CD1_WST_PTP_!AQ26,EL_DEL_CD1_NTH_PTP_!AQ26),"")</f>
        <v/>
      </c>
      <c r="AQ26" s="59" t="str">
        <f>IFERROR(AVERAGE(EL_DEL_CD2_JO_!AR26,EL_DEL_CD2_PTP_!AR26,EL_DEL_CD2_SBI_1_4_!AR26,EL_DEL_CD2_SBI_5_6_!AR26,EL_DEL_CD2_STAB_!AR26,EL_DEL_CD1_WST_PTP_!AR26,EL_DEL_CD1_NTH_PTP_!AR26),"")</f>
        <v/>
      </c>
      <c r="AR26" s="59" t="str">
        <f>IFERROR(AVERAGE(EL_DEL_CD2_JO_!AS26,EL_DEL_CD2_PTP_!AS26,EL_DEL_CD2_SBI_1_4_!AS26,EL_DEL_CD2_SBI_5_6_!AS26,EL_DEL_CD2_STAB_!AS26,EL_DEL_CD1_WST_PTP_!AS26,EL_DEL_CD1_NTH_PTP_!AS26),"")</f>
        <v/>
      </c>
      <c r="AS26" s="8">
        <f>SUM(EL_DEL_CD2_JO_!AT26,EL_DEL_CD2_PTP_!AT26,EL_DEL_CD2_SBI_1_4_!AT26,EL_DEL_CD2_SBI_5_6_!AT26,EL_DEL_CD2_STAB_!AT26,EL_DEL_CD1_WST_PTP_!AT26,EL_DEL_CD1_NTH_PTP_!AT26)</f>
        <v>0</v>
      </c>
      <c r="AT26" s="8">
        <f>SUM(EL_DEL_CD2_JO_!AU26,EL_DEL_CD2_PTP_!AU26,EL_DEL_CD2_SBI_1_4_!AU26,EL_DEL_CD2_SBI_5_6_!AU26,EL_DEL_CD2_STAB_!AU26,EL_DEL_CD1_WST_PTP_!AU26,EL_DEL_CD1_NTH_PTP_!AU26)</f>
        <v>0</v>
      </c>
      <c r="AU26" s="9">
        <f>SUM(EL_DEL_CD2_JO_!AV26,EL_DEL_CD2_PTP_!AV26,EL_DEL_CD2_SBI_1_4_!AV26,EL_DEL_CD2_SBI_5_6_!AV26,EL_DEL_CD2_STAB_!AV26,EL_DEL_CD1_WST_PTP_!AV26,EL_DEL_CD1_NTH_PTP_!AV26)</f>
        <v>0</v>
      </c>
      <c r="AV26" s="8" t="str">
        <f>IFERROR(AVERAGE(EL_DEL_CD2_JO_!AW26,EL_DEL_CD2_PTP_!AW26,EL_DEL_CD2_SBI_1_4_!AW26,EL_DEL_CD2_SBI_5_6_!AW26,EL_DEL_CD2_STAB_!AW26,EL_DEL_CD1_WST_PTP_!AW26,EL_DEL_CD1_NTH_PTP_!AW26),"")</f>
        <v/>
      </c>
      <c r="AW26" s="10" t="str">
        <f t="shared" si="1"/>
        <v>-</v>
      </c>
      <c r="AX26" s="39"/>
      <c r="AY26" s="1" t="str">
        <f t="shared" si="2"/>
        <v/>
      </c>
      <c r="AZ26" s="11" t="str">
        <f t="shared" si="3"/>
        <v/>
      </c>
      <c r="BA26" s="1" t="str">
        <f t="shared" si="4"/>
        <v/>
      </c>
      <c r="BB26" s="39"/>
      <c r="BC26" s="53" t="str">
        <f t="shared" si="5"/>
        <v/>
      </c>
      <c r="BD26" s="12" t="str">
        <f t="shared" si="6"/>
        <v/>
      </c>
      <c r="BE26" s="12" t="str">
        <f t="shared" si="7"/>
        <v/>
      </c>
      <c r="BF26" s="12" t="str">
        <f t="shared" si="8"/>
        <v/>
      </c>
      <c r="BG26" s="12" t="str">
        <f t="shared" si="9"/>
        <v/>
      </c>
      <c r="BH26" s="54" t="str">
        <f t="shared" si="10"/>
        <v/>
      </c>
      <c r="BI26" s="39"/>
      <c r="BJ26" s="55" t="str">
        <f t="shared" si="11"/>
        <v/>
      </c>
      <c r="BK26" s="13" t="str">
        <f t="shared" si="12"/>
        <v/>
      </c>
      <c r="BL26" s="13" t="str">
        <f t="shared" si="13"/>
        <v/>
      </c>
      <c r="BM26" s="56" t="str">
        <f t="shared" si="14"/>
        <v/>
      </c>
      <c r="BN26" s="39"/>
      <c r="BO26" s="14" t="str">
        <f t="shared" si="15"/>
        <v/>
      </c>
      <c r="BP26" s="15">
        <v>0</v>
      </c>
      <c r="BQ26" s="15" t="str">
        <f t="shared" si="16"/>
        <v/>
      </c>
      <c r="BR26" s="15" t="str">
        <f t="shared" si="17"/>
        <v/>
      </c>
      <c r="BS26" s="16" t="str">
        <f t="shared" si="18"/>
        <v/>
      </c>
      <c r="BT26" s="39"/>
      <c r="BU26" s="51" t="e">
        <f t="shared" si="19"/>
        <v>#VALUE!</v>
      </c>
      <c r="BV26" s="28" t="e">
        <f t="shared" si="20"/>
        <v>#VALUE!</v>
      </c>
      <c r="BW26" s="28" t="e">
        <f t="shared" si="21"/>
        <v>#VALUE!</v>
      </c>
      <c r="BX26" s="28" t="e">
        <f t="shared" si="22"/>
        <v>#VALUE!</v>
      </c>
      <c r="BY26" s="28" t="e">
        <f t="shared" si="23"/>
        <v>#VALUE!</v>
      </c>
      <c r="BZ26" s="52" t="e">
        <f t="shared" si="24"/>
        <v>#VALUE!</v>
      </c>
      <c r="CA26" s="39"/>
      <c r="CB26" s="49" t="str">
        <f t="shared" si="25"/>
        <v>-</v>
      </c>
      <c r="CC26" s="29" t="str">
        <f t="shared" si="26"/>
        <v>-</v>
      </c>
      <c r="CD26" s="29" t="str">
        <f t="shared" si="27"/>
        <v>-</v>
      </c>
      <c r="CE26" s="29" t="str">
        <f t="shared" si="28"/>
        <v>-</v>
      </c>
      <c r="CF26" s="50" t="str">
        <f t="shared" si="29"/>
        <v>-</v>
      </c>
      <c r="CG26" s="39"/>
    </row>
    <row r="27" spans="1:85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2">
        <f>SUM(EL_DEL_CD2_JO_!C27,EL_DEL_CD2_PTP_!C27,EL_DEL_CD2_SBI_1_4_!C27,EL_DEL_CD2_SBI_5_6_!C27,EL_DEL_CD2_STAB_!C27,EL_DEL_CD1_WST_PTP_!C27,EL_DEL_CD1_NTH_PTP_!C27)</f>
        <v>0</v>
      </c>
      <c r="D27" s="2">
        <f>SUM(EL_DEL_CD2_JO_!D27,EL_DEL_CD2_PTP_!D27,EL_DEL_CD2_SBI_1_4_!D27,EL_DEL_CD2_SBI_5_6_!D27,EL_DEL_CD2_STAB_!D27,EL_DEL_CD1_WST_PTP_!D27,EL_DEL_CD1_NTH_PTP_!D27)</f>
        <v>0</v>
      </c>
      <c r="E27" s="3">
        <f>SUM(EL_DEL_CD2_JO_!E27,EL_DEL_CD2_PTP_!E27,EL_DEL_CD2_SBI_1_4_!E27,EL_DEL_CD2_SBI_5_6_!E27,EL_DEL_CD2_STAB_!E27,EL_DEL_CD1_WST_PTP_!E27,EL_DEL_CD1_NTH_PTP_!E27)</f>
        <v>0</v>
      </c>
      <c r="F27" s="2">
        <f>SUM(EL_DEL_CD2_JO_!F27,EL_DEL_CD2_PTP_!F27,EL_DEL_CD2_SBI_1_4_!F27,EL_DEL_CD2_SBI_5_6_!F27,EL_DEL_CD2_STAB_!F27,EL_DEL_CD1_WST_PTP_!F27,EL_DEL_CD1_NTH_PTP_!F27)</f>
        <v>0</v>
      </c>
      <c r="G27" s="2">
        <f>SUM(EL_DEL_CD2_JO_!G27,EL_DEL_CD2_PTP_!G27,EL_DEL_CD2_SBI_1_4_!G27,EL_DEL_CD2_SBI_5_6_!G27,EL_DEL_CD2_STAB_!G27,EL_DEL_CD1_WST_PTP_!G27,EL_DEL_CD1_NTH_PTP_!G27)</f>
        <v>0</v>
      </c>
      <c r="H27" s="4">
        <f>SUM(EL_DEL_CD2_JO_!H27,EL_DEL_CD2_PTP_!H27,EL_DEL_CD2_SBI_1_4_!H27,EL_DEL_CD2_SBI_5_6_!H27,EL_DEL_CD2_STAB_!H27,EL_DEL_CD1_WST_PTP_!H27,EL_DEL_CD1_NTH_PTP_!H27)</f>
        <v>0</v>
      </c>
      <c r="I27" s="4">
        <f>SUM(EL_DEL_CD2_JO_!I27,EL_DEL_CD2_PTP_!I27,EL_DEL_CD2_SBI_1_4_!I27,EL_DEL_CD2_SBI_5_6_!I27,EL_DEL_CD2_STAB_!I27,EL_DEL_CD1_WST_PTP_!I27,EL_DEL_CD1_NTH_PTP_!I27)</f>
        <v>0</v>
      </c>
      <c r="J27" s="58">
        <f>SUM(EL_DEL_CD2_JO_!J27,EL_DEL_CD2_PTP_!J27,EL_DEL_CD2_SBI_1_4_!J27,EL_DEL_CD2_SBI_5_6_!J27,EL_DEL_CD2_STAB_!J27,EL_DEL_CD1_WST_PTP_!J27,EL_DEL_CD1_NTH_PTP_!J27)</f>
        <v>0</v>
      </c>
      <c r="K27" s="5">
        <f>SUM(EL_DEL_CD2_JO_!K27,EL_DEL_CD2_PTP_!K27,EL_DEL_CD2_SBI_1_4_!K27,EL_DEL_CD2_SBI_5_6_!K27,EL_DEL_CD2_STAB_!K27,EL_DEL_CD1_WST_PTP_!K27,EL_DEL_CD1_NTH_PTP_!K27)</f>
        <v>0</v>
      </c>
      <c r="L27" s="2">
        <f>SUM(EL_DEL_CD2_JO_!L27,EL_DEL_CD2_PTP_!L27,EL_DEL_CD2_SBI_1_4_!L27,EL_DEL_CD2_SBI_5_6_!L27,EL_DEL_CD2_STAB_!L27,EL_DEL_CD1_WST_PTP_!L27,EL_DEL_CD1_NTH_PTP_!L27)</f>
        <v>0</v>
      </c>
      <c r="M27" s="2">
        <f>SUM(EL_DEL_CD2_JO_!M27,EL_DEL_CD2_PTP_!M27,EL_DEL_CD2_SBI_1_4_!M27,EL_DEL_CD2_SBI_5_6_!M27,EL_DEL_CD2_STAB_!M27,EL_DEL_CD1_WST_PTP_!M27,EL_DEL_CD1_NTH_PTP_!M27)</f>
        <v>0</v>
      </c>
      <c r="N27" s="2">
        <f>SUM(EL_DEL_CD2_JO_!N27,EL_DEL_CD2_PTP_!N27,EL_DEL_CD2_SBI_1_4_!N27,EL_DEL_CD2_SBI_5_6_!N27,EL_DEL_CD2_STAB_!N27,EL_DEL_CD1_WST_PTP_!N27,EL_DEL_CD1_NTH_PTP_!N27)</f>
        <v>0</v>
      </c>
      <c r="O27" s="2">
        <f>SUM(EL_DEL_CD2_JO_!O27,EL_DEL_CD2_PTP_!O27,EL_DEL_CD2_SBI_1_4_!O27,EL_DEL_CD2_SBI_5_6_!O27,EL_DEL_CD2_STAB_!O27,EL_DEL_CD1_WST_PTP_!O27,EL_DEL_CD1_NTH_PTP_!O27)</f>
        <v>0</v>
      </c>
      <c r="P27" s="3">
        <f>SUM(EL_DEL_CD2_JO_!P27,EL_DEL_CD2_PTP_!P27,EL_DEL_CD2_SBI_1_4_!P27,EL_DEL_CD2_SBI_5_6_!P27,EL_DEL_CD2_STAB_!P27,EL_DEL_CD1_WST_PTP_!P27,EL_DEL_CD1_NTH_PTP_!P27)</f>
        <v>0</v>
      </c>
      <c r="Q27" s="2">
        <f>SUM(EL_DEL_CD2_JO_!Q27,EL_DEL_CD2_PTP_!Q27,EL_DEL_CD2_SBI_1_4_!Q27,EL_DEL_CD2_SBI_5_6_!Q27,EL_DEL_CD2_STAB_!Q27,EL_DEL_CD1_WST_PTP_!Q27,EL_DEL_CD1_NTH_PTP_!Q27)</f>
        <v>0</v>
      </c>
      <c r="R27" s="2">
        <f>SUM(EL_DEL_CD2_JO_!R27,EL_DEL_CD2_PTP_!R27,EL_DEL_CD2_SBI_1_4_!R27,EL_DEL_CD2_SBI_5_6_!R27,EL_DEL_CD2_STAB_!R27,EL_DEL_CD1_WST_PTP_!R27,EL_DEL_CD1_NTH_PTP_!R27)</f>
        <v>0</v>
      </c>
      <c r="S27" s="2">
        <f>SUM(EL_DEL_CD2_JO_!S27,EL_DEL_CD2_PTP_!S27,EL_DEL_CD2_SBI_1_4_!S27,EL_DEL_CD2_SBI_5_6_!S27,EL_DEL_CD2_STAB_!S27,EL_DEL_CD1_WST_PTP_!S27,EL_DEL_CD1_NTH_PTP_!S27)</f>
        <v>0</v>
      </c>
      <c r="T27" s="2">
        <f>SUM(EL_DEL_CD2_JO_!T27,EL_DEL_CD2_PTP_!T27,EL_DEL_CD2_SBI_1_4_!T27,EL_DEL_CD2_SBI_5_6_!T27,EL_DEL_CD2_STAB_!T27,EL_DEL_CD1_WST_PTP_!T27,EL_DEL_CD1_NTH_PTP_!T27)</f>
        <v>0</v>
      </c>
      <c r="U27" s="3">
        <f>SUM(EL_DEL_CD2_JO_!V27,EL_DEL_CD2_PTP_!V27,EL_DEL_CD2_SBI_1_4_!V27,EL_DEL_CD2_SBI_5_6_!V27,EL_DEL_CD2_STAB_!V27,EL_DEL_CD1_WST_PTP_!V27,EL_DEL_CD1_NTH_PTP_!V27)</f>
        <v>0</v>
      </c>
      <c r="V27" s="3">
        <f>SUM(EL_DEL_CD2_JO_!W27,EL_DEL_CD2_PTP_!W27,EL_DEL_CD2_SBI_1_4_!W27,EL_DEL_CD2_SBI_5_6_!W27,EL_DEL_CD2_STAB_!W27,EL_DEL_CD1_WST_PTP_!W27,EL_DEL_CD1_NTH_PTP_!W27)</f>
        <v>0</v>
      </c>
      <c r="W27" s="2">
        <f>SUM(EL_DEL_CD2_JO_!X27,EL_DEL_CD2_PTP_!X27,EL_DEL_CD2_SBI_1_4_!X27,EL_DEL_CD2_SBI_5_6_!X27,EL_DEL_CD2_STAB_!X27,EL_DEL_CD1_WST_PTP_!X27,EL_DEL_CD1_NTH_PTP_!X27)</f>
        <v>0</v>
      </c>
      <c r="X27" s="2">
        <f>SUM(EL_DEL_CD2_JO_!Y27,EL_DEL_CD2_PTP_!Y27,EL_DEL_CD2_SBI_1_4_!Y27,EL_DEL_CD2_SBI_5_6_!Y27,EL_DEL_CD2_STAB_!Y27,EL_DEL_CD1_WST_PTP_!Y27,EL_DEL_CD1_NTH_PTP_!Y27)</f>
        <v>0</v>
      </c>
      <c r="Y27" s="2">
        <f>SUM(EL_DEL_CD2_JO_!Z27,EL_DEL_CD2_PTP_!Z27,EL_DEL_CD2_SBI_1_4_!Z27,EL_DEL_CD2_SBI_5_6_!Z27,EL_DEL_CD2_STAB_!Z27,EL_DEL_CD1_WST_PTP_!Z27,EL_DEL_CD1_NTH_PTP_!Z27)</f>
        <v>0</v>
      </c>
      <c r="Z27" s="2">
        <f>SUM(EL_DEL_CD2_JO_!AA27,EL_DEL_CD2_PTP_!AA27,EL_DEL_CD2_SBI_1_4_!AA27,EL_DEL_CD2_SBI_5_6_!AA27,EL_DEL_CD2_STAB_!AA27,EL_DEL_CD1_WST_PTP_!AA27,EL_DEL_CD1_NTH_PTP_!AA27)</f>
        <v>0</v>
      </c>
      <c r="AA27" s="2">
        <f>SUM(EL_DEL_CD2_JO_!AB27,EL_DEL_CD2_PTP_!AB27,EL_DEL_CD2_SBI_1_4_!AB27,EL_DEL_CD2_SBI_5_6_!AB27,EL_DEL_CD2_STAB_!AB27,EL_DEL_CD1_WST_PTP_!AB27,EL_DEL_CD1_NTH_PTP_!AB27)</f>
        <v>0</v>
      </c>
      <c r="AB27" s="2">
        <f>SUM(EL_DEL_CD2_JO_!AC27,EL_DEL_CD2_PTP_!AC27,EL_DEL_CD2_SBI_1_4_!AC27,EL_DEL_CD2_SBI_5_6_!AC27,EL_DEL_CD2_STAB_!AC27,EL_DEL_CD1_WST_PTP_!AC27,EL_DEL_CD1_NTH_PTP_!AC27)</f>
        <v>0</v>
      </c>
      <c r="AC27" s="2">
        <f>SUM(EL_DEL_CD2_JO_!AD27,EL_DEL_CD2_PTP_!AD27,EL_DEL_CD2_SBI_1_4_!AD27,EL_DEL_CD2_SBI_5_6_!AD27,EL_DEL_CD2_STAB_!AD27,EL_DEL_CD1_WST_PTP_!AD27,EL_DEL_CD1_NTH_PTP_!AD27)</f>
        <v>0</v>
      </c>
      <c r="AD27" s="2">
        <f>SUM(EL_DEL_CD2_JO_!AE27,EL_DEL_CD2_PTP_!AE27,EL_DEL_CD2_SBI_1_4_!AE27,EL_DEL_CD2_SBI_5_6_!AE27,EL_DEL_CD2_STAB_!AE27,EL_DEL_CD1_WST_PTP_!AE27,EL_DEL_CD1_NTH_PTP_!AE27)</f>
        <v>0</v>
      </c>
      <c r="AE27" s="3">
        <f>SUM(EL_DEL_CD2_JO_!AF27,EL_DEL_CD2_PTP_!AF27,EL_DEL_CD2_SBI_1_4_!AF27,EL_DEL_CD2_SBI_5_6_!AF27,EL_DEL_CD2_STAB_!AF27,EL_DEL_CD1_WST_PTP_!AF27,EL_DEL_CD1_NTH_PTP_!AF27)</f>
        <v>0</v>
      </c>
      <c r="AF27" s="3">
        <f>SUM(EL_DEL_CD2_JO_!AG27,EL_DEL_CD2_PTP_!AG27,EL_DEL_CD2_SBI_1_4_!AG27,EL_DEL_CD2_SBI_5_6_!AG27,EL_DEL_CD2_STAB_!AG27,EL_DEL_CD1_WST_PTP_!AG27,EL_DEL_CD1_NTH_PTP_!AG27)</f>
        <v>0</v>
      </c>
      <c r="AG27" s="2">
        <f>SUM(EL_DEL_CD2_JO_!AH27,EL_DEL_CD2_PTP_!AH27,EL_DEL_CD2_SBI_1_4_!AH27,EL_DEL_CD2_SBI_5_6_!AH27,EL_DEL_CD2_STAB_!AH27,EL_DEL_CD1_WST_PTP_!AH27,EL_DEL_CD1_NTH_PTP_!AH27)</f>
        <v>0</v>
      </c>
      <c r="AH27" s="6">
        <f>SUM(EL_DEL_CD2_JO_!AI27,EL_DEL_CD2_PTP_!AI27,EL_DEL_CD2_SBI_1_4_!AI27,EL_DEL_CD2_SBI_5_6_!AI27,EL_DEL_CD2_STAB_!AI27,EL_DEL_CD1_WST_PTP_!AI27,EL_DEL_CD1_NTH_PTP_!AI27)</f>
        <v>0</v>
      </c>
      <c r="AI27" s="7">
        <f>SUM(EL_DEL_CD2_JO_!AJ27,EL_DEL_CD2_PTP_!AJ27,EL_DEL_CD2_SBI_1_4_!AJ27,EL_DEL_CD2_SBI_5_6_!AJ27,EL_DEL_CD2_STAB_!AJ27,EL_DEL_CD1_WST_PTP_!AJ27,EL_DEL_CD1_NTH_PTP_!AJ27)</f>
        <v>0</v>
      </c>
      <c r="AJ27" s="6">
        <f>SUM(EL_DEL_CD2_JO_!AK27,EL_DEL_CD2_PTP_!AK27,EL_DEL_CD2_SBI_1_4_!AK27,EL_DEL_CD2_SBI_5_6_!AK27,EL_DEL_CD2_STAB_!AK27,EL_DEL_CD1_WST_PTP_!AK27,EL_DEL_CD1_NTH_PTP_!AK27)</f>
        <v>0</v>
      </c>
      <c r="AK27" s="59" t="str">
        <f>IFERROR(AVERAGE(EL_DEL_CD2_JO_!AL27,EL_DEL_CD2_PTP_!AL27,EL_DEL_CD2_SBI_1_4_!AL27,EL_DEL_CD2_SBI_5_6_!AL27,EL_DEL_CD2_STAB_!AL27,EL_DEL_CD1_WST_PTP_!AL27,EL_DEL_CD1_NTH_PTP_!AL27),"")</f>
        <v/>
      </c>
      <c r="AL27" s="59" t="str">
        <f>IFERROR(AVERAGE(EL_DEL_CD2_JO_!AM27,EL_DEL_CD2_PTP_!AM27,EL_DEL_CD2_SBI_1_4_!AM27,EL_DEL_CD2_SBI_5_6_!AM27,EL_DEL_CD2_STAB_!AM27,EL_DEL_CD1_WST_PTP_!AM27,EL_DEL_CD1_NTH_PTP_!AM27),"")</f>
        <v/>
      </c>
      <c r="AM27" s="59" t="str">
        <f>IFERROR(AVERAGE(EL_DEL_CD2_JO_!AN27,EL_DEL_CD2_PTP_!AN27,EL_DEL_CD2_SBI_1_4_!AN27,EL_DEL_CD2_SBI_5_6_!AN27,EL_DEL_CD2_STAB_!AN27,EL_DEL_CD1_WST_PTP_!AN27,EL_DEL_CD1_NTH_PTP_!AN27),"")</f>
        <v/>
      </c>
      <c r="AN27" s="59" t="str">
        <f>IFERROR(AVERAGE(EL_DEL_CD2_JO_!AO27,EL_DEL_CD2_PTP_!AO27,EL_DEL_CD2_SBI_1_4_!AO27,EL_DEL_CD2_SBI_5_6_!AO27,EL_DEL_CD2_STAB_!AO27,EL_DEL_CD1_WST_PTP_!AO27,EL_DEL_CD1_NTH_PTP_!AO27),"")</f>
        <v/>
      </c>
      <c r="AO27" s="59" t="str">
        <f>IFERROR(AVERAGE(EL_DEL_CD2_JO_!AP27,EL_DEL_CD2_PTP_!AP27,EL_DEL_CD2_SBI_1_4_!AP27,EL_DEL_CD2_SBI_5_6_!AP27,EL_DEL_CD2_STAB_!AP27,EL_DEL_CD1_WST_PTP_!AP27,EL_DEL_CD1_NTH_PTP_!AP27),"")</f>
        <v/>
      </c>
      <c r="AP27" s="59" t="str">
        <f>IFERROR(AVERAGE(EL_DEL_CD2_JO_!AQ27,EL_DEL_CD2_PTP_!AQ27,EL_DEL_CD2_SBI_1_4_!AQ27,EL_DEL_CD2_SBI_5_6_!AQ27,EL_DEL_CD2_STAB_!AQ27,EL_DEL_CD1_WST_PTP_!AQ27,EL_DEL_CD1_NTH_PTP_!AQ27),"")</f>
        <v/>
      </c>
      <c r="AQ27" s="59" t="str">
        <f>IFERROR(AVERAGE(EL_DEL_CD2_JO_!AR27,EL_DEL_CD2_PTP_!AR27,EL_DEL_CD2_SBI_1_4_!AR27,EL_DEL_CD2_SBI_5_6_!AR27,EL_DEL_CD2_STAB_!AR27,EL_DEL_CD1_WST_PTP_!AR27,EL_DEL_CD1_NTH_PTP_!AR27),"")</f>
        <v/>
      </c>
      <c r="AR27" s="59" t="str">
        <f>IFERROR(AVERAGE(EL_DEL_CD2_JO_!AS27,EL_DEL_CD2_PTP_!AS27,EL_DEL_CD2_SBI_1_4_!AS27,EL_DEL_CD2_SBI_5_6_!AS27,EL_DEL_CD2_STAB_!AS27,EL_DEL_CD1_WST_PTP_!AS27,EL_DEL_CD1_NTH_PTP_!AS27),"")</f>
        <v/>
      </c>
      <c r="AS27" s="8">
        <f>SUM(EL_DEL_CD2_JO_!AT27,EL_DEL_CD2_PTP_!AT27,EL_DEL_CD2_SBI_1_4_!AT27,EL_DEL_CD2_SBI_5_6_!AT27,EL_DEL_CD2_STAB_!AT27,EL_DEL_CD1_WST_PTP_!AT27,EL_DEL_CD1_NTH_PTP_!AT27)</f>
        <v>0</v>
      </c>
      <c r="AT27" s="8">
        <f>SUM(EL_DEL_CD2_JO_!AU27,EL_DEL_CD2_PTP_!AU27,EL_DEL_CD2_SBI_1_4_!AU27,EL_DEL_CD2_SBI_5_6_!AU27,EL_DEL_CD2_STAB_!AU27,EL_DEL_CD1_WST_PTP_!AU27,EL_DEL_CD1_NTH_PTP_!AU27)</f>
        <v>0</v>
      </c>
      <c r="AU27" s="9">
        <f>SUM(EL_DEL_CD2_JO_!AV27,EL_DEL_CD2_PTP_!AV27,EL_DEL_CD2_SBI_1_4_!AV27,EL_DEL_CD2_SBI_5_6_!AV27,EL_DEL_CD2_STAB_!AV27,EL_DEL_CD1_WST_PTP_!AV27,EL_DEL_CD1_NTH_PTP_!AV27)</f>
        <v>0</v>
      </c>
      <c r="AV27" s="8" t="str">
        <f>IFERROR(AVERAGE(EL_DEL_CD2_JO_!AW27,EL_DEL_CD2_PTP_!AW27,EL_DEL_CD2_SBI_1_4_!AW27,EL_DEL_CD2_SBI_5_6_!AW27,EL_DEL_CD2_STAB_!AW27,EL_DEL_CD1_WST_PTP_!AW27,EL_DEL_CD1_NTH_PTP_!AW27),"")</f>
        <v/>
      </c>
      <c r="AW27" s="10" t="str">
        <f t="shared" si="1"/>
        <v>-</v>
      </c>
      <c r="AX27" s="39"/>
      <c r="AY27" s="1" t="str">
        <f t="shared" si="2"/>
        <v/>
      </c>
      <c r="AZ27" s="11" t="str">
        <f t="shared" si="3"/>
        <v/>
      </c>
      <c r="BA27" s="1" t="str">
        <f t="shared" si="4"/>
        <v/>
      </c>
      <c r="BB27" s="39"/>
      <c r="BC27" s="53" t="str">
        <f t="shared" si="5"/>
        <v/>
      </c>
      <c r="BD27" s="12" t="str">
        <f t="shared" si="6"/>
        <v/>
      </c>
      <c r="BE27" s="12" t="str">
        <f t="shared" si="7"/>
        <v/>
      </c>
      <c r="BF27" s="12" t="str">
        <f t="shared" si="8"/>
        <v/>
      </c>
      <c r="BG27" s="12" t="str">
        <f t="shared" si="9"/>
        <v/>
      </c>
      <c r="BH27" s="54" t="str">
        <f t="shared" si="10"/>
        <v/>
      </c>
      <c r="BI27" s="39"/>
      <c r="BJ27" s="55" t="str">
        <f t="shared" si="11"/>
        <v/>
      </c>
      <c r="BK27" s="13" t="str">
        <f t="shared" si="12"/>
        <v/>
      </c>
      <c r="BL27" s="13" t="str">
        <f t="shared" si="13"/>
        <v/>
      </c>
      <c r="BM27" s="56" t="str">
        <f t="shared" si="14"/>
        <v/>
      </c>
      <c r="BN27" s="39"/>
      <c r="BO27" s="14" t="str">
        <f t="shared" si="15"/>
        <v/>
      </c>
      <c r="BP27" s="15">
        <v>0</v>
      </c>
      <c r="BQ27" s="15" t="str">
        <f t="shared" si="16"/>
        <v/>
      </c>
      <c r="BR27" s="15" t="str">
        <f t="shared" si="17"/>
        <v/>
      </c>
      <c r="BS27" s="16" t="str">
        <f t="shared" si="18"/>
        <v/>
      </c>
      <c r="BT27" s="39"/>
      <c r="BU27" s="51" t="e">
        <f t="shared" si="19"/>
        <v>#VALUE!</v>
      </c>
      <c r="BV27" s="28" t="e">
        <f t="shared" si="20"/>
        <v>#VALUE!</v>
      </c>
      <c r="BW27" s="28" t="e">
        <f t="shared" si="21"/>
        <v>#VALUE!</v>
      </c>
      <c r="BX27" s="28" t="e">
        <f t="shared" si="22"/>
        <v>#VALUE!</v>
      </c>
      <c r="BY27" s="28" t="e">
        <f t="shared" si="23"/>
        <v>#VALUE!</v>
      </c>
      <c r="BZ27" s="52" t="e">
        <f t="shared" si="24"/>
        <v>#VALUE!</v>
      </c>
      <c r="CA27" s="39"/>
      <c r="CB27" s="49" t="str">
        <f t="shared" si="25"/>
        <v>-</v>
      </c>
      <c r="CC27" s="29" t="str">
        <f t="shared" si="26"/>
        <v>-</v>
      </c>
      <c r="CD27" s="29" t="str">
        <f t="shared" si="27"/>
        <v>-</v>
      </c>
      <c r="CE27" s="29" t="str">
        <f t="shared" si="28"/>
        <v>-</v>
      </c>
      <c r="CF27" s="50" t="str">
        <f t="shared" si="29"/>
        <v>-</v>
      </c>
      <c r="CG27" s="39"/>
    </row>
    <row r="28" spans="1:85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2">
        <f>SUM(EL_DEL_CD2_JO_!C28,EL_DEL_CD2_PTP_!C28,EL_DEL_CD2_SBI_1_4_!C28,EL_DEL_CD2_SBI_5_6_!C28,EL_DEL_CD2_STAB_!C28,EL_DEL_CD1_WST_PTP_!C28,EL_DEL_CD1_NTH_PTP_!C28)</f>
        <v>0</v>
      </c>
      <c r="D28" s="2">
        <f>SUM(EL_DEL_CD2_JO_!D28,EL_DEL_CD2_PTP_!D28,EL_DEL_CD2_SBI_1_4_!D28,EL_DEL_CD2_SBI_5_6_!D28,EL_DEL_CD2_STAB_!D28,EL_DEL_CD1_WST_PTP_!D28,EL_DEL_CD1_NTH_PTP_!D28)</f>
        <v>0</v>
      </c>
      <c r="E28" s="3">
        <f>SUM(EL_DEL_CD2_JO_!E28,EL_DEL_CD2_PTP_!E28,EL_DEL_CD2_SBI_1_4_!E28,EL_DEL_CD2_SBI_5_6_!E28,EL_DEL_CD2_STAB_!E28,EL_DEL_CD1_WST_PTP_!E28,EL_DEL_CD1_NTH_PTP_!E28)</f>
        <v>0</v>
      </c>
      <c r="F28" s="2">
        <f>SUM(EL_DEL_CD2_JO_!F28,EL_DEL_CD2_PTP_!F28,EL_DEL_CD2_SBI_1_4_!F28,EL_DEL_CD2_SBI_5_6_!F28,EL_DEL_CD2_STAB_!F28,EL_DEL_CD1_WST_PTP_!F28,EL_DEL_CD1_NTH_PTP_!F28)</f>
        <v>0</v>
      </c>
      <c r="G28" s="2">
        <f>SUM(EL_DEL_CD2_JO_!G28,EL_DEL_CD2_PTP_!G28,EL_DEL_CD2_SBI_1_4_!G28,EL_DEL_CD2_SBI_5_6_!G28,EL_DEL_CD2_STAB_!G28,EL_DEL_CD1_WST_PTP_!G28,EL_DEL_CD1_NTH_PTP_!G28)</f>
        <v>0</v>
      </c>
      <c r="H28" s="4">
        <f>SUM(EL_DEL_CD2_JO_!H28,EL_DEL_CD2_PTP_!H28,EL_DEL_CD2_SBI_1_4_!H28,EL_DEL_CD2_SBI_5_6_!H28,EL_DEL_CD2_STAB_!H28,EL_DEL_CD1_WST_PTP_!H28,EL_DEL_CD1_NTH_PTP_!H28)</f>
        <v>0</v>
      </c>
      <c r="I28" s="4">
        <f>SUM(EL_DEL_CD2_JO_!I28,EL_DEL_CD2_PTP_!I28,EL_DEL_CD2_SBI_1_4_!I28,EL_DEL_CD2_SBI_5_6_!I28,EL_DEL_CD2_STAB_!I28,EL_DEL_CD1_WST_PTP_!I28,EL_DEL_CD1_NTH_PTP_!I28)</f>
        <v>0</v>
      </c>
      <c r="J28" s="58">
        <f>SUM(EL_DEL_CD2_JO_!J28,EL_DEL_CD2_PTP_!J28,EL_DEL_CD2_SBI_1_4_!J28,EL_DEL_CD2_SBI_5_6_!J28,EL_DEL_CD2_STAB_!J28,EL_DEL_CD1_WST_PTP_!J28,EL_DEL_CD1_NTH_PTP_!J28)</f>
        <v>0</v>
      </c>
      <c r="K28" s="5">
        <f>SUM(EL_DEL_CD2_JO_!K28,EL_DEL_CD2_PTP_!K28,EL_DEL_CD2_SBI_1_4_!K28,EL_DEL_CD2_SBI_5_6_!K28,EL_DEL_CD2_STAB_!K28,EL_DEL_CD1_WST_PTP_!K28,EL_DEL_CD1_NTH_PTP_!K28)</f>
        <v>0</v>
      </c>
      <c r="L28" s="2">
        <f>SUM(EL_DEL_CD2_JO_!L28,EL_DEL_CD2_PTP_!L28,EL_DEL_CD2_SBI_1_4_!L28,EL_DEL_CD2_SBI_5_6_!L28,EL_DEL_CD2_STAB_!L28,EL_DEL_CD1_WST_PTP_!L28,EL_DEL_CD1_NTH_PTP_!L28)</f>
        <v>0</v>
      </c>
      <c r="M28" s="2">
        <f>SUM(EL_DEL_CD2_JO_!M28,EL_DEL_CD2_PTP_!M28,EL_DEL_CD2_SBI_1_4_!M28,EL_DEL_CD2_SBI_5_6_!M28,EL_DEL_CD2_STAB_!M28,EL_DEL_CD1_WST_PTP_!M28,EL_DEL_CD1_NTH_PTP_!M28)</f>
        <v>0</v>
      </c>
      <c r="N28" s="2">
        <f>SUM(EL_DEL_CD2_JO_!N28,EL_DEL_CD2_PTP_!N28,EL_DEL_CD2_SBI_1_4_!N28,EL_DEL_CD2_SBI_5_6_!N28,EL_DEL_CD2_STAB_!N28,EL_DEL_CD1_WST_PTP_!N28,EL_DEL_CD1_NTH_PTP_!N28)</f>
        <v>0</v>
      </c>
      <c r="O28" s="2">
        <f>SUM(EL_DEL_CD2_JO_!O28,EL_DEL_CD2_PTP_!O28,EL_DEL_CD2_SBI_1_4_!O28,EL_DEL_CD2_SBI_5_6_!O28,EL_DEL_CD2_STAB_!O28,EL_DEL_CD1_WST_PTP_!O28,EL_DEL_CD1_NTH_PTP_!O28)</f>
        <v>0</v>
      </c>
      <c r="P28" s="3">
        <f>SUM(EL_DEL_CD2_JO_!P28,EL_DEL_CD2_PTP_!P28,EL_DEL_CD2_SBI_1_4_!P28,EL_DEL_CD2_SBI_5_6_!P28,EL_DEL_CD2_STAB_!P28,EL_DEL_CD1_WST_PTP_!P28,EL_DEL_CD1_NTH_PTP_!P28)</f>
        <v>0</v>
      </c>
      <c r="Q28" s="2">
        <f>SUM(EL_DEL_CD2_JO_!Q28,EL_DEL_CD2_PTP_!Q28,EL_DEL_CD2_SBI_1_4_!Q28,EL_DEL_CD2_SBI_5_6_!Q28,EL_DEL_CD2_STAB_!Q28,EL_DEL_CD1_WST_PTP_!Q28,EL_DEL_CD1_NTH_PTP_!Q28)</f>
        <v>0</v>
      </c>
      <c r="R28" s="2">
        <f>SUM(EL_DEL_CD2_JO_!R28,EL_DEL_CD2_PTP_!R28,EL_DEL_CD2_SBI_1_4_!R28,EL_DEL_CD2_SBI_5_6_!R28,EL_DEL_CD2_STAB_!R28,EL_DEL_CD1_WST_PTP_!R28,EL_DEL_CD1_NTH_PTP_!R28)</f>
        <v>0</v>
      </c>
      <c r="S28" s="2">
        <f>SUM(EL_DEL_CD2_JO_!S28,EL_DEL_CD2_PTP_!S28,EL_DEL_CD2_SBI_1_4_!S28,EL_DEL_CD2_SBI_5_6_!S28,EL_DEL_CD2_STAB_!S28,EL_DEL_CD1_WST_PTP_!S28,EL_DEL_CD1_NTH_PTP_!S28)</f>
        <v>0</v>
      </c>
      <c r="T28" s="2">
        <f>SUM(EL_DEL_CD2_JO_!T28,EL_DEL_CD2_PTP_!T28,EL_DEL_CD2_SBI_1_4_!T28,EL_DEL_CD2_SBI_5_6_!T28,EL_DEL_CD2_STAB_!T28,EL_DEL_CD1_WST_PTP_!T28,EL_DEL_CD1_NTH_PTP_!T28)</f>
        <v>0</v>
      </c>
      <c r="U28" s="3">
        <f>SUM(EL_DEL_CD2_JO_!V28,EL_DEL_CD2_PTP_!V28,EL_DEL_CD2_SBI_1_4_!V28,EL_DEL_CD2_SBI_5_6_!V28,EL_DEL_CD2_STAB_!V28,EL_DEL_CD1_WST_PTP_!V28,EL_DEL_CD1_NTH_PTP_!V28)</f>
        <v>0</v>
      </c>
      <c r="V28" s="3">
        <f>SUM(EL_DEL_CD2_JO_!W28,EL_DEL_CD2_PTP_!W28,EL_DEL_CD2_SBI_1_4_!W28,EL_DEL_CD2_SBI_5_6_!W28,EL_DEL_CD2_STAB_!W28,EL_DEL_CD1_WST_PTP_!W28,EL_DEL_CD1_NTH_PTP_!W28)</f>
        <v>0</v>
      </c>
      <c r="W28" s="2">
        <f>SUM(EL_DEL_CD2_JO_!X28,EL_DEL_CD2_PTP_!X28,EL_DEL_CD2_SBI_1_4_!X28,EL_DEL_CD2_SBI_5_6_!X28,EL_DEL_CD2_STAB_!X28,EL_DEL_CD1_WST_PTP_!X28,EL_DEL_CD1_NTH_PTP_!X28)</f>
        <v>0</v>
      </c>
      <c r="X28" s="2">
        <f>SUM(EL_DEL_CD2_JO_!Y28,EL_DEL_CD2_PTP_!Y28,EL_DEL_CD2_SBI_1_4_!Y28,EL_DEL_CD2_SBI_5_6_!Y28,EL_DEL_CD2_STAB_!Y28,EL_DEL_CD1_WST_PTP_!Y28,EL_DEL_CD1_NTH_PTP_!Y28)</f>
        <v>0</v>
      </c>
      <c r="Y28" s="2">
        <f>SUM(EL_DEL_CD2_JO_!Z28,EL_DEL_CD2_PTP_!Z28,EL_DEL_CD2_SBI_1_4_!Z28,EL_DEL_CD2_SBI_5_6_!Z28,EL_DEL_CD2_STAB_!Z28,EL_DEL_CD1_WST_PTP_!Z28,EL_DEL_CD1_NTH_PTP_!Z28)</f>
        <v>0</v>
      </c>
      <c r="Z28" s="2">
        <f>SUM(EL_DEL_CD2_JO_!AA28,EL_DEL_CD2_PTP_!AA28,EL_DEL_CD2_SBI_1_4_!AA28,EL_DEL_CD2_SBI_5_6_!AA28,EL_DEL_CD2_STAB_!AA28,EL_DEL_CD1_WST_PTP_!AA28,EL_DEL_CD1_NTH_PTP_!AA28)</f>
        <v>0</v>
      </c>
      <c r="AA28" s="2">
        <f>SUM(EL_DEL_CD2_JO_!AB28,EL_DEL_CD2_PTP_!AB28,EL_DEL_CD2_SBI_1_4_!AB28,EL_DEL_CD2_SBI_5_6_!AB28,EL_DEL_CD2_STAB_!AB28,EL_DEL_CD1_WST_PTP_!AB28,EL_DEL_CD1_NTH_PTP_!AB28)</f>
        <v>0</v>
      </c>
      <c r="AB28" s="2">
        <f>SUM(EL_DEL_CD2_JO_!AC28,EL_DEL_CD2_PTP_!AC28,EL_DEL_CD2_SBI_1_4_!AC28,EL_DEL_CD2_SBI_5_6_!AC28,EL_DEL_CD2_STAB_!AC28,EL_DEL_CD1_WST_PTP_!AC28,EL_DEL_CD1_NTH_PTP_!AC28)</f>
        <v>0</v>
      </c>
      <c r="AC28" s="2">
        <f>SUM(EL_DEL_CD2_JO_!AD28,EL_DEL_CD2_PTP_!AD28,EL_DEL_CD2_SBI_1_4_!AD28,EL_DEL_CD2_SBI_5_6_!AD28,EL_DEL_CD2_STAB_!AD28,EL_DEL_CD1_WST_PTP_!AD28,EL_DEL_CD1_NTH_PTP_!AD28)</f>
        <v>0</v>
      </c>
      <c r="AD28" s="2">
        <f>SUM(EL_DEL_CD2_JO_!AE28,EL_DEL_CD2_PTP_!AE28,EL_DEL_CD2_SBI_1_4_!AE28,EL_DEL_CD2_SBI_5_6_!AE28,EL_DEL_CD2_STAB_!AE28,EL_DEL_CD1_WST_PTP_!AE28,EL_DEL_CD1_NTH_PTP_!AE28)</f>
        <v>0</v>
      </c>
      <c r="AE28" s="3">
        <f>SUM(EL_DEL_CD2_JO_!AF28,EL_DEL_CD2_PTP_!AF28,EL_DEL_CD2_SBI_1_4_!AF28,EL_DEL_CD2_SBI_5_6_!AF28,EL_DEL_CD2_STAB_!AF28,EL_DEL_CD1_WST_PTP_!AF28,EL_DEL_CD1_NTH_PTP_!AF28)</f>
        <v>0</v>
      </c>
      <c r="AF28" s="3">
        <f>SUM(EL_DEL_CD2_JO_!AG28,EL_DEL_CD2_PTP_!AG28,EL_DEL_CD2_SBI_1_4_!AG28,EL_DEL_CD2_SBI_5_6_!AG28,EL_DEL_CD2_STAB_!AG28,EL_DEL_CD1_WST_PTP_!AG28,EL_DEL_CD1_NTH_PTP_!AG28)</f>
        <v>0</v>
      </c>
      <c r="AG28" s="2">
        <f>SUM(EL_DEL_CD2_JO_!AH28,EL_DEL_CD2_PTP_!AH28,EL_DEL_CD2_SBI_1_4_!AH28,EL_DEL_CD2_SBI_5_6_!AH28,EL_DEL_CD2_STAB_!AH28,EL_DEL_CD1_WST_PTP_!AH28,EL_DEL_CD1_NTH_PTP_!AH28)</f>
        <v>0</v>
      </c>
      <c r="AH28" s="6">
        <f>SUM(EL_DEL_CD2_JO_!AI28,EL_DEL_CD2_PTP_!AI28,EL_DEL_CD2_SBI_1_4_!AI28,EL_DEL_CD2_SBI_5_6_!AI28,EL_DEL_CD2_STAB_!AI28,EL_DEL_CD1_WST_PTP_!AI28,EL_DEL_CD1_NTH_PTP_!AI28)</f>
        <v>0</v>
      </c>
      <c r="AI28" s="7">
        <f>SUM(EL_DEL_CD2_JO_!AJ28,EL_DEL_CD2_PTP_!AJ28,EL_DEL_CD2_SBI_1_4_!AJ28,EL_DEL_CD2_SBI_5_6_!AJ28,EL_DEL_CD2_STAB_!AJ28,EL_DEL_CD1_WST_PTP_!AJ28,EL_DEL_CD1_NTH_PTP_!AJ28)</f>
        <v>0</v>
      </c>
      <c r="AJ28" s="6">
        <f>SUM(EL_DEL_CD2_JO_!AK28,EL_DEL_CD2_PTP_!AK28,EL_DEL_CD2_SBI_1_4_!AK28,EL_DEL_CD2_SBI_5_6_!AK28,EL_DEL_CD2_STAB_!AK28,EL_DEL_CD1_WST_PTP_!AK28,EL_DEL_CD1_NTH_PTP_!AK28)</f>
        <v>0</v>
      </c>
      <c r="AK28" s="59" t="str">
        <f>IFERROR(AVERAGE(EL_DEL_CD2_JO_!AL28,EL_DEL_CD2_PTP_!AL28,EL_DEL_CD2_SBI_1_4_!AL28,EL_DEL_CD2_SBI_5_6_!AL28,EL_DEL_CD2_STAB_!AL28,EL_DEL_CD1_WST_PTP_!AL28,EL_DEL_CD1_NTH_PTP_!AL28),"")</f>
        <v/>
      </c>
      <c r="AL28" s="59" t="str">
        <f>IFERROR(AVERAGE(EL_DEL_CD2_JO_!AM28,EL_DEL_CD2_PTP_!AM28,EL_DEL_CD2_SBI_1_4_!AM28,EL_DEL_CD2_SBI_5_6_!AM28,EL_DEL_CD2_STAB_!AM28,EL_DEL_CD1_WST_PTP_!AM28,EL_DEL_CD1_NTH_PTP_!AM28),"")</f>
        <v/>
      </c>
      <c r="AM28" s="59" t="str">
        <f>IFERROR(AVERAGE(EL_DEL_CD2_JO_!AN28,EL_DEL_CD2_PTP_!AN28,EL_DEL_CD2_SBI_1_4_!AN28,EL_DEL_CD2_SBI_5_6_!AN28,EL_DEL_CD2_STAB_!AN28,EL_DEL_CD1_WST_PTP_!AN28,EL_DEL_CD1_NTH_PTP_!AN28),"")</f>
        <v/>
      </c>
      <c r="AN28" s="59" t="str">
        <f>IFERROR(AVERAGE(EL_DEL_CD2_JO_!AO28,EL_DEL_CD2_PTP_!AO28,EL_DEL_CD2_SBI_1_4_!AO28,EL_DEL_CD2_SBI_5_6_!AO28,EL_DEL_CD2_STAB_!AO28,EL_DEL_CD1_WST_PTP_!AO28,EL_DEL_CD1_NTH_PTP_!AO28),"")</f>
        <v/>
      </c>
      <c r="AO28" s="59" t="str">
        <f>IFERROR(AVERAGE(EL_DEL_CD2_JO_!AP28,EL_DEL_CD2_PTP_!AP28,EL_DEL_CD2_SBI_1_4_!AP28,EL_DEL_CD2_SBI_5_6_!AP28,EL_DEL_CD2_STAB_!AP28,EL_DEL_CD1_WST_PTP_!AP28,EL_DEL_CD1_NTH_PTP_!AP28),"")</f>
        <v/>
      </c>
      <c r="AP28" s="59" t="str">
        <f>IFERROR(AVERAGE(EL_DEL_CD2_JO_!AQ28,EL_DEL_CD2_PTP_!AQ28,EL_DEL_CD2_SBI_1_4_!AQ28,EL_DEL_CD2_SBI_5_6_!AQ28,EL_DEL_CD2_STAB_!AQ28,EL_DEL_CD1_WST_PTP_!AQ28,EL_DEL_CD1_NTH_PTP_!AQ28),"")</f>
        <v/>
      </c>
      <c r="AQ28" s="59" t="str">
        <f>IFERROR(AVERAGE(EL_DEL_CD2_JO_!AR28,EL_DEL_CD2_PTP_!AR28,EL_DEL_CD2_SBI_1_4_!AR28,EL_DEL_CD2_SBI_5_6_!AR28,EL_DEL_CD2_STAB_!AR28,EL_DEL_CD1_WST_PTP_!AR28,EL_DEL_CD1_NTH_PTP_!AR28),"")</f>
        <v/>
      </c>
      <c r="AR28" s="59" t="str">
        <f>IFERROR(AVERAGE(EL_DEL_CD2_JO_!AS28,EL_DEL_CD2_PTP_!AS28,EL_DEL_CD2_SBI_1_4_!AS28,EL_DEL_CD2_SBI_5_6_!AS28,EL_DEL_CD2_STAB_!AS28,EL_DEL_CD1_WST_PTP_!AS28,EL_DEL_CD1_NTH_PTP_!AS28),"")</f>
        <v/>
      </c>
      <c r="AS28" s="8">
        <f>SUM(EL_DEL_CD2_JO_!AT28,EL_DEL_CD2_PTP_!AT28,EL_DEL_CD2_SBI_1_4_!AT28,EL_DEL_CD2_SBI_5_6_!AT28,EL_DEL_CD2_STAB_!AT28,EL_DEL_CD1_WST_PTP_!AT28,EL_DEL_CD1_NTH_PTP_!AT28)</f>
        <v>0</v>
      </c>
      <c r="AT28" s="8">
        <f>SUM(EL_DEL_CD2_JO_!AU28,EL_DEL_CD2_PTP_!AU28,EL_DEL_CD2_SBI_1_4_!AU28,EL_DEL_CD2_SBI_5_6_!AU28,EL_DEL_CD2_STAB_!AU28,EL_DEL_CD1_WST_PTP_!AU28,EL_DEL_CD1_NTH_PTP_!AU28)</f>
        <v>0</v>
      </c>
      <c r="AU28" s="9">
        <f>SUM(EL_DEL_CD2_JO_!AV28,EL_DEL_CD2_PTP_!AV28,EL_DEL_CD2_SBI_1_4_!AV28,EL_DEL_CD2_SBI_5_6_!AV28,EL_DEL_CD2_STAB_!AV28,EL_DEL_CD1_WST_PTP_!AV28,EL_DEL_CD1_NTH_PTP_!AV28)</f>
        <v>0</v>
      </c>
      <c r="AV28" s="8" t="str">
        <f>IFERROR(AVERAGE(EL_DEL_CD2_JO_!AW28,EL_DEL_CD2_PTP_!AW28,EL_DEL_CD2_SBI_1_4_!AW28,EL_DEL_CD2_SBI_5_6_!AW28,EL_DEL_CD2_STAB_!AW28,EL_DEL_CD1_WST_PTP_!AW28,EL_DEL_CD1_NTH_PTP_!AW28),"")</f>
        <v/>
      </c>
      <c r="AW28" s="10" t="str">
        <f t="shared" si="1"/>
        <v>-</v>
      </c>
      <c r="AX28" s="39"/>
      <c r="AY28" s="1" t="str">
        <f t="shared" si="2"/>
        <v/>
      </c>
      <c r="AZ28" s="11" t="str">
        <f t="shared" si="3"/>
        <v/>
      </c>
      <c r="BA28" s="1" t="str">
        <f t="shared" si="4"/>
        <v/>
      </c>
      <c r="BB28" s="39"/>
      <c r="BC28" s="53" t="str">
        <f t="shared" si="5"/>
        <v/>
      </c>
      <c r="BD28" s="12" t="str">
        <f t="shared" si="6"/>
        <v/>
      </c>
      <c r="BE28" s="12" t="str">
        <f t="shared" si="7"/>
        <v/>
      </c>
      <c r="BF28" s="12" t="str">
        <f t="shared" si="8"/>
        <v/>
      </c>
      <c r="BG28" s="12" t="str">
        <f t="shared" si="9"/>
        <v/>
      </c>
      <c r="BH28" s="54" t="str">
        <f t="shared" si="10"/>
        <v/>
      </c>
      <c r="BI28" s="39"/>
      <c r="BJ28" s="55" t="str">
        <f t="shared" si="11"/>
        <v/>
      </c>
      <c r="BK28" s="13" t="str">
        <f t="shared" si="12"/>
        <v/>
      </c>
      <c r="BL28" s="13" t="str">
        <f t="shared" si="13"/>
        <v/>
      </c>
      <c r="BM28" s="56" t="str">
        <f t="shared" si="14"/>
        <v/>
      </c>
      <c r="BN28" s="39"/>
      <c r="BO28" s="14" t="str">
        <f t="shared" si="15"/>
        <v/>
      </c>
      <c r="BP28" s="15">
        <v>0</v>
      </c>
      <c r="BQ28" s="15" t="str">
        <f t="shared" si="16"/>
        <v/>
      </c>
      <c r="BR28" s="15" t="str">
        <f t="shared" si="17"/>
        <v/>
      </c>
      <c r="BS28" s="16" t="str">
        <f t="shared" si="18"/>
        <v/>
      </c>
      <c r="BT28" s="39"/>
      <c r="BU28" s="51" t="e">
        <f t="shared" si="19"/>
        <v>#VALUE!</v>
      </c>
      <c r="BV28" s="28" t="e">
        <f t="shared" si="20"/>
        <v>#VALUE!</v>
      </c>
      <c r="BW28" s="28" t="e">
        <f t="shared" si="21"/>
        <v>#VALUE!</v>
      </c>
      <c r="BX28" s="28" t="e">
        <f t="shared" si="22"/>
        <v>#VALUE!</v>
      </c>
      <c r="BY28" s="28" t="e">
        <f t="shared" si="23"/>
        <v>#VALUE!</v>
      </c>
      <c r="BZ28" s="52" t="e">
        <f t="shared" si="24"/>
        <v>#VALUE!</v>
      </c>
      <c r="CA28" s="39"/>
      <c r="CB28" s="49" t="str">
        <f t="shared" si="25"/>
        <v>-</v>
      </c>
      <c r="CC28" s="29" t="str">
        <f t="shared" si="26"/>
        <v>-</v>
      </c>
      <c r="CD28" s="29" t="str">
        <f t="shared" si="27"/>
        <v>-</v>
      </c>
      <c r="CE28" s="29" t="str">
        <f t="shared" si="28"/>
        <v>-</v>
      </c>
      <c r="CF28" s="50" t="str">
        <f t="shared" si="29"/>
        <v>-</v>
      </c>
      <c r="CG28" s="39"/>
    </row>
    <row r="29" spans="1:85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2">
        <f>SUM(EL_DEL_CD2_JO_!C29,EL_DEL_CD2_PTP_!C29,EL_DEL_CD2_SBI_1_4_!C29,EL_DEL_CD2_SBI_5_6_!C29,EL_DEL_CD2_STAB_!C29,EL_DEL_CD1_WST_PTP_!C29,EL_DEL_CD1_NTH_PTP_!C29)</f>
        <v>0</v>
      </c>
      <c r="D29" s="2">
        <f>SUM(EL_DEL_CD2_JO_!D29,EL_DEL_CD2_PTP_!D29,EL_DEL_CD2_SBI_1_4_!D29,EL_DEL_CD2_SBI_5_6_!D29,EL_DEL_CD2_STAB_!D29,EL_DEL_CD1_WST_PTP_!D29,EL_DEL_CD1_NTH_PTP_!D29)</f>
        <v>0</v>
      </c>
      <c r="E29" s="3">
        <f>SUM(EL_DEL_CD2_JO_!E29,EL_DEL_CD2_PTP_!E29,EL_DEL_CD2_SBI_1_4_!E29,EL_DEL_CD2_SBI_5_6_!E29,EL_DEL_CD2_STAB_!E29,EL_DEL_CD1_WST_PTP_!E29,EL_DEL_CD1_NTH_PTP_!E29)</f>
        <v>0</v>
      </c>
      <c r="F29" s="2">
        <f>SUM(EL_DEL_CD2_JO_!F29,EL_DEL_CD2_PTP_!F29,EL_DEL_CD2_SBI_1_4_!F29,EL_DEL_CD2_SBI_5_6_!F29,EL_DEL_CD2_STAB_!F29,EL_DEL_CD1_WST_PTP_!F29,EL_DEL_CD1_NTH_PTP_!F29)</f>
        <v>0</v>
      </c>
      <c r="G29" s="2">
        <f>SUM(EL_DEL_CD2_JO_!G29,EL_DEL_CD2_PTP_!G29,EL_DEL_CD2_SBI_1_4_!G29,EL_DEL_CD2_SBI_5_6_!G29,EL_DEL_CD2_STAB_!G29,EL_DEL_CD1_WST_PTP_!G29,EL_DEL_CD1_NTH_PTP_!G29)</f>
        <v>0</v>
      </c>
      <c r="H29" s="4">
        <f>SUM(EL_DEL_CD2_JO_!H29,EL_DEL_CD2_PTP_!H29,EL_DEL_CD2_SBI_1_4_!H29,EL_DEL_CD2_SBI_5_6_!H29,EL_DEL_CD2_STAB_!H29,EL_DEL_CD1_WST_PTP_!H29,EL_DEL_CD1_NTH_PTP_!H29)</f>
        <v>0</v>
      </c>
      <c r="I29" s="4">
        <f>SUM(EL_DEL_CD2_JO_!I29,EL_DEL_CD2_PTP_!I29,EL_DEL_CD2_SBI_1_4_!I29,EL_DEL_CD2_SBI_5_6_!I29,EL_DEL_CD2_STAB_!I29,EL_DEL_CD1_WST_PTP_!I29,EL_DEL_CD1_NTH_PTP_!I29)</f>
        <v>0</v>
      </c>
      <c r="J29" s="58">
        <f>SUM(EL_DEL_CD2_JO_!J29,EL_DEL_CD2_PTP_!J29,EL_DEL_CD2_SBI_1_4_!J29,EL_DEL_CD2_SBI_5_6_!J29,EL_DEL_CD2_STAB_!J29,EL_DEL_CD1_WST_PTP_!J29,EL_DEL_CD1_NTH_PTP_!J29)</f>
        <v>0</v>
      </c>
      <c r="K29" s="5">
        <f>SUM(EL_DEL_CD2_JO_!K29,EL_DEL_CD2_PTP_!K29,EL_DEL_CD2_SBI_1_4_!K29,EL_DEL_CD2_SBI_5_6_!K29,EL_DEL_CD2_STAB_!K29,EL_DEL_CD1_WST_PTP_!K29,EL_DEL_CD1_NTH_PTP_!K29)</f>
        <v>0</v>
      </c>
      <c r="L29" s="2">
        <f>SUM(EL_DEL_CD2_JO_!L29,EL_DEL_CD2_PTP_!L29,EL_DEL_CD2_SBI_1_4_!L29,EL_DEL_CD2_SBI_5_6_!L29,EL_DEL_CD2_STAB_!L29,EL_DEL_CD1_WST_PTP_!L29,EL_DEL_CD1_NTH_PTP_!L29)</f>
        <v>0</v>
      </c>
      <c r="M29" s="2">
        <f>SUM(EL_DEL_CD2_JO_!M29,EL_DEL_CD2_PTP_!M29,EL_DEL_CD2_SBI_1_4_!M29,EL_DEL_CD2_SBI_5_6_!M29,EL_DEL_CD2_STAB_!M29,EL_DEL_CD1_WST_PTP_!M29,EL_DEL_CD1_NTH_PTP_!M29)</f>
        <v>0</v>
      </c>
      <c r="N29" s="2">
        <f>SUM(EL_DEL_CD2_JO_!N29,EL_DEL_CD2_PTP_!N29,EL_DEL_CD2_SBI_1_4_!N29,EL_DEL_CD2_SBI_5_6_!N29,EL_DEL_CD2_STAB_!N29,EL_DEL_CD1_WST_PTP_!N29,EL_DEL_CD1_NTH_PTP_!N29)</f>
        <v>0</v>
      </c>
      <c r="O29" s="2">
        <f>SUM(EL_DEL_CD2_JO_!O29,EL_DEL_CD2_PTP_!O29,EL_DEL_CD2_SBI_1_4_!O29,EL_DEL_CD2_SBI_5_6_!O29,EL_DEL_CD2_STAB_!O29,EL_DEL_CD1_WST_PTP_!O29,EL_DEL_CD1_NTH_PTP_!O29)</f>
        <v>0</v>
      </c>
      <c r="P29" s="3">
        <f>SUM(EL_DEL_CD2_JO_!P29,EL_DEL_CD2_PTP_!P29,EL_DEL_CD2_SBI_1_4_!P29,EL_DEL_CD2_SBI_5_6_!P29,EL_DEL_CD2_STAB_!P29,EL_DEL_CD1_WST_PTP_!P29,EL_DEL_CD1_NTH_PTP_!P29)</f>
        <v>0</v>
      </c>
      <c r="Q29" s="2">
        <f>SUM(EL_DEL_CD2_JO_!Q29,EL_DEL_CD2_PTP_!Q29,EL_DEL_CD2_SBI_1_4_!Q29,EL_DEL_CD2_SBI_5_6_!Q29,EL_DEL_CD2_STAB_!Q29,EL_DEL_CD1_WST_PTP_!Q29,EL_DEL_CD1_NTH_PTP_!Q29)</f>
        <v>0</v>
      </c>
      <c r="R29" s="2">
        <f>SUM(EL_DEL_CD2_JO_!R29,EL_DEL_CD2_PTP_!R29,EL_DEL_CD2_SBI_1_4_!R29,EL_DEL_CD2_SBI_5_6_!R29,EL_DEL_CD2_STAB_!R29,EL_DEL_CD1_WST_PTP_!R29,EL_DEL_CD1_NTH_PTP_!R29)</f>
        <v>0</v>
      </c>
      <c r="S29" s="2">
        <f>SUM(EL_DEL_CD2_JO_!S29,EL_DEL_CD2_PTP_!S29,EL_DEL_CD2_SBI_1_4_!S29,EL_DEL_CD2_SBI_5_6_!S29,EL_DEL_CD2_STAB_!S29,EL_DEL_CD1_WST_PTP_!S29,EL_DEL_CD1_NTH_PTP_!S29)</f>
        <v>0</v>
      </c>
      <c r="T29" s="2">
        <f>SUM(EL_DEL_CD2_JO_!T29,EL_DEL_CD2_PTP_!T29,EL_DEL_CD2_SBI_1_4_!T29,EL_DEL_CD2_SBI_5_6_!T29,EL_DEL_CD2_STAB_!T29,EL_DEL_CD1_WST_PTP_!T29,EL_DEL_CD1_NTH_PTP_!T29)</f>
        <v>0</v>
      </c>
      <c r="U29" s="3">
        <f>SUM(EL_DEL_CD2_JO_!V29,EL_DEL_CD2_PTP_!V29,EL_DEL_CD2_SBI_1_4_!V29,EL_DEL_CD2_SBI_5_6_!V29,EL_DEL_CD2_STAB_!V29,EL_DEL_CD1_WST_PTP_!V29,EL_DEL_CD1_NTH_PTP_!V29)</f>
        <v>0</v>
      </c>
      <c r="V29" s="3">
        <f>SUM(EL_DEL_CD2_JO_!W29,EL_DEL_CD2_PTP_!W29,EL_DEL_CD2_SBI_1_4_!W29,EL_DEL_CD2_SBI_5_6_!W29,EL_DEL_CD2_STAB_!W29,EL_DEL_CD1_WST_PTP_!W29,EL_DEL_CD1_NTH_PTP_!W29)</f>
        <v>0</v>
      </c>
      <c r="W29" s="2">
        <f>SUM(EL_DEL_CD2_JO_!X29,EL_DEL_CD2_PTP_!X29,EL_DEL_CD2_SBI_1_4_!X29,EL_DEL_CD2_SBI_5_6_!X29,EL_DEL_CD2_STAB_!X29,EL_DEL_CD1_WST_PTP_!X29,EL_DEL_CD1_NTH_PTP_!X29)</f>
        <v>0</v>
      </c>
      <c r="X29" s="2">
        <f>SUM(EL_DEL_CD2_JO_!Y29,EL_DEL_CD2_PTP_!Y29,EL_DEL_CD2_SBI_1_4_!Y29,EL_DEL_CD2_SBI_5_6_!Y29,EL_DEL_CD2_STAB_!Y29,EL_DEL_CD1_WST_PTP_!Y29,EL_DEL_CD1_NTH_PTP_!Y29)</f>
        <v>0</v>
      </c>
      <c r="Y29" s="2">
        <f>SUM(EL_DEL_CD2_JO_!Z29,EL_DEL_CD2_PTP_!Z29,EL_DEL_CD2_SBI_1_4_!Z29,EL_DEL_CD2_SBI_5_6_!Z29,EL_DEL_CD2_STAB_!Z29,EL_DEL_CD1_WST_PTP_!Z29,EL_DEL_CD1_NTH_PTP_!Z29)</f>
        <v>0</v>
      </c>
      <c r="Z29" s="2">
        <f>SUM(EL_DEL_CD2_JO_!AA29,EL_DEL_CD2_PTP_!AA29,EL_DEL_CD2_SBI_1_4_!AA29,EL_DEL_CD2_SBI_5_6_!AA29,EL_DEL_CD2_STAB_!AA29,EL_DEL_CD1_WST_PTP_!AA29,EL_DEL_CD1_NTH_PTP_!AA29)</f>
        <v>0</v>
      </c>
      <c r="AA29" s="2">
        <f>SUM(EL_DEL_CD2_JO_!AB29,EL_DEL_CD2_PTP_!AB29,EL_DEL_CD2_SBI_1_4_!AB29,EL_DEL_CD2_SBI_5_6_!AB29,EL_DEL_CD2_STAB_!AB29,EL_DEL_CD1_WST_PTP_!AB29,EL_DEL_CD1_NTH_PTP_!AB29)</f>
        <v>0</v>
      </c>
      <c r="AB29" s="2">
        <f>SUM(EL_DEL_CD2_JO_!AC29,EL_DEL_CD2_PTP_!AC29,EL_DEL_CD2_SBI_1_4_!AC29,EL_DEL_CD2_SBI_5_6_!AC29,EL_DEL_CD2_STAB_!AC29,EL_DEL_CD1_WST_PTP_!AC29,EL_DEL_CD1_NTH_PTP_!AC29)</f>
        <v>0</v>
      </c>
      <c r="AC29" s="2">
        <f>SUM(EL_DEL_CD2_JO_!AD29,EL_DEL_CD2_PTP_!AD29,EL_DEL_CD2_SBI_1_4_!AD29,EL_DEL_CD2_SBI_5_6_!AD29,EL_DEL_CD2_STAB_!AD29,EL_DEL_CD1_WST_PTP_!AD29,EL_DEL_CD1_NTH_PTP_!AD29)</f>
        <v>0</v>
      </c>
      <c r="AD29" s="2">
        <f>SUM(EL_DEL_CD2_JO_!AE29,EL_DEL_CD2_PTP_!AE29,EL_DEL_CD2_SBI_1_4_!AE29,EL_DEL_CD2_SBI_5_6_!AE29,EL_DEL_CD2_STAB_!AE29,EL_DEL_CD1_WST_PTP_!AE29,EL_DEL_CD1_NTH_PTP_!AE29)</f>
        <v>0</v>
      </c>
      <c r="AE29" s="3">
        <f>SUM(EL_DEL_CD2_JO_!AF29,EL_DEL_CD2_PTP_!AF29,EL_DEL_CD2_SBI_1_4_!AF29,EL_DEL_CD2_SBI_5_6_!AF29,EL_DEL_CD2_STAB_!AF29,EL_DEL_CD1_WST_PTP_!AF29,EL_DEL_CD1_NTH_PTP_!AF29)</f>
        <v>0</v>
      </c>
      <c r="AF29" s="3">
        <f>SUM(EL_DEL_CD2_JO_!AG29,EL_DEL_CD2_PTP_!AG29,EL_DEL_CD2_SBI_1_4_!AG29,EL_DEL_CD2_SBI_5_6_!AG29,EL_DEL_CD2_STAB_!AG29,EL_DEL_CD1_WST_PTP_!AG29,EL_DEL_CD1_NTH_PTP_!AG29)</f>
        <v>0</v>
      </c>
      <c r="AG29" s="2">
        <f>SUM(EL_DEL_CD2_JO_!AH29,EL_DEL_CD2_PTP_!AH29,EL_DEL_CD2_SBI_1_4_!AH29,EL_DEL_CD2_SBI_5_6_!AH29,EL_DEL_CD2_STAB_!AH29,EL_DEL_CD1_WST_PTP_!AH29,EL_DEL_CD1_NTH_PTP_!AH29)</f>
        <v>0</v>
      </c>
      <c r="AH29" s="6">
        <f>SUM(EL_DEL_CD2_JO_!AI29,EL_DEL_CD2_PTP_!AI29,EL_DEL_CD2_SBI_1_4_!AI29,EL_DEL_CD2_SBI_5_6_!AI29,EL_DEL_CD2_STAB_!AI29,EL_DEL_CD1_WST_PTP_!AI29,EL_DEL_CD1_NTH_PTP_!AI29)</f>
        <v>0</v>
      </c>
      <c r="AI29" s="7">
        <f>SUM(EL_DEL_CD2_JO_!AJ29,EL_DEL_CD2_PTP_!AJ29,EL_DEL_CD2_SBI_1_4_!AJ29,EL_DEL_CD2_SBI_5_6_!AJ29,EL_DEL_CD2_STAB_!AJ29,EL_DEL_CD1_WST_PTP_!AJ29,EL_DEL_CD1_NTH_PTP_!AJ29)</f>
        <v>0</v>
      </c>
      <c r="AJ29" s="6">
        <f>SUM(EL_DEL_CD2_JO_!AK29,EL_DEL_CD2_PTP_!AK29,EL_DEL_CD2_SBI_1_4_!AK29,EL_DEL_CD2_SBI_5_6_!AK29,EL_DEL_CD2_STAB_!AK29,EL_DEL_CD1_WST_PTP_!AK29,EL_DEL_CD1_NTH_PTP_!AK29)</f>
        <v>0</v>
      </c>
      <c r="AK29" s="59" t="str">
        <f>IFERROR(AVERAGE(EL_DEL_CD2_JO_!AL29,EL_DEL_CD2_PTP_!AL29,EL_DEL_CD2_SBI_1_4_!AL29,EL_DEL_CD2_SBI_5_6_!AL29,EL_DEL_CD2_STAB_!AL29,EL_DEL_CD1_WST_PTP_!AL29,EL_DEL_CD1_NTH_PTP_!AL29),"")</f>
        <v/>
      </c>
      <c r="AL29" s="59" t="str">
        <f>IFERROR(AVERAGE(EL_DEL_CD2_JO_!AM29,EL_DEL_CD2_PTP_!AM29,EL_DEL_CD2_SBI_1_4_!AM29,EL_DEL_CD2_SBI_5_6_!AM29,EL_DEL_CD2_STAB_!AM29,EL_DEL_CD1_WST_PTP_!AM29,EL_DEL_CD1_NTH_PTP_!AM29),"")</f>
        <v/>
      </c>
      <c r="AM29" s="59" t="str">
        <f>IFERROR(AVERAGE(EL_DEL_CD2_JO_!AN29,EL_DEL_CD2_PTP_!AN29,EL_DEL_CD2_SBI_1_4_!AN29,EL_DEL_CD2_SBI_5_6_!AN29,EL_DEL_CD2_STAB_!AN29,EL_DEL_CD1_WST_PTP_!AN29,EL_DEL_CD1_NTH_PTP_!AN29),"")</f>
        <v/>
      </c>
      <c r="AN29" s="59" t="str">
        <f>IFERROR(AVERAGE(EL_DEL_CD2_JO_!AO29,EL_DEL_CD2_PTP_!AO29,EL_DEL_CD2_SBI_1_4_!AO29,EL_DEL_CD2_SBI_5_6_!AO29,EL_DEL_CD2_STAB_!AO29,EL_DEL_CD1_WST_PTP_!AO29,EL_DEL_CD1_NTH_PTP_!AO29),"")</f>
        <v/>
      </c>
      <c r="AO29" s="59" t="str">
        <f>IFERROR(AVERAGE(EL_DEL_CD2_JO_!AP29,EL_DEL_CD2_PTP_!AP29,EL_DEL_CD2_SBI_1_4_!AP29,EL_DEL_CD2_SBI_5_6_!AP29,EL_DEL_CD2_STAB_!AP29,EL_DEL_CD1_WST_PTP_!AP29,EL_DEL_CD1_NTH_PTP_!AP29),"")</f>
        <v/>
      </c>
      <c r="AP29" s="59" t="str">
        <f>IFERROR(AVERAGE(EL_DEL_CD2_JO_!AQ29,EL_DEL_CD2_PTP_!AQ29,EL_DEL_CD2_SBI_1_4_!AQ29,EL_DEL_CD2_SBI_5_6_!AQ29,EL_DEL_CD2_STAB_!AQ29,EL_DEL_CD1_WST_PTP_!AQ29,EL_DEL_CD1_NTH_PTP_!AQ29),"")</f>
        <v/>
      </c>
      <c r="AQ29" s="59" t="str">
        <f>IFERROR(AVERAGE(EL_DEL_CD2_JO_!AR29,EL_DEL_CD2_PTP_!AR29,EL_DEL_CD2_SBI_1_4_!AR29,EL_DEL_CD2_SBI_5_6_!AR29,EL_DEL_CD2_STAB_!AR29,EL_DEL_CD1_WST_PTP_!AR29,EL_DEL_CD1_NTH_PTP_!AR29),"")</f>
        <v/>
      </c>
      <c r="AR29" s="59" t="str">
        <f>IFERROR(AVERAGE(EL_DEL_CD2_JO_!AS29,EL_DEL_CD2_PTP_!AS29,EL_DEL_CD2_SBI_1_4_!AS29,EL_DEL_CD2_SBI_5_6_!AS29,EL_DEL_CD2_STAB_!AS29,EL_DEL_CD1_WST_PTP_!AS29,EL_DEL_CD1_NTH_PTP_!AS29),"")</f>
        <v/>
      </c>
      <c r="AS29" s="8">
        <f>SUM(EL_DEL_CD2_JO_!AT29,EL_DEL_CD2_PTP_!AT29,EL_DEL_CD2_SBI_1_4_!AT29,EL_DEL_CD2_SBI_5_6_!AT29,EL_DEL_CD2_STAB_!AT29,EL_DEL_CD1_WST_PTP_!AT29,EL_DEL_CD1_NTH_PTP_!AT29)</f>
        <v>0</v>
      </c>
      <c r="AT29" s="8">
        <f>SUM(EL_DEL_CD2_JO_!AU29,EL_DEL_CD2_PTP_!AU29,EL_DEL_CD2_SBI_1_4_!AU29,EL_DEL_CD2_SBI_5_6_!AU29,EL_DEL_CD2_STAB_!AU29,EL_DEL_CD1_WST_PTP_!AU29,EL_DEL_CD1_NTH_PTP_!AU29)</f>
        <v>0</v>
      </c>
      <c r="AU29" s="9">
        <f>SUM(EL_DEL_CD2_JO_!AV29,EL_DEL_CD2_PTP_!AV29,EL_DEL_CD2_SBI_1_4_!AV29,EL_DEL_CD2_SBI_5_6_!AV29,EL_DEL_CD2_STAB_!AV29,EL_DEL_CD1_WST_PTP_!AV29,EL_DEL_CD1_NTH_PTP_!AV29)</f>
        <v>0</v>
      </c>
      <c r="AV29" s="8" t="str">
        <f>IFERROR(AVERAGE(EL_DEL_CD2_JO_!AW29,EL_DEL_CD2_PTP_!AW29,EL_DEL_CD2_SBI_1_4_!AW29,EL_DEL_CD2_SBI_5_6_!AW29,EL_DEL_CD2_STAB_!AW29,EL_DEL_CD1_WST_PTP_!AW29,EL_DEL_CD1_NTH_PTP_!AW29),"")</f>
        <v/>
      </c>
      <c r="AW29" s="10" t="str">
        <f t="shared" si="1"/>
        <v>-</v>
      </c>
      <c r="AX29" s="39"/>
      <c r="AY29" s="1" t="str">
        <f t="shared" si="2"/>
        <v/>
      </c>
      <c r="AZ29" s="11" t="str">
        <f t="shared" si="3"/>
        <v/>
      </c>
      <c r="BA29" s="1" t="str">
        <f t="shared" si="4"/>
        <v/>
      </c>
      <c r="BB29" s="39"/>
      <c r="BC29" s="53" t="str">
        <f t="shared" si="5"/>
        <v/>
      </c>
      <c r="BD29" s="12" t="str">
        <f t="shared" si="6"/>
        <v/>
      </c>
      <c r="BE29" s="12" t="str">
        <f t="shared" si="7"/>
        <v/>
      </c>
      <c r="BF29" s="12" t="str">
        <f t="shared" si="8"/>
        <v/>
      </c>
      <c r="BG29" s="12" t="str">
        <f t="shared" si="9"/>
        <v/>
      </c>
      <c r="BH29" s="54" t="str">
        <f t="shared" si="10"/>
        <v/>
      </c>
      <c r="BI29" s="39"/>
      <c r="BJ29" s="55" t="str">
        <f t="shared" si="11"/>
        <v/>
      </c>
      <c r="BK29" s="13" t="str">
        <f t="shared" si="12"/>
        <v/>
      </c>
      <c r="BL29" s="13" t="str">
        <f t="shared" si="13"/>
        <v/>
      </c>
      <c r="BM29" s="56" t="str">
        <f t="shared" si="14"/>
        <v/>
      </c>
      <c r="BN29" s="39"/>
      <c r="BO29" s="14" t="str">
        <f t="shared" si="15"/>
        <v/>
      </c>
      <c r="BP29" s="15">
        <v>0</v>
      </c>
      <c r="BQ29" s="15" t="str">
        <f t="shared" si="16"/>
        <v/>
      </c>
      <c r="BR29" s="15" t="str">
        <f t="shared" si="17"/>
        <v/>
      </c>
      <c r="BS29" s="16" t="str">
        <f t="shared" si="18"/>
        <v/>
      </c>
      <c r="BT29" s="39"/>
      <c r="BU29" s="51" t="e">
        <f t="shared" si="19"/>
        <v>#VALUE!</v>
      </c>
      <c r="BV29" s="28" t="e">
        <f t="shared" si="20"/>
        <v>#VALUE!</v>
      </c>
      <c r="BW29" s="28" t="e">
        <f t="shared" si="21"/>
        <v>#VALUE!</v>
      </c>
      <c r="BX29" s="28" t="e">
        <f t="shared" si="22"/>
        <v>#VALUE!</v>
      </c>
      <c r="BY29" s="28" t="e">
        <f t="shared" si="23"/>
        <v>#VALUE!</v>
      </c>
      <c r="BZ29" s="52" t="e">
        <f t="shared" si="24"/>
        <v>#VALUE!</v>
      </c>
      <c r="CA29" s="39"/>
      <c r="CB29" s="49" t="str">
        <f t="shared" si="25"/>
        <v>-</v>
      </c>
      <c r="CC29" s="29" t="str">
        <f t="shared" si="26"/>
        <v>-</v>
      </c>
      <c r="CD29" s="29" t="str">
        <f t="shared" si="27"/>
        <v>-</v>
      </c>
      <c r="CE29" s="29" t="str">
        <f t="shared" si="28"/>
        <v>-</v>
      </c>
      <c r="CF29" s="50" t="str">
        <f t="shared" si="29"/>
        <v>-</v>
      </c>
      <c r="CG29" s="39"/>
    </row>
    <row r="30" spans="1:85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2">
        <f>SUM(EL_DEL_CD2_JO_!C30,EL_DEL_CD2_PTP_!C30,EL_DEL_CD2_SBI_1_4_!C30,EL_DEL_CD2_SBI_5_6_!C30,EL_DEL_CD2_STAB_!C30,EL_DEL_CD1_WST_PTP_!C30,EL_DEL_CD1_NTH_PTP_!C30)</f>
        <v>0</v>
      </c>
      <c r="D30" s="2">
        <f>SUM(EL_DEL_CD2_JO_!D30,EL_DEL_CD2_PTP_!D30,EL_DEL_CD2_SBI_1_4_!D30,EL_DEL_CD2_SBI_5_6_!D30,EL_DEL_CD2_STAB_!D30,EL_DEL_CD1_WST_PTP_!D30,EL_DEL_CD1_NTH_PTP_!D30)</f>
        <v>0</v>
      </c>
      <c r="E30" s="3">
        <f>SUM(EL_DEL_CD2_JO_!E30,EL_DEL_CD2_PTP_!E30,EL_DEL_CD2_SBI_1_4_!E30,EL_DEL_CD2_SBI_5_6_!E30,EL_DEL_CD2_STAB_!E30,EL_DEL_CD1_WST_PTP_!E30,EL_DEL_CD1_NTH_PTP_!E30)</f>
        <v>0</v>
      </c>
      <c r="F30" s="2">
        <f>SUM(EL_DEL_CD2_JO_!F30,EL_DEL_CD2_PTP_!F30,EL_DEL_CD2_SBI_1_4_!F30,EL_DEL_CD2_SBI_5_6_!F30,EL_DEL_CD2_STAB_!F30,EL_DEL_CD1_WST_PTP_!F30,EL_DEL_CD1_NTH_PTP_!F30)</f>
        <v>0</v>
      </c>
      <c r="G30" s="2">
        <f>SUM(EL_DEL_CD2_JO_!G30,EL_DEL_CD2_PTP_!G30,EL_DEL_CD2_SBI_1_4_!G30,EL_DEL_CD2_SBI_5_6_!G30,EL_DEL_CD2_STAB_!G30,EL_DEL_CD1_WST_PTP_!G30,EL_DEL_CD1_NTH_PTP_!G30)</f>
        <v>0</v>
      </c>
      <c r="H30" s="4">
        <f>SUM(EL_DEL_CD2_JO_!H30,EL_DEL_CD2_PTP_!H30,EL_DEL_CD2_SBI_1_4_!H30,EL_DEL_CD2_SBI_5_6_!H30,EL_DEL_CD2_STAB_!H30,EL_DEL_CD1_WST_PTP_!H30,EL_DEL_CD1_NTH_PTP_!H30)</f>
        <v>0</v>
      </c>
      <c r="I30" s="4">
        <f>SUM(EL_DEL_CD2_JO_!I30,EL_DEL_CD2_PTP_!I30,EL_DEL_CD2_SBI_1_4_!I30,EL_DEL_CD2_SBI_5_6_!I30,EL_DEL_CD2_STAB_!I30,EL_DEL_CD1_WST_PTP_!I30,EL_DEL_CD1_NTH_PTP_!I30)</f>
        <v>0</v>
      </c>
      <c r="J30" s="58">
        <f>SUM(EL_DEL_CD2_JO_!J30,EL_DEL_CD2_PTP_!J30,EL_DEL_CD2_SBI_1_4_!J30,EL_DEL_CD2_SBI_5_6_!J30,EL_DEL_CD2_STAB_!J30,EL_DEL_CD1_WST_PTP_!J30,EL_DEL_CD1_NTH_PTP_!J30)</f>
        <v>0</v>
      </c>
      <c r="K30" s="5">
        <f>SUM(EL_DEL_CD2_JO_!K30,EL_DEL_CD2_PTP_!K30,EL_DEL_CD2_SBI_1_4_!K30,EL_DEL_CD2_SBI_5_6_!K30,EL_DEL_CD2_STAB_!K30,EL_DEL_CD1_WST_PTP_!K30,EL_DEL_CD1_NTH_PTP_!K30)</f>
        <v>0</v>
      </c>
      <c r="L30" s="2">
        <f>SUM(EL_DEL_CD2_JO_!L30,EL_DEL_CD2_PTP_!L30,EL_DEL_CD2_SBI_1_4_!L30,EL_DEL_CD2_SBI_5_6_!L30,EL_DEL_CD2_STAB_!L30,EL_DEL_CD1_WST_PTP_!L30,EL_DEL_CD1_NTH_PTP_!L30)</f>
        <v>0</v>
      </c>
      <c r="M30" s="2">
        <f>SUM(EL_DEL_CD2_JO_!M30,EL_DEL_CD2_PTP_!M30,EL_DEL_CD2_SBI_1_4_!M30,EL_DEL_CD2_SBI_5_6_!M30,EL_DEL_CD2_STAB_!M30,EL_DEL_CD1_WST_PTP_!M30,EL_DEL_CD1_NTH_PTP_!M30)</f>
        <v>0</v>
      </c>
      <c r="N30" s="2">
        <f>SUM(EL_DEL_CD2_JO_!N30,EL_DEL_CD2_PTP_!N30,EL_DEL_CD2_SBI_1_4_!N30,EL_DEL_CD2_SBI_5_6_!N30,EL_DEL_CD2_STAB_!N30,EL_DEL_CD1_WST_PTP_!N30,EL_DEL_CD1_NTH_PTP_!N30)</f>
        <v>0</v>
      </c>
      <c r="O30" s="2">
        <f>SUM(EL_DEL_CD2_JO_!O30,EL_DEL_CD2_PTP_!O30,EL_DEL_CD2_SBI_1_4_!O30,EL_DEL_CD2_SBI_5_6_!O30,EL_DEL_CD2_STAB_!O30,EL_DEL_CD1_WST_PTP_!O30,EL_DEL_CD1_NTH_PTP_!O30)</f>
        <v>0</v>
      </c>
      <c r="P30" s="3">
        <f>SUM(EL_DEL_CD2_JO_!P30,EL_DEL_CD2_PTP_!P30,EL_DEL_CD2_SBI_1_4_!P30,EL_DEL_CD2_SBI_5_6_!P30,EL_DEL_CD2_STAB_!P30,EL_DEL_CD1_WST_PTP_!P30,EL_DEL_CD1_NTH_PTP_!P30)</f>
        <v>0</v>
      </c>
      <c r="Q30" s="2">
        <f>SUM(EL_DEL_CD2_JO_!Q30,EL_DEL_CD2_PTP_!Q30,EL_DEL_CD2_SBI_1_4_!Q30,EL_DEL_CD2_SBI_5_6_!Q30,EL_DEL_CD2_STAB_!Q30,EL_DEL_CD1_WST_PTP_!Q30,EL_DEL_CD1_NTH_PTP_!Q30)</f>
        <v>0</v>
      </c>
      <c r="R30" s="2">
        <f>SUM(EL_DEL_CD2_JO_!R30,EL_DEL_CD2_PTP_!R30,EL_DEL_CD2_SBI_1_4_!R30,EL_DEL_CD2_SBI_5_6_!R30,EL_DEL_CD2_STAB_!R30,EL_DEL_CD1_WST_PTP_!R30,EL_DEL_CD1_NTH_PTP_!R30)</f>
        <v>0</v>
      </c>
      <c r="S30" s="2">
        <f>SUM(EL_DEL_CD2_JO_!S30,EL_DEL_CD2_PTP_!S30,EL_DEL_CD2_SBI_1_4_!S30,EL_DEL_CD2_SBI_5_6_!S30,EL_DEL_CD2_STAB_!S30,EL_DEL_CD1_WST_PTP_!S30,EL_DEL_CD1_NTH_PTP_!S30)</f>
        <v>0</v>
      </c>
      <c r="T30" s="2">
        <f>SUM(EL_DEL_CD2_JO_!T30,EL_DEL_CD2_PTP_!T30,EL_DEL_CD2_SBI_1_4_!T30,EL_DEL_CD2_SBI_5_6_!T30,EL_DEL_CD2_STAB_!T30,EL_DEL_CD1_WST_PTP_!T30,EL_DEL_CD1_NTH_PTP_!T30)</f>
        <v>0</v>
      </c>
      <c r="U30" s="3">
        <f>SUM(EL_DEL_CD2_JO_!V30,EL_DEL_CD2_PTP_!V30,EL_DEL_CD2_SBI_1_4_!V30,EL_DEL_CD2_SBI_5_6_!V30,EL_DEL_CD2_STAB_!V30,EL_DEL_CD1_WST_PTP_!V30,EL_DEL_CD1_NTH_PTP_!V30)</f>
        <v>0</v>
      </c>
      <c r="V30" s="3">
        <f>SUM(EL_DEL_CD2_JO_!W30,EL_DEL_CD2_PTP_!W30,EL_DEL_CD2_SBI_1_4_!W30,EL_DEL_CD2_SBI_5_6_!W30,EL_DEL_CD2_STAB_!W30,EL_DEL_CD1_WST_PTP_!W30,EL_DEL_CD1_NTH_PTP_!W30)</f>
        <v>0</v>
      </c>
      <c r="W30" s="2">
        <f>SUM(EL_DEL_CD2_JO_!X30,EL_DEL_CD2_PTP_!X30,EL_DEL_CD2_SBI_1_4_!X30,EL_DEL_CD2_SBI_5_6_!X30,EL_DEL_CD2_STAB_!X30,EL_DEL_CD1_WST_PTP_!X30,EL_DEL_CD1_NTH_PTP_!X30)</f>
        <v>0</v>
      </c>
      <c r="X30" s="2">
        <f>SUM(EL_DEL_CD2_JO_!Y30,EL_DEL_CD2_PTP_!Y30,EL_DEL_CD2_SBI_1_4_!Y30,EL_DEL_CD2_SBI_5_6_!Y30,EL_DEL_CD2_STAB_!Y30,EL_DEL_CD1_WST_PTP_!Y30,EL_DEL_CD1_NTH_PTP_!Y30)</f>
        <v>0</v>
      </c>
      <c r="Y30" s="2">
        <f>SUM(EL_DEL_CD2_JO_!Z30,EL_DEL_CD2_PTP_!Z30,EL_DEL_CD2_SBI_1_4_!Z30,EL_DEL_CD2_SBI_5_6_!Z30,EL_DEL_CD2_STAB_!Z30,EL_DEL_CD1_WST_PTP_!Z30,EL_DEL_CD1_NTH_PTP_!Z30)</f>
        <v>0</v>
      </c>
      <c r="Z30" s="2">
        <f>SUM(EL_DEL_CD2_JO_!AA30,EL_DEL_CD2_PTP_!AA30,EL_DEL_CD2_SBI_1_4_!AA30,EL_DEL_CD2_SBI_5_6_!AA30,EL_DEL_CD2_STAB_!AA30,EL_DEL_CD1_WST_PTP_!AA30,EL_DEL_CD1_NTH_PTP_!AA30)</f>
        <v>0</v>
      </c>
      <c r="AA30" s="2">
        <f>SUM(EL_DEL_CD2_JO_!AB30,EL_DEL_CD2_PTP_!AB30,EL_DEL_CD2_SBI_1_4_!AB30,EL_DEL_CD2_SBI_5_6_!AB30,EL_DEL_CD2_STAB_!AB30,EL_DEL_CD1_WST_PTP_!AB30,EL_DEL_CD1_NTH_PTP_!AB30)</f>
        <v>0</v>
      </c>
      <c r="AB30" s="2">
        <f>SUM(EL_DEL_CD2_JO_!AC30,EL_DEL_CD2_PTP_!AC30,EL_DEL_CD2_SBI_1_4_!AC30,EL_DEL_CD2_SBI_5_6_!AC30,EL_DEL_CD2_STAB_!AC30,EL_DEL_CD1_WST_PTP_!AC30,EL_DEL_CD1_NTH_PTP_!AC30)</f>
        <v>0</v>
      </c>
      <c r="AC30" s="2">
        <f>SUM(EL_DEL_CD2_JO_!AD30,EL_DEL_CD2_PTP_!AD30,EL_DEL_CD2_SBI_1_4_!AD30,EL_DEL_CD2_SBI_5_6_!AD30,EL_DEL_CD2_STAB_!AD30,EL_DEL_CD1_WST_PTP_!AD30,EL_DEL_CD1_NTH_PTP_!AD30)</f>
        <v>0</v>
      </c>
      <c r="AD30" s="2">
        <f>SUM(EL_DEL_CD2_JO_!AE30,EL_DEL_CD2_PTP_!AE30,EL_DEL_CD2_SBI_1_4_!AE30,EL_DEL_CD2_SBI_5_6_!AE30,EL_DEL_CD2_STAB_!AE30,EL_DEL_CD1_WST_PTP_!AE30,EL_DEL_CD1_NTH_PTP_!AE30)</f>
        <v>0</v>
      </c>
      <c r="AE30" s="3">
        <f>SUM(EL_DEL_CD2_JO_!AF30,EL_DEL_CD2_PTP_!AF30,EL_DEL_CD2_SBI_1_4_!AF30,EL_DEL_CD2_SBI_5_6_!AF30,EL_DEL_CD2_STAB_!AF30,EL_DEL_CD1_WST_PTP_!AF30,EL_DEL_CD1_NTH_PTP_!AF30)</f>
        <v>0</v>
      </c>
      <c r="AF30" s="3">
        <f>SUM(EL_DEL_CD2_JO_!AG30,EL_DEL_CD2_PTP_!AG30,EL_DEL_CD2_SBI_1_4_!AG30,EL_DEL_CD2_SBI_5_6_!AG30,EL_DEL_CD2_STAB_!AG30,EL_DEL_CD1_WST_PTP_!AG30,EL_DEL_CD1_NTH_PTP_!AG30)</f>
        <v>0</v>
      </c>
      <c r="AG30" s="2">
        <f>SUM(EL_DEL_CD2_JO_!AH30,EL_DEL_CD2_PTP_!AH30,EL_DEL_CD2_SBI_1_4_!AH30,EL_DEL_CD2_SBI_5_6_!AH30,EL_DEL_CD2_STAB_!AH30,EL_DEL_CD1_WST_PTP_!AH30,EL_DEL_CD1_NTH_PTP_!AH30)</f>
        <v>0</v>
      </c>
      <c r="AH30" s="6">
        <f>SUM(EL_DEL_CD2_JO_!AI30,EL_DEL_CD2_PTP_!AI30,EL_DEL_CD2_SBI_1_4_!AI30,EL_DEL_CD2_SBI_5_6_!AI30,EL_DEL_CD2_STAB_!AI30,EL_DEL_CD1_WST_PTP_!AI30,EL_DEL_CD1_NTH_PTP_!AI30)</f>
        <v>0</v>
      </c>
      <c r="AI30" s="7">
        <f>SUM(EL_DEL_CD2_JO_!AJ30,EL_DEL_CD2_PTP_!AJ30,EL_DEL_CD2_SBI_1_4_!AJ30,EL_DEL_CD2_SBI_5_6_!AJ30,EL_DEL_CD2_STAB_!AJ30,EL_DEL_CD1_WST_PTP_!AJ30,EL_DEL_CD1_NTH_PTP_!AJ30)</f>
        <v>0</v>
      </c>
      <c r="AJ30" s="6">
        <f>SUM(EL_DEL_CD2_JO_!AK30,EL_DEL_CD2_PTP_!AK30,EL_DEL_CD2_SBI_1_4_!AK30,EL_DEL_CD2_SBI_5_6_!AK30,EL_DEL_CD2_STAB_!AK30,EL_DEL_CD1_WST_PTP_!AK30,EL_DEL_CD1_NTH_PTP_!AK30)</f>
        <v>0</v>
      </c>
      <c r="AK30" s="59" t="str">
        <f>IFERROR(AVERAGE(EL_DEL_CD2_JO_!AL30,EL_DEL_CD2_PTP_!AL30,EL_DEL_CD2_SBI_1_4_!AL30,EL_DEL_CD2_SBI_5_6_!AL30,EL_DEL_CD2_STAB_!AL30,EL_DEL_CD1_WST_PTP_!AL30,EL_DEL_CD1_NTH_PTP_!AL30),"")</f>
        <v/>
      </c>
      <c r="AL30" s="59" t="str">
        <f>IFERROR(AVERAGE(EL_DEL_CD2_JO_!AM30,EL_DEL_CD2_PTP_!AM30,EL_DEL_CD2_SBI_1_4_!AM30,EL_DEL_CD2_SBI_5_6_!AM30,EL_DEL_CD2_STAB_!AM30,EL_DEL_CD1_WST_PTP_!AM30,EL_DEL_CD1_NTH_PTP_!AM30),"")</f>
        <v/>
      </c>
      <c r="AM30" s="59" t="str">
        <f>IFERROR(AVERAGE(EL_DEL_CD2_JO_!AN30,EL_DEL_CD2_PTP_!AN30,EL_DEL_CD2_SBI_1_4_!AN30,EL_DEL_CD2_SBI_5_6_!AN30,EL_DEL_CD2_STAB_!AN30,EL_DEL_CD1_WST_PTP_!AN30,EL_DEL_CD1_NTH_PTP_!AN30),"")</f>
        <v/>
      </c>
      <c r="AN30" s="59" t="str">
        <f>IFERROR(AVERAGE(EL_DEL_CD2_JO_!AO30,EL_DEL_CD2_PTP_!AO30,EL_DEL_CD2_SBI_1_4_!AO30,EL_DEL_CD2_SBI_5_6_!AO30,EL_DEL_CD2_STAB_!AO30,EL_DEL_CD1_WST_PTP_!AO30,EL_DEL_CD1_NTH_PTP_!AO30),"")</f>
        <v/>
      </c>
      <c r="AO30" s="59" t="str">
        <f>IFERROR(AVERAGE(EL_DEL_CD2_JO_!AP30,EL_DEL_CD2_PTP_!AP30,EL_DEL_CD2_SBI_1_4_!AP30,EL_DEL_CD2_SBI_5_6_!AP30,EL_DEL_CD2_STAB_!AP30,EL_DEL_CD1_WST_PTP_!AP30,EL_DEL_CD1_NTH_PTP_!AP30),"")</f>
        <v/>
      </c>
      <c r="AP30" s="59" t="str">
        <f>IFERROR(AVERAGE(EL_DEL_CD2_JO_!AQ30,EL_DEL_CD2_PTP_!AQ30,EL_DEL_CD2_SBI_1_4_!AQ30,EL_DEL_CD2_SBI_5_6_!AQ30,EL_DEL_CD2_STAB_!AQ30,EL_DEL_CD1_WST_PTP_!AQ30,EL_DEL_CD1_NTH_PTP_!AQ30),"")</f>
        <v/>
      </c>
      <c r="AQ30" s="59" t="str">
        <f>IFERROR(AVERAGE(EL_DEL_CD2_JO_!AR30,EL_DEL_CD2_PTP_!AR30,EL_DEL_CD2_SBI_1_4_!AR30,EL_DEL_CD2_SBI_5_6_!AR30,EL_DEL_CD2_STAB_!AR30,EL_DEL_CD1_WST_PTP_!AR30,EL_DEL_CD1_NTH_PTP_!AR30),"")</f>
        <v/>
      </c>
      <c r="AR30" s="59" t="str">
        <f>IFERROR(AVERAGE(EL_DEL_CD2_JO_!AS30,EL_DEL_CD2_PTP_!AS30,EL_DEL_CD2_SBI_1_4_!AS30,EL_DEL_CD2_SBI_5_6_!AS30,EL_DEL_CD2_STAB_!AS30,EL_DEL_CD1_WST_PTP_!AS30,EL_DEL_CD1_NTH_PTP_!AS30),"")</f>
        <v/>
      </c>
      <c r="AS30" s="8">
        <f>SUM(EL_DEL_CD2_JO_!AT30,EL_DEL_CD2_PTP_!AT30,EL_DEL_CD2_SBI_1_4_!AT30,EL_DEL_CD2_SBI_5_6_!AT30,EL_DEL_CD2_STAB_!AT30,EL_DEL_CD1_WST_PTP_!AT30,EL_DEL_CD1_NTH_PTP_!AT30)</f>
        <v>0</v>
      </c>
      <c r="AT30" s="8">
        <f>SUM(EL_DEL_CD2_JO_!AU30,EL_DEL_CD2_PTP_!AU30,EL_DEL_CD2_SBI_1_4_!AU30,EL_DEL_CD2_SBI_5_6_!AU30,EL_DEL_CD2_STAB_!AU30,EL_DEL_CD1_WST_PTP_!AU30,EL_DEL_CD1_NTH_PTP_!AU30)</f>
        <v>0</v>
      </c>
      <c r="AU30" s="9">
        <f>SUM(EL_DEL_CD2_JO_!AV30,EL_DEL_CD2_PTP_!AV30,EL_DEL_CD2_SBI_1_4_!AV30,EL_DEL_CD2_SBI_5_6_!AV30,EL_DEL_CD2_STAB_!AV30,EL_DEL_CD1_WST_PTP_!AV30,EL_DEL_CD1_NTH_PTP_!AV30)</f>
        <v>0</v>
      </c>
      <c r="AV30" s="8" t="str">
        <f>IFERROR(AVERAGE(EL_DEL_CD2_JO_!AW30,EL_DEL_CD2_PTP_!AW30,EL_DEL_CD2_SBI_1_4_!AW30,EL_DEL_CD2_SBI_5_6_!AW30,EL_DEL_CD2_STAB_!AW30,EL_DEL_CD1_WST_PTP_!AW30,EL_DEL_CD1_NTH_PTP_!AW30),"")</f>
        <v/>
      </c>
      <c r="AW30" s="10" t="str">
        <f t="shared" si="1"/>
        <v>-</v>
      </c>
      <c r="AX30" s="39"/>
      <c r="AY30" s="1" t="str">
        <f t="shared" si="2"/>
        <v/>
      </c>
      <c r="AZ30" s="11" t="str">
        <f t="shared" si="3"/>
        <v/>
      </c>
      <c r="BA30" s="1" t="str">
        <f t="shared" si="4"/>
        <v/>
      </c>
      <c r="BB30" s="39"/>
      <c r="BC30" s="53" t="str">
        <f t="shared" si="5"/>
        <v/>
      </c>
      <c r="BD30" s="12" t="str">
        <f t="shared" si="6"/>
        <v/>
      </c>
      <c r="BE30" s="12" t="str">
        <f t="shared" si="7"/>
        <v/>
      </c>
      <c r="BF30" s="12" t="str">
        <f t="shared" si="8"/>
        <v/>
      </c>
      <c r="BG30" s="12" t="str">
        <f t="shared" si="9"/>
        <v/>
      </c>
      <c r="BH30" s="54" t="str">
        <f t="shared" si="10"/>
        <v/>
      </c>
      <c r="BI30" s="39"/>
      <c r="BJ30" s="55" t="str">
        <f t="shared" si="11"/>
        <v/>
      </c>
      <c r="BK30" s="13" t="str">
        <f t="shared" si="12"/>
        <v/>
      </c>
      <c r="BL30" s="13" t="str">
        <f t="shared" si="13"/>
        <v/>
      </c>
      <c r="BM30" s="56" t="str">
        <f t="shared" si="14"/>
        <v/>
      </c>
      <c r="BN30" s="39"/>
      <c r="BO30" s="14" t="str">
        <f t="shared" si="15"/>
        <v/>
      </c>
      <c r="BP30" s="15">
        <v>0</v>
      </c>
      <c r="BQ30" s="15" t="str">
        <f t="shared" si="16"/>
        <v/>
      </c>
      <c r="BR30" s="15" t="str">
        <f t="shared" si="17"/>
        <v/>
      </c>
      <c r="BS30" s="16" t="str">
        <f t="shared" si="18"/>
        <v/>
      </c>
      <c r="BT30" s="39"/>
      <c r="BU30" s="51" t="e">
        <f t="shared" si="19"/>
        <v>#VALUE!</v>
      </c>
      <c r="BV30" s="28" t="e">
        <f t="shared" si="20"/>
        <v>#VALUE!</v>
      </c>
      <c r="BW30" s="28" t="e">
        <f t="shared" si="21"/>
        <v>#VALUE!</v>
      </c>
      <c r="BX30" s="28" t="e">
        <f t="shared" si="22"/>
        <v>#VALUE!</v>
      </c>
      <c r="BY30" s="28" t="e">
        <f t="shared" si="23"/>
        <v>#VALUE!</v>
      </c>
      <c r="BZ30" s="52" t="e">
        <f t="shared" si="24"/>
        <v>#VALUE!</v>
      </c>
      <c r="CA30" s="39"/>
      <c r="CB30" s="49" t="str">
        <f t="shared" si="25"/>
        <v>-</v>
      </c>
      <c r="CC30" s="29" t="str">
        <f t="shared" si="26"/>
        <v>-</v>
      </c>
      <c r="CD30" s="29" t="str">
        <f t="shared" si="27"/>
        <v>-</v>
      </c>
      <c r="CE30" s="29" t="str">
        <f t="shared" si="28"/>
        <v>-</v>
      </c>
      <c r="CF30" s="50" t="str">
        <f t="shared" si="29"/>
        <v>-</v>
      </c>
      <c r="CG30" s="39"/>
    </row>
    <row r="31" spans="1:85" s="27" customFormat="1" ht="12.4" customHeight="1" thickBot="1" x14ac:dyDescent="0.25">
      <c r="A31" s="43">
        <f t="shared" si="30"/>
        <v>46323</v>
      </c>
      <c r="B31" s="44" t="str">
        <f>+TEXT(A31,"DDD")</f>
        <v>Wed</v>
      </c>
      <c r="C31" s="2">
        <f>SUM(EL_DEL_CD2_JO_!C31,EL_DEL_CD2_PTP_!C31,EL_DEL_CD2_SBI_1_4_!C31,EL_DEL_CD2_SBI_5_6_!C31,EL_DEL_CD2_STAB_!C31,EL_DEL_CD1_WST_PTP_!C31,EL_DEL_CD1_NTH_PTP_!C31)</f>
        <v>0</v>
      </c>
      <c r="D31" s="2">
        <f>SUM(EL_DEL_CD2_JO_!D31,EL_DEL_CD2_PTP_!D31,EL_DEL_CD2_SBI_1_4_!D31,EL_DEL_CD2_SBI_5_6_!D31,EL_DEL_CD2_STAB_!D31,EL_DEL_CD1_WST_PTP_!D31,EL_DEL_CD1_NTH_PTP_!D31)</f>
        <v>0</v>
      </c>
      <c r="E31" s="3">
        <f>SUM(EL_DEL_CD2_JO_!E31,EL_DEL_CD2_PTP_!E31,EL_DEL_CD2_SBI_1_4_!E31,EL_DEL_CD2_SBI_5_6_!E31,EL_DEL_CD2_STAB_!E31,EL_DEL_CD1_WST_PTP_!E31,EL_DEL_CD1_NTH_PTP_!E31)</f>
        <v>0</v>
      </c>
      <c r="F31" s="2">
        <f>SUM(EL_DEL_CD2_JO_!F31,EL_DEL_CD2_PTP_!F31,EL_DEL_CD2_SBI_1_4_!F31,EL_DEL_CD2_SBI_5_6_!F31,EL_DEL_CD2_STAB_!F31,EL_DEL_CD1_WST_PTP_!F31,EL_DEL_CD1_NTH_PTP_!F31)</f>
        <v>0</v>
      </c>
      <c r="G31" s="2">
        <f>SUM(EL_DEL_CD2_JO_!G31,EL_DEL_CD2_PTP_!G31,EL_DEL_CD2_SBI_1_4_!G31,EL_DEL_CD2_SBI_5_6_!G31,EL_DEL_CD2_STAB_!G31,EL_DEL_CD1_WST_PTP_!G31,EL_DEL_CD1_NTH_PTP_!G31)</f>
        <v>0</v>
      </c>
      <c r="H31" s="4">
        <f>SUM(EL_DEL_CD2_JO_!H31,EL_DEL_CD2_PTP_!H31,EL_DEL_CD2_SBI_1_4_!H31,EL_DEL_CD2_SBI_5_6_!H31,EL_DEL_CD2_STAB_!H31,EL_DEL_CD1_WST_PTP_!H31,EL_DEL_CD1_NTH_PTP_!H31)</f>
        <v>0</v>
      </c>
      <c r="I31" s="4">
        <f>SUM(EL_DEL_CD2_JO_!I31,EL_DEL_CD2_PTP_!I31,EL_DEL_CD2_SBI_1_4_!I31,EL_DEL_CD2_SBI_5_6_!I31,EL_DEL_CD2_STAB_!I31,EL_DEL_CD1_WST_PTP_!I31,EL_DEL_CD1_NTH_PTP_!I31)</f>
        <v>0</v>
      </c>
      <c r="J31" s="85">
        <f>SUM(EL_DEL_CD2_JO_!J31,EL_DEL_CD2_PTP_!J31,EL_DEL_CD2_SBI_1_4_!J31,EL_DEL_CD2_SBI_5_6_!J31,EL_DEL_CD2_STAB_!J31,EL_DEL_CD1_WST_PTP_!J31,EL_DEL_CD1_NTH_PTP_!J31)</f>
        <v>0</v>
      </c>
      <c r="K31" s="5">
        <f>SUM(EL_DEL_CD2_JO_!K31,EL_DEL_CD2_PTP_!K31,EL_DEL_CD2_SBI_1_4_!K31,EL_DEL_CD2_SBI_5_6_!K31,EL_DEL_CD2_STAB_!K31,EL_DEL_CD1_WST_PTP_!K31,EL_DEL_CD1_NTH_PTP_!K31)</f>
        <v>0</v>
      </c>
      <c r="L31" s="2">
        <f>SUM(EL_DEL_CD2_JO_!L31,EL_DEL_CD2_PTP_!L31,EL_DEL_CD2_SBI_1_4_!L31,EL_DEL_CD2_SBI_5_6_!L31,EL_DEL_CD2_STAB_!L31,EL_DEL_CD1_WST_PTP_!L31,EL_DEL_CD1_NTH_PTP_!L31)</f>
        <v>0</v>
      </c>
      <c r="M31" s="2">
        <f>SUM(EL_DEL_CD2_JO_!M31,EL_DEL_CD2_PTP_!M31,EL_DEL_CD2_SBI_1_4_!M31,EL_DEL_CD2_SBI_5_6_!M31,EL_DEL_CD2_STAB_!M31,EL_DEL_CD1_WST_PTP_!M31,EL_DEL_CD1_NTH_PTP_!M31)</f>
        <v>0</v>
      </c>
      <c r="N31" s="2">
        <f>SUM(EL_DEL_CD2_JO_!N31,EL_DEL_CD2_PTP_!N31,EL_DEL_CD2_SBI_1_4_!N31,EL_DEL_CD2_SBI_5_6_!N31,EL_DEL_CD2_STAB_!N31,EL_DEL_CD1_WST_PTP_!N31,EL_DEL_CD1_NTH_PTP_!N31)</f>
        <v>0</v>
      </c>
      <c r="O31" s="2">
        <f>SUM(EL_DEL_CD2_JO_!O31,EL_DEL_CD2_PTP_!O31,EL_DEL_CD2_SBI_1_4_!O31,EL_DEL_CD2_SBI_5_6_!O31,EL_DEL_CD2_STAB_!O31,EL_DEL_CD1_WST_PTP_!O31,EL_DEL_CD1_NTH_PTP_!O31)</f>
        <v>0</v>
      </c>
      <c r="P31" s="3">
        <f>SUM(EL_DEL_CD2_JO_!P31,EL_DEL_CD2_PTP_!P31,EL_DEL_CD2_SBI_1_4_!P31,EL_DEL_CD2_SBI_5_6_!P31,EL_DEL_CD2_STAB_!P31,EL_DEL_CD1_WST_PTP_!P31,EL_DEL_CD1_NTH_PTP_!P31)</f>
        <v>0</v>
      </c>
      <c r="Q31" s="2">
        <f>SUM(EL_DEL_CD2_JO_!Q31,EL_DEL_CD2_PTP_!Q31,EL_DEL_CD2_SBI_1_4_!Q31,EL_DEL_CD2_SBI_5_6_!Q31,EL_DEL_CD2_STAB_!Q31,EL_DEL_CD1_WST_PTP_!Q31,EL_DEL_CD1_NTH_PTP_!Q31)</f>
        <v>0</v>
      </c>
      <c r="R31" s="2">
        <f>SUM(EL_DEL_CD2_JO_!R31,EL_DEL_CD2_PTP_!R31,EL_DEL_CD2_SBI_1_4_!R31,EL_DEL_CD2_SBI_5_6_!R31,EL_DEL_CD2_STAB_!R31,EL_DEL_CD1_WST_PTP_!R31,EL_DEL_CD1_NTH_PTP_!R31)</f>
        <v>0</v>
      </c>
      <c r="S31" s="2">
        <f>SUM(EL_DEL_CD2_JO_!S31,EL_DEL_CD2_PTP_!S31,EL_DEL_CD2_SBI_1_4_!S31,EL_DEL_CD2_SBI_5_6_!S31,EL_DEL_CD2_STAB_!S31,EL_DEL_CD1_WST_PTP_!S31,EL_DEL_CD1_NTH_PTP_!S31)</f>
        <v>0</v>
      </c>
      <c r="T31" s="2">
        <f>SUM(EL_DEL_CD2_JO_!T31,EL_DEL_CD2_PTP_!T31,EL_DEL_CD2_SBI_1_4_!T31,EL_DEL_CD2_SBI_5_6_!T31,EL_DEL_CD2_STAB_!T31,EL_DEL_CD1_WST_PTP_!T31,EL_DEL_CD1_NTH_PTP_!T31)</f>
        <v>0</v>
      </c>
      <c r="U31" s="3">
        <f>SUM(EL_DEL_CD2_JO_!V31,EL_DEL_CD2_PTP_!V31,EL_DEL_CD2_SBI_1_4_!V31,EL_DEL_CD2_SBI_5_6_!V31,EL_DEL_CD2_STAB_!V31,EL_DEL_CD1_WST_PTP_!V31,EL_DEL_CD1_NTH_PTP_!V31)</f>
        <v>0</v>
      </c>
      <c r="V31" s="3">
        <f>SUM(EL_DEL_CD2_JO_!W31,EL_DEL_CD2_PTP_!W31,EL_DEL_CD2_SBI_1_4_!W31,EL_DEL_CD2_SBI_5_6_!W31,EL_DEL_CD2_STAB_!W31,EL_DEL_CD1_WST_PTP_!W31,EL_DEL_CD1_NTH_PTP_!W31)</f>
        <v>0</v>
      </c>
      <c r="W31" s="2">
        <f>SUM(EL_DEL_CD2_JO_!X31,EL_DEL_CD2_PTP_!X31,EL_DEL_CD2_SBI_1_4_!X31,EL_DEL_CD2_SBI_5_6_!X31,EL_DEL_CD2_STAB_!X31,EL_DEL_CD1_WST_PTP_!X31,EL_DEL_CD1_NTH_PTP_!X31)</f>
        <v>0</v>
      </c>
      <c r="X31" s="2">
        <f>SUM(EL_DEL_CD2_JO_!Y31,EL_DEL_CD2_PTP_!Y31,EL_DEL_CD2_SBI_1_4_!Y31,EL_DEL_CD2_SBI_5_6_!Y31,EL_DEL_CD2_STAB_!Y31,EL_DEL_CD1_WST_PTP_!Y31,EL_DEL_CD1_NTH_PTP_!Y31)</f>
        <v>0</v>
      </c>
      <c r="Y31" s="2">
        <f>SUM(EL_DEL_CD2_JO_!Z31,EL_DEL_CD2_PTP_!Z31,EL_DEL_CD2_SBI_1_4_!Z31,EL_DEL_CD2_SBI_5_6_!Z31,EL_DEL_CD2_STAB_!Z31,EL_DEL_CD1_WST_PTP_!Z31,EL_DEL_CD1_NTH_PTP_!Z31)</f>
        <v>0</v>
      </c>
      <c r="Z31" s="2">
        <f>SUM(EL_DEL_CD2_JO_!AA31,EL_DEL_CD2_PTP_!AA31,EL_DEL_CD2_SBI_1_4_!AA31,EL_DEL_CD2_SBI_5_6_!AA31,EL_DEL_CD2_STAB_!AA31,EL_DEL_CD1_WST_PTP_!AA31,EL_DEL_CD1_NTH_PTP_!AA31)</f>
        <v>0</v>
      </c>
      <c r="AA31" s="2">
        <f>SUM(EL_DEL_CD2_JO_!AB31,EL_DEL_CD2_PTP_!AB31,EL_DEL_CD2_SBI_1_4_!AB31,EL_DEL_CD2_SBI_5_6_!AB31,EL_DEL_CD2_STAB_!AB31,EL_DEL_CD1_WST_PTP_!AB31,EL_DEL_CD1_NTH_PTP_!AB31)</f>
        <v>0</v>
      </c>
      <c r="AB31" s="2">
        <f>SUM(EL_DEL_CD2_JO_!AC31,EL_DEL_CD2_PTP_!AC31,EL_DEL_CD2_SBI_1_4_!AC31,EL_DEL_CD2_SBI_5_6_!AC31,EL_DEL_CD2_STAB_!AC31,EL_DEL_CD1_WST_PTP_!AC31,EL_DEL_CD1_NTH_PTP_!AC31)</f>
        <v>0</v>
      </c>
      <c r="AC31" s="2">
        <f>SUM(EL_DEL_CD2_JO_!AD31,EL_DEL_CD2_PTP_!AD31,EL_DEL_CD2_SBI_1_4_!AD31,EL_DEL_CD2_SBI_5_6_!AD31,EL_DEL_CD2_STAB_!AD31,EL_DEL_CD1_WST_PTP_!AD31,EL_DEL_CD1_NTH_PTP_!AD31)</f>
        <v>0</v>
      </c>
      <c r="AD31" s="2">
        <f>SUM(EL_DEL_CD2_JO_!AE31,EL_DEL_CD2_PTP_!AE31,EL_DEL_CD2_SBI_1_4_!AE31,EL_DEL_CD2_SBI_5_6_!AE31,EL_DEL_CD2_STAB_!AE31,EL_DEL_CD1_WST_PTP_!AE31,EL_DEL_CD1_NTH_PTP_!AE31)</f>
        <v>0</v>
      </c>
      <c r="AE31" s="3">
        <f>SUM(EL_DEL_CD2_JO_!AF31,EL_DEL_CD2_PTP_!AF31,EL_DEL_CD2_SBI_1_4_!AF31,EL_DEL_CD2_SBI_5_6_!AF31,EL_DEL_CD2_STAB_!AF31,EL_DEL_CD1_WST_PTP_!AF31,EL_DEL_CD1_NTH_PTP_!AF31)</f>
        <v>0</v>
      </c>
      <c r="AF31" s="3">
        <f>SUM(EL_DEL_CD2_JO_!AG31,EL_DEL_CD2_PTP_!AG31,EL_DEL_CD2_SBI_1_4_!AG31,EL_DEL_CD2_SBI_5_6_!AG31,EL_DEL_CD2_STAB_!AG31,EL_DEL_CD1_WST_PTP_!AG31,EL_DEL_CD1_NTH_PTP_!AG31)</f>
        <v>0</v>
      </c>
      <c r="AG31" s="2">
        <f>SUM(EL_DEL_CD2_JO_!AH31,EL_DEL_CD2_PTP_!AH31,EL_DEL_CD2_SBI_1_4_!AH31,EL_DEL_CD2_SBI_5_6_!AH31,EL_DEL_CD2_STAB_!AH31,EL_DEL_CD1_WST_PTP_!AH31,EL_DEL_CD1_NTH_PTP_!AH31)</f>
        <v>0</v>
      </c>
      <c r="AH31" s="6">
        <f>SUM(EL_DEL_CD2_JO_!AI31,EL_DEL_CD2_PTP_!AI31,EL_DEL_CD2_SBI_1_4_!AI31,EL_DEL_CD2_SBI_5_6_!AI31,EL_DEL_CD2_STAB_!AI31,EL_DEL_CD1_WST_PTP_!AI31,EL_DEL_CD1_NTH_PTP_!AI31)</f>
        <v>0</v>
      </c>
      <c r="AI31" s="7">
        <f>SUM(EL_DEL_CD2_JO_!AJ31,EL_DEL_CD2_PTP_!AJ31,EL_DEL_CD2_SBI_1_4_!AJ31,EL_DEL_CD2_SBI_5_6_!AJ31,EL_DEL_CD2_STAB_!AJ31,EL_DEL_CD1_WST_PTP_!AJ31,EL_DEL_CD1_NTH_PTP_!AJ31)</f>
        <v>0</v>
      </c>
      <c r="AJ31" s="6">
        <f>SUM(EL_DEL_CD2_JO_!AK31,EL_DEL_CD2_PTP_!AK31,EL_DEL_CD2_SBI_1_4_!AK31,EL_DEL_CD2_SBI_5_6_!AK31,EL_DEL_CD2_STAB_!AK31,EL_DEL_CD1_WST_PTP_!AK31,EL_DEL_CD1_NTH_PTP_!AK31)</f>
        <v>0</v>
      </c>
      <c r="AK31" s="59" t="str">
        <f>IFERROR(AVERAGE(EL_DEL_CD2_JO_!AL31,EL_DEL_CD2_PTP_!AL31,EL_DEL_CD2_SBI_1_4_!AL31,EL_DEL_CD2_SBI_5_6_!AL31,EL_DEL_CD2_STAB_!AL31,EL_DEL_CD1_WST_PTP_!AL31,EL_DEL_CD1_NTH_PTP_!AL31),"")</f>
        <v/>
      </c>
      <c r="AL31" s="59" t="str">
        <f>IFERROR(AVERAGE(EL_DEL_CD2_JO_!AM31,EL_DEL_CD2_PTP_!AM31,EL_DEL_CD2_SBI_1_4_!AM31,EL_DEL_CD2_SBI_5_6_!AM31,EL_DEL_CD2_STAB_!AM31,EL_DEL_CD1_WST_PTP_!AM31,EL_DEL_CD1_NTH_PTP_!AM31),"")</f>
        <v/>
      </c>
      <c r="AM31" s="59" t="str">
        <f>IFERROR(AVERAGE(EL_DEL_CD2_JO_!AN31,EL_DEL_CD2_PTP_!AN31,EL_DEL_CD2_SBI_1_4_!AN31,EL_DEL_CD2_SBI_5_6_!AN31,EL_DEL_CD2_STAB_!AN31,EL_DEL_CD1_WST_PTP_!AN31,EL_DEL_CD1_NTH_PTP_!AN31),"")</f>
        <v/>
      </c>
      <c r="AN31" s="59" t="str">
        <f>IFERROR(AVERAGE(EL_DEL_CD2_JO_!AO31,EL_DEL_CD2_PTP_!AO31,EL_DEL_CD2_SBI_1_4_!AO31,EL_DEL_CD2_SBI_5_6_!AO31,EL_DEL_CD2_STAB_!AO31,EL_DEL_CD1_WST_PTP_!AO31,EL_DEL_CD1_NTH_PTP_!AO31),"")</f>
        <v/>
      </c>
      <c r="AO31" s="59" t="str">
        <f>IFERROR(AVERAGE(EL_DEL_CD2_JO_!AP31,EL_DEL_CD2_PTP_!AP31,EL_DEL_CD2_SBI_1_4_!AP31,EL_DEL_CD2_SBI_5_6_!AP31,EL_DEL_CD2_STAB_!AP31,EL_DEL_CD1_WST_PTP_!AP31,EL_DEL_CD1_NTH_PTP_!AP31),"")</f>
        <v/>
      </c>
      <c r="AP31" s="59" t="str">
        <f>IFERROR(AVERAGE(EL_DEL_CD2_JO_!AQ31,EL_DEL_CD2_PTP_!AQ31,EL_DEL_CD2_SBI_1_4_!AQ31,EL_DEL_CD2_SBI_5_6_!AQ31,EL_DEL_CD2_STAB_!AQ31,EL_DEL_CD1_WST_PTP_!AQ31,EL_DEL_CD1_NTH_PTP_!AQ31),"")</f>
        <v/>
      </c>
      <c r="AQ31" s="59" t="str">
        <f>IFERROR(AVERAGE(EL_DEL_CD2_JO_!AR31,EL_DEL_CD2_PTP_!AR31,EL_DEL_CD2_SBI_1_4_!AR31,EL_DEL_CD2_SBI_5_6_!AR31,EL_DEL_CD2_STAB_!AR31,EL_DEL_CD1_WST_PTP_!AR31,EL_DEL_CD1_NTH_PTP_!AR31),"")</f>
        <v/>
      </c>
      <c r="AR31" s="59" t="str">
        <f>IFERROR(AVERAGE(EL_DEL_CD2_JO_!AS31,EL_DEL_CD2_PTP_!AS31,EL_DEL_CD2_SBI_1_4_!AS31,EL_DEL_CD2_SBI_5_6_!AS31,EL_DEL_CD2_STAB_!AS31,EL_DEL_CD1_WST_PTP_!AS31,EL_DEL_CD1_NTH_PTP_!AS31),"")</f>
        <v/>
      </c>
      <c r="AS31" s="8">
        <f>SUM(EL_DEL_CD2_JO_!AT31,EL_DEL_CD2_PTP_!AT31,EL_DEL_CD2_SBI_1_4_!AT31,EL_DEL_CD2_SBI_5_6_!AT31,EL_DEL_CD2_STAB_!AT31,EL_DEL_CD1_WST_PTP_!AT31,EL_DEL_CD1_NTH_PTP_!AT31)</f>
        <v>0</v>
      </c>
      <c r="AT31" s="8">
        <f>SUM(EL_DEL_CD2_JO_!AU31,EL_DEL_CD2_PTP_!AU31,EL_DEL_CD2_SBI_1_4_!AU31,EL_DEL_CD2_SBI_5_6_!AU31,EL_DEL_CD2_STAB_!AU31,EL_DEL_CD1_WST_PTP_!AU31,EL_DEL_CD1_NTH_PTP_!AU31)</f>
        <v>0</v>
      </c>
      <c r="AU31" s="9">
        <f>SUM(EL_DEL_CD2_JO_!AV31,EL_DEL_CD2_PTP_!AV31,EL_DEL_CD2_SBI_1_4_!AV31,EL_DEL_CD2_SBI_5_6_!AV31,EL_DEL_CD2_STAB_!AV31,EL_DEL_CD1_WST_PTP_!AV31,EL_DEL_CD1_NTH_PTP_!AV31)</f>
        <v>0</v>
      </c>
      <c r="AV31" s="8" t="str">
        <f>IFERROR(AVERAGE(EL_DEL_CD2_JO_!AW31,EL_DEL_CD2_PTP_!AW31,EL_DEL_CD2_SBI_1_4_!AW31,EL_DEL_CD2_SBI_5_6_!AW31,EL_DEL_CD2_STAB_!AW31,EL_DEL_CD1_WST_PTP_!AW31,EL_DEL_CD1_NTH_PTP_!AW31),"")</f>
        <v/>
      </c>
      <c r="AW31" s="10" t="str">
        <f>IFERROR(AM31/AV31,"-")</f>
        <v>-</v>
      </c>
      <c r="AX31" s="39"/>
      <c r="AY31" s="1" t="str">
        <f>IF(E31&gt;0,F31/E31,"")</f>
        <v/>
      </c>
      <c r="AZ31" s="11" t="str">
        <f>+IF(E31&gt;0,G31/E31,"")</f>
        <v/>
      </c>
      <c r="BA31" s="1" t="str">
        <f>+IF(E31&gt;0,AI31/E31,"")</f>
        <v/>
      </c>
      <c r="BB31" s="39"/>
      <c r="BC31" s="53" t="str">
        <f>+IF(G31&gt;0,I31/G31,"")</f>
        <v/>
      </c>
      <c r="BD31" s="12" t="str">
        <f>+IF(G31&gt;0,J31/G31,"")</f>
        <v/>
      </c>
      <c r="BE31" s="12" t="str">
        <f>+IF(I31&gt;0,L31/I31,"")</f>
        <v/>
      </c>
      <c r="BF31" s="12" t="str">
        <f>+IF(SUM(AN31:AQ31)&gt;0,AN31/AM31,"")</f>
        <v/>
      </c>
      <c r="BG31" s="12" t="str">
        <f>+IF(G31&gt;0,K31/G31,"")</f>
        <v/>
      </c>
      <c r="BH31" s="54" t="str">
        <f>+IF(SUM(AN31:AQ31)&gt;0,AP31/AM31,"")</f>
        <v/>
      </c>
      <c r="BI31" s="39"/>
      <c r="BJ31" s="55" t="str">
        <f>+IF(E31&gt;0,(AI31/E31),"")</f>
        <v/>
      </c>
      <c r="BK31" s="13" t="str">
        <f>+IF(E31&gt;0,(AI31/F31),"")</f>
        <v/>
      </c>
      <c r="BL31" s="13" t="str">
        <f>+IF(E31&gt;0,(AI31/G31),"")</f>
        <v/>
      </c>
      <c r="BM31" s="56" t="str">
        <f>+IF(E31&gt;0,(AI31/J31),"")</f>
        <v/>
      </c>
      <c r="BN31" s="39"/>
      <c r="BO31" s="14" t="str">
        <f>IF(AI31&gt;0,(N31/AI31),"")</f>
        <v/>
      </c>
      <c r="BP31" s="15">
        <v>0</v>
      </c>
      <c r="BQ31" s="15" t="str">
        <f>IF(AI31&gt;0,(AJ31/AI31),"")</f>
        <v/>
      </c>
      <c r="BR31" s="15" t="str">
        <f>IF(AI31&gt;0,(AJ31/AI31),"")</f>
        <v/>
      </c>
      <c r="BS31" s="16" t="str">
        <f>IF(J31&gt;0,AC31/J31,"")</f>
        <v/>
      </c>
      <c r="BT31" s="39"/>
      <c r="BU31" s="51" t="e">
        <f>IF(AM31&gt;0,(E31/AM31),"")</f>
        <v>#VALUE!</v>
      </c>
      <c r="BV31" s="28" t="e">
        <f>IF(AM31&gt;0,(G31/AM31),"")</f>
        <v>#VALUE!</v>
      </c>
      <c r="BW31" s="28" t="e">
        <f>IF(AM31&gt;0,(J31/AM31),"")</f>
        <v>#VALUE!</v>
      </c>
      <c r="BX31" s="28" t="e">
        <f>IF(AM31&gt;0,(K31/AM31),"")</f>
        <v>#VALUE!</v>
      </c>
      <c r="BY31" s="28" t="e">
        <f>IF(AM31&gt;0,(AI31/AM31),"")</f>
        <v>#VALUE!</v>
      </c>
      <c r="BZ31" s="52" t="e">
        <f>IF(AM31&gt;0,(AJ31/AM31),"")</f>
        <v>#VALUE!</v>
      </c>
      <c r="CA31" s="39"/>
      <c r="CB31" s="49" t="str">
        <f>IFERROR(((AM31-AN31)*3600)/J31,"-")</f>
        <v>-</v>
      </c>
      <c r="CC31" s="29" t="str">
        <f>IFERROR((AQ31*3600)/J31,"-")</f>
        <v>-</v>
      </c>
      <c r="CD31" s="29" t="str">
        <f>IFERROR((AP31*3600)/J31,"-")</f>
        <v>-</v>
      </c>
      <c r="CE31" s="29" t="str">
        <f>IFERROR((AN31*3600)/J31,"-")</f>
        <v>-</v>
      </c>
      <c r="CF31" s="50" t="str">
        <f>IFERROR((AO31*3600)/J31,"-")</f>
        <v>-</v>
      </c>
      <c r="CG31" s="39"/>
    </row>
    <row r="32" spans="1:85" s="27" customFormat="1" ht="13.15" customHeight="1" thickBot="1" x14ac:dyDescent="0.25">
      <c r="A32" s="288" t="s">
        <v>68</v>
      </c>
      <c r="B32" s="289"/>
      <c r="C32" s="45">
        <f t="shared" ref="C32:AV32" si="31">AVERAGE(C4:C31)</f>
        <v>0</v>
      </c>
      <c r="D32" s="17">
        <f t="shared" si="31"/>
        <v>0</v>
      </c>
      <c r="E32" s="17">
        <f t="shared" si="31"/>
        <v>0</v>
      </c>
      <c r="F32" s="17">
        <f t="shared" si="31"/>
        <v>0</v>
      </c>
      <c r="G32" s="17">
        <f t="shared" si="31"/>
        <v>0</v>
      </c>
      <c r="H32" s="17">
        <f t="shared" si="31"/>
        <v>0</v>
      </c>
      <c r="I32" s="17">
        <f t="shared" si="31"/>
        <v>0</v>
      </c>
      <c r="J32" s="17">
        <f t="shared" si="31"/>
        <v>0</v>
      </c>
      <c r="K32" s="17">
        <f t="shared" si="31"/>
        <v>0</v>
      </c>
      <c r="L32" s="17">
        <f t="shared" si="31"/>
        <v>0</v>
      </c>
      <c r="M32" s="17">
        <f t="shared" si="31"/>
        <v>0</v>
      </c>
      <c r="N32" s="17">
        <f t="shared" si="31"/>
        <v>0</v>
      </c>
      <c r="O32" s="17">
        <f t="shared" si="31"/>
        <v>0</v>
      </c>
      <c r="P32" s="17">
        <f t="shared" si="31"/>
        <v>0</v>
      </c>
      <c r="Q32" s="17">
        <f t="shared" si="31"/>
        <v>0</v>
      </c>
      <c r="R32" s="17">
        <f t="shared" si="31"/>
        <v>0</v>
      </c>
      <c r="S32" s="17">
        <f t="shared" si="31"/>
        <v>0</v>
      </c>
      <c r="T32" s="17">
        <f t="shared" si="31"/>
        <v>0</v>
      </c>
      <c r="U32" s="17">
        <f t="shared" si="31"/>
        <v>0</v>
      </c>
      <c r="V32" s="17">
        <f t="shared" si="31"/>
        <v>0</v>
      </c>
      <c r="W32" s="17">
        <f t="shared" si="31"/>
        <v>0</v>
      </c>
      <c r="X32" s="17">
        <f t="shared" si="31"/>
        <v>0</v>
      </c>
      <c r="Y32" s="17">
        <f t="shared" si="31"/>
        <v>0</v>
      </c>
      <c r="Z32" s="17">
        <f t="shared" si="31"/>
        <v>0</v>
      </c>
      <c r="AA32" s="17">
        <f t="shared" si="31"/>
        <v>0</v>
      </c>
      <c r="AB32" s="17">
        <f t="shared" si="31"/>
        <v>0</v>
      </c>
      <c r="AC32" s="17">
        <f t="shared" si="31"/>
        <v>0</v>
      </c>
      <c r="AD32" s="17">
        <f t="shared" si="31"/>
        <v>0</v>
      </c>
      <c r="AE32" s="17">
        <f t="shared" si="31"/>
        <v>0</v>
      </c>
      <c r="AF32" s="17">
        <f t="shared" si="31"/>
        <v>0</v>
      </c>
      <c r="AG32" s="17">
        <f t="shared" si="31"/>
        <v>0</v>
      </c>
      <c r="AH32" s="17">
        <f t="shared" si="31"/>
        <v>0</v>
      </c>
      <c r="AI32" s="17">
        <f t="shared" si="31"/>
        <v>0</v>
      </c>
      <c r="AJ32" s="17">
        <f t="shared" si="31"/>
        <v>0</v>
      </c>
      <c r="AK32" s="64" t="e">
        <f t="shared" si="31"/>
        <v>#DIV/0!</v>
      </c>
      <c r="AL32" s="64" t="e">
        <f t="shared" si="31"/>
        <v>#DIV/0!</v>
      </c>
      <c r="AM32" s="64" t="e">
        <f t="shared" si="31"/>
        <v>#DIV/0!</v>
      </c>
      <c r="AN32" s="64" t="e">
        <f t="shared" si="31"/>
        <v>#DIV/0!</v>
      </c>
      <c r="AO32" s="64" t="e">
        <f t="shared" si="31"/>
        <v>#DIV/0!</v>
      </c>
      <c r="AP32" s="64" t="e">
        <f t="shared" si="31"/>
        <v>#DIV/0!</v>
      </c>
      <c r="AQ32" s="64" t="e">
        <f t="shared" si="31"/>
        <v>#DIV/0!</v>
      </c>
      <c r="AR32" s="64" t="e">
        <f t="shared" si="31"/>
        <v>#DIV/0!</v>
      </c>
      <c r="AS32" s="17">
        <f t="shared" si="31"/>
        <v>0</v>
      </c>
      <c r="AT32" s="17">
        <f t="shared" si="31"/>
        <v>0</v>
      </c>
      <c r="AU32" s="17">
        <f t="shared" si="31"/>
        <v>0</v>
      </c>
      <c r="AV32" s="17" t="e">
        <f t="shared" si="31"/>
        <v>#DIV/0!</v>
      </c>
      <c r="AW32" s="46" t="str">
        <f t="shared" si="1"/>
        <v>-</v>
      </c>
      <c r="AX32" s="39"/>
      <c r="AY32" s="18" t="str">
        <f t="shared" si="2"/>
        <v/>
      </c>
      <c r="AZ32" s="19" t="str">
        <f t="shared" si="3"/>
        <v/>
      </c>
      <c r="BA32" s="79" t="str">
        <f t="shared" si="4"/>
        <v/>
      </c>
      <c r="BB32" s="39"/>
      <c r="BC32" s="18" t="str">
        <f t="shared" si="5"/>
        <v/>
      </c>
      <c r="BD32" s="71" t="str">
        <f t="shared" si="6"/>
        <v/>
      </c>
      <c r="BE32" s="21" t="str">
        <f t="shared" si="7"/>
        <v/>
      </c>
      <c r="BF32" s="21" t="e">
        <f t="shared" si="8"/>
        <v>#DIV/0!</v>
      </c>
      <c r="BG32" s="21" t="str">
        <f t="shared" si="9"/>
        <v/>
      </c>
      <c r="BH32" s="20" t="e">
        <f t="shared" si="10"/>
        <v>#DIV/0!</v>
      </c>
      <c r="BI32" s="39"/>
      <c r="BJ32" s="18" t="str">
        <f t="shared" si="11"/>
        <v/>
      </c>
      <c r="BK32" s="21" t="str">
        <f t="shared" si="12"/>
        <v/>
      </c>
      <c r="BL32" s="21" t="str">
        <f t="shared" si="13"/>
        <v/>
      </c>
      <c r="BM32" s="20" t="str">
        <f t="shared" si="14"/>
        <v/>
      </c>
      <c r="BN32" s="39"/>
      <c r="BO32" s="18" t="str">
        <f t="shared" si="15"/>
        <v/>
      </c>
      <c r="BP32" s="21">
        <v>0</v>
      </c>
      <c r="BQ32" s="21" t="str">
        <f t="shared" si="16"/>
        <v/>
      </c>
      <c r="BR32" s="21" t="str">
        <f t="shared" si="17"/>
        <v/>
      </c>
      <c r="BS32" s="20" t="str">
        <f t="shared" si="18"/>
        <v/>
      </c>
      <c r="BT32" s="39"/>
      <c r="BU32" s="30" t="e">
        <f t="shared" si="19"/>
        <v>#DIV/0!</v>
      </c>
      <c r="BV32" s="31" t="e">
        <f t="shared" si="20"/>
        <v>#DIV/0!</v>
      </c>
      <c r="BW32" s="31" t="e">
        <f t="shared" si="21"/>
        <v>#DIV/0!</v>
      </c>
      <c r="BX32" s="31" t="e">
        <f t="shared" si="22"/>
        <v>#DIV/0!</v>
      </c>
      <c r="BY32" s="31" t="e">
        <f t="shared" si="23"/>
        <v>#DIV/0!</v>
      </c>
      <c r="BZ32" s="32" t="e">
        <f t="shared" si="24"/>
        <v>#DIV/0!</v>
      </c>
      <c r="CA32" s="39"/>
      <c r="CB32" s="30" t="str">
        <f t="shared" si="25"/>
        <v>-</v>
      </c>
      <c r="CC32" s="31" t="str">
        <f t="shared" si="26"/>
        <v>-</v>
      </c>
      <c r="CD32" s="31" t="str">
        <f t="shared" si="27"/>
        <v>-</v>
      </c>
      <c r="CE32" s="31" t="str">
        <f t="shared" si="28"/>
        <v>-</v>
      </c>
      <c r="CF32" s="32" t="str">
        <f t="shared" si="29"/>
        <v>-</v>
      </c>
      <c r="CG32" s="39"/>
    </row>
    <row r="33" spans="1:85" s="27" customFormat="1" ht="13.15" customHeight="1" thickBot="1" x14ac:dyDescent="0.25">
      <c r="A33" s="288" t="s">
        <v>69</v>
      </c>
      <c r="B33" s="289"/>
      <c r="C33" s="47">
        <f t="shared" ref="C33:AV33" si="32">SUM(C4:C31)</f>
        <v>0</v>
      </c>
      <c r="D33" s="22">
        <f t="shared" si="32"/>
        <v>0</v>
      </c>
      <c r="E33" s="22">
        <f t="shared" si="32"/>
        <v>0</v>
      </c>
      <c r="F33" s="22">
        <f t="shared" si="32"/>
        <v>0</v>
      </c>
      <c r="G33" s="22">
        <f t="shared" si="32"/>
        <v>0</v>
      </c>
      <c r="H33" s="22">
        <f t="shared" si="32"/>
        <v>0</v>
      </c>
      <c r="I33" s="22">
        <f t="shared" si="32"/>
        <v>0</v>
      </c>
      <c r="J33" s="22">
        <f t="shared" si="32"/>
        <v>0</v>
      </c>
      <c r="K33" s="22">
        <f t="shared" si="32"/>
        <v>0</v>
      </c>
      <c r="L33" s="22">
        <f t="shared" si="32"/>
        <v>0</v>
      </c>
      <c r="M33" s="22">
        <f t="shared" si="32"/>
        <v>0</v>
      </c>
      <c r="N33" s="22">
        <f t="shared" si="32"/>
        <v>0</v>
      </c>
      <c r="O33" s="22">
        <f t="shared" si="32"/>
        <v>0</v>
      </c>
      <c r="P33" s="22">
        <f t="shared" si="32"/>
        <v>0</v>
      </c>
      <c r="Q33" s="22">
        <f t="shared" si="32"/>
        <v>0</v>
      </c>
      <c r="R33" s="22">
        <f t="shared" si="32"/>
        <v>0</v>
      </c>
      <c r="S33" s="22">
        <f t="shared" si="32"/>
        <v>0</v>
      </c>
      <c r="T33" s="22">
        <f t="shared" si="32"/>
        <v>0</v>
      </c>
      <c r="U33" s="22">
        <f t="shared" si="32"/>
        <v>0</v>
      </c>
      <c r="V33" s="22">
        <f t="shared" si="32"/>
        <v>0</v>
      </c>
      <c r="W33" s="22">
        <f t="shared" si="32"/>
        <v>0</v>
      </c>
      <c r="X33" s="22">
        <f t="shared" si="32"/>
        <v>0</v>
      </c>
      <c r="Y33" s="22">
        <f t="shared" si="32"/>
        <v>0</v>
      </c>
      <c r="Z33" s="22">
        <f t="shared" si="32"/>
        <v>0</v>
      </c>
      <c r="AA33" s="22">
        <f t="shared" si="32"/>
        <v>0</v>
      </c>
      <c r="AB33" s="22">
        <f t="shared" si="32"/>
        <v>0</v>
      </c>
      <c r="AC33" s="22">
        <f t="shared" si="32"/>
        <v>0</v>
      </c>
      <c r="AD33" s="22">
        <f t="shared" si="32"/>
        <v>0</v>
      </c>
      <c r="AE33" s="22">
        <f t="shared" si="32"/>
        <v>0</v>
      </c>
      <c r="AF33" s="22">
        <f t="shared" si="32"/>
        <v>0</v>
      </c>
      <c r="AG33" s="22">
        <f t="shared" si="32"/>
        <v>0</v>
      </c>
      <c r="AH33" s="22">
        <f t="shared" si="32"/>
        <v>0</v>
      </c>
      <c r="AI33" s="22">
        <f t="shared" si="32"/>
        <v>0</v>
      </c>
      <c r="AJ33" s="22">
        <f t="shared" si="32"/>
        <v>0</v>
      </c>
      <c r="AK33" s="65">
        <f t="shared" si="32"/>
        <v>0</v>
      </c>
      <c r="AL33" s="65">
        <f t="shared" si="32"/>
        <v>0</v>
      </c>
      <c r="AM33" s="65">
        <f t="shared" si="32"/>
        <v>0</v>
      </c>
      <c r="AN33" s="65">
        <f t="shared" si="32"/>
        <v>0</v>
      </c>
      <c r="AO33" s="65">
        <f t="shared" si="32"/>
        <v>0</v>
      </c>
      <c r="AP33" s="65">
        <f t="shared" si="32"/>
        <v>0</v>
      </c>
      <c r="AQ33" s="65">
        <f t="shared" si="32"/>
        <v>0</v>
      </c>
      <c r="AR33" s="65">
        <f t="shared" si="32"/>
        <v>0</v>
      </c>
      <c r="AS33" s="22">
        <f t="shared" si="32"/>
        <v>0</v>
      </c>
      <c r="AT33" s="22">
        <f t="shared" si="32"/>
        <v>0</v>
      </c>
      <c r="AU33" s="22">
        <f t="shared" si="32"/>
        <v>0</v>
      </c>
      <c r="AV33" s="22">
        <f t="shared" si="32"/>
        <v>0</v>
      </c>
      <c r="AW33" s="48" t="str">
        <f t="shared" si="1"/>
        <v>-</v>
      </c>
      <c r="AX33" s="40"/>
      <c r="AY33" s="23" t="str">
        <f t="shared" si="2"/>
        <v/>
      </c>
      <c r="AZ33" s="24" t="str">
        <f t="shared" si="3"/>
        <v/>
      </c>
      <c r="BA33" s="25" t="str">
        <f t="shared" si="4"/>
        <v/>
      </c>
      <c r="BB33" s="40"/>
      <c r="BC33" s="23" t="str">
        <f t="shared" si="5"/>
        <v/>
      </c>
      <c r="BD33" s="72" t="str">
        <f t="shared" si="6"/>
        <v/>
      </c>
      <c r="BE33" s="26" t="str">
        <f t="shared" si="7"/>
        <v/>
      </c>
      <c r="BF33" s="26" t="str">
        <f t="shared" si="8"/>
        <v/>
      </c>
      <c r="BG33" s="26" t="str">
        <f t="shared" si="9"/>
        <v/>
      </c>
      <c r="BH33" s="25" t="str">
        <f t="shared" si="10"/>
        <v/>
      </c>
      <c r="BI33" s="40"/>
      <c r="BJ33" s="23" t="str">
        <f t="shared" si="11"/>
        <v/>
      </c>
      <c r="BK33" s="26" t="str">
        <f t="shared" si="12"/>
        <v/>
      </c>
      <c r="BL33" s="26" t="str">
        <f t="shared" si="13"/>
        <v/>
      </c>
      <c r="BM33" s="25" t="str">
        <f t="shared" si="14"/>
        <v/>
      </c>
      <c r="BN33" s="40"/>
      <c r="BO33" s="23" t="str">
        <f t="shared" si="15"/>
        <v/>
      </c>
      <c r="BP33" s="26">
        <v>0</v>
      </c>
      <c r="BQ33" s="26" t="str">
        <f t="shared" si="16"/>
        <v/>
      </c>
      <c r="BR33" s="26" t="str">
        <f t="shared" si="17"/>
        <v/>
      </c>
      <c r="BS33" s="25" t="str">
        <f t="shared" si="18"/>
        <v/>
      </c>
      <c r="BT33" s="40"/>
      <c r="BU33" s="33" t="str">
        <f t="shared" si="19"/>
        <v/>
      </c>
      <c r="BV33" s="34" t="str">
        <f t="shared" si="20"/>
        <v/>
      </c>
      <c r="BW33" s="34" t="str">
        <f t="shared" si="21"/>
        <v/>
      </c>
      <c r="BX33" s="34" t="str">
        <f t="shared" si="22"/>
        <v/>
      </c>
      <c r="BY33" s="34" t="str">
        <f t="shared" si="23"/>
        <v/>
      </c>
      <c r="BZ33" s="35" t="str">
        <f t="shared" si="24"/>
        <v/>
      </c>
      <c r="CA33" s="40"/>
      <c r="CB33" s="33" t="str">
        <f t="shared" si="25"/>
        <v>-</v>
      </c>
      <c r="CC33" s="34" t="str">
        <f t="shared" si="26"/>
        <v>-</v>
      </c>
      <c r="CD33" s="34" t="str">
        <f t="shared" si="27"/>
        <v>-</v>
      </c>
      <c r="CE33" s="34" t="str">
        <f t="shared" si="28"/>
        <v>-</v>
      </c>
      <c r="CF33" s="35" t="str">
        <f t="shared" si="29"/>
        <v>-</v>
      </c>
      <c r="CG33" s="40"/>
    </row>
    <row r="34" spans="1:85" x14ac:dyDescent="0.2"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</row>
  </sheetData>
  <mergeCells count="87">
    <mergeCell ref="CB1:C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Y1:BA1"/>
    <mergeCell ref="BC1:BH1"/>
    <mergeCell ref="BJ1:BM1"/>
    <mergeCell ref="BO1:BS1"/>
    <mergeCell ref="BU1:BZ1"/>
    <mergeCell ref="U2:U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G2:AG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S2:AS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BG2:BG3"/>
    <mergeCell ref="AT2:AT3"/>
    <mergeCell ref="AU2:AU3"/>
    <mergeCell ref="AV2:AV3"/>
    <mergeCell ref="AW2:AW3"/>
    <mergeCell ref="AY2:AY3"/>
    <mergeCell ref="AZ2:AZ3"/>
    <mergeCell ref="BA2:BA3"/>
    <mergeCell ref="BC2:BC3"/>
    <mergeCell ref="BD2:BD3"/>
    <mergeCell ref="BE2:BE3"/>
    <mergeCell ref="BF2:BF3"/>
    <mergeCell ref="BV2:BV3"/>
    <mergeCell ref="BH2:BH3"/>
    <mergeCell ref="BJ2:BJ3"/>
    <mergeCell ref="BK2:BK3"/>
    <mergeCell ref="BL2:BL3"/>
    <mergeCell ref="BM2:BM3"/>
    <mergeCell ref="BO2:BO3"/>
    <mergeCell ref="CD2:CD3"/>
    <mergeCell ref="CE2:CE3"/>
    <mergeCell ref="CF2:CF3"/>
    <mergeCell ref="A32:B32"/>
    <mergeCell ref="A33:B33"/>
    <mergeCell ref="BW2:BW3"/>
    <mergeCell ref="BX2:BX3"/>
    <mergeCell ref="BY2:BY3"/>
    <mergeCell ref="BZ2:BZ3"/>
    <mergeCell ref="CB2:CB3"/>
    <mergeCell ref="CC2:CC3"/>
    <mergeCell ref="BP2:BP3"/>
    <mergeCell ref="BQ2:BQ3"/>
    <mergeCell ref="BR2:BR3"/>
    <mergeCell ref="BS2:BS3"/>
    <mergeCell ref="BU2:BU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Y34"/>
  <sheetViews>
    <sheetView showGridLines="0" zoomScaleNormal="100" workbookViewId="0">
      <pane xSplit="1" topLeftCell="B1" activePane="topRight" state="frozen"/>
      <selection pane="topRight" activeCell="C4" sqref="C4"/>
    </sheetView>
  </sheetViews>
  <sheetFormatPr defaultColWidth="0" defaultRowHeight="11.25" x14ac:dyDescent="0.2"/>
  <cols>
    <col min="1" max="1" width="9.7109375" style="36" customWidth="1"/>
    <col min="2" max="2" width="4.5703125" style="36" customWidth="1"/>
    <col min="3" max="4" width="9.42578125" style="36" customWidth="1"/>
    <col min="5" max="5" width="10.5703125" style="36" customWidth="1"/>
    <col min="6" max="6" width="9.42578125" style="36" customWidth="1"/>
    <col min="7" max="7" width="7.7109375" style="36" customWidth="1"/>
    <col min="8" max="8" width="13.28515625" style="36" customWidth="1"/>
    <col min="9" max="9" width="8.7109375" style="36" customWidth="1"/>
    <col min="10" max="10" width="9.42578125" style="36" customWidth="1"/>
    <col min="11" max="11" width="5.7109375" style="36" customWidth="1"/>
    <col min="12" max="12" width="7.28515625" style="36" customWidth="1"/>
    <col min="13" max="13" width="5.7109375" style="36" customWidth="1"/>
    <col min="14" max="14" width="6.7109375" style="36" bestFit="1" customWidth="1"/>
    <col min="15" max="18" width="5.7109375" style="36" customWidth="1"/>
    <col min="19" max="19" width="6.7109375" style="36" bestFit="1" customWidth="1"/>
    <col min="20" max="33" width="5.7109375" style="36" customWidth="1"/>
    <col min="34" max="34" width="6.7109375" style="36" customWidth="1"/>
    <col min="35" max="35" width="9" style="36" customWidth="1"/>
    <col min="36" max="36" width="9.5703125" style="36" customWidth="1"/>
    <col min="37" max="37" width="13" style="36" bestFit="1" customWidth="1"/>
    <col min="38" max="39" width="13.7109375" style="36" bestFit="1" customWidth="1"/>
    <col min="40" max="44" width="10.7109375" style="36" customWidth="1"/>
    <col min="45" max="45" width="14.85546875" style="38" bestFit="1" customWidth="1"/>
    <col min="46" max="46" width="12.140625" style="36" bestFit="1" customWidth="1"/>
    <col min="47" max="47" width="16.140625" style="36" bestFit="1" customWidth="1"/>
    <col min="48" max="49" width="8.7109375" style="36" customWidth="1"/>
    <col min="50" max="50" width="1.28515625" style="36" customWidth="1"/>
    <col min="51" max="51" width="14.140625" style="36" bestFit="1" customWidth="1"/>
    <col min="52" max="52" width="10.28515625" style="36" bestFit="1" customWidth="1"/>
    <col min="53" max="53" width="11.28515625" style="36" bestFit="1" customWidth="1"/>
    <col min="54" max="54" width="1.28515625" style="36" customWidth="1"/>
    <col min="55" max="55" width="11.28515625" style="73" bestFit="1" customWidth="1"/>
    <col min="56" max="56" width="11.7109375" style="73" bestFit="1" customWidth="1"/>
    <col min="57" max="57" width="17.7109375" style="73" bestFit="1" customWidth="1"/>
    <col min="58" max="58" width="8.28515625" style="73" bestFit="1" customWidth="1"/>
    <col min="59" max="59" width="12.7109375" style="73" bestFit="1" customWidth="1"/>
    <col min="60" max="60" width="9.42578125" style="73" bestFit="1" customWidth="1"/>
    <col min="61" max="61" width="1.28515625" style="36" customWidth="1"/>
    <col min="62" max="62" width="17.5703125" style="73" bestFit="1" customWidth="1"/>
    <col min="63" max="63" width="21.28515625" style="73" bestFit="1" customWidth="1"/>
    <col min="64" max="64" width="11.85546875" style="73" bestFit="1" customWidth="1"/>
    <col min="65" max="65" width="15.5703125" style="73" bestFit="1" customWidth="1"/>
    <col min="66" max="66" width="1.28515625" style="36" customWidth="1"/>
    <col min="67" max="67" width="8.28515625" style="36" bestFit="1" customWidth="1"/>
    <col min="68" max="68" width="11.28515625" style="36" bestFit="1" customWidth="1"/>
    <col min="69" max="69" width="12.42578125" style="73" bestFit="1" customWidth="1"/>
    <col min="70" max="70" width="11.7109375" style="36" bestFit="1" customWidth="1"/>
    <col min="71" max="71" width="7.28515625" style="36" bestFit="1" customWidth="1"/>
    <col min="72" max="72" width="1.28515625" style="36" customWidth="1"/>
    <col min="73" max="76" width="12.7109375" style="36" customWidth="1"/>
    <col min="77" max="78" width="10.7109375" style="36" customWidth="1"/>
    <col min="79" max="79" width="1.28515625" style="36" customWidth="1"/>
    <col min="80" max="81" width="10.7109375" style="36" customWidth="1"/>
    <col min="82" max="82" width="7" style="36" customWidth="1"/>
    <col min="83" max="84" width="10.7109375" style="36" customWidth="1"/>
    <col min="85" max="85" width="1.28515625" style="36" customWidth="1"/>
    <col min="86" max="103" width="0" style="36" hidden="1" customWidth="1"/>
    <col min="104" max="16384" width="10.7109375" style="36" hidden="1"/>
  </cols>
  <sheetData>
    <row r="1" spans="1:85" s="27" customFormat="1" ht="13.15" customHeight="1" thickBot="1" x14ac:dyDescent="0.25">
      <c r="A1" s="269" t="s">
        <v>0</v>
      </c>
      <c r="B1" s="27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2"/>
      <c r="AX1" s="39"/>
      <c r="AY1" s="271" t="s">
        <v>1</v>
      </c>
      <c r="AZ1" s="272"/>
      <c r="BA1" s="273"/>
      <c r="BB1" s="39"/>
      <c r="BC1" s="328" t="s">
        <v>2</v>
      </c>
      <c r="BD1" s="329"/>
      <c r="BE1" s="329"/>
      <c r="BF1" s="329"/>
      <c r="BG1" s="329"/>
      <c r="BH1" s="330"/>
      <c r="BI1" s="39"/>
      <c r="BJ1" s="328" t="s">
        <v>3</v>
      </c>
      <c r="BK1" s="329"/>
      <c r="BL1" s="329"/>
      <c r="BM1" s="330"/>
      <c r="BN1" s="39"/>
      <c r="BO1" s="256" t="s">
        <v>4</v>
      </c>
      <c r="BP1" s="257"/>
      <c r="BQ1" s="257"/>
      <c r="BR1" s="257"/>
      <c r="BS1" s="258"/>
      <c r="BT1" s="39"/>
      <c r="BU1" s="256" t="s">
        <v>5</v>
      </c>
      <c r="BV1" s="257"/>
      <c r="BW1" s="257"/>
      <c r="BX1" s="257"/>
      <c r="BY1" s="257"/>
      <c r="BZ1" s="258"/>
      <c r="CA1" s="39"/>
      <c r="CB1" s="256" t="s">
        <v>6</v>
      </c>
      <c r="CC1" s="257"/>
      <c r="CD1" s="257"/>
      <c r="CE1" s="257"/>
      <c r="CF1" s="258"/>
      <c r="CG1" s="39"/>
    </row>
    <row r="2" spans="1:85" s="27" customFormat="1" ht="15" customHeight="1" x14ac:dyDescent="0.2">
      <c r="A2" s="261" t="s">
        <v>7</v>
      </c>
      <c r="B2" s="263" t="s">
        <v>8</v>
      </c>
      <c r="C2" s="265" t="s">
        <v>9</v>
      </c>
      <c r="D2" s="259" t="s">
        <v>10</v>
      </c>
      <c r="E2" s="259" t="s">
        <v>11</v>
      </c>
      <c r="F2" s="259" t="s">
        <v>12</v>
      </c>
      <c r="G2" s="259" t="s">
        <v>13</v>
      </c>
      <c r="H2" s="267" t="s">
        <v>14</v>
      </c>
      <c r="I2" s="259" t="s">
        <v>15</v>
      </c>
      <c r="J2" s="259" t="s">
        <v>16</v>
      </c>
      <c r="K2" s="259" t="s">
        <v>17</v>
      </c>
      <c r="L2" s="274" t="s">
        <v>18</v>
      </c>
      <c r="M2" s="259" t="s">
        <v>83</v>
      </c>
      <c r="N2" s="259" t="s">
        <v>71</v>
      </c>
      <c r="O2" s="259" t="s">
        <v>19</v>
      </c>
      <c r="P2" s="259" t="s">
        <v>20</v>
      </c>
      <c r="Q2" s="259" t="s">
        <v>84</v>
      </c>
      <c r="R2" s="259" t="s">
        <v>21</v>
      </c>
      <c r="S2" s="259" t="s">
        <v>22</v>
      </c>
      <c r="T2" s="259" t="s">
        <v>23</v>
      </c>
      <c r="U2" s="259" t="s">
        <v>78</v>
      </c>
      <c r="V2" s="259" t="s">
        <v>24</v>
      </c>
      <c r="W2" s="259" t="s">
        <v>85</v>
      </c>
      <c r="X2" s="259" t="s">
        <v>25</v>
      </c>
      <c r="Y2" s="259" t="s">
        <v>70</v>
      </c>
      <c r="Z2" s="259" t="s">
        <v>79</v>
      </c>
      <c r="AA2" s="259" t="s">
        <v>76</v>
      </c>
      <c r="AB2" s="259" t="s">
        <v>77</v>
      </c>
      <c r="AC2" s="259" t="s">
        <v>80</v>
      </c>
      <c r="AD2" s="259" t="s">
        <v>75</v>
      </c>
      <c r="AE2" s="259" t="s">
        <v>74</v>
      </c>
      <c r="AF2" s="259" t="s">
        <v>72</v>
      </c>
      <c r="AG2" s="259" t="s">
        <v>73</v>
      </c>
      <c r="AH2" s="259" t="s">
        <v>26</v>
      </c>
      <c r="AI2" s="259" t="s">
        <v>27</v>
      </c>
      <c r="AJ2" s="259" t="s">
        <v>28</v>
      </c>
      <c r="AK2" s="276" t="s">
        <v>29</v>
      </c>
      <c r="AL2" s="276" t="s">
        <v>30</v>
      </c>
      <c r="AM2" s="286" t="s">
        <v>31</v>
      </c>
      <c r="AN2" s="286" t="s">
        <v>32</v>
      </c>
      <c r="AO2" s="286" t="s">
        <v>33</v>
      </c>
      <c r="AP2" s="286" t="s">
        <v>34</v>
      </c>
      <c r="AQ2" s="286" t="s">
        <v>35</v>
      </c>
      <c r="AR2" s="286" t="s">
        <v>36</v>
      </c>
      <c r="AS2" s="315" t="s">
        <v>37</v>
      </c>
      <c r="AT2" s="278" t="s">
        <v>82</v>
      </c>
      <c r="AU2" s="278" t="s">
        <v>81</v>
      </c>
      <c r="AV2" s="280" t="s">
        <v>38</v>
      </c>
      <c r="AW2" s="282" t="s">
        <v>39</v>
      </c>
      <c r="AX2" s="39"/>
      <c r="AY2" s="284" t="s">
        <v>40</v>
      </c>
      <c r="AZ2" s="311" t="s">
        <v>41</v>
      </c>
      <c r="BA2" s="313" t="s">
        <v>42</v>
      </c>
      <c r="BB2" s="39"/>
      <c r="BC2" s="317" t="s">
        <v>43</v>
      </c>
      <c r="BD2" s="319" t="s">
        <v>44</v>
      </c>
      <c r="BE2" s="319" t="s">
        <v>45</v>
      </c>
      <c r="BF2" s="319" t="s">
        <v>46</v>
      </c>
      <c r="BG2" s="319" t="s">
        <v>47</v>
      </c>
      <c r="BH2" s="323" t="s">
        <v>48</v>
      </c>
      <c r="BI2" s="39"/>
      <c r="BJ2" s="325" t="s">
        <v>49</v>
      </c>
      <c r="BK2" s="326" t="s">
        <v>50</v>
      </c>
      <c r="BL2" s="326" t="s">
        <v>51</v>
      </c>
      <c r="BM2" s="327" t="s">
        <v>52</v>
      </c>
      <c r="BN2" s="39"/>
      <c r="BO2" s="292" t="s">
        <v>53</v>
      </c>
      <c r="BP2" s="294" t="s">
        <v>54</v>
      </c>
      <c r="BQ2" s="321" t="s">
        <v>67</v>
      </c>
      <c r="BR2" s="294" t="s">
        <v>55</v>
      </c>
      <c r="BS2" s="298" t="s">
        <v>86</v>
      </c>
      <c r="BT2" s="39"/>
      <c r="BU2" s="300" t="s">
        <v>56</v>
      </c>
      <c r="BV2" s="290" t="s">
        <v>57</v>
      </c>
      <c r="BW2" s="290" t="s">
        <v>58</v>
      </c>
      <c r="BX2" s="259" t="s">
        <v>59</v>
      </c>
      <c r="BY2" s="290" t="s">
        <v>60</v>
      </c>
      <c r="BZ2" s="306" t="s">
        <v>61</v>
      </c>
      <c r="CA2" s="39"/>
      <c r="CB2" s="308" t="s">
        <v>62</v>
      </c>
      <c r="CC2" s="296" t="s">
        <v>63</v>
      </c>
      <c r="CD2" s="296" t="s">
        <v>64</v>
      </c>
      <c r="CE2" s="296" t="s">
        <v>65</v>
      </c>
      <c r="CF2" s="304" t="s">
        <v>66</v>
      </c>
      <c r="CG2" s="39"/>
    </row>
    <row r="3" spans="1:85" s="27" customFormat="1" ht="15" customHeight="1" thickBot="1" x14ac:dyDescent="0.25">
      <c r="A3" s="262"/>
      <c r="B3" s="264"/>
      <c r="C3" s="266"/>
      <c r="D3" s="260"/>
      <c r="E3" s="260"/>
      <c r="F3" s="260"/>
      <c r="G3" s="260"/>
      <c r="H3" s="268"/>
      <c r="I3" s="260"/>
      <c r="J3" s="260"/>
      <c r="K3" s="260"/>
      <c r="L3" s="275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77"/>
      <c r="AL3" s="277"/>
      <c r="AM3" s="287"/>
      <c r="AN3" s="287"/>
      <c r="AO3" s="287"/>
      <c r="AP3" s="287"/>
      <c r="AQ3" s="287"/>
      <c r="AR3" s="287"/>
      <c r="AS3" s="316"/>
      <c r="AT3" s="279"/>
      <c r="AU3" s="279"/>
      <c r="AV3" s="281"/>
      <c r="AW3" s="283" t="s">
        <v>38</v>
      </c>
      <c r="AX3" s="39"/>
      <c r="AY3" s="285"/>
      <c r="AZ3" s="312"/>
      <c r="BA3" s="314"/>
      <c r="BB3" s="39"/>
      <c r="BC3" s="318"/>
      <c r="BD3" s="320"/>
      <c r="BE3" s="320"/>
      <c r="BF3" s="320"/>
      <c r="BG3" s="320"/>
      <c r="BH3" s="324"/>
      <c r="BI3" s="39"/>
      <c r="BJ3" s="318"/>
      <c r="BK3" s="320"/>
      <c r="BL3" s="320"/>
      <c r="BM3" s="324"/>
      <c r="BN3" s="39"/>
      <c r="BO3" s="293"/>
      <c r="BP3" s="295"/>
      <c r="BQ3" s="322"/>
      <c r="BR3" s="295"/>
      <c r="BS3" s="299"/>
      <c r="BT3" s="39"/>
      <c r="BU3" s="301"/>
      <c r="BV3" s="291"/>
      <c r="BW3" s="291"/>
      <c r="BX3" s="260"/>
      <c r="BY3" s="291"/>
      <c r="BZ3" s="307"/>
      <c r="CA3" s="39"/>
      <c r="CB3" s="309"/>
      <c r="CC3" s="297"/>
      <c r="CD3" s="297"/>
      <c r="CE3" s="297"/>
      <c r="CF3" s="305"/>
      <c r="CG3" s="39"/>
    </row>
    <row r="4" spans="1:85" s="27" customFormat="1" ht="12.4" customHeight="1" thickBot="1" x14ac:dyDescent="0.25">
      <c r="A4" s="43">
        <f>EL_DEL_CD2_JO_!A4</f>
        <v>46296</v>
      </c>
      <c r="B4" s="44" t="str">
        <f t="shared" ref="B4:B31" si="0">+TEXT(A4,"DDD")</f>
        <v>Thu</v>
      </c>
      <c r="C4" s="2">
        <f>SUM(EL_DEL_CD1_STH_PTP_!C4,'Overall without PTP '!C4,ELEVATE_CD3_NTH_HB!C4,ELEVATE_CD3_STAB_HB!C4,ELEVATE_CD3_PTP_HB!C4)</f>
        <v>0</v>
      </c>
      <c r="D4" s="2">
        <f>SUM(EL_DEL_CD1_STH_PTP_!D4,'Overall without PTP '!D4,ELEVATE_CD3_NTH_HB!D4,ELEVATE_CD3_STAB_HB!D4,ELEVATE_CD3_PTP_HB!D4)</f>
        <v>0</v>
      </c>
      <c r="E4" s="3">
        <f>SUM(EL_DEL_CD1_STH_PTP_!E4,'Overall without PTP '!E4,ELEVATE_CD3_NTH_HB!E4,ELEVATE_CD3_STAB_HB!E4,ELEVATE_CD3_PTP_HB!E4)</f>
        <v>0</v>
      </c>
      <c r="F4" s="2">
        <f>SUM(EL_DEL_CD1_STH_PTP_!F4,'Overall without PTP '!F4,ELEVATE_CD3_NTH_HB!F4,ELEVATE_CD3_STAB_HB!F4,ELEVATE_CD3_PTP_HB!F4)</f>
        <v>0</v>
      </c>
      <c r="G4" s="2">
        <f>SUM(EL_DEL_CD1_STH_PTP_!G4,'Overall without PTP '!G4,ELEVATE_CD3_NTH_HB!G4,ELEVATE_CD3_STAB_HB!G4,ELEVATE_CD3_PTP_HB!G4)</f>
        <v>0</v>
      </c>
      <c r="H4" s="4">
        <f>SUM(EL_DEL_CD1_STH_PTP_!H4,'Overall without PTP '!H4,ELEVATE_CD3_NTH_HB!H4,ELEVATE_CD3_STAB_HB!H4,ELEVATE_CD3_PTP_HB!H4)</f>
        <v>0</v>
      </c>
      <c r="I4" s="4">
        <f>SUM(EL_DEL_CD1_STH_PTP_!I4,'Overall without PTP '!I4,ELEVATE_CD3_NTH_HB!I4,ELEVATE_CD3_STAB_HB!I4,ELEVATE_CD3_PTP_HB!I4)</f>
        <v>0</v>
      </c>
      <c r="J4" s="57">
        <f>SUM(EL_DEL_CD1_STH_PTP_!J4,'Overall without PTP '!J4,ELEVATE_CD3_NTH_HB!J4,ELEVATE_CD3_STAB_HB!J4,ELEVATE_CD3_PTP_HB!J4)</f>
        <v>0</v>
      </c>
      <c r="K4" s="5">
        <f>SUM(EL_DEL_CD1_STH_PTP_!K4,'Overall without PTP '!K4,ELEVATE_CD3_NTH_HB!K4,ELEVATE_CD3_STAB_HB!K4,ELEVATE_CD3_PTP_HB!K4)</f>
        <v>0</v>
      </c>
      <c r="L4" s="2">
        <f>SUM(EL_DEL_CD1_STH_PTP_!L4,'Overall without PTP '!L4,ELEVATE_CD3_NTH_HB!L4,ELEVATE_CD3_STAB_HB!L4,ELEVATE_CD3_PTP_HB!L4)</f>
        <v>0</v>
      </c>
      <c r="M4" s="2">
        <f>SUM(EL_DEL_CD1_STH_PTP_!M4,'Overall without PTP '!M4,ELEVATE_CD3_NTH_HB!M4,ELEVATE_CD3_STAB_HB!M4,ELEVATE_CD3_PTP_HB!M4)</f>
        <v>0</v>
      </c>
      <c r="N4" s="2">
        <f>SUM(EL_DEL_CD1_STH_PTP_!N4,'Overall without PTP '!N4,ELEVATE_CD3_NTH_HB!N4,ELEVATE_CD3_STAB_HB!N4,ELEVATE_CD3_PTP_HB!N4)</f>
        <v>0</v>
      </c>
      <c r="O4" s="2">
        <f>SUM(EL_DEL_CD1_STH_PTP_!O4,'Overall without PTP '!O4,ELEVATE_CD3_NTH_HB!O4,ELEVATE_CD3_STAB_HB!O4,ELEVATE_CD3_PTP_HB!O4)</f>
        <v>0</v>
      </c>
      <c r="P4" s="3">
        <f>SUM(EL_DEL_CD1_STH_PTP_!P4,'Overall without PTP '!P4,ELEVATE_CD3_NTH_HB!P4,ELEVATE_CD3_STAB_HB!P4,ELEVATE_CD3_PTP_HB!P4)</f>
        <v>0</v>
      </c>
      <c r="Q4" s="2">
        <f>SUM(EL_DEL_CD1_STH_PTP_!Q4,'Overall without PTP '!Q4,ELEVATE_CD3_NTH_HB!Q4,ELEVATE_CD3_STAB_HB!Q4,ELEVATE_CD3_PTP_HB!Q4)</f>
        <v>0</v>
      </c>
      <c r="R4" s="2">
        <f>SUM(EL_DEL_CD1_STH_PTP_!R4,'Overall without PTP '!R4,ELEVATE_CD3_NTH_HB!R4,ELEVATE_CD3_STAB_HB!R4,ELEVATE_CD3_PTP_HB!R4)</f>
        <v>0</v>
      </c>
      <c r="S4" s="2">
        <f>SUM(EL_DEL_CD1_STH_PTP_!S4,'Overall without PTP '!S4,ELEVATE_CD3_NTH_HB!S4,ELEVATE_CD3_STAB_HB!S4,ELEVATE_CD3_PTP_HB!S4)</f>
        <v>0</v>
      </c>
      <c r="T4" s="2">
        <f>SUM(EL_DEL_CD1_STH_PTP_!T4,'Overall without PTP '!T4,ELEVATE_CD3_NTH_HB!T4,ELEVATE_CD3_STAB_HB!T4,ELEVATE_CD3_PTP_HB!T4)</f>
        <v>0</v>
      </c>
      <c r="U4" s="3">
        <f>SUM(EL_DEL_CD1_STH_PTP_!V4,'Overall without PTP '!V4,ELEVATE_CD3_NTH_HB!U4,ELEVATE_CD3_STAB_HB!U4,ELEVATE_CD3_PTP_HB!U4)</f>
        <v>0</v>
      </c>
      <c r="V4" s="3">
        <f>SUM(EL_DEL_CD1_STH_PTP_!W4,'Overall without PTP '!W4,ELEVATE_CD3_NTH_HB!V4,ELEVATE_CD3_STAB_HB!V4,ELEVATE_CD3_PTP_HB!V4)</f>
        <v>0</v>
      </c>
      <c r="W4" s="2">
        <f>SUM(EL_DEL_CD1_STH_PTP_!X4,'Overall without PTP '!X4,ELEVATE_CD3_NTH_HB!W4,ELEVATE_CD3_STAB_HB!W4,ELEVATE_CD3_PTP_HB!W4)</f>
        <v>0</v>
      </c>
      <c r="X4" s="2">
        <f>SUM(EL_DEL_CD1_STH_PTP_!Y4,'Overall without PTP '!Y4,ELEVATE_CD3_NTH_HB!X4,ELEVATE_CD3_STAB_HB!X4,ELEVATE_CD3_PTP_HB!X4)</f>
        <v>0</v>
      </c>
      <c r="Y4" s="2">
        <f>SUM(EL_DEL_CD1_STH_PTP_!Z4,'Overall without PTP '!Z4,ELEVATE_CD3_NTH_HB!Y4,ELEVATE_CD3_STAB_HB!Y4,ELEVATE_CD3_PTP_HB!Y4)</f>
        <v>0</v>
      </c>
      <c r="Z4" s="2">
        <f>SUM(EL_DEL_CD1_STH_PTP_!AA4,'Overall without PTP '!AA4,ELEVATE_CD3_NTH_HB!Z4,ELEVATE_CD3_STAB_HB!Z4,ELEVATE_CD3_PTP_HB!Z4)</f>
        <v>0</v>
      </c>
      <c r="AA4" s="2">
        <f>SUM(EL_DEL_CD1_STH_PTP_!AB4,'Overall without PTP '!AB4,ELEVATE_CD3_NTH_HB!AA4,ELEVATE_CD3_STAB_HB!AA4,ELEVATE_CD3_PTP_HB!AA4)</f>
        <v>0</v>
      </c>
      <c r="AB4" s="2">
        <f>SUM(EL_DEL_CD1_STH_PTP_!AC4,'Overall without PTP '!AC4,ELEVATE_CD3_NTH_HB!AB4,ELEVATE_CD3_STAB_HB!AB4,ELEVATE_CD3_PTP_HB!AB4)</f>
        <v>0</v>
      </c>
      <c r="AC4" s="2">
        <f>SUM(EL_DEL_CD1_STH_PTP_!AD4,'Overall without PTP '!AD4,ELEVATE_CD3_NTH_HB!AC4,ELEVATE_CD3_STAB_HB!AC4,ELEVATE_CD3_PTP_HB!AC4)</f>
        <v>0</v>
      </c>
      <c r="AD4" s="2">
        <f>SUM(EL_DEL_CD1_STH_PTP_!AE4,'Overall without PTP '!AE4,ELEVATE_CD3_NTH_HB!AD4,ELEVATE_CD3_STAB_HB!AD4,ELEVATE_CD3_PTP_HB!AD4)</f>
        <v>0</v>
      </c>
      <c r="AE4" s="3">
        <f>SUM(EL_DEL_CD1_STH_PTP_!AF4,'Overall without PTP '!AF4,ELEVATE_CD3_NTH_HB!AE4,ELEVATE_CD3_STAB_HB!AE4,ELEVATE_CD3_PTP_HB!AE4)</f>
        <v>0</v>
      </c>
      <c r="AF4" s="3">
        <f>SUM(EL_DEL_CD1_STH_PTP_!AG4,'Overall without PTP '!AG4,ELEVATE_CD3_NTH_HB!AF4,ELEVATE_CD3_STAB_HB!AF4,ELEVATE_CD3_PTP_HB!AF4)</f>
        <v>0</v>
      </c>
      <c r="AG4" s="2">
        <f>SUM(EL_DEL_CD1_STH_PTP_!AH4,'Overall without PTP '!AH4,ELEVATE_CD3_NTH_HB!AG4,ELEVATE_CD3_STAB_HB!AG4,ELEVATE_CD3_PTP_HB!AG4)</f>
        <v>0</v>
      </c>
      <c r="AH4" s="6">
        <f>SUM(EL_DEL_CD1_STH_PTP_!AI4,'Overall without PTP '!AI4,ELEVATE_CD3_NTH_HB!AH4,ELEVATE_CD3_STAB_HB!AH4,ELEVATE_CD3_PTP_HB!AH4)</f>
        <v>0</v>
      </c>
      <c r="AI4" s="7">
        <f>SUM(EL_DEL_CD1_STH_PTP_!AJ4,'Overall without PTP '!AJ4,ELEVATE_CD3_NTH_HB!AI4,ELEVATE_CD3_STAB_HB!AI4,ELEVATE_CD3_PTP_HB!AI4)</f>
        <v>0</v>
      </c>
      <c r="AJ4" s="6">
        <f>SUM(EL_DEL_CD1_STH_PTP_!AK4,'Overall without PTP '!AK4,ELEVATE_CD3_NTH_HB!AJ4,ELEVATE_CD3_STAB_HB!AJ4,ELEVATE_CD3_PTP_HB!AJ4)</f>
        <v>0</v>
      </c>
      <c r="AK4" s="59" t="str">
        <f>IFERROR(AVERAGE(EL_DEL_CD1_STH_PTP_!AL4,'Overall without PTP '!AL4,ELEVATE_CD3_NTH_HB!AK4,ELEVATE_CD3_STAB_HB!AK4,ELEVATE_CD3_PTP_HB!AK4),"")</f>
        <v/>
      </c>
      <c r="AL4" s="59" t="str">
        <f>IFERROR(AVERAGE(EL_DEL_CD1_STH_PTP_!AM4,'Overall without PTP '!AM4,ELEVATE_CD3_NTH_HB!AL4,ELEVATE_CD3_STAB_HB!AL4,ELEVATE_CD3_PTP_HB!AL4),"")</f>
        <v/>
      </c>
      <c r="AM4" s="59" t="str">
        <f>IFERROR(AVERAGE(EL_DEL_CD1_STH_PTP_!AN4,'Overall without PTP '!AN4,ELEVATE_CD3_NTH_HB!AM4,ELEVATE_CD3_STAB_HB!AM4,ELEVATE_CD3_PTP_HB!AM4),"")</f>
        <v/>
      </c>
      <c r="AN4" s="59" t="str">
        <f>IFERROR(AVERAGE(EL_DEL_CD1_STH_PTP_!AO4,'Overall without PTP '!AO4,ELEVATE_CD3_NTH_HB!AN4,ELEVATE_CD3_STAB_HB!AN4,ELEVATE_CD3_PTP_HB!AN4),"")</f>
        <v/>
      </c>
      <c r="AO4" s="59" t="str">
        <f>IFERROR(AVERAGE(EL_DEL_CD1_STH_PTP_!AP4,'Overall without PTP '!AP4,ELEVATE_CD3_NTH_HB!AO4,ELEVATE_CD3_STAB_HB!AO4,ELEVATE_CD3_PTP_HB!AO4),"")</f>
        <v/>
      </c>
      <c r="AP4" s="59" t="str">
        <f>IFERROR(AVERAGE(EL_DEL_CD1_STH_PTP_!AQ4,'Overall without PTP '!AQ4,ELEVATE_CD3_NTH_HB!AP4,ELEVATE_CD3_STAB_HB!AP4,ELEVATE_CD3_PTP_HB!AP4),"")</f>
        <v/>
      </c>
      <c r="AQ4" s="59" t="str">
        <f>IFERROR(AVERAGE(EL_DEL_CD1_STH_PTP_!AR4,'Overall without PTP '!AR4,ELEVATE_CD3_NTH_HB!AQ4,ELEVATE_CD3_STAB_HB!AQ4,ELEVATE_CD3_PTP_HB!AQ4),"")</f>
        <v/>
      </c>
      <c r="AR4" s="59" t="str">
        <f>IFERROR(AVERAGE(EL_DEL_CD1_STH_PTP_!AS4,'Overall without PTP '!AS4,ELEVATE_CD3_NTH_HB!AR4,ELEVATE_CD3_STAB_HB!AR4,ELEVATE_CD3_PTP_HB!AR4),"")</f>
        <v/>
      </c>
      <c r="AS4" s="8">
        <f>SUM(EL_DEL_CD1_STH_PTP_!AT4,'Overall without PTP '!AT4,ELEVATE_CD3_NTH_HB!AS4,ELEVATE_CD3_STAB_HB!AS4,ELEVATE_CD3_PTP_HB!AS4)</f>
        <v>0</v>
      </c>
      <c r="AT4" s="8">
        <f>SUM(EL_DEL_CD1_STH_PTP_!AU4,'Overall without PTP '!AU4,ELEVATE_CD3_NTH_HB!AT4,ELEVATE_CD3_STAB_HB!AT4,ELEVATE_CD3_PTP_HB!AT4)</f>
        <v>0</v>
      </c>
      <c r="AU4" s="9">
        <f>SUM(EL_DEL_CD1_STH_PTP_!AV4,'Overall without PTP '!AV4,ELEVATE_CD3_NTH_HB!AU4,ELEVATE_CD3_STAB_HB!AU4,ELEVATE_CD3_PTP_HB!AU4)</f>
        <v>0</v>
      </c>
      <c r="AV4" s="8">
        <f>IFERROR(AVERAGE(EL_DEL_CD1_STH_PTP_!AW4,'Overall without PTP '!AW4,ELEVATE_CD3_NTH_HB!AV4,ELEVATE_CD3_STAB_HB!AV4,ELEVATE_CD3_PTP_HB!AV4),"")</f>
        <v>0</v>
      </c>
      <c r="AW4" s="10" t="str">
        <f>IFERROR(AM4/AV4,"-")</f>
        <v>-</v>
      </c>
      <c r="AX4" s="39"/>
      <c r="AY4" s="1" t="str">
        <f t="shared" ref="AY4:AY33" si="1">IF(E4&gt;0,F4/E4,"")</f>
        <v/>
      </c>
      <c r="AZ4" s="11" t="str">
        <f t="shared" ref="AZ4:AZ33" si="2">+IF(E4&gt;0,G4/E4,"")</f>
        <v/>
      </c>
      <c r="BA4" s="84" t="str">
        <f t="shared" ref="BA4:BA33" si="3">+IF(E4&gt;0,AI4/E4,"")</f>
        <v/>
      </c>
      <c r="BB4" s="39"/>
      <c r="BC4" s="82" t="str">
        <f>+IF(G4&gt;0,I4/G4,"")</f>
        <v/>
      </c>
      <c r="BD4" s="70" t="str">
        <f>+IF(G4&gt;0,J4/G4,"")</f>
        <v/>
      </c>
      <c r="BE4" s="70" t="str">
        <f>+IF(I4&gt;0,L4/I4,"")</f>
        <v/>
      </c>
      <c r="BF4" s="70" t="str">
        <f>+IF(SUM(AN4:AQ4)&gt;0,AN4/AM4,"")</f>
        <v/>
      </c>
      <c r="BG4" s="70" t="str">
        <f>+IF(G4&gt;0,K4/G4,"")</f>
        <v/>
      </c>
      <c r="BH4" s="83" t="str">
        <f>+IF(SUM(AN4:AQ4)&gt;0,AP4/AM4,"")</f>
        <v/>
      </c>
      <c r="BI4" s="39"/>
      <c r="BJ4" s="75" t="str">
        <f t="shared" ref="BJ4:BJ33" si="4">+IF(E4&gt;0,(AI4/E4),"")</f>
        <v/>
      </c>
      <c r="BK4" s="76" t="str">
        <f t="shared" ref="BK4:BK33" si="5">+IF(E4&gt;0,(AI4/F4),"")</f>
        <v/>
      </c>
      <c r="BL4" s="76" t="str">
        <f t="shared" ref="BL4:BL33" si="6">+IF(E4&gt;0,(AI4/G4),"")</f>
        <v/>
      </c>
      <c r="BM4" s="77" t="str">
        <f t="shared" ref="BM4:BM33" si="7">+IF(E4&gt;0,(AI4/J4),"")</f>
        <v/>
      </c>
      <c r="BN4" s="39"/>
      <c r="BO4" s="14" t="str">
        <f>IF(AI4&gt;0,(N4/AI4),"")</f>
        <v/>
      </c>
      <c r="BP4" s="15">
        <v>0</v>
      </c>
      <c r="BQ4" s="74" t="str">
        <f t="shared" ref="BQ4:BQ33" si="8">IF(AI4&gt;0,(AJ4/AI4),"")</f>
        <v/>
      </c>
      <c r="BR4" s="15" t="str">
        <f t="shared" ref="BR4:BR33" si="9">IF(AI4&gt;0,(AJ4/AI4),"")</f>
        <v/>
      </c>
      <c r="BS4" s="16" t="str">
        <f>IF(J4&gt;0,AC4/J4,"")</f>
        <v/>
      </c>
      <c r="BT4" s="39"/>
      <c r="BU4" s="28" t="e">
        <f t="shared" ref="BU4:BU33" si="10">IF(AM4&gt;0,(E4/AM4),"")</f>
        <v>#VALUE!</v>
      </c>
      <c r="BV4" s="28" t="e">
        <f>IF(AM4&gt;0,(G4/AM4),"")</f>
        <v>#VALUE!</v>
      </c>
      <c r="BW4" s="28" t="e">
        <f>IF(AM4&gt;0,(J4/AM4),"")</f>
        <v>#VALUE!</v>
      </c>
      <c r="BX4" s="28" t="e">
        <f>IF(AM4&gt;0,(K4/AM4),"")</f>
        <v>#VALUE!</v>
      </c>
      <c r="BY4" s="28" t="e">
        <f>IF(AM4&gt;0,(AI4/AM4),"")</f>
        <v>#VALUE!</v>
      </c>
      <c r="BZ4" s="52" t="e">
        <f t="shared" ref="BZ4:BZ33" si="11">IF(AM4&gt;0,(AJ4/AM4),"")</f>
        <v>#VALUE!</v>
      </c>
      <c r="CA4" s="39"/>
      <c r="CB4" s="49" t="str">
        <f>IFERROR(((AM4-AN4)*3600)/J4,"-")</f>
        <v>-</v>
      </c>
      <c r="CC4" s="29" t="str">
        <f>IFERROR((AQ4*3600)/J4,"-")</f>
        <v>-</v>
      </c>
      <c r="CD4" s="29" t="str">
        <f>IFERROR((AP4*3600)/J4,"-")</f>
        <v>-</v>
      </c>
      <c r="CE4" s="29" t="str">
        <f>IFERROR((AN4*3600)/J4,"-")</f>
        <v>-</v>
      </c>
      <c r="CF4" s="50" t="str">
        <f>IFERROR((AO4*3600)/J4,"-")</f>
        <v>-</v>
      </c>
      <c r="CG4" s="39"/>
    </row>
    <row r="5" spans="1:85" s="27" customFormat="1" ht="12.4" customHeight="1" thickBot="1" x14ac:dyDescent="0.25">
      <c r="A5" s="43">
        <f>A4+1</f>
        <v>46297</v>
      </c>
      <c r="B5" s="44" t="str">
        <f t="shared" si="0"/>
        <v>Fri</v>
      </c>
      <c r="C5" s="2">
        <f>SUM(EL_DEL_CD1_STH_PTP_!C5,'Overall without PTP '!C5,ELEVATE_CD3_NTH_HB!C5,ELEVATE_CD3_STAB_HB!C5,ELEVATE_CD3_PTP_HB!C5)</f>
        <v>0</v>
      </c>
      <c r="D5" s="2">
        <f>SUM(EL_DEL_CD1_STH_PTP_!D5,'Overall without PTP '!D5,ELEVATE_CD3_NTH_HB!D5,ELEVATE_CD3_STAB_HB!D5,ELEVATE_CD3_PTP_HB!D5)</f>
        <v>0</v>
      </c>
      <c r="E5" s="3">
        <f>SUM(EL_DEL_CD1_STH_PTP_!E5,'Overall without PTP '!E5,ELEVATE_CD3_NTH_HB!E5,ELEVATE_CD3_STAB_HB!E5,ELEVATE_CD3_PTP_HB!E5)</f>
        <v>0</v>
      </c>
      <c r="F5" s="2">
        <f>SUM(EL_DEL_CD1_STH_PTP_!F5,'Overall without PTP '!F5,ELEVATE_CD3_NTH_HB!F5,ELEVATE_CD3_STAB_HB!F5,ELEVATE_CD3_PTP_HB!F5)</f>
        <v>0</v>
      </c>
      <c r="G5" s="2">
        <f>SUM(EL_DEL_CD1_STH_PTP_!G5,'Overall without PTP '!G5,ELEVATE_CD3_NTH_HB!G5,ELEVATE_CD3_STAB_HB!G5,ELEVATE_CD3_PTP_HB!G5)</f>
        <v>0</v>
      </c>
      <c r="H5" s="4">
        <f>SUM(EL_DEL_CD1_STH_PTP_!H5,'Overall without PTP '!H5,ELEVATE_CD3_NTH_HB!H5,ELEVATE_CD3_STAB_HB!H5,ELEVATE_CD3_PTP_HB!H5)</f>
        <v>0</v>
      </c>
      <c r="I5" s="4">
        <f>SUM(EL_DEL_CD1_STH_PTP_!I5,'Overall without PTP '!I5,ELEVATE_CD3_NTH_HB!I5,ELEVATE_CD3_STAB_HB!I5,ELEVATE_CD3_PTP_HB!I5)</f>
        <v>0</v>
      </c>
      <c r="J5" s="57">
        <f>SUM(EL_DEL_CD1_STH_PTP_!J5,'Overall without PTP '!J5,ELEVATE_CD3_NTH_HB!J5,ELEVATE_CD3_STAB_HB!J5,ELEVATE_CD3_PTP_HB!J5)</f>
        <v>0</v>
      </c>
      <c r="K5" s="5">
        <f>SUM(EL_DEL_CD1_STH_PTP_!K5,'Overall without PTP '!K5,ELEVATE_CD3_NTH_HB!K5,ELEVATE_CD3_STAB_HB!K5,ELEVATE_CD3_PTP_HB!K5)</f>
        <v>0</v>
      </c>
      <c r="L5" s="2">
        <f>SUM(EL_DEL_CD1_STH_PTP_!L5,'Overall without PTP '!L5,ELEVATE_CD3_NTH_HB!L5,ELEVATE_CD3_STAB_HB!L5,ELEVATE_CD3_PTP_HB!L5)</f>
        <v>0</v>
      </c>
      <c r="M5" s="2">
        <f>SUM(EL_DEL_CD1_STH_PTP_!M5,'Overall without PTP '!M5,ELEVATE_CD3_NTH_HB!M5,ELEVATE_CD3_STAB_HB!M5,ELEVATE_CD3_PTP_HB!M5)</f>
        <v>0</v>
      </c>
      <c r="N5" s="2">
        <f>SUM(EL_DEL_CD1_STH_PTP_!N5,'Overall without PTP '!N5,ELEVATE_CD3_NTH_HB!N5,ELEVATE_CD3_STAB_HB!N5,ELEVATE_CD3_PTP_HB!N5)</f>
        <v>0</v>
      </c>
      <c r="O5" s="2">
        <f>SUM(EL_DEL_CD1_STH_PTP_!O5,'Overall without PTP '!O5,ELEVATE_CD3_NTH_HB!O5,ELEVATE_CD3_STAB_HB!O5,ELEVATE_CD3_PTP_HB!O5)</f>
        <v>0</v>
      </c>
      <c r="P5" s="3">
        <f>SUM(EL_DEL_CD1_STH_PTP_!P5,'Overall without PTP '!P5,ELEVATE_CD3_NTH_HB!P5,ELEVATE_CD3_STAB_HB!P5,ELEVATE_CD3_PTP_HB!P5)</f>
        <v>0</v>
      </c>
      <c r="Q5" s="2">
        <f>SUM(EL_DEL_CD1_STH_PTP_!Q5,'Overall without PTP '!Q5,ELEVATE_CD3_NTH_HB!Q5,ELEVATE_CD3_STAB_HB!Q5,ELEVATE_CD3_PTP_HB!Q5)</f>
        <v>0</v>
      </c>
      <c r="R5" s="2">
        <f>SUM(EL_DEL_CD1_STH_PTP_!R5,'Overall without PTP '!R5,ELEVATE_CD3_NTH_HB!R5,ELEVATE_CD3_STAB_HB!R5,ELEVATE_CD3_PTP_HB!R5)</f>
        <v>0</v>
      </c>
      <c r="S5" s="2">
        <f>SUM(EL_DEL_CD1_STH_PTP_!S5,'Overall without PTP '!S5,ELEVATE_CD3_NTH_HB!S5,ELEVATE_CD3_STAB_HB!S5,ELEVATE_CD3_PTP_HB!S5)</f>
        <v>0</v>
      </c>
      <c r="T5" s="2">
        <f>SUM(EL_DEL_CD1_STH_PTP_!T5,'Overall without PTP '!T5,ELEVATE_CD3_NTH_HB!T5,ELEVATE_CD3_STAB_HB!T5,ELEVATE_CD3_PTP_HB!T5)</f>
        <v>0</v>
      </c>
      <c r="U5" s="3">
        <f>SUM(EL_DEL_CD1_STH_PTP_!V5,'Overall without PTP '!V5,ELEVATE_CD3_NTH_HB!U5,ELEVATE_CD3_STAB_HB!U5,ELEVATE_CD3_PTP_HB!U5)</f>
        <v>0</v>
      </c>
      <c r="V5" s="3">
        <f>SUM(EL_DEL_CD1_STH_PTP_!W5,'Overall without PTP '!W5,ELEVATE_CD3_NTH_HB!V5,ELEVATE_CD3_STAB_HB!V5,ELEVATE_CD3_PTP_HB!V5)</f>
        <v>0</v>
      </c>
      <c r="W5" s="2">
        <f>SUM(EL_DEL_CD1_STH_PTP_!X5,'Overall without PTP '!X5,ELEVATE_CD3_NTH_HB!W5,ELEVATE_CD3_STAB_HB!W5,ELEVATE_CD3_PTP_HB!W5)</f>
        <v>0</v>
      </c>
      <c r="X5" s="2">
        <f>SUM(EL_DEL_CD1_STH_PTP_!Y5,'Overall without PTP '!Y5,ELEVATE_CD3_NTH_HB!X5,ELEVATE_CD3_STAB_HB!X5,ELEVATE_CD3_PTP_HB!X5)</f>
        <v>0</v>
      </c>
      <c r="Y5" s="2">
        <f>SUM(EL_DEL_CD1_STH_PTP_!Z5,'Overall without PTP '!Z5,ELEVATE_CD3_NTH_HB!Y5,ELEVATE_CD3_STAB_HB!Y5,ELEVATE_CD3_PTP_HB!Y5)</f>
        <v>0</v>
      </c>
      <c r="Z5" s="2">
        <f>SUM(EL_DEL_CD1_STH_PTP_!AA5,'Overall without PTP '!AA5,ELEVATE_CD3_NTH_HB!Z5,ELEVATE_CD3_STAB_HB!Z5,ELEVATE_CD3_PTP_HB!Z5)</f>
        <v>0</v>
      </c>
      <c r="AA5" s="2">
        <f>SUM(EL_DEL_CD1_STH_PTP_!AB5,'Overall without PTP '!AB5,ELEVATE_CD3_NTH_HB!AA5,ELEVATE_CD3_STAB_HB!AA5,ELEVATE_CD3_PTP_HB!AA5)</f>
        <v>0</v>
      </c>
      <c r="AB5" s="2">
        <f>SUM(EL_DEL_CD1_STH_PTP_!AC5,'Overall without PTP '!AC5,ELEVATE_CD3_NTH_HB!AB5,ELEVATE_CD3_STAB_HB!AB5,ELEVATE_CD3_PTP_HB!AB5)</f>
        <v>0</v>
      </c>
      <c r="AC5" s="2">
        <f>SUM(EL_DEL_CD1_STH_PTP_!AD5,'Overall without PTP '!AD5,ELEVATE_CD3_NTH_HB!AC5,ELEVATE_CD3_STAB_HB!AC5,ELEVATE_CD3_PTP_HB!AC5)</f>
        <v>0</v>
      </c>
      <c r="AD5" s="2">
        <f>SUM(EL_DEL_CD1_STH_PTP_!AE5,'Overall without PTP '!AE5,ELEVATE_CD3_NTH_HB!AD5,ELEVATE_CD3_STAB_HB!AD5,ELEVATE_CD3_PTP_HB!AD5)</f>
        <v>0</v>
      </c>
      <c r="AE5" s="3">
        <f>SUM(EL_DEL_CD1_STH_PTP_!AF5,'Overall without PTP '!AF5,ELEVATE_CD3_NTH_HB!AE5,ELEVATE_CD3_STAB_HB!AE5,ELEVATE_CD3_PTP_HB!AE5)</f>
        <v>0</v>
      </c>
      <c r="AF5" s="3">
        <f>SUM(EL_DEL_CD1_STH_PTP_!AG5,'Overall without PTP '!AG5,ELEVATE_CD3_NTH_HB!AF5,ELEVATE_CD3_STAB_HB!AF5,ELEVATE_CD3_PTP_HB!AF5)</f>
        <v>0</v>
      </c>
      <c r="AG5" s="2">
        <f>SUM(EL_DEL_CD1_STH_PTP_!AH5,'Overall without PTP '!AH5,ELEVATE_CD3_NTH_HB!AG5,ELEVATE_CD3_STAB_HB!AG5,ELEVATE_CD3_PTP_HB!AG5)</f>
        <v>0</v>
      </c>
      <c r="AH5" s="6">
        <f>SUM(EL_DEL_CD1_STH_PTP_!AI5,'Overall without PTP '!AI5,ELEVATE_CD3_NTH_HB!AH5,ELEVATE_CD3_STAB_HB!AH5,ELEVATE_CD3_PTP_HB!AH5)</f>
        <v>0</v>
      </c>
      <c r="AI5" s="7">
        <f>SUM(EL_DEL_CD1_STH_PTP_!AJ5,'Overall without PTP '!AJ5,ELEVATE_CD3_NTH_HB!AI5,ELEVATE_CD3_STAB_HB!AI5,ELEVATE_CD3_PTP_HB!AI5)</f>
        <v>0</v>
      </c>
      <c r="AJ5" s="6">
        <f>SUM(EL_DEL_CD1_STH_PTP_!AK5,'Overall without PTP '!AK5,ELEVATE_CD3_NTH_HB!AJ5,ELEVATE_CD3_STAB_HB!AJ5,ELEVATE_CD3_PTP_HB!AJ5)</f>
        <v>0</v>
      </c>
      <c r="AK5" s="59" t="str">
        <f>IFERROR(AVERAGE(EL_DEL_CD1_STH_PTP_!AL5,'Overall without PTP '!AL5,ELEVATE_CD3_NTH_HB!AK5,ELEVATE_CD3_STAB_HB!AK5,ELEVATE_CD3_PTP_HB!AK5),"")</f>
        <v/>
      </c>
      <c r="AL5" s="59" t="str">
        <f>IFERROR(AVERAGE(EL_DEL_CD1_STH_PTP_!AM5,'Overall without PTP '!AM5,ELEVATE_CD3_NTH_HB!AL5,ELEVATE_CD3_STAB_HB!AL5,ELEVATE_CD3_PTP_HB!AL5),"")</f>
        <v/>
      </c>
      <c r="AM5" s="59" t="str">
        <f>IFERROR(AVERAGE(EL_DEL_CD1_STH_PTP_!AN5,'Overall without PTP '!AN5,ELEVATE_CD3_NTH_HB!AM5,ELEVATE_CD3_STAB_HB!AM5,ELEVATE_CD3_PTP_HB!AM5),"")</f>
        <v/>
      </c>
      <c r="AN5" s="59" t="str">
        <f>IFERROR(AVERAGE(EL_DEL_CD1_STH_PTP_!AO5,'Overall without PTP '!AO5,ELEVATE_CD3_NTH_HB!AN5,ELEVATE_CD3_STAB_HB!AN5,ELEVATE_CD3_PTP_HB!AN5),"")</f>
        <v/>
      </c>
      <c r="AO5" s="59" t="str">
        <f>IFERROR(AVERAGE(EL_DEL_CD1_STH_PTP_!AP5,'Overall without PTP '!AP5,ELEVATE_CD3_NTH_HB!AO5,ELEVATE_CD3_STAB_HB!AO5,ELEVATE_CD3_PTP_HB!AO5),"")</f>
        <v/>
      </c>
      <c r="AP5" s="59" t="str">
        <f>IFERROR(AVERAGE(EL_DEL_CD1_STH_PTP_!AQ5,'Overall without PTP '!AQ5,ELEVATE_CD3_NTH_HB!AP5,ELEVATE_CD3_STAB_HB!AP5,ELEVATE_CD3_PTP_HB!AP5),"")</f>
        <v/>
      </c>
      <c r="AQ5" s="59" t="str">
        <f>IFERROR(AVERAGE(EL_DEL_CD1_STH_PTP_!AR5,'Overall without PTP '!AR5,ELEVATE_CD3_NTH_HB!AQ5,ELEVATE_CD3_STAB_HB!AQ5,ELEVATE_CD3_PTP_HB!AQ5),"")</f>
        <v/>
      </c>
      <c r="AR5" s="59" t="str">
        <f>IFERROR(AVERAGE(EL_DEL_CD1_STH_PTP_!AS5,'Overall without PTP '!AS5,ELEVATE_CD3_NTH_HB!AR5,ELEVATE_CD3_STAB_HB!AR5,ELEVATE_CD3_PTP_HB!AR5),"")</f>
        <v/>
      </c>
      <c r="AS5" s="8">
        <f>SUM(EL_DEL_CD1_STH_PTP_!AT5,'Overall without PTP '!AT5,ELEVATE_CD3_NTH_HB!AS5,ELEVATE_CD3_STAB_HB!AS5,ELEVATE_CD3_PTP_HB!AS5)</f>
        <v>0</v>
      </c>
      <c r="AT5" s="8">
        <f>SUM(EL_DEL_CD1_STH_PTP_!AU5,'Overall without PTP '!AU5,ELEVATE_CD3_NTH_HB!AT5,ELEVATE_CD3_STAB_HB!AT5,ELEVATE_CD3_PTP_HB!AT5)</f>
        <v>0</v>
      </c>
      <c r="AU5" s="9">
        <f>SUM(EL_DEL_CD1_STH_PTP_!AV5,'Overall without PTP '!AV5,ELEVATE_CD3_NTH_HB!AU5,ELEVATE_CD3_STAB_HB!AU5,ELEVATE_CD3_PTP_HB!AU5)</f>
        <v>0</v>
      </c>
      <c r="AV5" s="8">
        <f>IFERROR(AVERAGE(EL_DEL_CD1_STH_PTP_!AW5,'Overall without PTP '!AW5,ELEVATE_CD3_NTH_HB!AV5,ELEVATE_CD3_STAB_HB!AV5,ELEVATE_CD3_PTP_HB!AV5),"")</f>
        <v>0</v>
      </c>
      <c r="AW5" s="10" t="str">
        <f t="shared" ref="AW5:AW33" si="12">IFERROR(AM5/AV5,"-")</f>
        <v>-</v>
      </c>
      <c r="AX5" s="39"/>
      <c r="AY5" s="1" t="str">
        <f t="shared" si="1"/>
        <v/>
      </c>
      <c r="AZ5" s="11" t="str">
        <f t="shared" si="2"/>
        <v/>
      </c>
      <c r="BA5" s="84" t="str">
        <f t="shared" si="3"/>
        <v/>
      </c>
      <c r="BB5" s="39"/>
      <c r="BC5" s="82" t="str">
        <f t="shared" ref="BC5:BC33" si="13">+IF(G5&gt;0,I5/G5,"")</f>
        <v/>
      </c>
      <c r="BD5" s="70" t="str">
        <f t="shared" ref="BD5:BD33" si="14">+IF(G5&gt;0,J5/G5,"")</f>
        <v/>
      </c>
      <c r="BE5" s="70" t="str">
        <f t="shared" ref="BE5:BE33" si="15">+IF(I5&gt;0,L5/I5,"")</f>
        <v/>
      </c>
      <c r="BF5" s="70" t="str">
        <f t="shared" ref="BF5:BF33" si="16">+IF(SUM(AN5:AQ5)&gt;0,AN5/AM5,"")</f>
        <v/>
      </c>
      <c r="BG5" s="70" t="str">
        <f t="shared" ref="BG5:BG33" si="17">+IF(G5&gt;0,K5/G5,"")</f>
        <v/>
      </c>
      <c r="BH5" s="83" t="str">
        <f t="shared" ref="BH5:BH33" si="18">+IF(SUM(AN5:AQ5)&gt;0,AP5/AM5,"")</f>
        <v/>
      </c>
      <c r="BI5" s="39"/>
      <c r="BJ5" s="75" t="str">
        <f t="shared" si="4"/>
        <v/>
      </c>
      <c r="BK5" s="76" t="str">
        <f t="shared" si="5"/>
        <v/>
      </c>
      <c r="BL5" s="76" t="str">
        <f t="shared" si="6"/>
        <v/>
      </c>
      <c r="BM5" s="77" t="str">
        <f t="shared" si="7"/>
        <v/>
      </c>
      <c r="BN5" s="39"/>
      <c r="BO5" s="14" t="str">
        <f t="shared" ref="BO5:BO33" si="19">IF(AI5&gt;0,(N5/AI5),"")</f>
        <v/>
      </c>
      <c r="BP5" s="15">
        <v>0</v>
      </c>
      <c r="BQ5" s="74" t="str">
        <f t="shared" si="8"/>
        <v/>
      </c>
      <c r="BR5" s="15" t="str">
        <f t="shared" si="9"/>
        <v/>
      </c>
      <c r="BS5" s="16" t="str">
        <f t="shared" ref="BS5:BS33" si="20">IF(J5&gt;0,AC5/J5,"")</f>
        <v/>
      </c>
      <c r="BT5" s="39"/>
      <c r="BU5" s="51" t="e">
        <f t="shared" si="10"/>
        <v>#VALUE!</v>
      </c>
      <c r="BV5" s="28" t="e">
        <f t="shared" ref="BV5:BV33" si="21">IF(AM5&gt;0,(G5/AM5),"")</f>
        <v>#VALUE!</v>
      </c>
      <c r="BW5" s="28" t="e">
        <f t="shared" ref="BW5:BW33" si="22">IF(AM5&gt;0,(J5/AM5),"")</f>
        <v>#VALUE!</v>
      </c>
      <c r="BX5" s="28" t="e">
        <f t="shared" ref="BX5:BX33" si="23">IF(AM5&gt;0,(K5/AM5),"")</f>
        <v>#VALUE!</v>
      </c>
      <c r="BY5" s="28" t="e">
        <f t="shared" ref="BY5:BY33" si="24">IF(AM5&gt;0,(AI5/AM5),"")</f>
        <v>#VALUE!</v>
      </c>
      <c r="BZ5" s="52" t="e">
        <f t="shared" si="11"/>
        <v>#VALUE!</v>
      </c>
      <c r="CA5" s="39"/>
      <c r="CB5" s="49" t="str">
        <f t="shared" ref="CB5:CB33" si="25">IFERROR(((AM5-AN5)*3600)/J5,"-")</f>
        <v>-</v>
      </c>
      <c r="CC5" s="29" t="str">
        <f t="shared" ref="CC5:CC33" si="26">IFERROR((AQ5*3600)/J5,"-")</f>
        <v>-</v>
      </c>
      <c r="CD5" s="29" t="str">
        <f t="shared" ref="CD5:CD33" si="27">IFERROR((AP5*3600)/J5,"-")</f>
        <v>-</v>
      </c>
      <c r="CE5" s="29" t="str">
        <f t="shared" ref="CE5:CE33" si="28">IFERROR((AN5*3600)/J5,"-")</f>
        <v>-</v>
      </c>
      <c r="CF5" s="50" t="str">
        <f t="shared" ref="CF5:CF33" si="29">IFERROR((AO5*3600)/J5,"-")</f>
        <v>-</v>
      </c>
      <c r="CG5" s="39"/>
    </row>
    <row r="6" spans="1:85" s="27" customFormat="1" ht="12.4" customHeight="1" thickBot="1" x14ac:dyDescent="0.25">
      <c r="A6" s="43">
        <f t="shared" ref="A6:A31" si="30">A5+1</f>
        <v>46298</v>
      </c>
      <c r="B6" s="44" t="str">
        <f t="shared" si="0"/>
        <v>Sat</v>
      </c>
      <c r="C6" s="2">
        <f>SUM(EL_DEL_CD1_STH_PTP_!C6,'Overall without PTP '!C6,ELEVATE_CD3_NTH_HB!C6,ELEVATE_CD3_STAB_HB!C6,ELEVATE_CD3_PTP_HB!C6)</f>
        <v>0</v>
      </c>
      <c r="D6" s="2">
        <f>SUM(EL_DEL_CD1_STH_PTP_!D6,'Overall without PTP '!D6,ELEVATE_CD3_NTH_HB!D6,ELEVATE_CD3_STAB_HB!D6,ELEVATE_CD3_PTP_HB!D6)</f>
        <v>0</v>
      </c>
      <c r="E6" s="3">
        <f>SUM(EL_DEL_CD1_STH_PTP_!E6,'Overall without PTP '!E6,ELEVATE_CD3_NTH_HB!E6,ELEVATE_CD3_STAB_HB!E6,ELEVATE_CD3_PTP_HB!E6)</f>
        <v>0</v>
      </c>
      <c r="F6" s="2">
        <f>SUM(EL_DEL_CD1_STH_PTP_!F6,'Overall without PTP '!F6,ELEVATE_CD3_NTH_HB!F6,ELEVATE_CD3_STAB_HB!F6,ELEVATE_CD3_PTP_HB!F6)</f>
        <v>0</v>
      </c>
      <c r="G6" s="2">
        <f>SUM(EL_DEL_CD1_STH_PTP_!G6,'Overall without PTP '!G6,ELEVATE_CD3_NTH_HB!G6,ELEVATE_CD3_STAB_HB!G6,ELEVATE_CD3_PTP_HB!G6)</f>
        <v>0</v>
      </c>
      <c r="H6" s="4">
        <f>SUM(EL_DEL_CD1_STH_PTP_!H6,'Overall without PTP '!H6,ELEVATE_CD3_NTH_HB!H6,ELEVATE_CD3_STAB_HB!H6,ELEVATE_CD3_PTP_HB!H6)</f>
        <v>0</v>
      </c>
      <c r="I6" s="4">
        <f>SUM(EL_DEL_CD1_STH_PTP_!I6,'Overall without PTP '!I6,ELEVATE_CD3_NTH_HB!I6,ELEVATE_CD3_STAB_HB!I6,ELEVATE_CD3_PTP_HB!I6)</f>
        <v>0</v>
      </c>
      <c r="J6" s="57">
        <f>SUM(EL_DEL_CD1_STH_PTP_!J6,'Overall without PTP '!J6,ELEVATE_CD3_NTH_HB!J6,ELEVATE_CD3_STAB_HB!J6,ELEVATE_CD3_PTP_HB!J6)</f>
        <v>0</v>
      </c>
      <c r="K6" s="5">
        <f>SUM(EL_DEL_CD1_STH_PTP_!K6,'Overall without PTP '!K6,ELEVATE_CD3_NTH_HB!K6,ELEVATE_CD3_STAB_HB!K6,ELEVATE_CD3_PTP_HB!K6)</f>
        <v>0</v>
      </c>
      <c r="L6" s="2">
        <f>SUM(EL_DEL_CD1_STH_PTP_!L6,'Overall without PTP '!L6,ELEVATE_CD3_NTH_HB!L6,ELEVATE_CD3_STAB_HB!L6,ELEVATE_CD3_PTP_HB!L6)</f>
        <v>0</v>
      </c>
      <c r="M6" s="2">
        <f>SUM(EL_DEL_CD1_STH_PTP_!M6,'Overall without PTP '!M6,ELEVATE_CD3_NTH_HB!M6,ELEVATE_CD3_STAB_HB!M6,ELEVATE_CD3_PTP_HB!M6)</f>
        <v>0</v>
      </c>
      <c r="N6" s="2">
        <f>SUM(EL_DEL_CD1_STH_PTP_!N6,'Overall without PTP '!N6,ELEVATE_CD3_NTH_HB!N6,ELEVATE_CD3_STAB_HB!N6,ELEVATE_CD3_PTP_HB!N6)</f>
        <v>0</v>
      </c>
      <c r="O6" s="2">
        <f>SUM(EL_DEL_CD1_STH_PTP_!O6,'Overall without PTP '!O6,ELEVATE_CD3_NTH_HB!O6,ELEVATE_CD3_STAB_HB!O6,ELEVATE_CD3_PTP_HB!O6)</f>
        <v>0</v>
      </c>
      <c r="P6" s="3">
        <f>SUM(EL_DEL_CD1_STH_PTP_!P6,'Overall without PTP '!P6,ELEVATE_CD3_NTH_HB!P6,ELEVATE_CD3_STAB_HB!P6,ELEVATE_CD3_PTP_HB!P6)</f>
        <v>0</v>
      </c>
      <c r="Q6" s="2">
        <f>SUM(EL_DEL_CD1_STH_PTP_!Q6,'Overall without PTP '!Q6,ELEVATE_CD3_NTH_HB!Q6,ELEVATE_CD3_STAB_HB!Q6,ELEVATE_CD3_PTP_HB!Q6)</f>
        <v>0</v>
      </c>
      <c r="R6" s="2">
        <f>SUM(EL_DEL_CD1_STH_PTP_!R6,'Overall without PTP '!R6,ELEVATE_CD3_NTH_HB!R6,ELEVATE_CD3_STAB_HB!R6,ELEVATE_CD3_PTP_HB!R6)</f>
        <v>0</v>
      </c>
      <c r="S6" s="2">
        <f>SUM(EL_DEL_CD1_STH_PTP_!S6,'Overall without PTP '!S6,ELEVATE_CD3_NTH_HB!S6,ELEVATE_CD3_STAB_HB!S6,ELEVATE_CD3_PTP_HB!S6)</f>
        <v>0</v>
      </c>
      <c r="T6" s="2">
        <f>SUM(EL_DEL_CD1_STH_PTP_!T6,'Overall without PTP '!T6,ELEVATE_CD3_NTH_HB!T6,ELEVATE_CD3_STAB_HB!T6,ELEVATE_CD3_PTP_HB!T6)</f>
        <v>0</v>
      </c>
      <c r="U6" s="3">
        <f>SUM(EL_DEL_CD1_STH_PTP_!V6,'Overall without PTP '!V6,ELEVATE_CD3_NTH_HB!U6,ELEVATE_CD3_STAB_HB!U6,ELEVATE_CD3_PTP_HB!U6)</f>
        <v>0</v>
      </c>
      <c r="V6" s="3">
        <f>SUM(EL_DEL_CD1_STH_PTP_!W6,'Overall without PTP '!W6,ELEVATE_CD3_NTH_HB!V6,ELEVATE_CD3_STAB_HB!V6,ELEVATE_CD3_PTP_HB!V6)</f>
        <v>0</v>
      </c>
      <c r="W6" s="2">
        <f>SUM(EL_DEL_CD1_STH_PTP_!X6,'Overall without PTP '!X6,ELEVATE_CD3_NTH_HB!W6,ELEVATE_CD3_STAB_HB!W6,ELEVATE_CD3_PTP_HB!W6)</f>
        <v>0</v>
      </c>
      <c r="X6" s="2">
        <f>SUM(EL_DEL_CD1_STH_PTP_!Y6,'Overall without PTP '!Y6,ELEVATE_CD3_NTH_HB!X6,ELEVATE_CD3_STAB_HB!X6,ELEVATE_CD3_PTP_HB!X6)</f>
        <v>0</v>
      </c>
      <c r="Y6" s="2">
        <f>SUM(EL_DEL_CD1_STH_PTP_!Z6,'Overall without PTP '!Z6,ELEVATE_CD3_NTH_HB!Y6,ELEVATE_CD3_STAB_HB!Y6,ELEVATE_CD3_PTP_HB!Y6)</f>
        <v>0</v>
      </c>
      <c r="Z6" s="2">
        <f>SUM(EL_DEL_CD1_STH_PTP_!AA6,'Overall without PTP '!AA6,ELEVATE_CD3_NTH_HB!Z6,ELEVATE_CD3_STAB_HB!Z6,ELEVATE_CD3_PTP_HB!Z6)</f>
        <v>0</v>
      </c>
      <c r="AA6" s="2">
        <f>SUM(EL_DEL_CD1_STH_PTP_!AB6,'Overall without PTP '!AB6,ELEVATE_CD3_NTH_HB!AA6,ELEVATE_CD3_STAB_HB!AA6,ELEVATE_CD3_PTP_HB!AA6)</f>
        <v>0</v>
      </c>
      <c r="AB6" s="2">
        <f>SUM(EL_DEL_CD1_STH_PTP_!AC6,'Overall without PTP '!AC6,ELEVATE_CD3_NTH_HB!AB6,ELEVATE_CD3_STAB_HB!AB6,ELEVATE_CD3_PTP_HB!AB6)</f>
        <v>0</v>
      </c>
      <c r="AC6" s="2">
        <f>SUM(EL_DEL_CD1_STH_PTP_!AD6,'Overall without PTP '!AD6,ELEVATE_CD3_NTH_HB!AC6,ELEVATE_CD3_STAB_HB!AC6,ELEVATE_CD3_PTP_HB!AC6)</f>
        <v>0</v>
      </c>
      <c r="AD6" s="2">
        <f>SUM(EL_DEL_CD1_STH_PTP_!AE6,'Overall without PTP '!AE6,ELEVATE_CD3_NTH_HB!AD6,ELEVATE_CD3_STAB_HB!AD6,ELEVATE_CD3_PTP_HB!AD6)</f>
        <v>0</v>
      </c>
      <c r="AE6" s="3">
        <f>SUM(EL_DEL_CD1_STH_PTP_!AF6,'Overall without PTP '!AF6,ELEVATE_CD3_NTH_HB!AE6,ELEVATE_CD3_STAB_HB!AE6,ELEVATE_CD3_PTP_HB!AE6)</f>
        <v>0</v>
      </c>
      <c r="AF6" s="3">
        <f>SUM(EL_DEL_CD1_STH_PTP_!AG6,'Overall without PTP '!AG6,ELEVATE_CD3_NTH_HB!AF6,ELEVATE_CD3_STAB_HB!AF6,ELEVATE_CD3_PTP_HB!AF6)</f>
        <v>0</v>
      </c>
      <c r="AG6" s="2">
        <f>SUM(EL_DEL_CD1_STH_PTP_!AH6,'Overall without PTP '!AH6,ELEVATE_CD3_NTH_HB!AG6,ELEVATE_CD3_STAB_HB!AG6,ELEVATE_CD3_PTP_HB!AG6)</f>
        <v>0</v>
      </c>
      <c r="AH6" s="6">
        <f>SUM(EL_DEL_CD1_STH_PTP_!AI6,'Overall without PTP '!AI6,ELEVATE_CD3_NTH_HB!AH6,ELEVATE_CD3_STAB_HB!AH6,ELEVATE_CD3_PTP_HB!AH6)</f>
        <v>0</v>
      </c>
      <c r="AI6" s="7">
        <f>SUM(EL_DEL_CD1_STH_PTP_!AJ6,'Overall without PTP '!AJ6,ELEVATE_CD3_NTH_HB!AI6,ELEVATE_CD3_STAB_HB!AI6,ELEVATE_CD3_PTP_HB!AI6)</f>
        <v>0</v>
      </c>
      <c r="AJ6" s="6">
        <f>SUM(EL_DEL_CD1_STH_PTP_!AK6,'Overall without PTP '!AK6,ELEVATE_CD3_NTH_HB!AJ6,ELEVATE_CD3_STAB_HB!AJ6,ELEVATE_CD3_PTP_HB!AJ6)</f>
        <v>0</v>
      </c>
      <c r="AK6" s="59" t="str">
        <f>IFERROR(AVERAGE(EL_DEL_CD1_STH_PTP_!AL6,'Overall without PTP '!AL6,ELEVATE_CD3_NTH_HB!AK6,ELEVATE_CD3_STAB_HB!AK6,ELEVATE_CD3_PTP_HB!AK6),"")</f>
        <v/>
      </c>
      <c r="AL6" s="59" t="str">
        <f>IFERROR(AVERAGE(EL_DEL_CD1_STH_PTP_!AM6,'Overall without PTP '!AM6,ELEVATE_CD3_NTH_HB!AL6,ELEVATE_CD3_STAB_HB!AL6,ELEVATE_CD3_PTP_HB!AL6),"")</f>
        <v/>
      </c>
      <c r="AM6" s="59" t="str">
        <f>IFERROR(AVERAGE(EL_DEL_CD1_STH_PTP_!AN6,'Overall without PTP '!AN6,ELEVATE_CD3_NTH_HB!AM6,ELEVATE_CD3_STAB_HB!AM6,ELEVATE_CD3_PTP_HB!AM6),"")</f>
        <v/>
      </c>
      <c r="AN6" s="59" t="str">
        <f>IFERROR(AVERAGE(EL_DEL_CD1_STH_PTP_!AO6,'Overall without PTP '!AO6,ELEVATE_CD3_NTH_HB!AN6,ELEVATE_CD3_STAB_HB!AN6,ELEVATE_CD3_PTP_HB!AN6),"")</f>
        <v/>
      </c>
      <c r="AO6" s="59" t="str">
        <f>IFERROR(AVERAGE(EL_DEL_CD1_STH_PTP_!AP6,'Overall without PTP '!AP6,ELEVATE_CD3_NTH_HB!AO6,ELEVATE_CD3_STAB_HB!AO6,ELEVATE_CD3_PTP_HB!AO6),"")</f>
        <v/>
      </c>
      <c r="AP6" s="59" t="str">
        <f>IFERROR(AVERAGE(EL_DEL_CD1_STH_PTP_!AQ6,'Overall without PTP '!AQ6,ELEVATE_CD3_NTH_HB!AP6,ELEVATE_CD3_STAB_HB!AP6,ELEVATE_CD3_PTP_HB!AP6),"")</f>
        <v/>
      </c>
      <c r="AQ6" s="59" t="str">
        <f>IFERROR(AVERAGE(EL_DEL_CD1_STH_PTP_!AR6,'Overall without PTP '!AR6,ELEVATE_CD3_NTH_HB!AQ6,ELEVATE_CD3_STAB_HB!AQ6,ELEVATE_CD3_PTP_HB!AQ6),"")</f>
        <v/>
      </c>
      <c r="AR6" s="59" t="str">
        <f>IFERROR(AVERAGE(EL_DEL_CD1_STH_PTP_!AS6,'Overall without PTP '!AS6,ELEVATE_CD3_NTH_HB!AR6,ELEVATE_CD3_STAB_HB!AR6,ELEVATE_CD3_PTP_HB!AR6),"")</f>
        <v/>
      </c>
      <c r="AS6" s="8">
        <f>SUM(EL_DEL_CD1_STH_PTP_!AT6,'Overall without PTP '!AT6,ELEVATE_CD3_NTH_HB!AS6,ELEVATE_CD3_STAB_HB!AS6,ELEVATE_CD3_PTP_HB!AS6)</f>
        <v>0</v>
      </c>
      <c r="AT6" s="8">
        <f>SUM(EL_DEL_CD1_STH_PTP_!AU6,'Overall without PTP '!AU6,ELEVATE_CD3_NTH_HB!AT6,ELEVATE_CD3_STAB_HB!AT6,ELEVATE_CD3_PTP_HB!AT6)</f>
        <v>0</v>
      </c>
      <c r="AU6" s="9">
        <f>SUM(EL_DEL_CD1_STH_PTP_!AV6,'Overall without PTP '!AV6,ELEVATE_CD3_NTH_HB!AU6,ELEVATE_CD3_STAB_HB!AU6,ELEVATE_CD3_PTP_HB!AU6)</f>
        <v>0</v>
      </c>
      <c r="AV6" s="8">
        <f>IFERROR(AVERAGE(EL_DEL_CD1_STH_PTP_!AW6,'Overall without PTP '!AW6,ELEVATE_CD3_NTH_HB!AV6,ELEVATE_CD3_STAB_HB!AV6,ELEVATE_CD3_PTP_HB!AV6),"")</f>
        <v>0</v>
      </c>
      <c r="AW6" s="10" t="str">
        <f t="shared" si="12"/>
        <v>-</v>
      </c>
      <c r="AX6" s="39"/>
      <c r="AY6" s="1" t="str">
        <f t="shared" si="1"/>
        <v/>
      </c>
      <c r="AZ6" s="11" t="str">
        <f t="shared" si="2"/>
        <v/>
      </c>
      <c r="BA6" s="84" t="str">
        <f t="shared" si="3"/>
        <v/>
      </c>
      <c r="BB6" s="39"/>
      <c r="BC6" s="82" t="str">
        <f t="shared" si="13"/>
        <v/>
      </c>
      <c r="BD6" s="70" t="str">
        <f t="shared" si="14"/>
        <v/>
      </c>
      <c r="BE6" s="70" t="str">
        <f t="shared" si="15"/>
        <v/>
      </c>
      <c r="BF6" s="70" t="str">
        <f t="shared" si="16"/>
        <v/>
      </c>
      <c r="BG6" s="70" t="str">
        <f t="shared" si="17"/>
        <v/>
      </c>
      <c r="BH6" s="83" t="str">
        <f t="shared" si="18"/>
        <v/>
      </c>
      <c r="BI6" s="39"/>
      <c r="BJ6" s="75" t="str">
        <f t="shared" si="4"/>
        <v/>
      </c>
      <c r="BK6" s="76" t="str">
        <f t="shared" si="5"/>
        <v/>
      </c>
      <c r="BL6" s="76" t="str">
        <f t="shared" si="6"/>
        <v/>
      </c>
      <c r="BM6" s="77" t="str">
        <f t="shared" si="7"/>
        <v/>
      </c>
      <c r="BN6" s="39"/>
      <c r="BO6" s="14" t="str">
        <f t="shared" si="19"/>
        <v/>
      </c>
      <c r="BP6" s="15">
        <v>0</v>
      </c>
      <c r="BQ6" s="74" t="str">
        <f t="shared" si="8"/>
        <v/>
      </c>
      <c r="BR6" s="15" t="str">
        <f t="shared" si="9"/>
        <v/>
      </c>
      <c r="BS6" s="16" t="str">
        <f t="shared" si="20"/>
        <v/>
      </c>
      <c r="BT6" s="39"/>
      <c r="BU6" s="51" t="e">
        <f t="shared" si="10"/>
        <v>#VALUE!</v>
      </c>
      <c r="BV6" s="28" t="e">
        <f t="shared" si="21"/>
        <v>#VALUE!</v>
      </c>
      <c r="BW6" s="28" t="e">
        <f t="shared" si="22"/>
        <v>#VALUE!</v>
      </c>
      <c r="BX6" s="28" t="e">
        <f t="shared" si="23"/>
        <v>#VALUE!</v>
      </c>
      <c r="BY6" s="28" t="e">
        <f t="shared" si="24"/>
        <v>#VALUE!</v>
      </c>
      <c r="BZ6" s="52" t="e">
        <f t="shared" si="11"/>
        <v>#VALUE!</v>
      </c>
      <c r="CA6" s="39"/>
      <c r="CB6" s="49" t="str">
        <f t="shared" si="25"/>
        <v>-</v>
      </c>
      <c r="CC6" s="29" t="str">
        <f t="shared" si="26"/>
        <v>-</v>
      </c>
      <c r="CD6" s="29" t="str">
        <f t="shared" si="27"/>
        <v>-</v>
      </c>
      <c r="CE6" s="29" t="str">
        <f t="shared" si="28"/>
        <v>-</v>
      </c>
      <c r="CF6" s="50" t="str">
        <f t="shared" si="29"/>
        <v>-</v>
      </c>
      <c r="CG6" s="39"/>
    </row>
    <row r="7" spans="1:85" s="27" customFormat="1" ht="12.4" customHeight="1" thickBot="1" x14ac:dyDescent="0.25">
      <c r="A7" s="43">
        <f t="shared" si="30"/>
        <v>46299</v>
      </c>
      <c r="B7" s="44" t="str">
        <f t="shared" si="0"/>
        <v>Sun</v>
      </c>
      <c r="C7" s="2">
        <f>SUM(EL_DEL_CD1_STH_PTP_!C7,'Overall without PTP '!C7,ELEVATE_CD3_NTH_HB!C7,ELEVATE_CD3_STAB_HB!C7,ELEVATE_CD3_PTP_HB!C7)</f>
        <v>0</v>
      </c>
      <c r="D7" s="2">
        <f>SUM(EL_DEL_CD1_STH_PTP_!D7,'Overall without PTP '!D7,ELEVATE_CD3_NTH_HB!D7,ELEVATE_CD3_STAB_HB!D7,ELEVATE_CD3_PTP_HB!D7)</f>
        <v>0</v>
      </c>
      <c r="E7" s="3">
        <f>SUM(EL_DEL_CD1_STH_PTP_!E7,'Overall without PTP '!E7,ELEVATE_CD3_NTH_HB!E7,ELEVATE_CD3_STAB_HB!E7,ELEVATE_CD3_PTP_HB!E7)</f>
        <v>0</v>
      </c>
      <c r="F7" s="2">
        <f>SUM(EL_DEL_CD1_STH_PTP_!F7,'Overall without PTP '!F7,ELEVATE_CD3_NTH_HB!F7,ELEVATE_CD3_STAB_HB!F7,ELEVATE_CD3_PTP_HB!F7)</f>
        <v>0</v>
      </c>
      <c r="G7" s="2">
        <f>SUM(EL_DEL_CD1_STH_PTP_!G7,'Overall without PTP '!G7,ELEVATE_CD3_NTH_HB!G7,ELEVATE_CD3_STAB_HB!G7,ELEVATE_CD3_PTP_HB!G7)</f>
        <v>0</v>
      </c>
      <c r="H7" s="4">
        <f>SUM(EL_DEL_CD1_STH_PTP_!H7,'Overall without PTP '!H7,ELEVATE_CD3_NTH_HB!H7,ELEVATE_CD3_STAB_HB!H7,ELEVATE_CD3_PTP_HB!H7)</f>
        <v>0</v>
      </c>
      <c r="I7" s="4">
        <f>SUM(EL_DEL_CD1_STH_PTP_!I7,'Overall without PTP '!I7,ELEVATE_CD3_NTH_HB!I7,ELEVATE_CD3_STAB_HB!I7,ELEVATE_CD3_PTP_HB!I7)</f>
        <v>0</v>
      </c>
      <c r="J7" s="57">
        <f>SUM(EL_DEL_CD1_STH_PTP_!J7,'Overall without PTP '!J7,ELEVATE_CD3_NTH_HB!J7,ELEVATE_CD3_STAB_HB!J7,ELEVATE_CD3_PTP_HB!J7)</f>
        <v>0</v>
      </c>
      <c r="K7" s="5">
        <f>SUM(EL_DEL_CD1_STH_PTP_!K7,'Overall without PTP '!K7,ELEVATE_CD3_NTH_HB!K7,ELEVATE_CD3_STAB_HB!K7,ELEVATE_CD3_PTP_HB!K7)</f>
        <v>0</v>
      </c>
      <c r="L7" s="2">
        <f>SUM(EL_DEL_CD1_STH_PTP_!L7,'Overall without PTP '!L7,ELEVATE_CD3_NTH_HB!L7,ELEVATE_CD3_STAB_HB!L7,ELEVATE_CD3_PTP_HB!L7)</f>
        <v>0</v>
      </c>
      <c r="M7" s="2">
        <f>SUM(EL_DEL_CD1_STH_PTP_!M7,'Overall without PTP '!M7,ELEVATE_CD3_NTH_HB!M7,ELEVATE_CD3_STAB_HB!M7,ELEVATE_CD3_PTP_HB!M7)</f>
        <v>0</v>
      </c>
      <c r="N7" s="2">
        <f>SUM(EL_DEL_CD1_STH_PTP_!N7,'Overall without PTP '!N7,ELEVATE_CD3_NTH_HB!N7,ELEVATE_CD3_STAB_HB!N7,ELEVATE_CD3_PTP_HB!N7)</f>
        <v>0</v>
      </c>
      <c r="O7" s="2">
        <f>SUM(EL_DEL_CD1_STH_PTP_!O7,'Overall without PTP '!O7,ELEVATE_CD3_NTH_HB!O7,ELEVATE_CD3_STAB_HB!O7,ELEVATE_CD3_PTP_HB!O7)</f>
        <v>0</v>
      </c>
      <c r="P7" s="3">
        <f>SUM(EL_DEL_CD1_STH_PTP_!P7,'Overall without PTP '!P7,ELEVATE_CD3_NTH_HB!P7,ELEVATE_CD3_STAB_HB!P7,ELEVATE_CD3_PTP_HB!P7)</f>
        <v>0</v>
      </c>
      <c r="Q7" s="2">
        <f>SUM(EL_DEL_CD1_STH_PTP_!Q7,'Overall without PTP '!Q7,ELEVATE_CD3_NTH_HB!Q7,ELEVATE_CD3_STAB_HB!Q7,ELEVATE_CD3_PTP_HB!Q7)</f>
        <v>0</v>
      </c>
      <c r="R7" s="2">
        <f>SUM(EL_DEL_CD1_STH_PTP_!R7,'Overall without PTP '!R7,ELEVATE_CD3_NTH_HB!R7,ELEVATE_CD3_STAB_HB!R7,ELEVATE_CD3_PTP_HB!R7)</f>
        <v>0</v>
      </c>
      <c r="S7" s="2">
        <f>SUM(EL_DEL_CD1_STH_PTP_!S7,'Overall without PTP '!S7,ELEVATE_CD3_NTH_HB!S7,ELEVATE_CD3_STAB_HB!S7,ELEVATE_CD3_PTP_HB!S7)</f>
        <v>0</v>
      </c>
      <c r="T7" s="2">
        <f>SUM(EL_DEL_CD1_STH_PTP_!T7,'Overall without PTP '!T7,ELEVATE_CD3_NTH_HB!T7,ELEVATE_CD3_STAB_HB!T7,ELEVATE_CD3_PTP_HB!T7)</f>
        <v>0</v>
      </c>
      <c r="U7" s="3">
        <f>SUM(EL_DEL_CD1_STH_PTP_!V7,'Overall without PTP '!V7,ELEVATE_CD3_NTH_HB!U7,ELEVATE_CD3_STAB_HB!U7,ELEVATE_CD3_PTP_HB!U7)</f>
        <v>0</v>
      </c>
      <c r="V7" s="3">
        <f>SUM(EL_DEL_CD1_STH_PTP_!W7,'Overall without PTP '!W7,ELEVATE_CD3_NTH_HB!V7,ELEVATE_CD3_STAB_HB!V7,ELEVATE_CD3_PTP_HB!V7)</f>
        <v>0</v>
      </c>
      <c r="W7" s="2">
        <f>SUM(EL_DEL_CD1_STH_PTP_!X7,'Overall without PTP '!X7,ELEVATE_CD3_NTH_HB!W7,ELEVATE_CD3_STAB_HB!W7,ELEVATE_CD3_PTP_HB!W7)</f>
        <v>0</v>
      </c>
      <c r="X7" s="2">
        <f>SUM(EL_DEL_CD1_STH_PTP_!Y7,'Overall without PTP '!Y7,ELEVATE_CD3_NTH_HB!X7,ELEVATE_CD3_STAB_HB!X7,ELEVATE_CD3_PTP_HB!X7)</f>
        <v>0</v>
      </c>
      <c r="Y7" s="2">
        <f>SUM(EL_DEL_CD1_STH_PTP_!Z7,'Overall without PTP '!Z7,ELEVATE_CD3_NTH_HB!Y7,ELEVATE_CD3_STAB_HB!Y7,ELEVATE_CD3_PTP_HB!Y7)</f>
        <v>0</v>
      </c>
      <c r="Z7" s="2">
        <f>SUM(EL_DEL_CD1_STH_PTP_!AA7,'Overall without PTP '!AA7,ELEVATE_CD3_NTH_HB!Z7,ELEVATE_CD3_STAB_HB!Z7,ELEVATE_CD3_PTP_HB!Z7)</f>
        <v>0</v>
      </c>
      <c r="AA7" s="2">
        <f>SUM(EL_DEL_CD1_STH_PTP_!AB7,'Overall without PTP '!AB7,ELEVATE_CD3_NTH_HB!AA7,ELEVATE_CD3_STAB_HB!AA7,ELEVATE_CD3_PTP_HB!AA7)</f>
        <v>0</v>
      </c>
      <c r="AB7" s="2">
        <f>SUM(EL_DEL_CD1_STH_PTP_!AC7,'Overall without PTP '!AC7,ELEVATE_CD3_NTH_HB!AB7,ELEVATE_CD3_STAB_HB!AB7,ELEVATE_CD3_PTP_HB!AB7)</f>
        <v>0</v>
      </c>
      <c r="AC7" s="2">
        <f>SUM(EL_DEL_CD1_STH_PTP_!AD7,'Overall without PTP '!AD7,ELEVATE_CD3_NTH_HB!AC7,ELEVATE_CD3_STAB_HB!AC7,ELEVATE_CD3_PTP_HB!AC7)</f>
        <v>0</v>
      </c>
      <c r="AD7" s="2">
        <f>SUM(EL_DEL_CD1_STH_PTP_!AE7,'Overall without PTP '!AE7,ELEVATE_CD3_NTH_HB!AD7,ELEVATE_CD3_STAB_HB!AD7,ELEVATE_CD3_PTP_HB!AD7)</f>
        <v>0</v>
      </c>
      <c r="AE7" s="3">
        <f>SUM(EL_DEL_CD1_STH_PTP_!AF7,'Overall without PTP '!AF7,ELEVATE_CD3_NTH_HB!AE7,ELEVATE_CD3_STAB_HB!AE7,ELEVATE_CD3_PTP_HB!AE7)</f>
        <v>0</v>
      </c>
      <c r="AF7" s="3">
        <f>SUM(EL_DEL_CD1_STH_PTP_!AG7,'Overall without PTP '!AG7,ELEVATE_CD3_NTH_HB!AF7,ELEVATE_CD3_STAB_HB!AF7,ELEVATE_CD3_PTP_HB!AF7)</f>
        <v>0</v>
      </c>
      <c r="AG7" s="2">
        <f>SUM(EL_DEL_CD1_STH_PTP_!AH7,'Overall without PTP '!AH7,ELEVATE_CD3_NTH_HB!AG7,ELEVATE_CD3_STAB_HB!AG7,ELEVATE_CD3_PTP_HB!AG7)</f>
        <v>0</v>
      </c>
      <c r="AH7" s="6">
        <f>SUM(EL_DEL_CD1_STH_PTP_!AI7,'Overall without PTP '!AI7,ELEVATE_CD3_NTH_HB!AH7,ELEVATE_CD3_STAB_HB!AH7,ELEVATE_CD3_PTP_HB!AH7)</f>
        <v>0</v>
      </c>
      <c r="AI7" s="7">
        <f>SUM(EL_DEL_CD1_STH_PTP_!AJ7,'Overall without PTP '!AJ7,ELEVATE_CD3_NTH_HB!AI7,ELEVATE_CD3_STAB_HB!AI7,ELEVATE_CD3_PTP_HB!AI7)</f>
        <v>0</v>
      </c>
      <c r="AJ7" s="6">
        <f>SUM(EL_DEL_CD1_STH_PTP_!AK7,'Overall without PTP '!AK7,ELEVATE_CD3_NTH_HB!AJ7,ELEVATE_CD3_STAB_HB!AJ7,ELEVATE_CD3_PTP_HB!AJ7)</f>
        <v>0</v>
      </c>
      <c r="AK7" s="59" t="str">
        <f>IFERROR(AVERAGE(EL_DEL_CD1_STH_PTP_!AL7,'Overall without PTP '!AL7,ELEVATE_CD3_NTH_HB!AK7,ELEVATE_CD3_STAB_HB!AK7,ELEVATE_CD3_PTP_HB!AK7),"")</f>
        <v/>
      </c>
      <c r="AL7" s="59" t="str">
        <f>IFERROR(AVERAGE(EL_DEL_CD1_STH_PTP_!AM7,'Overall without PTP '!AM7,ELEVATE_CD3_NTH_HB!AL7,ELEVATE_CD3_STAB_HB!AL7,ELEVATE_CD3_PTP_HB!AL7),"")</f>
        <v/>
      </c>
      <c r="AM7" s="59" t="str">
        <f>IFERROR(AVERAGE(EL_DEL_CD1_STH_PTP_!AN7,'Overall without PTP '!AN7,ELEVATE_CD3_NTH_HB!AM7,ELEVATE_CD3_STAB_HB!AM7,ELEVATE_CD3_PTP_HB!AM7),"")</f>
        <v/>
      </c>
      <c r="AN7" s="59" t="str">
        <f>IFERROR(AVERAGE(EL_DEL_CD1_STH_PTP_!AO7,'Overall without PTP '!AO7,ELEVATE_CD3_NTH_HB!AN7,ELEVATE_CD3_STAB_HB!AN7,ELEVATE_CD3_PTP_HB!AN7),"")</f>
        <v/>
      </c>
      <c r="AO7" s="59" t="str">
        <f>IFERROR(AVERAGE(EL_DEL_CD1_STH_PTP_!AP7,'Overall without PTP '!AP7,ELEVATE_CD3_NTH_HB!AO7,ELEVATE_CD3_STAB_HB!AO7,ELEVATE_CD3_PTP_HB!AO7),"")</f>
        <v/>
      </c>
      <c r="AP7" s="59" t="str">
        <f>IFERROR(AVERAGE(EL_DEL_CD1_STH_PTP_!AQ7,'Overall without PTP '!AQ7,ELEVATE_CD3_NTH_HB!AP7,ELEVATE_CD3_STAB_HB!AP7,ELEVATE_CD3_PTP_HB!AP7),"")</f>
        <v/>
      </c>
      <c r="AQ7" s="59" t="str">
        <f>IFERROR(AVERAGE(EL_DEL_CD1_STH_PTP_!AR7,'Overall without PTP '!AR7,ELEVATE_CD3_NTH_HB!AQ7,ELEVATE_CD3_STAB_HB!AQ7,ELEVATE_CD3_PTP_HB!AQ7),"")</f>
        <v/>
      </c>
      <c r="AR7" s="59" t="str">
        <f>IFERROR(AVERAGE(EL_DEL_CD1_STH_PTP_!AS7,'Overall without PTP '!AS7,ELEVATE_CD3_NTH_HB!AR7,ELEVATE_CD3_STAB_HB!AR7,ELEVATE_CD3_PTP_HB!AR7),"")</f>
        <v/>
      </c>
      <c r="AS7" s="8">
        <f>SUM(EL_DEL_CD1_STH_PTP_!AT7,'Overall without PTP '!AT7,ELEVATE_CD3_NTH_HB!AS7,ELEVATE_CD3_STAB_HB!AS7,ELEVATE_CD3_PTP_HB!AS7)</f>
        <v>0</v>
      </c>
      <c r="AT7" s="8">
        <f>SUM(EL_DEL_CD1_STH_PTP_!AU7,'Overall without PTP '!AU7,ELEVATE_CD3_NTH_HB!AT7,ELEVATE_CD3_STAB_HB!AT7,ELEVATE_CD3_PTP_HB!AT7)</f>
        <v>0</v>
      </c>
      <c r="AU7" s="9">
        <f>SUM(EL_DEL_CD1_STH_PTP_!AV7,'Overall without PTP '!AV7,ELEVATE_CD3_NTH_HB!AU7,ELEVATE_CD3_STAB_HB!AU7,ELEVATE_CD3_PTP_HB!AU7)</f>
        <v>0</v>
      </c>
      <c r="AV7" s="8">
        <f>IFERROR(AVERAGE(EL_DEL_CD1_STH_PTP_!AW7,'Overall without PTP '!AW7,ELEVATE_CD3_NTH_HB!AV7,ELEVATE_CD3_STAB_HB!AV7,ELEVATE_CD3_PTP_HB!AV7),"")</f>
        <v>0</v>
      </c>
      <c r="AW7" s="10" t="str">
        <f t="shared" si="12"/>
        <v>-</v>
      </c>
      <c r="AX7" s="39"/>
      <c r="AY7" s="1" t="str">
        <f t="shared" si="1"/>
        <v/>
      </c>
      <c r="AZ7" s="11" t="str">
        <f t="shared" si="2"/>
        <v/>
      </c>
      <c r="BA7" s="84" t="str">
        <f t="shared" si="3"/>
        <v/>
      </c>
      <c r="BB7" s="39"/>
      <c r="BC7" s="82" t="str">
        <f t="shared" si="13"/>
        <v/>
      </c>
      <c r="BD7" s="70" t="str">
        <f t="shared" si="14"/>
        <v/>
      </c>
      <c r="BE7" s="70" t="str">
        <f t="shared" si="15"/>
        <v/>
      </c>
      <c r="BF7" s="70" t="str">
        <f t="shared" si="16"/>
        <v/>
      </c>
      <c r="BG7" s="70" t="str">
        <f t="shared" si="17"/>
        <v/>
      </c>
      <c r="BH7" s="83" t="str">
        <f t="shared" si="18"/>
        <v/>
      </c>
      <c r="BI7" s="39"/>
      <c r="BJ7" s="75" t="str">
        <f t="shared" si="4"/>
        <v/>
      </c>
      <c r="BK7" s="76" t="str">
        <f t="shared" si="5"/>
        <v/>
      </c>
      <c r="BL7" s="76" t="str">
        <f t="shared" si="6"/>
        <v/>
      </c>
      <c r="BM7" s="77" t="str">
        <f t="shared" si="7"/>
        <v/>
      </c>
      <c r="BN7" s="39"/>
      <c r="BO7" s="14" t="str">
        <f t="shared" si="19"/>
        <v/>
      </c>
      <c r="BP7" s="15">
        <v>0</v>
      </c>
      <c r="BQ7" s="74" t="str">
        <f t="shared" si="8"/>
        <v/>
      </c>
      <c r="BR7" s="15" t="str">
        <f t="shared" si="9"/>
        <v/>
      </c>
      <c r="BS7" s="16" t="str">
        <f t="shared" si="20"/>
        <v/>
      </c>
      <c r="BT7" s="39"/>
      <c r="BU7" s="51" t="e">
        <f t="shared" si="10"/>
        <v>#VALUE!</v>
      </c>
      <c r="BV7" s="28" t="e">
        <f t="shared" si="21"/>
        <v>#VALUE!</v>
      </c>
      <c r="BW7" s="28" t="e">
        <f t="shared" si="22"/>
        <v>#VALUE!</v>
      </c>
      <c r="BX7" s="28" t="e">
        <f t="shared" si="23"/>
        <v>#VALUE!</v>
      </c>
      <c r="BY7" s="28" t="e">
        <f t="shared" si="24"/>
        <v>#VALUE!</v>
      </c>
      <c r="BZ7" s="52" t="e">
        <f t="shared" si="11"/>
        <v>#VALUE!</v>
      </c>
      <c r="CA7" s="39"/>
      <c r="CB7" s="49" t="str">
        <f t="shared" si="25"/>
        <v>-</v>
      </c>
      <c r="CC7" s="29" t="str">
        <f t="shared" si="26"/>
        <v>-</v>
      </c>
      <c r="CD7" s="29" t="str">
        <f t="shared" si="27"/>
        <v>-</v>
      </c>
      <c r="CE7" s="29" t="str">
        <f t="shared" si="28"/>
        <v>-</v>
      </c>
      <c r="CF7" s="50" t="str">
        <f t="shared" si="29"/>
        <v>-</v>
      </c>
      <c r="CG7" s="39"/>
    </row>
    <row r="8" spans="1:85" s="27" customFormat="1" ht="12.4" customHeight="1" thickBot="1" x14ac:dyDescent="0.25">
      <c r="A8" s="43">
        <f t="shared" si="30"/>
        <v>46300</v>
      </c>
      <c r="B8" s="44" t="str">
        <f t="shared" si="0"/>
        <v>Mon</v>
      </c>
      <c r="C8" s="2">
        <f>SUM(EL_DEL_CD1_STH_PTP_!C8,'Overall without PTP '!C8,ELEVATE_CD3_NTH_HB!C8,ELEVATE_CD3_STAB_HB!C8,ELEVATE_CD3_PTP_HB!C8)</f>
        <v>0</v>
      </c>
      <c r="D8" s="2">
        <f>SUM(EL_DEL_CD1_STH_PTP_!D8,'Overall without PTP '!D8,ELEVATE_CD3_NTH_HB!D8,ELEVATE_CD3_STAB_HB!D8,ELEVATE_CD3_PTP_HB!D8)</f>
        <v>0</v>
      </c>
      <c r="E8" s="3">
        <f>SUM(EL_DEL_CD1_STH_PTP_!E8,'Overall without PTP '!E8,ELEVATE_CD3_NTH_HB!E8,ELEVATE_CD3_STAB_HB!E8,ELEVATE_CD3_PTP_HB!E8)</f>
        <v>0</v>
      </c>
      <c r="F8" s="2">
        <f>SUM(EL_DEL_CD1_STH_PTP_!F8,'Overall without PTP '!F8,ELEVATE_CD3_NTH_HB!F8,ELEVATE_CD3_STAB_HB!F8,ELEVATE_CD3_PTP_HB!F8)</f>
        <v>0</v>
      </c>
      <c r="G8" s="2">
        <f>SUM(EL_DEL_CD1_STH_PTP_!G8,'Overall without PTP '!G8,ELEVATE_CD3_NTH_HB!G8,ELEVATE_CD3_STAB_HB!G8,ELEVATE_CD3_PTP_HB!G8)</f>
        <v>0</v>
      </c>
      <c r="H8" s="4">
        <f>SUM(EL_DEL_CD1_STH_PTP_!H8,'Overall without PTP '!H8,ELEVATE_CD3_NTH_HB!H8,ELEVATE_CD3_STAB_HB!H8,ELEVATE_CD3_PTP_HB!H8)</f>
        <v>0</v>
      </c>
      <c r="I8" s="4">
        <f>SUM(EL_DEL_CD1_STH_PTP_!I8,'Overall without PTP '!I8,ELEVATE_CD3_NTH_HB!I8,ELEVATE_CD3_STAB_HB!I8,ELEVATE_CD3_PTP_HB!I8)</f>
        <v>0</v>
      </c>
      <c r="J8" s="57">
        <f>SUM(EL_DEL_CD1_STH_PTP_!J8,'Overall without PTP '!J8,ELEVATE_CD3_NTH_HB!J8,ELEVATE_CD3_STAB_HB!J8,ELEVATE_CD3_PTP_HB!J8)</f>
        <v>0</v>
      </c>
      <c r="K8" s="5">
        <f>SUM(EL_DEL_CD1_STH_PTP_!K8,'Overall without PTP '!K8,ELEVATE_CD3_NTH_HB!K8,ELEVATE_CD3_STAB_HB!K8,ELEVATE_CD3_PTP_HB!K8)</f>
        <v>0</v>
      </c>
      <c r="L8" s="2">
        <f>SUM(EL_DEL_CD1_STH_PTP_!L8,'Overall without PTP '!L8,ELEVATE_CD3_NTH_HB!L8,ELEVATE_CD3_STAB_HB!L8,ELEVATE_CD3_PTP_HB!L8)</f>
        <v>0</v>
      </c>
      <c r="M8" s="2">
        <f>SUM(EL_DEL_CD1_STH_PTP_!M8,'Overall without PTP '!M8,ELEVATE_CD3_NTH_HB!M8,ELEVATE_CD3_STAB_HB!M8,ELEVATE_CD3_PTP_HB!M8)</f>
        <v>0</v>
      </c>
      <c r="N8" s="2">
        <f>SUM(EL_DEL_CD1_STH_PTP_!N8,'Overall without PTP '!N8,ELEVATE_CD3_NTH_HB!N8,ELEVATE_CD3_STAB_HB!N8,ELEVATE_CD3_PTP_HB!N8)</f>
        <v>0</v>
      </c>
      <c r="O8" s="2">
        <f>SUM(EL_DEL_CD1_STH_PTP_!O8,'Overall without PTP '!O8,ELEVATE_CD3_NTH_HB!O8,ELEVATE_CD3_STAB_HB!O8,ELEVATE_CD3_PTP_HB!O8)</f>
        <v>0</v>
      </c>
      <c r="P8" s="3">
        <f>SUM(EL_DEL_CD1_STH_PTP_!P8,'Overall without PTP '!P8,ELEVATE_CD3_NTH_HB!P8,ELEVATE_CD3_STAB_HB!P8,ELEVATE_CD3_PTP_HB!P8)</f>
        <v>0</v>
      </c>
      <c r="Q8" s="2">
        <f>SUM(EL_DEL_CD1_STH_PTP_!Q8,'Overall without PTP '!Q8,ELEVATE_CD3_NTH_HB!Q8,ELEVATE_CD3_STAB_HB!Q8,ELEVATE_CD3_PTP_HB!Q8)</f>
        <v>0</v>
      </c>
      <c r="R8" s="2">
        <f>SUM(EL_DEL_CD1_STH_PTP_!R8,'Overall without PTP '!R8,ELEVATE_CD3_NTH_HB!R8,ELEVATE_CD3_STAB_HB!R8,ELEVATE_CD3_PTP_HB!R8)</f>
        <v>0</v>
      </c>
      <c r="S8" s="2">
        <f>SUM(EL_DEL_CD1_STH_PTP_!S8,'Overall without PTP '!S8,ELEVATE_CD3_NTH_HB!S8,ELEVATE_CD3_STAB_HB!S8,ELEVATE_CD3_PTP_HB!S8)</f>
        <v>0</v>
      </c>
      <c r="T8" s="2">
        <f>SUM(EL_DEL_CD1_STH_PTP_!T8,'Overall without PTP '!T8,ELEVATE_CD3_NTH_HB!T8,ELEVATE_CD3_STAB_HB!T8,ELEVATE_CD3_PTP_HB!T8)</f>
        <v>0</v>
      </c>
      <c r="U8" s="3">
        <f>SUM(EL_DEL_CD1_STH_PTP_!V8,'Overall without PTP '!V8,ELEVATE_CD3_NTH_HB!U8,ELEVATE_CD3_STAB_HB!U8,ELEVATE_CD3_PTP_HB!U8)</f>
        <v>0</v>
      </c>
      <c r="V8" s="3">
        <f>SUM(EL_DEL_CD1_STH_PTP_!W8,'Overall without PTP '!W8,ELEVATE_CD3_NTH_HB!V8,ELEVATE_CD3_STAB_HB!V8,ELEVATE_CD3_PTP_HB!V8)</f>
        <v>0</v>
      </c>
      <c r="W8" s="2">
        <f>SUM(EL_DEL_CD1_STH_PTP_!X8,'Overall without PTP '!X8,ELEVATE_CD3_NTH_HB!W8,ELEVATE_CD3_STAB_HB!W8,ELEVATE_CD3_PTP_HB!W8)</f>
        <v>0</v>
      </c>
      <c r="X8" s="2">
        <f>SUM(EL_DEL_CD1_STH_PTP_!Y8,'Overall without PTP '!Y8,ELEVATE_CD3_NTH_HB!X8,ELEVATE_CD3_STAB_HB!X8,ELEVATE_CD3_PTP_HB!X8)</f>
        <v>0</v>
      </c>
      <c r="Y8" s="2">
        <f>SUM(EL_DEL_CD1_STH_PTP_!Z8,'Overall without PTP '!Z8,ELEVATE_CD3_NTH_HB!Y8,ELEVATE_CD3_STAB_HB!Y8,ELEVATE_CD3_PTP_HB!Y8)</f>
        <v>0</v>
      </c>
      <c r="Z8" s="2">
        <f>SUM(EL_DEL_CD1_STH_PTP_!AA8,'Overall without PTP '!AA8,ELEVATE_CD3_NTH_HB!Z8,ELEVATE_CD3_STAB_HB!Z8,ELEVATE_CD3_PTP_HB!Z8)</f>
        <v>0</v>
      </c>
      <c r="AA8" s="2">
        <f>SUM(EL_DEL_CD1_STH_PTP_!AB8,'Overall without PTP '!AB8,ELEVATE_CD3_NTH_HB!AA8,ELEVATE_CD3_STAB_HB!AA8,ELEVATE_CD3_PTP_HB!AA8)</f>
        <v>0</v>
      </c>
      <c r="AB8" s="2">
        <f>SUM(EL_DEL_CD1_STH_PTP_!AC8,'Overall without PTP '!AC8,ELEVATE_CD3_NTH_HB!AB8,ELEVATE_CD3_STAB_HB!AB8,ELEVATE_CD3_PTP_HB!AB8)</f>
        <v>0</v>
      </c>
      <c r="AC8" s="2">
        <f>SUM(EL_DEL_CD1_STH_PTP_!AD8,'Overall without PTP '!AD8,ELEVATE_CD3_NTH_HB!AC8,ELEVATE_CD3_STAB_HB!AC8,ELEVATE_CD3_PTP_HB!AC8)</f>
        <v>0</v>
      </c>
      <c r="AD8" s="2">
        <f>SUM(EL_DEL_CD1_STH_PTP_!AE8,'Overall without PTP '!AE8,ELEVATE_CD3_NTH_HB!AD8,ELEVATE_CD3_STAB_HB!AD8,ELEVATE_CD3_PTP_HB!AD8)</f>
        <v>0</v>
      </c>
      <c r="AE8" s="3">
        <f>SUM(EL_DEL_CD1_STH_PTP_!AF8,'Overall without PTP '!AF8,ELEVATE_CD3_NTH_HB!AE8,ELEVATE_CD3_STAB_HB!AE8,ELEVATE_CD3_PTP_HB!AE8)</f>
        <v>0</v>
      </c>
      <c r="AF8" s="3">
        <f>SUM(EL_DEL_CD1_STH_PTP_!AG8,'Overall without PTP '!AG8,ELEVATE_CD3_NTH_HB!AF8,ELEVATE_CD3_STAB_HB!AF8,ELEVATE_CD3_PTP_HB!AF8)</f>
        <v>0</v>
      </c>
      <c r="AG8" s="2">
        <f>SUM(EL_DEL_CD1_STH_PTP_!AH8,'Overall without PTP '!AH8,ELEVATE_CD3_NTH_HB!AG8,ELEVATE_CD3_STAB_HB!AG8,ELEVATE_CD3_PTP_HB!AG8)</f>
        <v>0</v>
      </c>
      <c r="AH8" s="6">
        <f>SUM(EL_DEL_CD1_STH_PTP_!AI8,'Overall without PTP '!AI8,ELEVATE_CD3_NTH_HB!AH8,ELEVATE_CD3_STAB_HB!AH8,ELEVATE_CD3_PTP_HB!AH8)</f>
        <v>0</v>
      </c>
      <c r="AI8" s="7">
        <f>SUM(EL_DEL_CD1_STH_PTP_!AJ8,'Overall without PTP '!AJ8,ELEVATE_CD3_NTH_HB!AI8,ELEVATE_CD3_STAB_HB!AI8,ELEVATE_CD3_PTP_HB!AI8)</f>
        <v>0</v>
      </c>
      <c r="AJ8" s="6">
        <f>SUM(EL_DEL_CD1_STH_PTP_!AK8,'Overall without PTP '!AK8,ELEVATE_CD3_NTH_HB!AJ8,ELEVATE_CD3_STAB_HB!AJ8,ELEVATE_CD3_PTP_HB!AJ8)</f>
        <v>0</v>
      </c>
      <c r="AK8" s="59" t="str">
        <f>IFERROR(AVERAGE(EL_DEL_CD1_STH_PTP_!AL8,'Overall without PTP '!AL8,ELEVATE_CD3_NTH_HB!AK8,ELEVATE_CD3_STAB_HB!AK8,ELEVATE_CD3_PTP_HB!AK8),"")</f>
        <v/>
      </c>
      <c r="AL8" s="59" t="str">
        <f>IFERROR(AVERAGE(EL_DEL_CD1_STH_PTP_!AM8,'Overall without PTP '!AM8,ELEVATE_CD3_NTH_HB!AL8,ELEVATE_CD3_STAB_HB!AL8,ELEVATE_CD3_PTP_HB!AL8),"")</f>
        <v/>
      </c>
      <c r="AM8" s="59" t="str">
        <f>IFERROR(AVERAGE(EL_DEL_CD1_STH_PTP_!AN8,'Overall without PTP '!AN8,ELEVATE_CD3_NTH_HB!AM8,ELEVATE_CD3_STAB_HB!AM8,ELEVATE_CD3_PTP_HB!AM8),"")</f>
        <v/>
      </c>
      <c r="AN8" s="59" t="str">
        <f>IFERROR(AVERAGE(EL_DEL_CD1_STH_PTP_!AO8,'Overall without PTP '!AO8,ELEVATE_CD3_NTH_HB!AN8,ELEVATE_CD3_STAB_HB!AN8,ELEVATE_CD3_PTP_HB!AN8),"")</f>
        <v/>
      </c>
      <c r="AO8" s="59" t="str">
        <f>IFERROR(AVERAGE(EL_DEL_CD1_STH_PTP_!AP8,'Overall without PTP '!AP8,ELEVATE_CD3_NTH_HB!AO8,ELEVATE_CD3_STAB_HB!AO8,ELEVATE_CD3_PTP_HB!AO8),"")</f>
        <v/>
      </c>
      <c r="AP8" s="59" t="str">
        <f>IFERROR(AVERAGE(EL_DEL_CD1_STH_PTP_!AQ8,'Overall without PTP '!AQ8,ELEVATE_CD3_NTH_HB!AP8,ELEVATE_CD3_STAB_HB!AP8,ELEVATE_CD3_PTP_HB!AP8),"")</f>
        <v/>
      </c>
      <c r="AQ8" s="59" t="str">
        <f>IFERROR(AVERAGE(EL_DEL_CD1_STH_PTP_!AR8,'Overall without PTP '!AR8,ELEVATE_CD3_NTH_HB!AQ8,ELEVATE_CD3_STAB_HB!AQ8,ELEVATE_CD3_PTP_HB!AQ8),"")</f>
        <v/>
      </c>
      <c r="AR8" s="59" t="str">
        <f>IFERROR(AVERAGE(EL_DEL_CD1_STH_PTP_!AS8,'Overall without PTP '!AS8,ELEVATE_CD3_NTH_HB!AR8,ELEVATE_CD3_STAB_HB!AR8,ELEVATE_CD3_PTP_HB!AR8),"")</f>
        <v/>
      </c>
      <c r="AS8" s="8">
        <f>SUM(EL_DEL_CD1_STH_PTP_!AT8,'Overall without PTP '!AT8,ELEVATE_CD3_NTH_HB!AS8,ELEVATE_CD3_STAB_HB!AS8,ELEVATE_CD3_PTP_HB!AS8)</f>
        <v>0</v>
      </c>
      <c r="AT8" s="8">
        <f>SUM(EL_DEL_CD1_STH_PTP_!AU8,'Overall without PTP '!AU8,ELEVATE_CD3_NTH_HB!AT8,ELEVATE_CD3_STAB_HB!AT8,ELEVATE_CD3_PTP_HB!AT8)</f>
        <v>0</v>
      </c>
      <c r="AU8" s="9">
        <f>SUM(EL_DEL_CD1_STH_PTP_!AV8,'Overall without PTP '!AV8,ELEVATE_CD3_NTH_HB!AU8,ELEVATE_CD3_STAB_HB!AU8,ELEVATE_CD3_PTP_HB!AU8)</f>
        <v>0</v>
      </c>
      <c r="AV8" s="8">
        <f>IFERROR(AVERAGE(EL_DEL_CD1_STH_PTP_!AW8,'Overall without PTP '!AW8,ELEVATE_CD3_NTH_HB!AV8,ELEVATE_CD3_STAB_HB!AV8,ELEVATE_CD3_PTP_HB!AV8),"")</f>
        <v>0</v>
      </c>
      <c r="AW8" s="10" t="str">
        <f t="shared" si="12"/>
        <v>-</v>
      </c>
      <c r="AX8" s="39"/>
      <c r="AY8" s="1" t="str">
        <f t="shared" si="1"/>
        <v/>
      </c>
      <c r="AZ8" s="11" t="str">
        <f t="shared" si="2"/>
        <v/>
      </c>
      <c r="BA8" s="84" t="str">
        <f t="shared" si="3"/>
        <v/>
      </c>
      <c r="BB8" s="39"/>
      <c r="BC8" s="82" t="str">
        <f t="shared" si="13"/>
        <v/>
      </c>
      <c r="BD8" s="70" t="str">
        <f t="shared" si="14"/>
        <v/>
      </c>
      <c r="BE8" s="70" t="str">
        <f t="shared" si="15"/>
        <v/>
      </c>
      <c r="BF8" s="70" t="str">
        <f t="shared" si="16"/>
        <v/>
      </c>
      <c r="BG8" s="70" t="str">
        <f t="shared" si="17"/>
        <v/>
      </c>
      <c r="BH8" s="83" t="str">
        <f t="shared" si="18"/>
        <v/>
      </c>
      <c r="BI8" s="39"/>
      <c r="BJ8" s="75" t="str">
        <f t="shared" si="4"/>
        <v/>
      </c>
      <c r="BK8" s="76" t="str">
        <f t="shared" si="5"/>
        <v/>
      </c>
      <c r="BL8" s="76" t="str">
        <f t="shared" si="6"/>
        <v/>
      </c>
      <c r="BM8" s="77" t="str">
        <f t="shared" si="7"/>
        <v/>
      </c>
      <c r="BN8" s="39"/>
      <c r="BO8" s="14" t="str">
        <f t="shared" si="19"/>
        <v/>
      </c>
      <c r="BP8" s="15">
        <v>0</v>
      </c>
      <c r="BQ8" s="74" t="str">
        <f t="shared" si="8"/>
        <v/>
      </c>
      <c r="BR8" s="15" t="str">
        <f t="shared" si="9"/>
        <v/>
      </c>
      <c r="BS8" s="16" t="str">
        <f t="shared" si="20"/>
        <v/>
      </c>
      <c r="BT8" s="39"/>
      <c r="BU8" s="51" t="e">
        <f t="shared" si="10"/>
        <v>#VALUE!</v>
      </c>
      <c r="BV8" s="28" t="e">
        <f t="shared" si="21"/>
        <v>#VALUE!</v>
      </c>
      <c r="BW8" s="28" t="e">
        <f t="shared" si="22"/>
        <v>#VALUE!</v>
      </c>
      <c r="BX8" s="28" t="e">
        <f t="shared" si="23"/>
        <v>#VALUE!</v>
      </c>
      <c r="BY8" s="28" t="e">
        <f t="shared" si="24"/>
        <v>#VALUE!</v>
      </c>
      <c r="BZ8" s="52" t="e">
        <f t="shared" si="11"/>
        <v>#VALUE!</v>
      </c>
      <c r="CA8" s="39"/>
      <c r="CB8" s="49" t="str">
        <f t="shared" si="25"/>
        <v>-</v>
      </c>
      <c r="CC8" s="29" t="str">
        <f t="shared" si="26"/>
        <v>-</v>
      </c>
      <c r="CD8" s="29" t="str">
        <f t="shared" si="27"/>
        <v>-</v>
      </c>
      <c r="CE8" s="29" t="str">
        <f t="shared" si="28"/>
        <v>-</v>
      </c>
      <c r="CF8" s="50" t="str">
        <f t="shared" si="29"/>
        <v>-</v>
      </c>
      <c r="CG8" s="39"/>
    </row>
    <row r="9" spans="1:85" s="27" customFormat="1" ht="12.4" customHeight="1" thickBot="1" x14ac:dyDescent="0.25">
      <c r="A9" s="43">
        <f t="shared" si="30"/>
        <v>46301</v>
      </c>
      <c r="B9" s="44" t="str">
        <f t="shared" si="0"/>
        <v>Tue</v>
      </c>
      <c r="C9" s="2">
        <f>SUM(EL_DEL_CD1_STH_PTP_!C9,'Overall without PTP '!C9,ELEVATE_CD3_NTH_HB!C9,ELEVATE_CD3_STAB_HB!C9,ELEVATE_CD3_PTP_HB!C9)</f>
        <v>0</v>
      </c>
      <c r="D9" s="2">
        <f>SUM(EL_DEL_CD1_STH_PTP_!D9,'Overall without PTP '!D9,ELEVATE_CD3_NTH_HB!D9,ELEVATE_CD3_STAB_HB!D9,ELEVATE_CD3_PTP_HB!D9)</f>
        <v>0</v>
      </c>
      <c r="E9" s="3">
        <f>SUM(EL_DEL_CD1_STH_PTP_!E9,'Overall without PTP '!E9,ELEVATE_CD3_NTH_HB!E9,ELEVATE_CD3_STAB_HB!E9,ELEVATE_CD3_PTP_HB!E9)</f>
        <v>0</v>
      </c>
      <c r="F9" s="2">
        <f>SUM(EL_DEL_CD1_STH_PTP_!F9,'Overall without PTP '!F9,ELEVATE_CD3_NTH_HB!F9,ELEVATE_CD3_STAB_HB!F9,ELEVATE_CD3_PTP_HB!F9)</f>
        <v>0</v>
      </c>
      <c r="G9" s="2">
        <f>SUM(EL_DEL_CD1_STH_PTP_!G9,'Overall without PTP '!G9,ELEVATE_CD3_NTH_HB!G9,ELEVATE_CD3_STAB_HB!G9,ELEVATE_CD3_PTP_HB!G9)</f>
        <v>0</v>
      </c>
      <c r="H9" s="4">
        <f>SUM(EL_DEL_CD1_STH_PTP_!H9,'Overall without PTP '!H9,ELEVATE_CD3_NTH_HB!H9,ELEVATE_CD3_STAB_HB!H9,ELEVATE_CD3_PTP_HB!H9)</f>
        <v>0</v>
      </c>
      <c r="I9" s="4">
        <f>SUM(EL_DEL_CD1_STH_PTP_!I9,'Overall without PTP '!I9,ELEVATE_CD3_NTH_HB!I9,ELEVATE_CD3_STAB_HB!I9,ELEVATE_CD3_PTP_HB!I9)</f>
        <v>0</v>
      </c>
      <c r="J9" s="57">
        <f>SUM(EL_DEL_CD1_STH_PTP_!J9,'Overall without PTP '!J9,ELEVATE_CD3_NTH_HB!J9,ELEVATE_CD3_STAB_HB!J9,ELEVATE_CD3_PTP_HB!J9)</f>
        <v>0</v>
      </c>
      <c r="K9" s="5">
        <f>SUM(EL_DEL_CD1_STH_PTP_!K9,'Overall without PTP '!K9,ELEVATE_CD3_NTH_HB!K9,ELEVATE_CD3_STAB_HB!K9,ELEVATE_CD3_PTP_HB!K9)</f>
        <v>0</v>
      </c>
      <c r="L9" s="2">
        <f>SUM(EL_DEL_CD1_STH_PTP_!L9,'Overall without PTP '!L9,ELEVATE_CD3_NTH_HB!L9,ELEVATE_CD3_STAB_HB!L9,ELEVATE_CD3_PTP_HB!L9)</f>
        <v>0</v>
      </c>
      <c r="M9" s="2">
        <f>SUM(EL_DEL_CD1_STH_PTP_!M9,'Overall without PTP '!M9,ELEVATE_CD3_NTH_HB!M9,ELEVATE_CD3_STAB_HB!M9,ELEVATE_CD3_PTP_HB!M9)</f>
        <v>0</v>
      </c>
      <c r="N9" s="2">
        <f>SUM(EL_DEL_CD1_STH_PTP_!N9,'Overall without PTP '!N9,ELEVATE_CD3_NTH_HB!N9,ELEVATE_CD3_STAB_HB!N9,ELEVATE_CD3_PTP_HB!N9)</f>
        <v>0</v>
      </c>
      <c r="O9" s="2">
        <f>SUM(EL_DEL_CD1_STH_PTP_!O9,'Overall without PTP '!O9,ELEVATE_CD3_NTH_HB!O9,ELEVATE_CD3_STAB_HB!O9,ELEVATE_CD3_PTP_HB!O9)</f>
        <v>0</v>
      </c>
      <c r="P9" s="3">
        <f>SUM(EL_DEL_CD1_STH_PTP_!P9,'Overall without PTP '!P9,ELEVATE_CD3_NTH_HB!P9,ELEVATE_CD3_STAB_HB!P9,ELEVATE_CD3_PTP_HB!P9)</f>
        <v>0</v>
      </c>
      <c r="Q9" s="2">
        <f>SUM(EL_DEL_CD1_STH_PTP_!Q9,'Overall without PTP '!Q9,ELEVATE_CD3_NTH_HB!Q9,ELEVATE_CD3_STAB_HB!Q9,ELEVATE_CD3_PTP_HB!Q9)</f>
        <v>0</v>
      </c>
      <c r="R9" s="2">
        <f>SUM(EL_DEL_CD1_STH_PTP_!R9,'Overall without PTP '!R9,ELEVATE_CD3_NTH_HB!R9,ELEVATE_CD3_STAB_HB!R9,ELEVATE_CD3_PTP_HB!R9)</f>
        <v>0</v>
      </c>
      <c r="S9" s="2">
        <f>SUM(EL_DEL_CD1_STH_PTP_!S9,'Overall without PTP '!S9,ELEVATE_CD3_NTH_HB!S9,ELEVATE_CD3_STAB_HB!S9,ELEVATE_CD3_PTP_HB!S9)</f>
        <v>0</v>
      </c>
      <c r="T9" s="2">
        <f>SUM(EL_DEL_CD1_STH_PTP_!T9,'Overall without PTP '!T9,ELEVATE_CD3_NTH_HB!T9,ELEVATE_CD3_STAB_HB!T9,ELEVATE_CD3_PTP_HB!T9)</f>
        <v>0</v>
      </c>
      <c r="U9" s="3">
        <f>SUM(EL_DEL_CD1_STH_PTP_!V9,'Overall without PTP '!V9,ELEVATE_CD3_NTH_HB!U9,ELEVATE_CD3_STAB_HB!U9,ELEVATE_CD3_PTP_HB!U9)</f>
        <v>0</v>
      </c>
      <c r="V9" s="3">
        <f>SUM(EL_DEL_CD1_STH_PTP_!W9,'Overall without PTP '!W9,ELEVATE_CD3_NTH_HB!V9,ELEVATE_CD3_STAB_HB!V9,ELEVATE_CD3_PTP_HB!V9)</f>
        <v>0</v>
      </c>
      <c r="W9" s="2">
        <f>SUM(EL_DEL_CD1_STH_PTP_!X9,'Overall without PTP '!X9,ELEVATE_CD3_NTH_HB!W9,ELEVATE_CD3_STAB_HB!W9,ELEVATE_CD3_PTP_HB!W9)</f>
        <v>0</v>
      </c>
      <c r="X9" s="2">
        <f>SUM(EL_DEL_CD1_STH_PTP_!Y9,'Overall without PTP '!Y9,ELEVATE_CD3_NTH_HB!X9,ELEVATE_CD3_STAB_HB!X9,ELEVATE_CD3_PTP_HB!X9)</f>
        <v>0</v>
      </c>
      <c r="Y9" s="2">
        <f>SUM(EL_DEL_CD1_STH_PTP_!Z9,'Overall without PTP '!Z9,ELEVATE_CD3_NTH_HB!Y9,ELEVATE_CD3_STAB_HB!Y9,ELEVATE_CD3_PTP_HB!Y9)</f>
        <v>0</v>
      </c>
      <c r="Z9" s="2">
        <f>SUM(EL_DEL_CD1_STH_PTP_!AA9,'Overall without PTP '!AA9,ELEVATE_CD3_NTH_HB!Z9,ELEVATE_CD3_STAB_HB!Z9,ELEVATE_CD3_PTP_HB!Z9)</f>
        <v>0</v>
      </c>
      <c r="AA9" s="2">
        <f>SUM(EL_DEL_CD1_STH_PTP_!AB9,'Overall without PTP '!AB9,ELEVATE_CD3_NTH_HB!AA9,ELEVATE_CD3_STAB_HB!AA9,ELEVATE_CD3_PTP_HB!AA9)</f>
        <v>0</v>
      </c>
      <c r="AB9" s="2">
        <f>SUM(EL_DEL_CD1_STH_PTP_!AC9,'Overall without PTP '!AC9,ELEVATE_CD3_NTH_HB!AB9,ELEVATE_CD3_STAB_HB!AB9,ELEVATE_CD3_PTP_HB!AB9)</f>
        <v>0</v>
      </c>
      <c r="AC9" s="2">
        <f>SUM(EL_DEL_CD1_STH_PTP_!AD9,'Overall without PTP '!AD9,ELEVATE_CD3_NTH_HB!AC9,ELEVATE_CD3_STAB_HB!AC9,ELEVATE_CD3_PTP_HB!AC9)</f>
        <v>0</v>
      </c>
      <c r="AD9" s="2">
        <f>SUM(EL_DEL_CD1_STH_PTP_!AE9,'Overall without PTP '!AE9,ELEVATE_CD3_NTH_HB!AD9,ELEVATE_CD3_STAB_HB!AD9,ELEVATE_CD3_PTP_HB!AD9)</f>
        <v>0</v>
      </c>
      <c r="AE9" s="3">
        <f>SUM(EL_DEL_CD1_STH_PTP_!AF9,'Overall without PTP '!AF9,ELEVATE_CD3_NTH_HB!AE9,ELEVATE_CD3_STAB_HB!AE9,ELEVATE_CD3_PTP_HB!AE9)</f>
        <v>0</v>
      </c>
      <c r="AF9" s="3">
        <f>SUM(EL_DEL_CD1_STH_PTP_!AG9,'Overall without PTP '!AG9,ELEVATE_CD3_NTH_HB!AF9,ELEVATE_CD3_STAB_HB!AF9,ELEVATE_CD3_PTP_HB!AF9)</f>
        <v>0</v>
      </c>
      <c r="AG9" s="2">
        <f>SUM(EL_DEL_CD1_STH_PTP_!AH9,'Overall without PTP '!AH9,ELEVATE_CD3_NTH_HB!AG9,ELEVATE_CD3_STAB_HB!AG9,ELEVATE_CD3_PTP_HB!AG9)</f>
        <v>0</v>
      </c>
      <c r="AH9" s="6">
        <f>SUM(EL_DEL_CD1_STH_PTP_!AI9,'Overall without PTP '!AI9,ELEVATE_CD3_NTH_HB!AH9,ELEVATE_CD3_STAB_HB!AH9,ELEVATE_CD3_PTP_HB!AH9)</f>
        <v>0</v>
      </c>
      <c r="AI9" s="7">
        <f>SUM(EL_DEL_CD1_STH_PTP_!AJ9,'Overall without PTP '!AJ9,ELEVATE_CD3_NTH_HB!AI9,ELEVATE_CD3_STAB_HB!AI9,ELEVATE_CD3_PTP_HB!AI9)</f>
        <v>0</v>
      </c>
      <c r="AJ9" s="6">
        <f>SUM(EL_DEL_CD1_STH_PTP_!AK9,'Overall without PTP '!AK9,ELEVATE_CD3_NTH_HB!AJ9,ELEVATE_CD3_STAB_HB!AJ9,ELEVATE_CD3_PTP_HB!AJ9)</f>
        <v>0</v>
      </c>
      <c r="AK9" s="59" t="str">
        <f>IFERROR(AVERAGE(EL_DEL_CD1_STH_PTP_!AL9,'Overall without PTP '!AL9,ELEVATE_CD3_NTH_HB!AK9,ELEVATE_CD3_STAB_HB!AK9,ELEVATE_CD3_PTP_HB!AK9),"")</f>
        <v/>
      </c>
      <c r="AL9" s="59" t="str">
        <f>IFERROR(AVERAGE(EL_DEL_CD1_STH_PTP_!AM9,'Overall without PTP '!AM9,ELEVATE_CD3_NTH_HB!AL9,ELEVATE_CD3_STAB_HB!AL9,ELEVATE_CD3_PTP_HB!AL9),"")</f>
        <v/>
      </c>
      <c r="AM9" s="59" t="str">
        <f>IFERROR(AVERAGE(EL_DEL_CD1_STH_PTP_!AN9,'Overall without PTP '!AN9,ELEVATE_CD3_NTH_HB!AM9,ELEVATE_CD3_STAB_HB!AM9,ELEVATE_CD3_PTP_HB!AM9),"")</f>
        <v/>
      </c>
      <c r="AN9" s="59" t="str">
        <f>IFERROR(AVERAGE(EL_DEL_CD1_STH_PTP_!AO9,'Overall without PTP '!AO9,ELEVATE_CD3_NTH_HB!AN9,ELEVATE_CD3_STAB_HB!AN9,ELEVATE_CD3_PTP_HB!AN9),"")</f>
        <v/>
      </c>
      <c r="AO9" s="59" t="str">
        <f>IFERROR(AVERAGE(EL_DEL_CD1_STH_PTP_!AP9,'Overall without PTP '!AP9,ELEVATE_CD3_NTH_HB!AO9,ELEVATE_CD3_STAB_HB!AO9,ELEVATE_CD3_PTP_HB!AO9),"")</f>
        <v/>
      </c>
      <c r="AP9" s="59" t="str">
        <f>IFERROR(AVERAGE(EL_DEL_CD1_STH_PTP_!AQ9,'Overall without PTP '!AQ9,ELEVATE_CD3_NTH_HB!AP9,ELEVATE_CD3_STAB_HB!AP9,ELEVATE_CD3_PTP_HB!AP9),"")</f>
        <v/>
      </c>
      <c r="AQ9" s="59" t="str">
        <f>IFERROR(AVERAGE(EL_DEL_CD1_STH_PTP_!AR9,'Overall without PTP '!AR9,ELEVATE_CD3_NTH_HB!AQ9,ELEVATE_CD3_STAB_HB!AQ9,ELEVATE_CD3_PTP_HB!AQ9),"")</f>
        <v/>
      </c>
      <c r="AR9" s="59" t="str">
        <f>IFERROR(AVERAGE(EL_DEL_CD1_STH_PTP_!AS9,'Overall without PTP '!AS9,ELEVATE_CD3_NTH_HB!AR9,ELEVATE_CD3_STAB_HB!AR9,ELEVATE_CD3_PTP_HB!AR9),"")</f>
        <v/>
      </c>
      <c r="AS9" s="8">
        <f>SUM(EL_DEL_CD1_STH_PTP_!AT9,'Overall without PTP '!AT9,ELEVATE_CD3_NTH_HB!AS9,ELEVATE_CD3_STAB_HB!AS9,ELEVATE_CD3_PTP_HB!AS9)</f>
        <v>0</v>
      </c>
      <c r="AT9" s="8">
        <f>SUM(EL_DEL_CD1_STH_PTP_!AU9,'Overall without PTP '!AU9,ELEVATE_CD3_NTH_HB!AT9,ELEVATE_CD3_STAB_HB!AT9,ELEVATE_CD3_PTP_HB!AT9)</f>
        <v>0</v>
      </c>
      <c r="AU9" s="9">
        <f>SUM(EL_DEL_CD1_STH_PTP_!AV9,'Overall without PTP '!AV9,ELEVATE_CD3_NTH_HB!AU9,ELEVATE_CD3_STAB_HB!AU9,ELEVATE_CD3_PTP_HB!AU9)</f>
        <v>0</v>
      </c>
      <c r="AV9" s="8">
        <f>IFERROR(AVERAGE(EL_DEL_CD1_STH_PTP_!AW9,'Overall without PTP '!AW9,ELEVATE_CD3_NTH_HB!AV9,ELEVATE_CD3_STAB_HB!AV9,ELEVATE_CD3_PTP_HB!AV9),"")</f>
        <v>0</v>
      </c>
      <c r="AW9" s="10" t="str">
        <f t="shared" si="12"/>
        <v>-</v>
      </c>
      <c r="AX9" s="39"/>
      <c r="AY9" s="1" t="str">
        <f t="shared" si="1"/>
        <v/>
      </c>
      <c r="AZ9" s="11" t="str">
        <f t="shared" si="2"/>
        <v/>
      </c>
      <c r="BA9" s="84" t="str">
        <f t="shared" si="3"/>
        <v/>
      </c>
      <c r="BB9" s="39"/>
      <c r="BC9" s="82" t="str">
        <f t="shared" si="13"/>
        <v/>
      </c>
      <c r="BD9" s="70" t="str">
        <f t="shared" si="14"/>
        <v/>
      </c>
      <c r="BE9" s="70" t="str">
        <f t="shared" si="15"/>
        <v/>
      </c>
      <c r="BF9" s="70" t="str">
        <f t="shared" si="16"/>
        <v/>
      </c>
      <c r="BG9" s="70" t="str">
        <f t="shared" si="17"/>
        <v/>
      </c>
      <c r="BH9" s="83" t="str">
        <f t="shared" si="18"/>
        <v/>
      </c>
      <c r="BI9" s="39"/>
      <c r="BJ9" s="75" t="str">
        <f t="shared" si="4"/>
        <v/>
      </c>
      <c r="BK9" s="76" t="str">
        <f t="shared" si="5"/>
        <v/>
      </c>
      <c r="BL9" s="76" t="str">
        <f t="shared" si="6"/>
        <v/>
      </c>
      <c r="BM9" s="77" t="str">
        <f t="shared" si="7"/>
        <v/>
      </c>
      <c r="BN9" s="39"/>
      <c r="BO9" s="14" t="str">
        <f t="shared" si="19"/>
        <v/>
      </c>
      <c r="BP9" s="15">
        <v>0</v>
      </c>
      <c r="BQ9" s="74" t="str">
        <f t="shared" si="8"/>
        <v/>
      </c>
      <c r="BR9" s="15" t="str">
        <f t="shared" si="9"/>
        <v/>
      </c>
      <c r="BS9" s="16" t="str">
        <f t="shared" si="20"/>
        <v/>
      </c>
      <c r="BT9" s="39"/>
      <c r="BU9" s="51" t="e">
        <f t="shared" si="10"/>
        <v>#VALUE!</v>
      </c>
      <c r="BV9" s="28" t="e">
        <f t="shared" si="21"/>
        <v>#VALUE!</v>
      </c>
      <c r="BW9" s="28" t="e">
        <f t="shared" si="22"/>
        <v>#VALUE!</v>
      </c>
      <c r="BX9" s="28" t="e">
        <f t="shared" si="23"/>
        <v>#VALUE!</v>
      </c>
      <c r="BY9" s="28" t="e">
        <f t="shared" si="24"/>
        <v>#VALUE!</v>
      </c>
      <c r="BZ9" s="52" t="e">
        <f t="shared" si="11"/>
        <v>#VALUE!</v>
      </c>
      <c r="CA9" s="39"/>
      <c r="CB9" s="49" t="str">
        <f t="shared" si="25"/>
        <v>-</v>
      </c>
      <c r="CC9" s="29" t="str">
        <f t="shared" si="26"/>
        <v>-</v>
      </c>
      <c r="CD9" s="29" t="str">
        <f t="shared" si="27"/>
        <v>-</v>
      </c>
      <c r="CE9" s="29" t="str">
        <f t="shared" si="28"/>
        <v>-</v>
      </c>
      <c r="CF9" s="50" t="str">
        <f t="shared" si="29"/>
        <v>-</v>
      </c>
      <c r="CG9" s="39"/>
    </row>
    <row r="10" spans="1:85" s="27" customFormat="1" ht="12.4" customHeight="1" thickBot="1" x14ac:dyDescent="0.25">
      <c r="A10" s="43">
        <f t="shared" si="30"/>
        <v>46302</v>
      </c>
      <c r="B10" s="44" t="str">
        <f t="shared" si="0"/>
        <v>Wed</v>
      </c>
      <c r="C10" s="2">
        <f>SUM(EL_DEL_CD1_STH_PTP_!C10,'Overall without PTP '!C10,ELEVATE_CD3_NTH_HB!C10,ELEVATE_CD3_STAB_HB!C10,ELEVATE_CD3_PTP_HB!C10)</f>
        <v>0</v>
      </c>
      <c r="D10" s="2">
        <f>SUM(EL_DEL_CD1_STH_PTP_!D10,'Overall without PTP '!D10,ELEVATE_CD3_NTH_HB!D10,ELEVATE_CD3_STAB_HB!D10,ELEVATE_CD3_PTP_HB!D10)</f>
        <v>0</v>
      </c>
      <c r="E10" s="3">
        <f>SUM(EL_DEL_CD1_STH_PTP_!E10,'Overall without PTP '!E10,ELEVATE_CD3_NTH_HB!E10,ELEVATE_CD3_STAB_HB!E10,ELEVATE_CD3_PTP_HB!E10)</f>
        <v>0</v>
      </c>
      <c r="F10" s="2">
        <f>SUM(EL_DEL_CD1_STH_PTP_!F10,'Overall without PTP '!F10,ELEVATE_CD3_NTH_HB!F10,ELEVATE_CD3_STAB_HB!F10,ELEVATE_CD3_PTP_HB!F10)</f>
        <v>0</v>
      </c>
      <c r="G10" s="2">
        <f>SUM(EL_DEL_CD1_STH_PTP_!G10,'Overall without PTP '!G10,ELEVATE_CD3_NTH_HB!G10,ELEVATE_CD3_STAB_HB!G10,ELEVATE_CD3_PTP_HB!G10)</f>
        <v>0</v>
      </c>
      <c r="H10" s="4">
        <f>SUM(EL_DEL_CD1_STH_PTP_!H10,'Overall without PTP '!H10,ELEVATE_CD3_NTH_HB!H10,ELEVATE_CD3_STAB_HB!H10,ELEVATE_CD3_PTP_HB!H10)</f>
        <v>0</v>
      </c>
      <c r="I10" s="4">
        <f>SUM(EL_DEL_CD1_STH_PTP_!I10,'Overall without PTP '!I10,ELEVATE_CD3_NTH_HB!I10,ELEVATE_CD3_STAB_HB!I10,ELEVATE_CD3_PTP_HB!I10)</f>
        <v>0</v>
      </c>
      <c r="J10" s="57">
        <f>SUM(EL_DEL_CD1_STH_PTP_!J10,'Overall without PTP '!J10,ELEVATE_CD3_NTH_HB!J10,ELEVATE_CD3_STAB_HB!J10,ELEVATE_CD3_PTP_HB!J10)</f>
        <v>0</v>
      </c>
      <c r="K10" s="5">
        <f>SUM(EL_DEL_CD1_STH_PTP_!K10,'Overall without PTP '!K10,ELEVATE_CD3_NTH_HB!K10,ELEVATE_CD3_STAB_HB!K10,ELEVATE_CD3_PTP_HB!K10)</f>
        <v>0</v>
      </c>
      <c r="L10" s="2">
        <f>SUM(EL_DEL_CD1_STH_PTP_!L10,'Overall without PTP '!L10,ELEVATE_CD3_NTH_HB!L10,ELEVATE_CD3_STAB_HB!L10,ELEVATE_CD3_PTP_HB!L10)</f>
        <v>0</v>
      </c>
      <c r="M10" s="2">
        <f>SUM(EL_DEL_CD1_STH_PTP_!M10,'Overall without PTP '!M10,ELEVATE_CD3_NTH_HB!M10,ELEVATE_CD3_STAB_HB!M10,ELEVATE_CD3_PTP_HB!M10)</f>
        <v>0</v>
      </c>
      <c r="N10" s="2">
        <f>SUM(EL_DEL_CD1_STH_PTP_!N10,'Overall without PTP '!N10,ELEVATE_CD3_NTH_HB!N10,ELEVATE_CD3_STAB_HB!N10,ELEVATE_CD3_PTP_HB!N10)</f>
        <v>0</v>
      </c>
      <c r="O10" s="2">
        <f>SUM(EL_DEL_CD1_STH_PTP_!O10,'Overall without PTP '!O10,ELEVATE_CD3_NTH_HB!O10,ELEVATE_CD3_STAB_HB!O10,ELEVATE_CD3_PTP_HB!O10)</f>
        <v>0</v>
      </c>
      <c r="P10" s="3">
        <f>SUM(EL_DEL_CD1_STH_PTP_!P10,'Overall without PTP '!P10,ELEVATE_CD3_NTH_HB!P10,ELEVATE_CD3_STAB_HB!P10,ELEVATE_CD3_PTP_HB!P10)</f>
        <v>0</v>
      </c>
      <c r="Q10" s="2">
        <f>SUM(EL_DEL_CD1_STH_PTP_!Q10,'Overall without PTP '!Q10,ELEVATE_CD3_NTH_HB!Q10,ELEVATE_CD3_STAB_HB!Q10,ELEVATE_CD3_PTP_HB!Q10)</f>
        <v>0</v>
      </c>
      <c r="R10" s="2">
        <f>SUM(EL_DEL_CD1_STH_PTP_!R10,'Overall without PTP '!R10,ELEVATE_CD3_NTH_HB!R10,ELEVATE_CD3_STAB_HB!R10,ELEVATE_CD3_PTP_HB!R10)</f>
        <v>0</v>
      </c>
      <c r="S10" s="2">
        <f>SUM(EL_DEL_CD1_STH_PTP_!S10,'Overall without PTP '!S10,ELEVATE_CD3_NTH_HB!S10,ELEVATE_CD3_STAB_HB!S10,ELEVATE_CD3_PTP_HB!S10)</f>
        <v>0</v>
      </c>
      <c r="T10" s="2">
        <f>SUM(EL_DEL_CD1_STH_PTP_!T10,'Overall without PTP '!T10,ELEVATE_CD3_NTH_HB!T10,ELEVATE_CD3_STAB_HB!T10,ELEVATE_CD3_PTP_HB!T10)</f>
        <v>0</v>
      </c>
      <c r="U10" s="3">
        <f>SUM(EL_DEL_CD1_STH_PTP_!V10,'Overall without PTP '!V10,ELEVATE_CD3_NTH_HB!U10,ELEVATE_CD3_STAB_HB!U10,ELEVATE_CD3_PTP_HB!U10)</f>
        <v>0</v>
      </c>
      <c r="V10" s="3">
        <f>SUM(EL_DEL_CD1_STH_PTP_!W10,'Overall without PTP '!W10,ELEVATE_CD3_NTH_HB!V10,ELEVATE_CD3_STAB_HB!V10,ELEVATE_CD3_PTP_HB!V10)</f>
        <v>0</v>
      </c>
      <c r="W10" s="2">
        <f>SUM(EL_DEL_CD1_STH_PTP_!X10,'Overall without PTP '!X10,ELEVATE_CD3_NTH_HB!W10,ELEVATE_CD3_STAB_HB!W10,ELEVATE_CD3_PTP_HB!W10)</f>
        <v>0</v>
      </c>
      <c r="X10" s="2">
        <f>SUM(EL_DEL_CD1_STH_PTP_!Y10,'Overall without PTP '!Y10,ELEVATE_CD3_NTH_HB!X10,ELEVATE_CD3_STAB_HB!X10,ELEVATE_CD3_PTP_HB!X10)</f>
        <v>0</v>
      </c>
      <c r="Y10" s="2">
        <f>SUM(EL_DEL_CD1_STH_PTP_!Z10,'Overall without PTP '!Z10,ELEVATE_CD3_NTH_HB!Y10,ELEVATE_CD3_STAB_HB!Y10,ELEVATE_CD3_PTP_HB!Y10)</f>
        <v>0</v>
      </c>
      <c r="Z10" s="2">
        <f>SUM(EL_DEL_CD1_STH_PTP_!AA10,'Overall without PTP '!AA10,ELEVATE_CD3_NTH_HB!Z10,ELEVATE_CD3_STAB_HB!Z10,ELEVATE_CD3_PTP_HB!Z10)</f>
        <v>0</v>
      </c>
      <c r="AA10" s="2">
        <f>SUM(EL_DEL_CD1_STH_PTP_!AB10,'Overall without PTP '!AB10,ELEVATE_CD3_NTH_HB!AA10,ELEVATE_CD3_STAB_HB!AA10,ELEVATE_CD3_PTP_HB!AA10)</f>
        <v>0</v>
      </c>
      <c r="AB10" s="2">
        <f>SUM(EL_DEL_CD1_STH_PTP_!AC10,'Overall without PTP '!AC10,ELEVATE_CD3_NTH_HB!AB10,ELEVATE_CD3_STAB_HB!AB10,ELEVATE_CD3_PTP_HB!AB10)</f>
        <v>0</v>
      </c>
      <c r="AC10" s="2">
        <f>SUM(EL_DEL_CD1_STH_PTP_!AD10,'Overall without PTP '!AD10,ELEVATE_CD3_NTH_HB!AC10,ELEVATE_CD3_STAB_HB!AC10,ELEVATE_CD3_PTP_HB!AC10)</f>
        <v>0</v>
      </c>
      <c r="AD10" s="2">
        <f>SUM(EL_DEL_CD1_STH_PTP_!AE10,'Overall without PTP '!AE10,ELEVATE_CD3_NTH_HB!AD10,ELEVATE_CD3_STAB_HB!AD10,ELEVATE_CD3_PTP_HB!AD10)</f>
        <v>0</v>
      </c>
      <c r="AE10" s="3">
        <f>SUM(EL_DEL_CD1_STH_PTP_!AF10,'Overall without PTP '!AF10,ELEVATE_CD3_NTH_HB!AE10,ELEVATE_CD3_STAB_HB!AE10,ELEVATE_CD3_PTP_HB!AE10)</f>
        <v>0</v>
      </c>
      <c r="AF10" s="3">
        <f>SUM(EL_DEL_CD1_STH_PTP_!AG10,'Overall without PTP '!AG10,ELEVATE_CD3_NTH_HB!AF10,ELEVATE_CD3_STAB_HB!AF10,ELEVATE_CD3_PTP_HB!AF10)</f>
        <v>0</v>
      </c>
      <c r="AG10" s="2">
        <f>SUM(EL_DEL_CD1_STH_PTP_!AH10,'Overall without PTP '!AH10,ELEVATE_CD3_NTH_HB!AG10,ELEVATE_CD3_STAB_HB!AG10,ELEVATE_CD3_PTP_HB!AG10)</f>
        <v>0</v>
      </c>
      <c r="AH10" s="6">
        <f>SUM(EL_DEL_CD1_STH_PTP_!AI10,'Overall without PTP '!AI10,ELEVATE_CD3_NTH_HB!AH10,ELEVATE_CD3_STAB_HB!AH10,ELEVATE_CD3_PTP_HB!AH10)</f>
        <v>0</v>
      </c>
      <c r="AI10" s="7">
        <f>SUM(EL_DEL_CD1_STH_PTP_!AJ10,'Overall without PTP '!AJ10,ELEVATE_CD3_NTH_HB!AI10,ELEVATE_CD3_STAB_HB!AI10,ELEVATE_CD3_PTP_HB!AI10)</f>
        <v>0</v>
      </c>
      <c r="AJ10" s="6">
        <f>SUM(EL_DEL_CD1_STH_PTP_!AK10,'Overall without PTP '!AK10,ELEVATE_CD3_NTH_HB!AJ10,ELEVATE_CD3_STAB_HB!AJ10,ELEVATE_CD3_PTP_HB!AJ10)</f>
        <v>0</v>
      </c>
      <c r="AK10" s="59" t="str">
        <f>IFERROR(AVERAGE(EL_DEL_CD1_STH_PTP_!AL10,'Overall without PTP '!AL10,ELEVATE_CD3_NTH_HB!AK10,ELEVATE_CD3_STAB_HB!AK10,ELEVATE_CD3_PTP_HB!AK10),"")</f>
        <v/>
      </c>
      <c r="AL10" s="59" t="str">
        <f>IFERROR(AVERAGE(EL_DEL_CD1_STH_PTP_!AM10,'Overall without PTP '!AM10,ELEVATE_CD3_NTH_HB!AL10,ELEVATE_CD3_STAB_HB!AL10,ELEVATE_CD3_PTP_HB!AL10),"")</f>
        <v/>
      </c>
      <c r="AM10" s="59" t="str">
        <f>IFERROR(AVERAGE(EL_DEL_CD1_STH_PTP_!AN10,'Overall without PTP '!AN10,ELEVATE_CD3_NTH_HB!AM10,ELEVATE_CD3_STAB_HB!AM10,ELEVATE_CD3_PTP_HB!AM10),"")</f>
        <v/>
      </c>
      <c r="AN10" s="59" t="str">
        <f>IFERROR(AVERAGE(EL_DEL_CD1_STH_PTP_!AO10,'Overall without PTP '!AO10,ELEVATE_CD3_NTH_HB!AN10,ELEVATE_CD3_STAB_HB!AN10,ELEVATE_CD3_PTP_HB!AN10),"")</f>
        <v/>
      </c>
      <c r="AO10" s="59" t="str">
        <f>IFERROR(AVERAGE(EL_DEL_CD1_STH_PTP_!AP10,'Overall without PTP '!AP10,ELEVATE_CD3_NTH_HB!AO10,ELEVATE_CD3_STAB_HB!AO10,ELEVATE_CD3_PTP_HB!AO10),"")</f>
        <v/>
      </c>
      <c r="AP10" s="59" t="str">
        <f>IFERROR(AVERAGE(EL_DEL_CD1_STH_PTP_!AQ10,'Overall without PTP '!AQ10,ELEVATE_CD3_NTH_HB!AP10,ELEVATE_CD3_STAB_HB!AP10,ELEVATE_CD3_PTP_HB!AP10),"")</f>
        <v/>
      </c>
      <c r="AQ10" s="59" t="str">
        <f>IFERROR(AVERAGE(EL_DEL_CD1_STH_PTP_!AR10,'Overall without PTP '!AR10,ELEVATE_CD3_NTH_HB!AQ10,ELEVATE_CD3_STAB_HB!AQ10,ELEVATE_CD3_PTP_HB!AQ10),"")</f>
        <v/>
      </c>
      <c r="AR10" s="59" t="str">
        <f>IFERROR(AVERAGE(EL_DEL_CD1_STH_PTP_!AS10,'Overall without PTP '!AS10,ELEVATE_CD3_NTH_HB!AR10,ELEVATE_CD3_STAB_HB!AR10,ELEVATE_CD3_PTP_HB!AR10),"")</f>
        <v/>
      </c>
      <c r="AS10" s="8">
        <f>SUM(EL_DEL_CD1_STH_PTP_!AT10,'Overall without PTP '!AT10,ELEVATE_CD3_NTH_HB!AS10,ELEVATE_CD3_STAB_HB!AS10,ELEVATE_CD3_PTP_HB!AS10)</f>
        <v>0</v>
      </c>
      <c r="AT10" s="8">
        <f>SUM(EL_DEL_CD1_STH_PTP_!AU10,'Overall without PTP '!AU10,ELEVATE_CD3_NTH_HB!AT10,ELEVATE_CD3_STAB_HB!AT10,ELEVATE_CD3_PTP_HB!AT10)</f>
        <v>0</v>
      </c>
      <c r="AU10" s="9">
        <f>SUM(EL_DEL_CD1_STH_PTP_!AV10,'Overall without PTP '!AV10,ELEVATE_CD3_NTH_HB!AU10,ELEVATE_CD3_STAB_HB!AU10,ELEVATE_CD3_PTP_HB!AU10)</f>
        <v>0</v>
      </c>
      <c r="AV10" s="8">
        <f>IFERROR(AVERAGE(EL_DEL_CD1_STH_PTP_!AW10,'Overall without PTP '!AW10,ELEVATE_CD3_NTH_HB!AV10,ELEVATE_CD3_STAB_HB!AV10,ELEVATE_CD3_PTP_HB!AV10),"")</f>
        <v>0</v>
      </c>
      <c r="AW10" s="10" t="str">
        <f t="shared" si="12"/>
        <v>-</v>
      </c>
      <c r="AX10" s="39"/>
      <c r="AY10" s="1" t="str">
        <f t="shared" si="1"/>
        <v/>
      </c>
      <c r="AZ10" s="11" t="str">
        <f t="shared" si="2"/>
        <v/>
      </c>
      <c r="BA10" s="84" t="str">
        <f t="shared" si="3"/>
        <v/>
      </c>
      <c r="BB10" s="39"/>
      <c r="BC10" s="82" t="str">
        <f t="shared" si="13"/>
        <v/>
      </c>
      <c r="BD10" s="70" t="str">
        <f t="shared" si="14"/>
        <v/>
      </c>
      <c r="BE10" s="70" t="str">
        <f t="shared" si="15"/>
        <v/>
      </c>
      <c r="BF10" s="70" t="str">
        <f t="shared" si="16"/>
        <v/>
      </c>
      <c r="BG10" s="70" t="str">
        <f t="shared" si="17"/>
        <v/>
      </c>
      <c r="BH10" s="83" t="str">
        <f t="shared" si="18"/>
        <v/>
      </c>
      <c r="BI10" s="39"/>
      <c r="BJ10" s="75" t="str">
        <f t="shared" si="4"/>
        <v/>
      </c>
      <c r="BK10" s="76" t="str">
        <f t="shared" si="5"/>
        <v/>
      </c>
      <c r="BL10" s="76" t="str">
        <f t="shared" si="6"/>
        <v/>
      </c>
      <c r="BM10" s="77" t="str">
        <f t="shared" si="7"/>
        <v/>
      </c>
      <c r="BN10" s="39"/>
      <c r="BO10" s="14" t="str">
        <f t="shared" si="19"/>
        <v/>
      </c>
      <c r="BP10" s="15">
        <v>0</v>
      </c>
      <c r="BQ10" s="74" t="str">
        <f t="shared" si="8"/>
        <v/>
      </c>
      <c r="BR10" s="15" t="str">
        <f t="shared" si="9"/>
        <v/>
      </c>
      <c r="BS10" s="16" t="str">
        <f t="shared" si="20"/>
        <v/>
      </c>
      <c r="BT10" s="39"/>
      <c r="BU10" s="51" t="e">
        <f t="shared" si="10"/>
        <v>#VALUE!</v>
      </c>
      <c r="BV10" s="28" t="e">
        <f t="shared" si="21"/>
        <v>#VALUE!</v>
      </c>
      <c r="BW10" s="28" t="e">
        <f t="shared" si="22"/>
        <v>#VALUE!</v>
      </c>
      <c r="BX10" s="28" t="e">
        <f t="shared" si="23"/>
        <v>#VALUE!</v>
      </c>
      <c r="BY10" s="28" t="e">
        <f t="shared" si="24"/>
        <v>#VALUE!</v>
      </c>
      <c r="BZ10" s="52" t="e">
        <f t="shared" si="11"/>
        <v>#VALUE!</v>
      </c>
      <c r="CA10" s="39"/>
      <c r="CB10" s="49" t="str">
        <f t="shared" si="25"/>
        <v>-</v>
      </c>
      <c r="CC10" s="29" t="str">
        <f t="shared" si="26"/>
        <v>-</v>
      </c>
      <c r="CD10" s="29" t="str">
        <f t="shared" si="27"/>
        <v>-</v>
      </c>
      <c r="CE10" s="29" t="str">
        <f t="shared" si="28"/>
        <v>-</v>
      </c>
      <c r="CF10" s="50" t="str">
        <f t="shared" si="29"/>
        <v>-</v>
      </c>
      <c r="CG10" s="39"/>
    </row>
    <row r="11" spans="1:85" s="27" customFormat="1" ht="12.4" customHeight="1" thickBot="1" x14ac:dyDescent="0.25">
      <c r="A11" s="43">
        <f t="shared" si="30"/>
        <v>46303</v>
      </c>
      <c r="B11" s="44" t="str">
        <f t="shared" si="0"/>
        <v>Thu</v>
      </c>
      <c r="C11" s="2">
        <f>SUM(EL_DEL_CD1_STH_PTP_!C11,'Overall without PTP '!C11,ELEVATE_CD3_NTH_HB!C11,ELEVATE_CD3_STAB_HB!C11,ELEVATE_CD3_PTP_HB!C11)</f>
        <v>0</v>
      </c>
      <c r="D11" s="2">
        <f>SUM(EL_DEL_CD1_STH_PTP_!D11,'Overall without PTP '!D11,ELEVATE_CD3_NTH_HB!D11,ELEVATE_CD3_STAB_HB!D11,ELEVATE_CD3_PTP_HB!D11)</f>
        <v>0</v>
      </c>
      <c r="E11" s="3">
        <f>SUM(EL_DEL_CD1_STH_PTP_!E11,'Overall without PTP '!E11,ELEVATE_CD3_NTH_HB!E11,ELEVATE_CD3_STAB_HB!E11,ELEVATE_CD3_PTP_HB!E11)</f>
        <v>0</v>
      </c>
      <c r="F11" s="2">
        <f>SUM(EL_DEL_CD1_STH_PTP_!F11,'Overall without PTP '!F11,ELEVATE_CD3_NTH_HB!F11,ELEVATE_CD3_STAB_HB!F11,ELEVATE_CD3_PTP_HB!F11)</f>
        <v>0</v>
      </c>
      <c r="G11" s="2">
        <f>SUM(EL_DEL_CD1_STH_PTP_!G11,'Overall without PTP '!G11,ELEVATE_CD3_NTH_HB!G11,ELEVATE_CD3_STAB_HB!G11,ELEVATE_CD3_PTP_HB!G11)</f>
        <v>0</v>
      </c>
      <c r="H11" s="4">
        <f>SUM(EL_DEL_CD1_STH_PTP_!H11,'Overall without PTP '!H11,ELEVATE_CD3_NTH_HB!H11,ELEVATE_CD3_STAB_HB!H11,ELEVATE_CD3_PTP_HB!H11)</f>
        <v>0</v>
      </c>
      <c r="I11" s="4">
        <f>SUM(EL_DEL_CD1_STH_PTP_!I11,'Overall without PTP '!I11,ELEVATE_CD3_NTH_HB!I11,ELEVATE_CD3_STAB_HB!I11,ELEVATE_CD3_PTP_HB!I11)</f>
        <v>0</v>
      </c>
      <c r="J11" s="57">
        <f>SUM(EL_DEL_CD1_STH_PTP_!J11,'Overall without PTP '!J11,ELEVATE_CD3_NTH_HB!J11,ELEVATE_CD3_STAB_HB!J11,ELEVATE_CD3_PTP_HB!J11)</f>
        <v>0</v>
      </c>
      <c r="K11" s="5">
        <f>SUM(EL_DEL_CD1_STH_PTP_!K11,'Overall without PTP '!K11,ELEVATE_CD3_NTH_HB!K11,ELEVATE_CD3_STAB_HB!K11,ELEVATE_CD3_PTP_HB!K11)</f>
        <v>0</v>
      </c>
      <c r="L11" s="2">
        <f>SUM(EL_DEL_CD1_STH_PTP_!L11,'Overall without PTP '!L11,ELEVATE_CD3_NTH_HB!L11,ELEVATE_CD3_STAB_HB!L11,ELEVATE_CD3_PTP_HB!L11)</f>
        <v>0</v>
      </c>
      <c r="M11" s="2">
        <f>SUM(EL_DEL_CD1_STH_PTP_!M11,'Overall without PTP '!M11,ELEVATE_CD3_NTH_HB!M11,ELEVATE_CD3_STAB_HB!M11,ELEVATE_CD3_PTP_HB!M11)</f>
        <v>0</v>
      </c>
      <c r="N11" s="2">
        <f>SUM(EL_DEL_CD1_STH_PTP_!N11,'Overall without PTP '!N11,ELEVATE_CD3_NTH_HB!N11,ELEVATE_CD3_STAB_HB!N11,ELEVATE_CD3_PTP_HB!N11)</f>
        <v>0</v>
      </c>
      <c r="O11" s="2">
        <f>SUM(EL_DEL_CD1_STH_PTP_!O11,'Overall without PTP '!O11,ELEVATE_CD3_NTH_HB!O11,ELEVATE_CD3_STAB_HB!O11,ELEVATE_CD3_PTP_HB!O11)</f>
        <v>0</v>
      </c>
      <c r="P11" s="3">
        <f>SUM(EL_DEL_CD1_STH_PTP_!P11,'Overall without PTP '!P11,ELEVATE_CD3_NTH_HB!P11,ELEVATE_CD3_STAB_HB!P11,ELEVATE_CD3_PTP_HB!P11)</f>
        <v>0</v>
      </c>
      <c r="Q11" s="2">
        <f>SUM(EL_DEL_CD1_STH_PTP_!Q11,'Overall without PTP '!Q11,ELEVATE_CD3_NTH_HB!Q11,ELEVATE_CD3_STAB_HB!Q11,ELEVATE_CD3_PTP_HB!Q11)</f>
        <v>0</v>
      </c>
      <c r="R11" s="2">
        <f>SUM(EL_DEL_CD1_STH_PTP_!R11,'Overall without PTP '!R11,ELEVATE_CD3_NTH_HB!R11,ELEVATE_CD3_STAB_HB!R11,ELEVATE_CD3_PTP_HB!R11)</f>
        <v>0</v>
      </c>
      <c r="S11" s="2">
        <f>SUM(EL_DEL_CD1_STH_PTP_!S11,'Overall without PTP '!S11,ELEVATE_CD3_NTH_HB!S11,ELEVATE_CD3_STAB_HB!S11,ELEVATE_CD3_PTP_HB!S11)</f>
        <v>0</v>
      </c>
      <c r="T11" s="2">
        <f>SUM(EL_DEL_CD1_STH_PTP_!T11,'Overall without PTP '!T11,ELEVATE_CD3_NTH_HB!T11,ELEVATE_CD3_STAB_HB!T11,ELEVATE_CD3_PTP_HB!T11)</f>
        <v>0</v>
      </c>
      <c r="U11" s="3">
        <f>SUM(EL_DEL_CD1_STH_PTP_!V11,'Overall without PTP '!V11,ELEVATE_CD3_NTH_HB!U11,ELEVATE_CD3_STAB_HB!U11,ELEVATE_CD3_PTP_HB!U11)</f>
        <v>0</v>
      </c>
      <c r="V11" s="3">
        <f>SUM(EL_DEL_CD1_STH_PTP_!W11,'Overall without PTP '!W11,ELEVATE_CD3_NTH_HB!V11,ELEVATE_CD3_STAB_HB!V11,ELEVATE_CD3_PTP_HB!V11)</f>
        <v>0</v>
      </c>
      <c r="W11" s="2">
        <f>SUM(EL_DEL_CD1_STH_PTP_!X11,'Overall without PTP '!X11,ELEVATE_CD3_NTH_HB!W11,ELEVATE_CD3_STAB_HB!W11,ELEVATE_CD3_PTP_HB!W11)</f>
        <v>0</v>
      </c>
      <c r="X11" s="2">
        <f>SUM(EL_DEL_CD1_STH_PTP_!Y11,'Overall without PTP '!Y11,ELEVATE_CD3_NTH_HB!X11,ELEVATE_CD3_STAB_HB!X11,ELEVATE_CD3_PTP_HB!X11)</f>
        <v>0</v>
      </c>
      <c r="Y11" s="2">
        <f>SUM(EL_DEL_CD1_STH_PTP_!Z11,'Overall without PTP '!Z11,ELEVATE_CD3_NTH_HB!Y11,ELEVATE_CD3_STAB_HB!Y11,ELEVATE_CD3_PTP_HB!Y11)</f>
        <v>0</v>
      </c>
      <c r="Z11" s="2">
        <f>SUM(EL_DEL_CD1_STH_PTP_!AA11,'Overall without PTP '!AA11,ELEVATE_CD3_NTH_HB!Z11,ELEVATE_CD3_STAB_HB!Z11,ELEVATE_CD3_PTP_HB!Z11)</f>
        <v>0</v>
      </c>
      <c r="AA11" s="2">
        <f>SUM(EL_DEL_CD1_STH_PTP_!AB11,'Overall without PTP '!AB11,ELEVATE_CD3_NTH_HB!AA11,ELEVATE_CD3_STAB_HB!AA11,ELEVATE_CD3_PTP_HB!AA11)</f>
        <v>0</v>
      </c>
      <c r="AB11" s="2">
        <f>SUM(EL_DEL_CD1_STH_PTP_!AC11,'Overall without PTP '!AC11,ELEVATE_CD3_NTH_HB!AB11,ELEVATE_CD3_STAB_HB!AB11,ELEVATE_CD3_PTP_HB!AB11)</f>
        <v>0</v>
      </c>
      <c r="AC11" s="2">
        <f>SUM(EL_DEL_CD1_STH_PTP_!AD11,'Overall without PTP '!AD11,ELEVATE_CD3_NTH_HB!AC11,ELEVATE_CD3_STAB_HB!AC11,ELEVATE_CD3_PTP_HB!AC11)</f>
        <v>0</v>
      </c>
      <c r="AD11" s="2">
        <f>SUM(EL_DEL_CD1_STH_PTP_!AE11,'Overall without PTP '!AE11,ELEVATE_CD3_NTH_HB!AD11,ELEVATE_CD3_STAB_HB!AD11,ELEVATE_CD3_PTP_HB!AD11)</f>
        <v>0</v>
      </c>
      <c r="AE11" s="3">
        <f>SUM(EL_DEL_CD1_STH_PTP_!AF11,'Overall without PTP '!AF11,ELEVATE_CD3_NTH_HB!AE11,ELEVATE_CD3_STAB_HB!AE11,ELEVATE_CD3_PTP_HB!AE11)</f>
        <v>0</v>
      </c>
      <c r="AF11" s="3">
        <f>SUM(EL_DEL_CD1_STH_PTP_!AG11,'Overall without PTP '!AG11,ELEVATE_CD3_NTH_HB!AF11,ELEVATE_CD3_STAB_HB!AF11,ELEVATE_CD3_PTP_HB!AF11)</f>
        <v>0</v>
      </c>
      <c r="AG11" s="2">
        <f>SUM(EL_DEL_CD1_STH_PTP_!AH11,'Overall without PTP '!AH11,ELEVATE_CD3_NTH_HB!AG11,ELEVATE_CD3_STAB_HB!AG11,ELEVATE_CD3_PTP_HB!AG11)</f>
        <v>0</v>
      </c>
      <c r="AH11" s="6">
        <f>SUM(EL_DEL_CD1_STH_PTP_!AI11,'Overall without PTP '!AI11,ELEVATE_CD3_NTH_HB!AH11,ELEVATE_CD3_STAB_HB!AH11,ELEVATE_CD3_PTP_HB!AH11)</f>
        <v>0</v>
      </c>
      <c r="AI11" s="7">
        <f>SUM(EL_DEL_CD1_STH_PTP_!AJ11,'Overall without PTP '!AJ11,ELEVATE_CD3_NTH_HB!AI11,ELEVATE_CD3_STAB_HB!AI11,ELEVATE_CD3_PTP_HB!AI11)</f>
        <v>0</v>
      </c>
      <c r="AJ11" s="6">
        <f>SUM(EL_DEL_CD1_STH_PTP_!AK11,'Overall without PTP '!AK11,ELEVATE_CD3_NTH_HB!AJ11,ELEVATE_CD3_STAB_HB!AJ11,ELEVATE_CD3_PTP_HB!AJ11)</f>
        <v>0</v>
      </c>
      <c r="AK11" s="59" t="str">
        <f>IFERROR(AVERAGE(EL_DEL_CD1_STH_PTP_!AL11,'Overall without PTP '!AL11,ELEVATE_CD3_NTH_HB!AK11,ELEVATE_CD3_STAB_HB!AK11,ELEVATE_CD3_PTP_HB!AK11),"")</f>
        <v/>
      </c>
      <c r="AL11" s="59" t="str">
        <f>IFERROR(AVERAGE(EL_DEL_CD1_STH_PTP_!AM11,'Overall without PTP '!AM11,ELEVATE_CD3_NTH_HB!AL11,ELEVATE_CD3_STAB_HB!AL11,ELEVATE_CD3_PTP_HB!AL11),"")</f>
        <v/>
      </c>
      <c r="AM11" s="59" t="str">
        <f>IFERROR(AVERAGE(EL_DEL_CD1_STH_PTP_!AN11,'Overall without PTP '!AN11,ELEVATE_CD3_NTH_HB!AM11,ELEVATE_CD3_STAB_HB!AM11,ELEVATE_CD3_PTP_HB!AM11),"")</f>
        <v/>
      </c>
      <c r="AN11" s="59" t="str">
        <f>IFERROR(AVERAGE(EL_DEL_CD1_STH_PTP_!AO11,'Overall without PTP '!AO11,ELEVATE_CD3_NTH_HB!AN11,ELEVATE_CD3_STAB_HB!AN11,ELEVATE_CD3_PTP_HB!AN11),"")</f>
        <v/>
      </c>
      <c r="AO11" s="59" t="str">
        <f>IFERROR(AVERAGE(EL_DEL_CD1_STH_PTP_!AP11,'Overall without PTP '!AP11,ELEVATE_CD3_NTH_HB!AO11,ELEVATE_CD3_STAB_HB!AO11,ELEVATE_CD3_PTP_HB!AO11),"")</f>
        <v/>
      </c>
      <c r="AP11" s="59" t="str">
        <f>IFERROR(AVERAGE(EL_DEL_CD1_STH_PTP_!AQ11,'Overall without PTP '!AQ11,ELEVATE_CD3_NTH_HB!AP11,ELEVATE_CD3_STAB_HB!AP11,ELEVATE_CD3_PTP_HB!AP11),"")</f>
        <v/>
      </c>
      <c r="AQ11" s="59" t="str">
        <f>IFERROR(AVERAGE(EL_DEL_CD1_STH_PTP_!AR11,'Overall without PTP '!AR11,ELEVATE_CD3_NTH_HB!AQ11,ELEVATE_CD3_STAB_HB!AQ11,ELEVATE_CD3_PTP_HB!AQ11),"")</f>
        <v/>
      </c>
      <c r="AR11" s="59" t="str">
        <f>IFERROR(AVERAGE(EL_DEL_CD1_STH_PTP_!AS11,'Overall without PTP '!AS11,ELEVATE_CD3_NTH_HB!AR11,ELEVATE_CD3_STAB_HB!AR11,ELEVATE_CD3_PTP_HB!AR11),"")</f>
        <v/>
      </c>
      <c r="AS11" s="8">
        <f>SUM(EL_DEL_CD1_STH_PTP_!AT11,'Overall without PTP '!AT11,ELEVATE_CD3_NTH_HB!AS11,ELEVATE_CD3_STAB_HB!AS11,ELEVATE_CD3_PTP_HB!AS11)</f>
        <v>0</v>
      </c>
      <c r="AT11" s="8">
        <f>SUM(EL_DEL_CD1_STH_PTP_!AU11,'Overall without PTP '!AU11,ELEVATE_CD3_NTH_HB!AT11,ELEVATE_CD3_STAB_HB!AT11,ELEVATE_CD3_PTP_HB!AT11)</f>
        <v>0</v>
      </c>
      <c r="AU11" s="9">
        <f>SUM(EL_DEL_CD1_STH_PTP_!AV11,'Overall without PTP '!AV11,ELEVATE_CD3_NTH_HB!AU11,ELEVATE_CD3_STAB_HB!AU11,ELEVATE_CD3_PTP_HB!AU11)</f>
        <v>0</v>
      </c>
      <c r="AV11" s="8">
        <f>IFERROR(AVERAGE(EL_DEL_CD1_STH_PTP_!AW11,'Overall without PTP '!AW11,ELEVATE_CD3_NTH_HB!AV11,ELEVATE_CD3_STAB_HB!AV11,ELEVATE_CD3_PTP_HB!AV11),"")</f>
        <v>0</v>
      </c>
      <c r="AW11" s="10" t="str">
        <f t="shared" si="12"/>
        <v>-</v>
      </c>
      <c r="AX11" s="39"/>
      <c r="AY11" s="1" t="str">
        <f t="shared" si="1"/>
        <v/>
      </c>
      <c r="AZ11" s="11" t="str">
        <f t="shared" si="2"/>
        <v/>
      </c>
      <c r="BA11" s="84" t="str">
        <f t="shared" si="3"/>
        <v/>
      </c>
      <c r="BB11" s="39"/>
      <c r="BC11" s="82" t="str">
        <f t="shared" si="13"/>
        <v/>
      </c>
      <c r="BD11" s="70" t="str">
        <f t="shared" si="14"/>
        <v/>
      </c>
      <c r="BE11" s="70" t="str">
        <f t="shared" si="15"/>
        <v/>
      </c>
      <c r="BF11" s="70" t="str">
        <f t="shared" si="16"/>
        <v/>
      </c>
      <c r="BG11" s="70" t="str">
        <f t="shared" si="17"/>
        <v/>
      </c>
      <c r="BH11" s="83" t="str">
        <f t="shared" si="18"/>
        <v/>
      </c>
      <c r="BI11" s="39"/>
      <c r="BJ11" s="75" t="str">
        <f t="shared" si="4"/>
        <v/>
      </c>
      <c r="BK11" s="76" t="str">
        <f t="shared" si="5"/>
        <v/>
      </c>
      <c r="BL11" s="76" t="str">
        <f t="shared" si="6"/>
        <v/>
      </c>
      <c r="BM11" s="77" t="str">
        <f t="shared" si="7"/>
        <v/>
      </c>
      <c r="BN11" s="39"/>
      <c r="BO11" s="14" t="str">
        <f t="shared" si="19"/>
        <v/>
      </c>
      <c r="BP11" s="15">
        <v>0</v>
      </c>
      <c r="BQ11" s="74" t="str">
        <f t="shared" si="8"/>
        <v/>
      </c>
      <c r="BR11" s="15" t="str">
        <f t="shared" si="9"/>
        <v/>
      </c>
      <c r="BS11" s="16" t="str">
        <f t="shared" si="20"/>
        <v/>
      </c>
      <c r="BT11" s="39"/>
      <c r="BU11" s="51" t="e">
        <f t="shared" si="10"/>
        <v>#VALUE!</v>
      </c>
      <c r="BV11" s="28" t="e">
        <f t="shared" si="21"/>
        <v>#VALUE!</v>
      </c>
      <c r="BW11" s="28" t="e">
        <f t="shared" si="22"/>
        <v>#VALUE!</v>
      </c>
      <c r="BX11" s="28" t="e">
        <f t="shared" si="23"/>
        <v>#VALUE!</v>
      </c>
      <c r="BY11" s="28" t="e">
        <f t="shared" si="24"/>
        <v>#VALUE!</v>
      </c>
      <c r="BZ11" s="52" t="e">
        <f t="shared" si="11"/>
        <v>#VALUE!</v>
      </c>
      <c r="CA11" s="39"/>
      <c r="CB11" s="49" t="str">
        <f t="shared" si="25"/>
        <v>-</v>
      </c>
      <c r="CC11" s="29" t="str">
        <f t="shared" si="26"/>
        <v>-</v>
      </c>
      <c r="CD11" s="29" t="str">
        <f t="shared" si="27"/>
        <v>-</v>
      </c>
      <c r="CE11" s="29" t="str">
        <f t="shared" si="28"/>
        <v>-</v>
      </c>
      <c r="CF11" s="50" t="str">
        <f t="shared" si="29"/>
        <v>-</v>
      </c>
      <c r="CG11" s="39"/>
    </row>
    <row r="12" spans="1:85" s="27" customFormat="1" ht="12.4" customHeight="1" thickBot="1" x14ac:dyDescent="0.25">
      <c r="A12" s="43">
        <f t="shared" si="30"/>
        <v>46304</v>
      </c>
      <c r="B12" s="44" t="str">
        <f t="shared" si="0"/>
        <v>Fri</v>
      </c>
      <c r="C12" s="2">
        <f>SUM(EL_DEL_CD1_STH_PTP_!C12,'Overall without PTP '!C12,ELEVATE_CD3_NTH_HB!C12,ELEVATE_CD3_STAB_HB!C12,ELEVATE_CD3_PTP_HB!C12)</f>
        <v>0</v>
      </c>
      <c r="D12" s="2">
        <f>SUM(EL_DEL_CD1_STH_PTP_!D12,'Overall without PTP '!D12,ELEVATE_CD3_NTH_HB!D12,ELEVATE_CD3_STAB_HB!D12,ELEVATE_CD3_PTP_HB!D12)</f>
        <v>0</v>
      </c>
      <c r="E12" s="3">
        <f>SUM(EL_DEL_CD1_STH_PTP_!E12,'Overall without PTP '!E12,ELEVATE_CD3_NTH_HB!E12,ELEVATE_CD3_STAB_HB!E12,ELEVATE_CD3_PTP_HB!E12)</f>
        <v>0</v>
      </c>
      <c r="F12" s="2">
        <f>SUM(EL_DEL_CD1_STH_PTP_!F12,'Overall without PTP '!F12,ELEVATE_CD3_NTH_HB!F12,ELEVATE_CD3_STAB_HB!F12,ELEVATE_CD3_PTP_HB!F12)</f>
        <v>0</v>
      </c>
      <c r="G12" s="2">
        <f>SUM(EL_DEL_CD1_STH_PTP_!G12,'Overall without PTP '!G12,ELEVATE_CD3_NTH_HB!G12,ELEVATE_CD3_STAB_HB!G12,ELEVATE_CD3_PTP_HB!G12)</f>
        <v>0</v>
      </c>
      <c r="H12" s="4">
        <f>SUM(EL_DEL_CD1_STH_PTP_!H12,'Overall without PTP '!H12,ELEVATE_CD3_NTH_HB!H12,ELEVATE_CD3_STAB_HB!H12,ELEVATE_CD3_PTP_HB!H12)</f>
        <v>0</v>
      </c>
      <c r="I12" s="4">
        <f>SUM(EL_DEL_CD1_STH_PTP_!I12,'Overall without PTP '!I12,ELEVATE_CD3_NTH_HB!I12,ELEVATE_CD3_STAB_HB!I12,ELEVATE_CD3_PTP_HB!I12)</f>
        <v>0</v>
      </c>
      <c r="J12" s="57">
        <f>SUM(EL_DEL_CD1_STH_PTP_!J12,'Overall without PTP '!J12,ELEVATE_CD3_NTH_HB!J12,ELEVATE_CD3_STAB_HB!J12,ELEVATE_CD3_PTP_HB!J12)</f>
        <v>0</v>
      </c>
      <c r="K12" s="5">
        <f>SUM(EL_DEL_CD1_STH_PTP_!K12,'Overall without PTP '!K12,ELEVATE_CD3_NTH_HB!K12,ELEVATE_CD3_STAB_HB!K12,ELEVATE_CD3_PTP_HB!K12)</f>
        <v>0</v>
      </c>
      <c r="L12" s="2">
        <f>SUM(EL_DEL_CD1_STH_PTP_!L12,'Overall without PTP '!L12,ELEVATE_CD3_NTH_HB!L12,ELEVATE_CD3_STAB_HB!L12,ELEVATE_CD3_PTP_HB!L12)</f>
        <v>0</v>
      </c>
      <c r="M12" s="2">
        <f>SUM(EL_DEL_CD1_STH_PTP_!M12,'Overall without PTP '!M12,ELEVATE_CD3_NTH_HB!M12,ELEVATE_CD3_STAB_HB!M12,ELEVATE_CD3_PTP_HB!M12)</f>
        <v>0</v>
      </c>
      <c r="N12" s="2">
        <f>SUM(EL_DEL_CD1_STH_PTP_!N12,'Overall without PTP '!N12,ELEVATE_CD3_NTH_HB!N12,ELEVATE_CD3_STAB_HB!N12,ELEVATE_CD3_PTP_HB!N12)</f>
        <v>0</v>
      </c>
      <c r="O12" s="2">
        <f>SUM(EL_DEL_CD1_STH_PTP_!O12,'Overall without PTP '!O12,ELEVATE_CD3_NTH_HB!O12,ELEVATE_CD3_STAB_HB!O12,ELEVATE_CD3_PTP_HB!O12)</f>
        <v>0</v>
      </c>
      <c r="P12" s="3">
        <f>SUM(EL_DEL_CD1_STH_PTP_!P12,'Overall without PTP '!P12,ELEVATE_CD3_NTH_HB!P12,ELEVATE_CD3_STAB_HB!P12,ELEVATE_CD3_PTP_HB!P12)</f>
        <v>0</v>
      </c>
      <c r="Q12" s="2">
        <f>SUM(EL_DEL_CD1_STH_PTP_!Q12,'Overall without PTP '!Q12,ELEVATE_CD3_NTH_HB!Q12,ELEVATE_CD3_STAB_HB!Q12,ELEVATE_CD3_PTP_HB!Q12)</f>
        <v>0</v>
      </c>
      <c r="R12" s="2">
        <f>SUM(EL_DEL_CD1_STH_PTP_!R12,'Overall without PTP '!R12,ELEVATE_CD3_NTH_HB!R12,ELEVATE_CD3_STAB_HB!R12,ELEVATE_CD3_PTP_HB!R12)</f>
        <v>0</v>
      </c>
      <c r="S12" s="2">
        <f>SUM(EL_DEL_CD1_STH_PTP_!S12,'Overall without PTP '!S12,ELEVATE_CD3_NTH_HB!S12,ELEVATE_CD3_STAB_HB!S12,ELEVATE_CD3_PTP_HB!S12)</f>
        <v>0</v>
      </c>
      <c r="T12" s="2">
        <f>SUM(EL_DEL_CD1_STH_PTP_!T12,'Overall without PTP '!T12,ELEVATE_CD3_NTH_HB!T12,ELEVATE_CD3_STAB_HB!T12,ELEVATE_CD3_PTP_HB!T12)</f>
        <v>0</v>
      </c>
      <c r="U12" s="3">
        <f>SUM(EL_DEL_CD1_STH_PTP_!V12,'Overall without PTP '!V12,ELEVATE_CD3_NTH_HB!U12,ELEVATE_CD3_STAB_HB!U12,ELEVATE_CD3_PTP_HB!U12)</f>
        <v>0</v>
      </c>
      <c r="V12" s="3">
        <f>SUM(EL_DEL_CD1_STH_PTP_!W12,'Overall without PTP '!W12,ELEVATE_CD3_NTH_HB!V12,ELEVATE_CD3_STAB_HB!V12,ELEVATE_CD3_PTP_HB!V12)</f>
        <v>0</v>
      </c>
      <c r="W12" s="2">
        <f>SUM(EL_DEL_CD1_STH_PTP_!X12,'Overall without PTP '!X12,ELEVATE_CD3_NTH_HB!W12,ELEVATE_CD3_STAB_HB!W12,ELEVATE_CD3_PTP_HB!W12)</f>
        <v>0</v>
      </c>
      <c r="X12" s="2">
        <f>SUM(EL_DEL_CD1_STH_PTP_!Y12,'Overall without PTP '!Y12,ELEVATE_CD3_NTH_HB!X12,ELEVATE_CD3_STAB_HB!X12,ELEVATE_CD3_PTP_HB!X12)</f>
        <v>0</v>
      </c>
      <c r="Y12" s="2">
        <f>SUM(EL_DEL_CD1_STH_PTP_!Z12,'Overall without PTP '!Z12,ELEVATE_CD3_NTH_HB!Y12,ELEVATE_CD3_STAB_HB!Y12,ELEVATE_CD3_PTP_HB!Y12)</f>
        <v>0</v>
      </c>
      <c r="Z12" s="2">
        <f>SUM(EL_DEL_CD1_STH_PTP_!AA12,'Overall without PTP '!AA12,ELEVATE_CD3_NTH_HB!Z12,ELEVATE_CD3_STAB_HB!Z12,ELEVATE_CD3_PTP_HB!Z12)</f>
        <v>0</v>
      </c>
      <c r="AA12" s="2">
        <f>SUM(EL_DEL_CD1_STH_PTP_!AB12,'Overall without PTP '!AB12,ELEVATE_CD3_NTH_HB!AA12,ELEVATE_CD3_STAB_HB!AA12,ELEVATE_CD3_PTP_HB!AA12)</f>
        <v>0</v>
      </c>
      <c r="AB12" s="2">
        <f>SUM(EL_DEL_CD1_STH_PTP_!AC12,'Overall without PTP '!AC12,ELEVATE_CD3_NTH_HB!AB12,ELEVATE_CD3_STAB_HB!AB12,ELEVATE_CD3_PTP_HB!AB12)</f>
        <v>0</v>
      </c>
      <c r="AC12" s="2">
        <f>SUM(EL_DEL_CD1_STH_PTP_!AD12,'Overall without PTP '!AD12,ELEVATE_CD3_NTH_HB!AC12,ELEVATE_CD3_STAB_HB!AC12,ELEVATE_CD3_PTP_HB!AC12)</f>
        <v>0</v>
      </c>
      <c r="AD12" s="2">
        <f>SUM(EL_DEL_CD1_STH_PTP_!AE12,'Overall without PTP '!AE12,ELEVATE_CD3_NTH_HB!AD12,ELEVATE_CD3_STAB_HB!AD12,ELEVATE_CD3_PTP_HB!AD12)</f>
        <v>0</v>
      </c>
      <c r="AE12" s="3">
        <f>SUM(EL_DEL_CD1_STH_PTP_!AF12,'Overall without PTP '!AF12,ELEVATE_CD3_NTH_HB!AE12,ELEVATE_CD3_STAB_HB!AE12,ELEVATE_CD3_PTP_HB!AE12)</f>
        <v>0</v>
      </c>
      <c r="AF12" s="3">
        <f>SUM(EL_DEL_CD1_STH_PTP_!AG12,'Overall without PTP '!AG12,ELEVATE_CD3_NTH_HB!AF12,ELEVATE_CD3_STAB_HB!AF12,ELEVATE_CD3_PTP_HB!AF12)</f>
        <v>0</v>
      </c>
      <c r="AG12" s="2">
        <f>SUM(EL_DEL_CD1_STH_PTP_!AH12,'Overall without PTP '!AH12,ELEVATE_CD3_NTH_HB!AG12,ELEVATE_CD3_STAB_HB!AG12,ELEVATE_CD3_PTP_HB!AG12)</f>
        <v>0</v>
      </c>
      <c r="AH12" s="6">
        <f>SUM(EL_DEL_CD1_STH_PTP_!AI12,'Overall without PTP '!AI12,ELEVATE_CD3_NTH_HB!AH12,ELEVATE_CD3_STAB_HB!AH12,ELEVATE_CD3_PTP_HB!AH12)</f>
        <v>0</v>
      </c>
      <c r="AI12" s="7">
        <f>SUM(EL_DEL_CD1_STH_PTP_!AJ12,'Overall without PTP '!AJ12,ELEVATE_CD3_NTH_HB!AI12,ELEVATE_CD3_STAB_HB!AI12,ELEVATE_CD3_PTP_HB!AI12)</f>
        <v>0</v>
      </c>
      <c r="AJ12" s="6">
        <f>SUM(EL_DEL_CD1_STH_PTP_!AK12,'Overall without PTP '!AK12,ELEVATE_CD3_NTH_HB!AJ12,ELEVATE_CD3_STAB_HB!AJ12,ELEVATE_CD3_PTP_HB!AJ12)</f>
        <v>0</v>
      </c>
      <c r="AK12" s="59" t="str">
        <f>IFERROR(AVERAGE(EL_DEL_CD1_STH_PTP_!AL12,'Overall without PTP '!AL12,ELEVATE_CD3_NTH_HB!AK12,ELEVATE_CD3_STAB_HB!AK12,ELEVATE_CD3_PTP_HB!AK12),"")</f>
        <v/>
      </c>
      <c r="AL12" s="59" t="str">
        <f>IFERROR(AVERAGE(EL_DEL_CD1_STH_PTP_!AM12,'Overall without PTP '!AM12,ELEVATE_CD3_NTH_HB!AL12,ELEVATE_CD3_STAB_HB!AL12,ELEVATE_CD3_PTP_HB!AL12),"")</f>
        <v/>
      </c>
      <c r="AM12" s="59" t="str">
        <f>IFERROR(AVERAGE(EL_DEL_CD1_STH_PTP_!AN12,'Overall without PTP '!AN12,ELEVATE_CD3_NTH_HB!AM12,ELEVATE_CD3_STAB_HB!AM12,ELEVATE_CD3_PTP_HB!AM12),"")</f>
        <v/>
      </c>
      <c r="AN12" s="59" t="str">
        <f>IFERROR(AVERAGE(EL_DEL_CD1_STH_PTP_!AO12,'Overall without PTP '!AO12,ELEVATE_CD3_NTH_HB!AN12,ELEVATE_CD3_STAB_HB!AN12,ELEVATE_CD3_PTP_HB!AN12),"")</f>
        <v/>
      </c>
      <c r="AO12" s="59" t="str">
        <f>IFERROR(AVERAGE(EL_DEL_CD1_STH_PTP_!AP12,'Overall without PTP '!AP12,ELEVATE_CD3_NTH_HB!AO12,ELEVATE_CD3_STAB_HB!AO12,ELEVATE_CD3_PTP_HB!AO12),"")</f>
        <v/>
      </c>
      <c r="AP12" s="59" t="str">
        <f>IFERROR(AVERAGE(EL_DEL_CD1_STH_PTP_!AQ12,'Overall without PTP '!AQ12,ELEVATE_CD3_NTH_HB!AP12,ELEVATE_CD3_STAB_HB!AP12,ELEVATE_CD3_PTP_HB!AP12),"")</f>
        <v/>
      </c>
      <c r="AQ12" s="59" t="str">
        <f>IFERROR(AVERAGE(EL_DEL_CD1_STH_PTP_!AR12,'Overall without PTP '!AR12,ELEVATE_CD3_NTH_HB!AQ12,ELEVATE_CD3_STAB_HB!AQ12,ELEVATE_CD3_PTP_HB!AQ12),"")</f>
        <v/>
      </c>
      <c r="AR12" s="59" t="str">
        <f>IFERROR(AVERAGE(EL_DEL_CD1_STH_PTP_!AS12,'Overall without PTP '!AS12,ELEVATE_CD3_NTH_HB!AR12,ELEVATE_CD3_STAB_HB!AR12,ELEVATE_CD3_PTP_HB!AR12),"")</f>
        <v/>
      </c>
      <c r="AS12" s="8">
        <f>SUM(EL_DEL_CD1_STH_PTP_!AT12,'Overall without PTP '!AT12,ELEVATE_CD3_NTH_HB!AS12,ELEVATE_CD3_STAB_HB!AS12,ELEVATE_CD3_PTP_HB!AS12)</f>
        <v>0</v>
      </c>
      <c r="AT12" s="8">
        <f>SUM(EL_DEL_CD1_STH_PTP_!AU12,'Overall without PTP '!AU12,ELEVATE_CD3_NTH_HB!AT12,ELEVATE_CD3_STAB_HB!AT12,ELEVATE_CD3_PTP_HB!AT12)</f>
        <v>0</v>
      </c>
      <c r="AU12" s="9">
        <f>SUM(EL_DEL_CD1_STH_PTP_!AV12,'Overall without PTP '!AV12,ELEVATE_CD3_NTH_HB!AU12,ELEVATE_CD3_STAB_HB!AU12,ELEVATE_CD3_PTP_HB!AU12)</f>
        <v>0</v>
      </c>
      <c r="AV12" s="8">
        <f>IFERROR(AVERAGE(EL_DEL_CD1_STH_PTP_!AW12,'Overall without PTP '!AW12,ELEVATE_CD3_NTH_HB!AV12,ELEVATE_CD3_STAB_HB!AV12,ELEVATE_CD3_PTP_HB!AV12),"")</f>
        <v>0</v>
      </c>
      <c r="AW12" s="10" t="str">
        <f t="shared" si="12"/>
        <v>-</v>
      </c>
      <c r="AX12" s="39"/>
      <c r="AY12" s="1" t="str">
        <f t="shared" si="1"/>
        <v/>
      </c>
      <c r="AZ12" s="11" t="str">
        <f t="shared" si="2"/>
        <v/>
      </c>
      <c r="BA12" s="1" t="str">
        <f t="shared" si="3"/>
        <v/>
      </c>
      <c r="BB12" s="39"/>
      <c r="BC12" s="82" t="str">
        <f t="shared" si="13"/>
        <v/>
      </c>
      <c r="BD12" s="70" t="str">
        <f t="shared" si="14"/>
        <v/>
      </c>
      <c r="BE12" s="70" t="str">
        <f t="shared" si="15"/>
        <v/>
      </c>
      <c r="BF12" s="70" t="str">
        <f t="shared" si="16"/>
        <v/>
      </c>
      <c r="BG12" s="70" t="str">
        <f t="shared" si="17"/>
        <v/>
      </c>
      <c r="BH12" s="83" t="str">
        <f t="shared" si="18"/>
        <v/>
      </c>
      <c r="BI12" s="39"/>
      <c r="BJ12" s="75" t="str">
        <f t="shared" si="4"/>
        <v/>
      </c>
      <c r="BK12" s="76" t="str">
        <f t="shared" si="5"/>
        <v/>
      </c>
      <c r="BL12" s="76" t="str">
        <f t="shared" si="6"/>
        <v/>
      </c>
      <c r="BM12" s="77" t="str">
        <f t="shared" si="7"/>
        <v/>
      </c>
      <c r="BN12" s="39"/>
      <c r="BO12" s="14" t="str">
        <f t="shared" si="19"/>
        <v/>
      </c>
      <c r="BP12" s="15">
        <v>0</v>
      </c>
      <c r="BQ12" s="74" t="str">
        <f t="shared" si="8"/>
        <v/>
      </c>
      <c r="BR12" s="15" t="str">
        <f t="shared" si="9"/>
        <v/>
      </c>
      <c r="BS12" s="16" t="str">
        <f t="shared" si="20"/>
        <v/>
      </c>
      <c r="BT12" s="39"/>
      <c r="BU12" s="51" t="e">
        <f t="shared" si="10"/>
        <v>#VALUE!</v>
      </c>
      <c r="BV12" s="28" t="e">
        <f t="shared" si="21"/>
        <v>#VALUE!</v>
      </c>
      <c r="BW12" s="28" t="e">
        <f t="shared" si="22"/>
        <v>#VALUE!</v>
      </c>
      <c r="BX12" s="28" t="e">
        <f t="shared" si="23"/>
        <v>#VALUE!</v>
      </c>
      <c r="BY12" s="28" t="e">
        <f t="shared" si="24"/>
        <v>#VALUE!</v>
      </c>
      <c r="BZ12" s="52" t="e">
        <f t="shared" si="11"/>
        <v>#VALUE!</v>
      </c>
      <c r="CA12" s="39"/>
      <c r="CB12" s="49" t="str">
        <f t="shared" si="25"/>
        <v>-</v>
      </c>
      <c r="CC12" s="29" t="str">
        <f t="shared" si="26"/>
        <v>-</v>
      </c>
      <c r="CD12" s="29" t="str">
        <f t="shared" si="27"/>
        <v>-</v>
      </c>
      <c r="CE12" s="29" t="str">
        <f t="shared" si="28"/>
        <v>-</v>
      </c>
      <c r="CF12" s="50" t="str">
        <f t="shared" si="29"/>
        <v>-</v>
      </c>
      <c r="CG12" s="39"/>
    </row>
    <row r="13" spans="1:85" s="27" customFormat="1" ht="12.4" customHeight="1" thickBot="1" x14ac:dyDescent="0.25">
      <c r="A13" s="43">
        <f t="shared" si="30"/>
        <v>46305</v>
      </c>
      <c r="B13" s="44" t="str">
        <f t="shared" si="0"/>
        <v>Sat</v>
      </c>
      <c r="C13" s="2">
        <f>SUM(EL_DEL_CD1_STH_PTP_!C13,'Overall without PTP '!C13,ELEVATE_CD3_NTH_HB!C13,ELEVATE_CD3_STAB_HB!C13,ELEVATE_CD3_PTP_HB!C13)</f>
        <v>0</v>
      </c>
      <c r="D13" s="2">
        <f>SUM(EL_DEL_CD1_STH_PTP_!D13,'Overall without PTP '!D13,ELEVATE_CD3_NTH_HB!D13,ELEVATE_CD3_STAB_HB!D13,ELEVATE_CD3_PTP_HB!D13)</f>
        <v>0</v>
      </c>
      <c r="E13" s="3">
        <f>SUM(EL_DEL_CD1_STH_PTP_!E13,'Overall without PTP '!E13,ELEVATE_CD3_NTH_HB!E13,ELEVATE_CD3_STAB_HB!E13,ELEVATE_CD3_PTP_HB!E13)</f>
        <v>0</v>
      </c>
      <c r="F13" s="2">
        <f>SUM(EL_DEL_CD1_STH_PTP_!F13,'Overall without PTP '!F13,ELEVATE_CD3_NTH_HB!F13,ELEVATE_CD3_STAB_HB!F13,ELEVATE_CD3_PTP_HB!F13)</f>
        <v>0</v>
      </c>
      <c r="G13" s="2">
        <f>SUM(EL_DEL_CD1_STH_PTP_!G13,'Overall without PTP '!G13,ELEVATE_CD3_NTH_HB!G13,ELEVATE_CD3_STAB_HB!G13,ELEVATE_CD3_PTP_HB!G13)</f>
        <v>0</v>
      </c>
      <c r="H13" s="4">
        <f>SUM(EL_DEL_CD1_STH_PTP_!H13,'Overall without PTP '!H13,ELEVATE_CD3_NTH_HB!H13,ELEVATE_CD3_STAB_HB!H13,ELEVATE_CD3_PTP_HB!H13)</f>
        <v>0</v>
      </c>
      <c r="I13" s="4">
        <f>SUM(EL_DEL_CD1_STH_PTP_!I13,'Overall without PTP '!I13,ELEVATE_CD3_NTH_HB!I13,ELEVATE_CD3_STAB_HB!I13,ELEVATE_CD3_PTP_HB!I13)</f>
        <v>0</v>
      </c>
      <c r="J13" s="57">
        <f>SUM(EL_DEL_CD1_STH_PTP_!J13,'Overall without PTP '!J13,ELEVATE_CD3_NTH_HB!J13,ELEVATE_CD3_STAB_HB!J13,ELEVATE_CD3_PTP_HB!J13)</f>
        <v>0</v>
      </c>
      <c r="K13" s="5">
        <f>SUM(EL_DEL_CD1_STH_PTP_!K13,'Overall without PTP '!K13,ELEVATE_CD3_NTH_HB!K13,ELEVATE_CD3_STAB_HB!K13,ELEVATE_CD3_PTP_HB!K13)</f>
        <v>0</v>
      </c>
      <c r="L13" s="2">
        <f>SUM(EL_DEL_CD1_STH_PTP_!L13,'Overall without PTP '!L13,ELEVATE_CD3_NTH_HB!L13,ELEVATE_CD3_STAB_HB!L13,ELEVATE_CD3_PTP_HB!L13)</f>
        <v>0</v>
      </c>
      <c r="M13" s="2">
        <f>SUM(EL_DEL_CD1_STH_PTP_!M13,'Overall without PTP '!M13,ELEVATE_CD3_NTH_HB!M13,ELEVATE_CD3_STAB_HB!M13,ELEVATE_CD3_PTP_HB!M13)</f>
        <v>0</v>
      </c>
      <c r="N13" s="2">
        <f>SUM(EL_DEL_CD1_STH_PTP_!N13,'Overall without PTP '!N13,ELEVATE_CD3_NTH_HB!N13,ELEVATE_CD3_STAB_HB!N13,ELEVATE_CD3_PTP_HB!N13)</f>
        <v>0</v>
      </c>
      <c r="O13" s="2">
        <f>SUM(EL_DEL_CD1_STH_PTP_!O13,'Overall without PTP '!O13,ELEVATE_CD3_NTH_HB!O13,ELEVATE_CD3_STAB_HB!O13,ELEVATE_CD3_PTP_HB!O13)</f>
        <v>0</v>
      </c>
      <c r="P13" s="3">
        <f>SUM(EL_DEL_CD1_STH_PTP_!P13,'Overall without PTP '!P13,ELEVATE_CD3_NTH_HB!P13,ELEVATE_CD3_STAB_HB!P13,ELEVATE_CD3_PTP_HB!P13)</f>
        <v>0</v>
      </c>
      <c r="Q13" s="2">
        <f>SUM(EL_DEL_CD1_STH_PTP_!Q13,'Overall without PTP '!Q13,ELEVATE_CD3_NTH_HB!Q13,ELEVATE_CD3_STAB_HB!Q13,ELEVATE_CD3_PTP_HB!Q13)</f>
        <v>0</v>
      </c>
      <c r="R13" s="2">
        <f>SUM(EL_DEL_CD1_STH_PTP_!R13,'Overall without PTP '!R13,ELEVATE_CD3_NTH_HB!R13,ELEVATE_CD3_STAB_HB!R13,ELEVATE_CD3_PTP_HB!R13)</f>
        <v>0</v>
      </c>
      <c r="S13" s="2">
        <f>SUM(EL_DEL_CD1_STH_PTP_!S13,'Overall without PTP '!S13,ELEVATE_CD3_NTH_HB!S13,ELEVATE_CD3_STAB_HB!S13,ELEVATE_CD3_PTP_HB!S13)</f>
        <v>0</v>
      </c>
      <c r="T13" s="2">
        <f>SUM(EL_DEL_CD1_STH_PTP_!T13,'Overall without PTP '!T13,ELEVATE_CD3_NTH_HB!T13,ELEVATE_CD3_STAB_HB!T13,ELEVATE_CD3_PTP_HB!T13)</f>
        <v>0</v>
      </c>
      <c r="U13" s="3">
        <f>SUM(EL_DEL_CD1_STH_PTP_!V13,'Overall without PTP '!V13,ELEVATE_CD3_NTH_HB!U13,ELEVATE_CD3_STAB_HB!U13,ELEVATE_CD3_PTP_HB!U13)</f>
        <v>0</v>
      </c>
      <c r="V13" s="3">
        <f>SUM(EL_DEL_CD1_STH_PTP_!W13,'Overall without PTP '!W13,ELEVATE_CD3_NTH_HB!V13,ELEVATE_CD3_STAB_HB!V13,ELEVATE_CD3_PTP_HB!V13)</f>
        <v>0</v>
      </c>
      <c r="W13" s="2">
        <f>SUM(EL_DEL_CD1_STH_PTP_!X13,'Overall without PTP '!X13,ELEVATE_CD3_NTH_HB!W13,ELEVATE_CD3_STAB_HB!W13,ELEVATE_CD3_PTP_HB!W13)</f>
        <v>0</v>
      </c>
      <c r="X13" s="2">
        <f>SUM(EL_DEL_CD1_STH_PTP_!Y13,'Overall without PTP '!Y13,ELEVATE_CD3_NTH_HB!X13,ELEVATE_CD3_STAB_HB!X13,ELEVATE_CD3_PTP_HB!X13)</f>
        <v>0</v>
      </c>
      <c r="Y13" s="2">
        <f>SUM(EL_DEL_CD1_STH_PTP_!Z13,'Overall without PTP '!Z13,ELEVATE_CD3_NTH_HB!Y13,ELEVATE_CD3_STAB_HB!Y13,ELEVATE_CD3_PTP_HB!Y13)</f>
        <v>0</v>
      </c>
      <c r="Z13" s="2">
        <f>SUM(EL_DEL_CD1_STH_PTP_!AA13,'Overall without PTP '!AA13,ELEVATE_CD3_NTH_HB!Z13,ELEVATE_CD3_STAB_HB!Z13,ELEVATE_CD3_PTP_HB!Z13)</f>
        <v>0</v>
      </c>
      <c r="AA13" s="2">
        <f>SUM(EL_DEL_CD1_STH_PTP_!AB13,'Overall without PTP '!AB13,ELEVATE_CD3_NTH_HB!AA13,ELEVATE_CD3_STAB_HB!AA13,ELEVATE_CD3_PTP_HB!AA13)</f>
        <v>0</v>
      </c>
      <c r="AB13" s="2">
        <f>SUM(EL_DEL_CD1_STH_PTP_!AC13,'Overall without PTP '!AC13,ELEVATE_CD3_NTH_HB!AB13,ELEVATE_CD3_STAB_HB!AB13,ELEVATE_CD3_PTP_HB!AB13)</f>
        <v>0</v>
      </c>
      <c r="AC13" s="2">
        <f>SUM(EL_DEL_CD1_STH_PTP_!AD13,'Overall without PTP '!AD13,ELEVATE_CD3_NTH_HB!AC13,ELEVATE_CD3_STAB_HB!AC13,ELEVATE_CD3_PTP_HB!AC13)</f>
        <v>0</v>
      </c>
      <c r="AD13" s="2">
        <f>SUM(EL_DEL_CD1_STH_PTP_!AE13,'Overall without PTP '!AE13,ELEVATE_CD3_NTH_HB!AD13,ELEVATE_CD3_STAB_HB!AD13,ELEVATE_CD3_PTP_HB!AD13)</f>
        <v>0</v>
      </c>
      <c r="AE13" s="3">
        <f>SUM(EL_DEL_CD1_STH_PTP_!AF13,'Overall without PTP '!AF13,ELEVATE_CD3_NTH_HB!AE13,ELEVATE_CD3_STAB_HB!AE13,ELEVATE_CD3_PTP_HB!AE13)</f>
        <v>0</v>
      </c>
      <c r="AF13" s="3">
        <f>SUM(EL_DEL_CD1_STH_PTP_!AG13,'Overall without PTP '!AG13,ELEVATE_CD3_NTH_HB!AF13,ELEVATE_CD3_STAB_HB!AF13,ELEVATE_CD3_PTP_HB!AF13)</f>
        <v>0</v>
      </c>
      <c r="AG13" s="2">
        <f>SUM(EL_DEL_CD1_STH_PTP_!AH13,'Overall without PTP '!AH13,ELEVATE_CD3_NTH_HB!AG13,ELEVATE_CD3_STAB_HB!AG13,ELEVATE_CD3_PTP_HB!AG13)</f>
        <v>0</v>
      </c>
      <c r="AH13" s="6">
        <f>SUM(EL_DEL_CD1_STH_PTP_!AI13,'Overall without PTP '!AI13,ELEVATE_CD3_NTH_HB!AH13,ELEVATE_CD3_STAB_HB!AH13,ELEVATE_CD3_PTP_HB!AH13)</f>
        <v>0</v>
      </c>
      <c r="AI13" s="7">
        <f>SUM(EL_DEL_CD1_STH_PTP_!AJ13,'Overall without PTP '!AJ13,ELEVATE_CD3_NTH_HB!AI13,ELEVATE_CD3_STAB_HB!AI13,ELEVATE_CD3_PTP_HB!AI13)</f>
        <v>0</v>
      </c>
      <c r="AJ13" s="6">
        <f>SUM(EL_DEL_CD1_STH_PTP_!AK13,'Overall without PTP '!AK13,ELEVATE_CD3_NTH_HB!AJ13,ELEVATE_CD3_STAB_HB!AJ13,ELEVATE_CD3_PTP_HB!AJ13)</f>
        <v>0</v>
      </c>
      <c r="AK13" s="59" t="str">
        <f>IFERROR(AVERAGE(EL_DEL_CD1_STH_PTP_!AL13,'Overall without PTP '!AL13,ELEVATE_CD3_NTH_HB!AK13,ELEVATE_CD3_STAB_HB!AK13,ELEVATE_CD3_PTP_HB!AK13),"")</f>
        <v/>
      </c>
      <c r="AL13" s="59" t="str">
        <f>IFERROR(AVERAGE(EL_DEL_CD1_STH_PTP_!AM13,'Overall without PTP '!AM13,ELEVATE_CD3_NTH_HB!AL13,ELEVATE_CD3_STAB_HB!AL13,ELEVATE_CD3_PTP_HB!AL13),"")</f>
        <v/>
      </c>
      <c r="AM13" s="59" t="str">
        <f>IFERROR(AVERAGE(EL_DEL_CD1_STH_PTP_!AN13,'Overall without PTP '!AN13,ELEVATE_CD3_NTH_HB!AM13,ELEVATE_CD3_STAB_HB!AM13,ELEVATE_CD3_PTP_HB!AM13),"")</f>
        <v/>
      </c>
      <c r="AN13" s="59" t="str">
        <f>IFERROR(AVERAGE(EL_DEL_CD1_STH_PTP_!AO13,'Overall without PTP '!AO13,ELEVATE_CD3_NTH_HB!AN13,ELEVATE_CD3_STAB_HB!AN13,ELEVATE_CD3_PTP_HB!AN13),"")</f>
        <v/>
      </c>
      <c r="AO13" s="59" t="str">
        <f>IFERROR(AVERAGE(EL_DEL_CD1_STH_PTP_!AP13,'Overall without PTP '!AP13,ELEVATE_CD3_NTH_HB!AO13,ELEVATE_CD3_STAB_HB!AO13,ELEVATE_CD3_PTP_HB!AO13),"")</f>
        <v/>
      </c>
      <c r="AP13" s="59" t="str">
        <f>IFERROR(AVERAGE(EL_DEL_CD1_STH_PTP_!AQ13,'Overall without PTP '!AQ13,ELEVATE_CD3_NTH_HB!AP13,ELEVATE_CD3_STAB_HB!AP13,ELEVATE_CD3_PTP_HB!AP13),"")</f>
        <v/>
      </c>
      <c r="AQ13" s="59" t="str">
        <f>IFERROR(AVERAGE(EL_DEL_CD1_STH_PTP_!AR13,'Overall without PTP '!AR13,ELEVATE_CD3_NTH_HB!AQ13,ELEVATE_CD3_STAB_HB!AQ13,ELEVATE_CD3_PTP_HB!AQ13),"")</f>
        <v/>
      </c>
      <c r="AR13" s="59" t="str">
        <f>IFERROR(AVERAGE(EL_DEL_CD1_STH_PTP_!AS13,'Overall without PTP '!AS13,ELEVATE_CD3_NTH_HB!AR13,ELEVATE_CD3_STAB_HB!AR13,ELEVATE_CD3_PTP_HB!AR13),"")</f>
        <v/>
      </c>
      <c r="AS13" s="8">
        <f>SUM(EL_DEL_CD1_STH_PTP_!AT13,'Overall without PTP '!AT13,ELEVATE_CD3_NTH_HB!AS13,ELEVATE_CD3_STAB_HB!AS13,ELEVATE_CD3_PTP_HB!AS13)</f>
        <v>0</v>
      </c>
      <c r="AT13" s="8">
        <f>SUM(EL_DEL_CD1_STH_PTP_!AU13,'Overall without PTP '!AU13,ELEVATE_CD3_NTH_HB!AT13,ELEVATE_CD3_STAB_HB!AT13,ELEVATE_CD3_PTP_HB!AT13)</f>
        <v>0</v>
      </c>
      <c r="AU13" s="9">
        <f>SUM(EL_DEL_CD1_STH_PTP_!AV13,'Overall without PTP '!AV13,ELEVATE_CD3_NTH_HB!AU13,ELEVATE_CD3_STAB_HB!AU13,ELEVATE_CD3_PTP_HB!AU13)</f>
        <v>0</v>
      </c>
      <c r="AV13" s="8">
        <f>IFERROR(AVERAGE(EL_DEL_CD1_STH_PTP_!AW13,'Overall without PTP '!AW13,ELEVATE_CD3_NTH_HB!AV13,ELEVATE_CD3_STAB_HB!AV13,ELEVATE_CD3_PTP_HB!AV13),"")</f>
        <v>0</v>
      </c>
      <c r="AW13" s="10" t="str">
        <f t="shared" si="12"/>
        <v>-</v>
      </c>
      <c r="AX13" s="39"/>
      <c r="AY13" s="1" t="str">
        <f t="shared" si="1"/>
        <v/>
      </c>
      <c r="AZ13" s="11" t="str">
        <f t="shared" si="2"/>
        <v/>
      </c>
      <c r="BA13" s="1" t="str">
        <f t="shared" si="3"/>
        <v/>
      </c>
      <c r="BB13" s="39"/>
      <c r="BC13" s="82" t="str">
        <f t="shared" si="13"/>
        <v/>
      </c>
      <c r="BD13" s="70" t="str">
        <f t="shared" si="14"/>
        <v/>
      </c>
      <c r="BE13" s="70" t="str">
        <f t="shared" si="15"/>
        <v/>
      </c>
      <c r="BF13" s="70" t="str">
        <f t="shared" si="16"/>
        <v/>
      </c>
      <c r="BG13" s="70" t="str">
        <f t="shared" si="17"/>
        <v/>
      </c>
      <c r="BH13" s="83" t="str">
        <f t="shared" si="18"/>
        <v/>
      </c>
      <c r="BI13" s="39"/>
      <c r="BJ13" s="75" t="str">
        <f t="shared" si="4"/>
        <v/>
      </c>
      <c r="BK13" s="76" t="str">
        <f t="shared" si="5"/>
        <v/>
      </c>
      <c r="BL13" s="76" t="str">
        <f t="shared" si="6"/>
        <v/>
      </c>
      <c r="BM13" s="77" t="str">
        <f t="shared" si="7"/>
        <v/>
      </c>
      <c r="BN13" s="39"/>
      <c r="BO13" s="14" t="str">
        <f t="shared" si="19"/>
        <v/>
      </c>
      <c r="BP13" s="15">
        <v>0</v>
      </c>
      <c r="BQ13" s="74" t="str">
        <f t="shared" si="8"/>
        <v/>
      </c>
      <c r="BR13" s="15" t="str">
        <f t="shared" si="9"/>
        <v/>
      </c>
      <c r="BS13" s="16" t="str">
        <f t="shared" si="20"/>
        <v/>
      </c>
      <c r="BT13" s="39"/>
      <c r="BU13" s="51" t="e">
        <f t="shared" si="10"/>
        <v>#VALUE!</v>
      </c>
      <c r="BV13" s="28" t="e">
        <f t="shared" si="21"/>
        <v>#VALUE!</v>
      </c>
      <c r="BW13" s="28" t="e">
        <f t="shared" si="22"/>
        <v>#VALUE!</v>
      </c>
      <c r="BX13" s="28" t="e">
        <f t="shared" si="23"/>
        <v>#VALUE!</v>
      </c>
      <c r="BY13" s="28" t="e">
        <f t="shared" si="24"/>
        <v>#VALUE!</v>
      </c>
      <c r="BZ13" s="52" t="e">
        <f t="shared" si="11"/>
        <v>#VALUE!</v>
      </c>
      <c r="CA13" s="39"/>
      <c r="CB13" s="49" t="str">
        <f t="shared" si="25"/>
        <v>-</v>
      </c>
      <c r="CC13" s="29" t="str">
        <f t="shared" si="26"/>
        <v>-</v>
      </c>
      <c r="CD13" s="29" t="str">
        <f t="shared" si="27"/>
        <v>-</v>
      </c>
      <c r="CE13" s="29" t="str">
        <f t="shared" si="28"/>
        <v>-</v>
      </c>
      <c r="CF13" s="50" t="str">
        <f t="shared" si="29"/>
        <v>-</v>
      </c>
      <c r="CG13" s="39"/>
    </row>
    <row r="14" spans="1:85" s="27" customFormat="1" ht="12.4" customHeight="1" thickBot="1" x14ac:dyDescent="0.25">
      <c r="A14" s="43">
        <f t="shared" si="30"/>
        <v>46306</v>
      </c>
      <c r="B14" s="44" t="str">
        <f t="shared" si="0"/>
        <v>Sun</v>
      </c>
      <c r="C14" s="2">
        <f>SUM(EL_DEL_CD1_STH_PTP_!C14,'Overall without PTP '!C14,ELEVATE_CD3_NTH_HB!C14,ELEVATE_CD3_STAB_HB!C14,ELEVATE_CD3_PTP_HB!C14)</f>
        <v>0</v>
      </c>
      <c r="D14" s="2">
        <f>SUM(EL_DEL_CD1_STH_PTP_!D14,'Overall without PTP '!D14,ELEVATE_CD3_NTH_HB!D14,ELEVATE_CD3_STAB_HB!D14,ELEVATE_CD3_PTP_HB!D14)</f>
        <v>0</v>
      </c>
      <c r="E14" s="3">
        <f>SUM(EL_DEL_CD1_STH_PTP_!E14,'Overall without PTP '!E14,ELEVATE_CD3_NTH_HB!E14,ELEVATE_CD3_STAB_HB!E14,ELEVATE_CD3_PTP_HB!E14)</f>
        <v>0</v>
      </c>
      <c r="F14" s="2">
        <f>SUM(EL_DEL_CD1_STH_PTP_!F14,'Overall without PTP '!F14,ELEVATE_CD3_NTH_HB!F14,ELEVATE_CD3_STAB_HB!F14,ELEVATE_CD3_PTP_HB!F14)</f>
        <v>0</v>
      </c>
      <c r="G14" s="2">
        <f>SUM(EL_DEL_CD1_STH_PTP_!G14,'Overall without PTP '!G14,ELEVATE_CD3_NTH_HB!G14,ELEVATE_CD3_STAB_HB!G14,ELEVATE_CD3_PTP_HB!G14)</f>
        <v>0</v>
      </c>
      <c r="H14" s="4">
        <f>SUM(EL_DEL_CD1_STH_PTP_!H14,'Overall without PTP '!H14,ELEVATE_CD3_NTH_HB!H14,ELEVATE_CD3_STAB_HB!H14,ELEVATE_CD3_PTP_HB!H14)</f>
        <v>0</v>
      </c>
      <c r="I14" s="4">
        <f>SUM(EL_DEL_CD1_STH_PTP_!I14,'Overall without PTP '!I14,ELEVATE_CD3_NTH_HB!I14,ELEVATE_CD3_STAB_HB!I14,ELEVATE_CD3_PTP_HB!I14)</f>
        <v>0</v>
      </c>
      <c r="J14" s="57">
        <f>SUM(EL_DEL_CD1_STH_PTP_!J14,'Overall without PTP '!J14,ELEVATE_CD3_NTH_HB!J14,ELEVATE_CD3_STAB_HB!J14,ELEVATE_CD3_PTP_HB!J14)</f>
        <v>0</v>
      </c>
      <c r="K14" s="5">
        <f>SUM(EL_DEL_CD1_STH_PTP_!K14,'Overall without PTP '!K14,ELEVATE_CD3_NTH_HB!K14,ELEVATE_CD3_STAB_HB!K14,ELEVATE_CD3_PTP_HB!K14)</f>
        <v>0</v>
      </c>
      <c r="L14" s="2">
        <f>SUM(EL_DEL_CD1_STH_PTP_!L14,'Overall without PTP '!L14,ELEVATE_CD3_NTH_HB!L14,ELEVATE_CD3_STAB_HB!L14,ELEVATE_CD3_PTP_HB!L14)</f>
        <v>0</v>
      </c>
      <c r="M14" s="2">
        <f>SUM(EL_DEL_CD1_STH_PTP_!M14,'Overall without PTP '!M14,ELEVATE_CD3_NTH_HB!M14,ELEVATE_CD3_STAB_HB!M14,ELEVATE_CD3_PTP_HB!M14)</f>
        <v>0</v>
      </c>
      <c r="N14" s="2">
        <f>SUM(EL_DEL_CD1_STH_PTP_!N14,'Overall without PTP '!N14,ELEVATE_CD3_NTH_HB!N14,ELEVATE_CD3_STAB_HB!N14,ELEVATE_CD3_PTP_HB!N14)</f>
        <v>0</v>
      </c>
      <c r="O14" s="2">
        <f>SUM(EL_DEL_CD1_STH_PTP_!O14,'Overall without PTP '!O14,ELEVATE_CD3_NTH_HB!O14,ELEVATE_CD3_STAB_HB!O14,ELEVATE_CD3_PTP_HB!O14)</f>
        <v>0</v>
      </c>
      <c r="P14" s="3">
        <f>SUM(EL_DEL_CD1_STH_PTP_!P14,'Overall without PTP '!P14,ELEVATE_CD3_NTH_HB!P14,ELEVATE_CD3_STAB_HB!P14,ELEVATE_CD3_PTP_HB!P14)</f>
        <v>0</v>
      </c>
      <c r="Q14" s="2">
        <f>SUM(EL_DEL_CD1_STH_PTP_!Q14,'Overall without PTP '!Q14,ELEVATE_CD3_NTH_HB!Q14,ELEVATE_CD3_STAB_HB!Q14,ELEVATE_CD3_PTP_HB!Q14)</f>
        <v>0</v>
      </c>
      <c r="R14" s="2">
        <f>SUM(EL_DEL_CD1_STH_PTP_!R14,'Overall without PTP '!R14,ELEVATE_CD3_NTH_HB!R14,ELEVATE_CD3_STAB_HB!R14,ELEVATE_CD3_PTP_HB!R14)</f>
        <v>0</v>
      </c>
      <c r="S14" s="2">
        <f>SUM(EL_DEL_CD1_STH_PTP_!S14,'Overall without PTP '!S14,ELEVATE_CD3_NTH_HB!S14,ELEVATE_CD3_STAB_HB!S14,ELEVATE_CD3_PTP_HB!S14)</f>
        <v>0</v>
      </c>
      <c r="T14" s="2">
        <f>SUM(EL_DEL_CD1_STH_PTP_!T14,'Overall without PTP '!T14,ELEVATE_CD3_NTH_HB!T14,ELEVATE_CD3_STAB_HB!T14,ELEVATE_CD3_PTP_HB!T14)</f>
        <v>0</v>
      </c>
      <c r="U14" s="3">
        <f>SUM(EL_DEL_CD1_STH_PTP_!V14,'Overall without PTP '!V14,ELEVATE_CD3_NTH_HB!U14,ELEVATE_CD3_STAB_HB!U14,ELEVATE_CD3_PTP_HB!U14)</f>
        <v>0</v>
      </c>
      <c r="V14" s="3">
        <f>SUM(EL_DEL_CD1_STH_PTP_!W14,'Overall without PTP '!W14,ELEVATE_CD3_NTH_HB!V14,ELEVATE_CD3_STAB_HB!V14,ELEVATE_CD3_PTP_HB!V14)</f>
        <v>0</v>
      </c>
      <c r="W14" s="2">
        <f>SUM(EL_DEL_CD1_STH_PTP_!X14,'Overall without PTP '!X14,ELEVATE_CD3_NTH_HB!W14,ELEVATE_CD3_STAB_HB!W14,ELEVATE_CD3_PTP_HB!W14)</f>
        <v>0</v>
      </c>
      <c r="X14" s="2">
        <f>SUM(EL_DEL_CD1_STH_PTP_!Y14,'Overall without PTP '!Y14,ELEVATE_CD3_NTH_HB!X14,ELEVATE_CD3_STAB_HB!X14,ELEVATE_CD3_PTP_HB!X14)</f>
        <v>0</v>
      </c>
      <c r="Y14" s="2">
        <f>SUM(EL_DEL_CD1_STH_PTP_!Z14,'Overall without PTP '!Z14,ELEVATE_CD3_NTH_HB!Y14,ELEVATE_CD3_STAB_HB!Y14,ELEVATE_CD3_PTP_HB!Y14)</f>
        <v>0</v>
      </c>
      <c r="Z14" s="2">
        <f>SUM(EL_DEL_CD1_STH_PTP_!AA14,'Overall without PTP '!AA14,ELEVATE_CD3_NTH_HB!Z14,ELEVATE_CD3_STAB_HB!Z14,ELEVATE_CD3_PTP_HB!Z14)</f>
        <v>0</v>
      </c>
      <c r="AA14" s="2">
        <f>SUM(EL_DEL_CD1_STH_PTP_!AB14,'Overall without PTP '!AB14,ELEVATE_CD3_NTH_HB!AA14,ELEVATE_CD3_STAB_HB!AA14,ELEVATE_CD3_PTP_HB!AA14)</f>
        <v>0</v>
      </c>
      <c r="AB14" s="2">
        <f>SUM(EL_DEL_CD1_STH_PTP_!AC14,'Overall without PTP '!AC14,ELEVATE_CD3_NTH_HB!AB14,ELEVATE_CD3_STAB_HB!AB14,ELEVATE_CD3_PTP_HB!AB14)</f>
        <v>0</v>
      </c>
      <c r="AC14" s="2">
        <f>SUM(EL_DEL_CD1_STH_PTP_!AD14,'Overall without PTP '!AD14,ELEVATE_CD3_NTH_HB!AC14,ELEVATE_CD3_STAB_HB!AC14,ELEVATE_CD3_PTP_HB!AC14)</f>
        <v>0</v>
      </c>
      <c r="AD14" s="2">
        <f>SUM(EL_DEL_CD1_STH_PTP_!AE14,'Overall without PTP '!AE14,ELEVATE_CD3_NTH_HB!AD14,ELEVATE_CD3_STAB_HB!AD14,ELEVATE_CD3_PTP_HB!AD14)</f>
        <v>0</v>
      </c>
      <c r="AE14" s="3">
        <f>SUM(EL_DEL_CD1_STH_PTP_!AF14,'Overall without PTP '!AF14,ELEVATE_CD3_NTH_HB!AE14,ELEVATE_CD3_STAB_HB!AE14,ELEVATE_CD3_PTP_HB!AE14)</f>
        <v>0</v>
      </c>
      <c r="AF14" s="3">
        <f>SUM(EL_DEL_CD1_STH_PTP_!AG14,'Overall without PTP '!AG14,ELEVATE_CD3_NTH_HB!AF14,ELEVATE_CD3_STAB_HB!AF14,ELEVATE_CD3_PTP_HB!AF14)</f>
        <v>0</v>
      </c>
      <c r="AG14" s="2">
        <f>SUM(EL_DEL_CD1_STH_PTP_!AH14,'Overall without PTP '!AH14,ELEVATE_CD3_NTH_HB!AG14,ELEVATE_CD3_STAB_HB!AG14,ELEVATE_CD3_PTP_HB!AG14)</f>
        <v>0</v>
      </c>
      <c r="AH14" s="6">
        <f>SUM(EL_DEL_CD1_STH_PTP_!AI14,'Overall without PTP '!AI14,ELEVATE_CD3_NTH_HB!AH14,ELEVATE_CD3_STAB_HB!AH14,ELEVATE_CD3_PTP_HB!AH14)</f>
        <v>0</v>
      </c>
      <c r="AI14" s="7">
        <f>SUM(EL_DEL_CD1_STH_PTP_!AJ14,'Overall without PTP '!AJ14,ELEVATE_CD3_NTH_HB!AI14,ELEVATE_CD3_STAB_HB!AI14,ELEVATE_CD3_PTP_HB!AI14)</f>
        <v>0</v>
      </c>
      <c r="AJ14" s="6">
        <f>SUM(EL_DEL_CD1_STH_PTP_!AK14,'Overall without PTP '!AK14,ELEVATE_CD3_NTH_HB!AJ14,ELEVATE_CD3_STAB_HB!AJ14,ELEVATE_CD3_PTP_HB!AJ14)</f>
        <v>0</v>
      </c>
      <c r="AK14" s="59" t="str">
        <f>IFERROR(AVERAGE(EL_DEL_CD1_STH_PTP_!AL14,'Overall without PTP '!AL14,ELEVATE_CD3_NTH_HB!AK14,ELEVATE_CD3_STAB_HB!AK14,ELEVATE_CD3_PTP_HB!AK14),"")</f>
        <v/>
      </c>
      <c r="AL14" s="59" t="str">
        <f>IFERROR(AVERAGE(EL_DEL_CD1_STH_PTP_!AM14,'Overall without PTP '!AM14,ELEVATE_CD3_NTH_HB!AL14,ELEVATE_CD3_STAB_HB!AL14,ELEVATE_CD3_PTP_HB!AL14),"")</f>
        <v/>
      </c>
      <c r="AM14" s="59" t="str">
        <f>IFERROR(AVERAGE(EL_DEL_CD1_STH_PTP_!AN14,'Overall without PTP '!AN14,ELEVATE_CD3_NTH_HB!AM14,ELEVATE_CD3_STAB_HB!AM14,ELEVATE_CD3_PTP_HB!AM14),"")</f>
        <v/>
      </c>
      <c r="AN14" s="59" t="str">
        <f>IFERROR(AVERAGE(EL_DEL_CD1_STH_PTP_!AO14,'Overall without PTP '!AO14,ELEVATE_CD3_NTH_HB!AN14,ELEVATE_CD3_STAB_HB!AN14,ELEVATE_CD3_PTP_HB!AN14),"")</f>
        <v/>
      </c>
      <c r="AO14" s="59" t="str">
        <f>IFERROR(AVERAGE(EL_DEL_CD1_STH_PTP_!AP14,'Overall without PTP '!AP14,ELEVATE_CD3_NTH_HB!AO14,ELEVATE_CD3_STAB_HB!AO14,ELEVATE_CD3_PTP_HB!AO14),"")</f>
        <v/>
      </c>
      <c r="AP14" s="59" t="str">
        <f>IFERROR(AVERAGE(EL_DEL_CD1_STH_PTP_!AQ14,'Overall without PTP '!AQ14,ELEVATE_CD3_NTH_HB!AP14,ELEVATE_CD3_STAB_HB!AP14,ELEVATE_CD3_PTP_HB!AP14),"")</f>
        <v/>
      </c>
      <c r="AQ14" s="59" t="str">
        <f>IFERROR(AVERAGE(EL_DEL_CD1_STH_PTP_!AR14,'Overall without PTP '!AR14,ELEVATE_CD3_NTH_HB!AQ14,ELEVATE_CD3_STAB_HB!AQ14,ELEVATE_CD3_PTP_HB!AQ14),"")</f>
        <v/>
      </c>
      <c r="AR14" s="59" t="str">
        <f>IFERROR(AVERAGE(EL_DEL_CD1_STH_PTP_!AS14,'Overall without PTP '!AS14,ELEVATE_CD3_NTH_HB!AR14,ELEVATE_CD3_STAB_HB!AR14,ELEVATE_CD3_PTP_HB!AR14),"")</f>
        <v/>
      </c>
      <c r="AS14" s="8">
        <f>SUM(EL_DEL_CD1_STH_PTP_!AT14,'Overall without PTP '!AT14,ELEVATE_CD3_NTH_HB!AS14,ELEVATE_CD3_STAB_HB!AS14,ELEVATE_CD3_PTP_HB!AS14)</f>
        <v>0</v>
      </c>
      <c r="AT14" s="8">
        <f>SUM(EL_DEL_CD1_STH_PTP_!AU14,'Overall without PTP '!AU14,ELEVATE_CD3_NTH_HB!AT14,ELEVATE_CD3_STAB_HB!AT14,ELEVATE_CD3_PTP_HB!AT14)</f>
        <v>0</v>
      </c>
      <c r="AU14" s="9">
        <f>SUM(EL_DEL_CD1_STH_PTP_!AV14,'Overall without PTP '!AV14,ELEVATE_CD3_NTH_HB!AU14,ELEVATE_CD3_STAB_HB!AU14,ELEVATE_CD3_PTP_HB!AU14)</f>
        <v>0</v>
      </c>
      <c r="AV14" s="8">
        <f>IFERROR(AVERAGE(EL_DEL_CD1_STH_PTP_!AW14,'Overall without PTP '!AW14,ELEVATE_CD3_NTH_HB!AV14,ELEVATE_CD3_STAB_HB!AV14,ELEVATE_CD3_PTP_HB!AV14),"")</f>
        <v>0</v>
      </c>
      <c r="AW14" s="10" t="str">
        <f t="shared" si="12"/>
        <v>-</v>
      </c>
      <c r="AX14" s="39"/>
      <c r="AY14" s="1" t="str">
        <f t="shared" si="1"/>
        <v/>
      </c>
      <c r="AZ14" s="11" t="str">
        <f t="shared" si="2"/>
        <v/>
      </c>
      <c r="BA14" s="1" t="str">
        <f t="shared" si="3"/>
        <v/>
      </c>
      <c r="BB14" s="39"/>
      <c r="BC14" s="82" t="str">
        <f t="shared" si="13"/>
        <v/>
      </c>
      <c r="BD14" s="70" t="str">
        <f t="shared" si="14"/>
        <v/>
      </c>
      <c r="BE14" s="70" t="str">
        <f t="shared" si="15"/>
        <v/>
      </c>
      <c r="BF14" s="70" t="str">
        <f t="shared" si="16"/>
        <v/>
      </c>
      <c r="BG14" s="70" t="str">
        <f t="shared" si="17"/>
        <v/>
      </c>
      <c r="BH14" s="83" t="str">
        <f t="shared" si="18"/>
        <v/>
      </c>
      <c r="BI14" s="39"/>
      <c r="BJ14" s="75" t="str">
        <f t="shared" si="4"/>
        <v/>
      </c>
      <c r="BK14" s="76" t="str">
        <f t="shared" si="5"/>
        <v/>
      </c>
      <c r="BL14" s="76" t="str">
        <f t="shared" si="6"/>
        <v/>
      </c>
      <c r="BM14" s="77" t="str">
        <f t="shared" si="7"/>
        <v/>
      </c>
      <c r="BN14" s="39"/>
      <c r="BO14" s="14" t="str">
        <f t="shared" si="19"/>
        <v/>
      </c>
      <c r="BP14" s="15">
        <v>0</v>
      </c>
      <c r="BQ14" s="74" t="str">
        <f t="shared" si="8"/>
        <v/>
      </c>
      <c r="BR14" s="15" t="str">
        <f t="shared" si="9"/>
        <v/>
      </c>
      <c r="BS14" s="16" t="str">
        <f t="shared" si="20"/>
        <v/>
      </c>
      <c r="BT14" s="39"/>
      <c r="BU14" s="51" t="e">
        <f t="shared" si="10"/>
        <v>#VALUE!</v>
      </c>
      <c r="BV14" s="28" t="e">
        <f t="shared" si="21"/>
        <v>#VALUE!</v>
      </c>
      <c r="BW14" s="28" t="e">
        <f t="shared" si="22"/>
        <v>#VALUE!</v>
      </c>
      <c r="BX14" s="28" t="e">
        <f t="shared" si="23"/>
        <v>#VALUE!</v>
      </c>
      <c r="BY14" s="28" t="e">
        <f t="shared" si="24"/>
        <v>#VALUE!</v>
      </c>
      <c r="BZ14" s="52" t="e">
        <f t="shared" si="11"/>
        <v>#VALUE!</v>
      </c>
      <c r="CA14" s="39"/>
      <c r="CB14" s="49" t="str">
        <f t="shared" si="25"/>
        <v>-</v>
      </c>
      <c r="CC14" s="29" t="str">
        <f t="shared" si="26"/>
        <v>-</v>
      </c>
      <c r="CD14" s="29" t="str">
        <f t="shared" si="27"/>
        <v>-</v>
      </c>
      <c r="CE14" s="29" t="str">
        <f t="shared" si="28"/>
        <v>-</v>
      </c>
      <c r="CF14" s="50" t="str">
        <f t="shared" si="29"/>
        <v>-</v>
      </c>
      <c r="CG14" s="39"/>
    </row>
    <row r="15" spans="1:85" s="27" customFormat="1" ht="12.4" customHeight="1" thickBot="1" x14ac:dyDescent="0.25">
      <c r="A15" s="43">
        <f t="shared" si="30"/>
        <v>46307</v>
      </c>
      <c r="B15" s="44" t="str">
        <f t="shared" si="0"/>
        <v>Mon</v>
      </c>
      <c r="C15" s="2">
        <f>SUM(EL_DEL_CD1_STH_PTP_!C15,'Overall without PTP '!C15,ELEVATE_CD3_NTH_HB!C15,ELEVATE_CD3_STAB_HB!C15,ELEVATE_CD3_PTP_HB!C15)</f>
        <v>0</v>
      </c>
      <c r="D15" s="2">
        <f>SUM(EL_DEL_CD1_STH_PTP_!D15,'Overall without PTP '!D15,ELEVATE_CD3_NTH_HB!D15,ELEVATE_CD3_STAB_HB!D15,ELEVATE_CD3_PTP_HB!D15)</f>
        <v>0</v>
      </c>
      <c r="E15" s="3">
        <f>SUM(EL_DEL_CD1_STH_PTP_!E15,'Overall without PTP '!E15,ELEVATE_CD3_NTH_HB!E15,ELEVATE_CD3_STAB_HB!E15,ELEVATE_CD3_PTP_HB!E15)</f>
        <v>0</v>
      </c>
      <c r="F15" s="2">
        <f>SUM(EL_DEL_CD1_STH_PTP_!F15,'Overall without PTP '!F15,ELEVATE_CD3_NTH_HB!F15,ELEVATE_CD3_STAB_HB!F15,ELEVATE_CD3_PTP_HB!F15)</f>
        <v>0</v>
      </c>
      <c r="G15" s="2">
        <f>SUM(EL_DEL_CD1_STH_PTP_!G15,'Overall without PTP '!G15,ELEVATE_CD3_NTH_HB!G15,ELEVATE_CD3_STAB_HB!G15,ELEVATE_CD3_PTP_HB!G15)</f>
        <v>0</v>
      </c>
      <c r="H15" s="4">
        <f>SUM(EL_DEL_CD1_STH_PTP_!H15,'Overall without PTP '!H15,ELEVATE_CD3_NTH_HB!H15,ELEVATE_CD3_STAB_HB!H15,ELEVATE_CD3_PTP_HB!H15)</f>
        <v>0</v>
      </c>
      <c r="I15" s="4">
        <f>SUM(EL_DEL_CD1_STH_PTP_!I15,'Overall without PTP '!I15,ELEVATE_CD3_NTH_HB!I15,ELEVATE_CD3_STAB_HB!I15,ELEVATE_CD3_PTP_HB!I15)</f>
        <v>0</v>
      </c>
      <c r="J15" s="57">
        <f>SUM(EL_DEL_CD1_STH_PTP_!J15,'Overall without PTP '!J15,ELEVATE_CD3_NTH_HB!J15,ELEVATE_CD3_STAB_HB!J15,ELEVATE_CD3_PTP_HB!J15)</f>
        <v>0</v>
      </c>
      <c r="K15" s="5">
        <f>SUM(EL_DEL_CD1_STH_PTP_!K15,'Overall without PTP '!K15,ELEVATE_CD3_NTH_HB!K15,ELEVATE_CD3_STAB_HB!K15,ELEVATE_CD3_PTP_HB!K15)</f>
        <v>0</v>
      </c>
      <c r="L15" s="2">
        <f>SUM(EL_DEL_CD1_STH_PTP_!L15,'Overall without PTP '!L15,ELEVATE_CD3_NTH_HB!L15,ELEVATE_CD3_STAB_HB!L15,ELEVATE_CD3_PTP_HB!L15)</f>
        <v>0</v>
      </c>
      <c r="M15" s="2">
        <f>SUM(EL_DEL_CD1_STH_PTP_!M15,'Overall without PTP '!M15,ELEVATE_CD3_NTH_HB!M15,ELEVATE_CD3_STAB_HB!M15,ELEVATE_CD3_PTP_HB!M15)</f>
        <v>0</v>
      </c>
      <c r="N15" s="2">
        <f>SUM(EL_DEL_CD1_STH_PTP_!N15,'Overall without PTP '!N15,ELEVATE_CD3_NTH_HB!N15,ELEVATE_CD3_STAB_HB!N15,ELEVATE_CD3_PTP_HB!N15)</f>
        <v>0</v>
      </c>
      <c r="O15" s="2">
        <f>SUM(EL_DEL_CD1_STH_PTP_!O15,'Overall without PTP '!O15,ELEVATE_CD3_NTH_HB!O15,ELEVATE_CD3_STAB_HB!O15,ELEVATE_CD3_PTP_HB!O15)</f>
        <v>0</v>
      </c>
      <c r="P15" s="3">
        <f>SUM(EL_DEL_CD1_STH_PTP_!P15,'Overall without PTP '!P15,ELEVATE_CD3_NTH_HB!P15,ELEVATE_CD3_STAB_HB!P15,ELEVATE_CD3_PTP_HB!P15)</f>
        <v>0</v>
      </c>
      <c r="Q15" s="2">
        <f>SUM(EL_DEL_CD1_STH_PTP_!Q15,'Overall without PTP '!Q15,ELEVATE_CD3_NTH_HB!Q15,ELEVATE_CD3_STAB_HB!Q15,ELEVATE_CD3_PTP_HB!Q15)</f>
        <v>0</v>
      </c>
      <c r="R15" s="2">
        <f>SUM(EL_DEL_CD1_STH_PTP_!R15,'Overall without PTP '!R15,ELEVATE_CD3_NTH_HB!R15,ELEVATE_CD3_STAB_HB!R15,ELEVATE_CD3_PTP_HB!R15)</f>
        <v>0</v>
      </c>
      <c r="S15" s="2">
        <f>SUM(EL_DEL_CD1_STH_PTP_!S15,'Overall without PTP '!S15,ELEVATE_CD3_NTH_HB!S15,ELEVATE_CD3_STAB_HB!S15,ELEVATE_CD3_PTP_HB!S15)</f>
        <v>0</v>
      </c>
      <c r="T15" s="2">
        <f>SUM(EL_DEL_CD1_STH_PTP_!T15,'Overall without PTP '!T15,ELEVATE_CD3_NTH_HB!T15,ELEVATE_CD3_STAB_HB!T15,ELEVATE_CD3_PTP_HB!T15)</f>
        <v>0</v>
      </c>
      <c r="U15" s="3">
        <f>SUM(EL_DEL_CD1_STH_PTP_!V15,'Overall without PTP '!V15,ELEVATE_CD3_NTH_HB!U15,ELEVATE_CD3_STAB_HB!U15,ELEVATE_CD3_PTP_HB!U15)</f>
        <v>0</v>
      </c>
      <c r="V15" s="3">
        <f>SUM(EL_DEL_CD1_STH_PTP_!W15,'Overall without PTP '!W15,ELEVATE_CD3_NTH_HB!V15,ELEVATE_CD3_STAB_HB!V15,ELEVATE_CD3_PTP_HB!V15)</f>
        <v>0</v>
      </c>
      <c r="W15" s="2">
        <f>SUM(EL_DEL_CD1_STH_PTP_!X15,'Overall without PTP '!X15,ELEVATE_CD3_NTH_HB!W15,ELEVATE_CD3_STAB_HB!W15,ELEVATE_CD3_PTP_HB!W15)</f>
        <v>0</v>
      </c>
      <c r="X15" s="2">
        <f>SUM(EL_DEL_CD1_STH_PTP_!Y15,'Overall without PTP '!Y15,ELEVATE_CD3_NTH_HB!X15,ELEVATE_CD3_STAB_HB!X15,ELEVATE_CD3_PTP_HB!X15)</f>
        <v>0</v>
      </c>
      <c r="Y15" s="2">
        <f>SUM(EL_DEL_CD1_STH_PTP_!Z15,'Overall without PTP '!Z15,ELEVATE_CD3_NTH_HB!Y15,ELEVATE_CD3_STAB_HB!Y15,ELEVATE_CD3_PTP_HB!Y15)</f>
        <v>0</v>
      </c>
      <c r="Z15" s="2">
        <f>SUM(EL_DEL_CD1_STH_PTP_!AA15,'Overall without PTP '!AA15,ELEVATE_CD3_NTH_HB!Z15,ELEVATE_CD3_STAB_HB!Z15,ELEVATE_CD3_PTP_HB!Z15)</f>
        <v>0</v>
      </c>
      <c r="AA15" s="2">
        <f>SUM(EL_DEL_CD1_STH_PTP_!AB15,'Overall without PTP '!AB15,ELEVATE_CD3_NTH_HB!AA15,ELEVATE_CD3_STAB_HB!AA15,ELEVATE_CD3_PTP_HB!AA15)</f>
        <v>0</v>
      </c>
      <c r="AB15" s="2">
        <f>SUM(EL_DEL_CD1_STH_PTP_!AC15,'Overall without PTP '!AC15,ELEVATE_CD3_NTH_HB!AB15,ELEVATE_CD3_STAB_HB!AB15,ELEVATE_CD3_PTP_HB!AB15)</f>
        <v>0</v>
      </c>
      <c r="AC15" s="2">
        <f>SUM(EL_DEL_CD1_STH_PTP_!AD15,'Overall without PTP '!AD15,ELEVATE_CD3_NTH_HB!AC15,ELEVATE_CD3_STAB_HB!AC15,ELEVATE_CD3_PTP_HB!AC15)</f>
        <v>0</v>
      </c>
      <c r="AD15" s="2">
        <f>SUM(EL_DEL_CD1_STH_PTP_!AE15,'Overall without PTP '!AE15,ELEVATE_CD3_NTH_HB!AD15,ELEVATE_CD3_STAB_HB!AD15,ELEVATE_CD3_PTP_HB!AD15)</f>
        <v>0</v>
      </c>
      <c r="AE15" s="3">
        <f>SUM(EL_DEL_CD1_STH_PTP_!AF15,'Overall without PTP '!AF15,ELEVATE_CD3_NTH_HB!AE15,ELEVATE_CD3_STAB_HB!AE15,ELEVATE_CD3_PTP_HB!AE15)</f>
        <v>0</v>
      </c>
      <c r="AF15" s="3">
        <f>SUM(EL_DEL_CD1_STH_PTP_!AG15,'Overall without PTP '!AG15,ELEVATE_CD3_NTH_HB!AF15,ELEVATE_CD3_STAB_HB!AF15,ELEVATE_CD3_PTP_HB!AF15)</f>
        <v>0</v>
      </c>
      <c r="AG15" s="2">
        <f>SUM(EL_DEL_CD1_STH_PTP_!AH15,'Overall without PTP '!AH15,ELEVATE_CD3_NTH_HB!AG15,ELEVATE_CD3_STAB_HB!AG15,ELEVATE_CD3_PTP_HB!AG15)</f>
        <v>0</v>
      </c>
      <c r="AH15" s="6">
        <f>SUM(EL_DEL_CD1_STH_PTP_!AI15,'Overall without PTP '!AI15,ELEVATE_CD3_NTH_HB!AH15,ELEVATE_CD3_STAB_HB!AH15,ELEVATE_CD3_PTP_HB!AH15)</f>
        <v>0</v>
      </c>
      <c r="AI15" s="7">
        <f>SUM(EL_DEL_CD1_STH_PTP_!AJ15,'Overall without PTP '!AJ15,ELEVATE_CD3_NTH_HB!AI15,ELEVATE_CD3_STAB_HB!AI15,ELEVATE_CD3_PTP_HB!AI15)</f>
        <v>0</v>
      </c>
      <c r="AJ15" s="6">
        <f>SUM(EL_DEL_CD1_STH_PTP_!AK15,'Overall without PTP '!AK15,ELEVATE_CD3_NTH_HB!AJ15,ELEVATE_CD3_STAB_HB!AJ15,ELEVATE_CD3_PTP_HB!AJ15)</f>
        <v>0</v>
      </c>
      <c r="AK15" s="59" t="str">
        <f>IFERROR(AVERAGE(EL_DEL_CD1_STH_PTP_!AL15,'Overall without PTP '!AL15,ELEVATE_CD3_NTH_HB!AK15,ELEVATE_CD3_STAB_HB!AK15,ELEVATE_CD3_PTP_HB!AK15),"")</f>
        <v/>
      </c>
      <c r="AL15" s="59" t="str">
        <f>IFERROR(AVERAGE(EL_DEL_CD1_STH_PTP_!AM15,'Overall without PTP '!AM15,ELEVATE_CD3_NTH_HB!AL15,ELEVATE_CD3_STAB_HB!AL15,ELEVATE_CD3_PTP_HB!AL15),"")</f>
        <v/>
      </c>
      <c r="AM15" s="59" t="str">
        <f>IFERROR(AVERAGE(EL_DEL_CD1_STH_PTP_!AN15,'Overall without PTP '!AN15,ELEVATE_CD3_NTH_HB!AM15,ELEVATE_CD3_STAB_HB!AM15,ELEVATE_CD3_PTP_HB!AM15),"")</f>
        <v/>
      </c>
      <c r="AN15" s="59" t="str">
        <f>IFERROR(AVERAGE(EL_DEL_CD1_STH_PTP_!AO15,'Overall without PTP '!AO15,ELEVATE_CD3_NTH_HB!AN15,ELEVATE_CD3_STAB_HB!AN15,ELEVATE_CD3_PTP_HB!AN15),"")</f>
        <v/>
      </c>
      <c r="AO15" s="59" t="str">
        <f>IFERROR(AVERAGE(EL_DEL_CD1_STH_PTP_!AP15,'Overall without PTP '!AP15,ELEVATE_CD3_NTH_HB!AO15,ELEVATE_CD3_STAB_HB!AO15,ELEVATE_CD3_PTP_HB!AO15),"")</f>
        <v/>
      </c>
      <c r="AP15" s="59" t="str">
        <f>IFERROR(AVERAGE(EL_DEL_CD1_STH_PTP_!AQ15,'Overall without PTP '!AQ15,ELEVATE_CD3_NTH_HB!AP15,ELEVATE_CD3_STAB_HB!AP15,ELEVATE_CD3_PTP_HB!AP15),"")</f>
        <v/>
      </c>
      <c r="AQ15" s="59" t="str">
        <f>IFERROR(AVERAGE(EL_DEL_CD1_STH_PTP_!AR15,'Overall without PTP '!AR15,ELEVATE_CD3_NTH_HB!AQ15,ELEVATE_CD3_STAB_HB!AQ15,ELEVATE_CD3_PTP_HB!AQ15),"")</f>
        <v/>
      </c>
      <c r="AR15" s="59" t="str">
        <f>IFERROR(AVERAGE(EL_DEL_CD1_STH_PTP_!AS15,'Overall without PTP '!AS15,ELEVATE_CD3_NTH_HB!AR15,ELEVATE_CD3_STAB_HB!AR15,ELEVATE_CD3_PTP_HB!AR15),"")</f>
        <v/>
      </c>
      <c r="AS15" s="8">
        <f>SUM(EL_DEL_CD1_STH_PTP_!AT15,'Overall without PTP '!AT15,ELEVATE_CD3_NTH_HB!AS15,ELEVATE_CD3_STAB_HB!AS15,ELEVATE_CD3_PTP_HB!AS15)</f>
        <v>0</v>
      </c>
      <c r="AT15" s="8">
        <f>SUM(EL_DEL_CD1_STH_PTP_!AU15,'Overall without PTP '!AU15,ELEVATE_CD3_NTH_HB!AT15,ELEVATE_CD3_STAB_HB!AT15,ELEVATE_CD3_PTP_HB!AT15)</f>
        <v>0</v>
      </c>
      <c r="AU15" s="9">
        <f>SUM(EL_DEL_CD1_STH_PTP_!AV15,'Overall without PTP '!AV15,ELEVATE_CD3_NTH_HB!AU15,ELEVATE_CD3_STAB_HB!AU15,ELEVATE_CD3_PTP_HB!AU15)</f>
        <v>0</v>
      </c>
      <c r="AV15" s="8">
        <f>IFERROR(AVERAGE(EL_DEL_CD1_STH_PTP_!AW15,'Overall without PTP '!AW15,ELEVATE_CD3_NTH_HB!AV15,ELEVATE_CD3_STAB_HB!AV15,ELEVATE_CD3_PTP_HB!AV15),"")</f>
        <v>0</v>
      </c>
      <c r="AW15" s="10" t="str">
        <f t="shared" si="12"/>
        <v>-</v>
      </c>
      <c r="AX15" s="39"/>
      <c r="AY15" s="1" t="str">
        <f t="shared" si="1"/>
        <v/>
      </c>
      <c r="AZ15" s="11" t="str">
        <f t="shared" si="2"/>
        <v/>
      </c>
      <c r="BA15" s="1" t="str">
        <f t="shared" si="3"/>
        <v/>
      </c>
      <c r="BB15" s="39"/>
      <c r="BC15" s="82" t="str">
        <f t="shared" si="13"/>
        <v/>
      </c>
      <c r="BD15" s="70" t="str">
        <f t="shared" si="14"/>
        <v/>
      </c>
      <c r="BE15" s="70" t="str">
        <f t="shared" si="15"/>
        <v/>
      </c>
      <c r="BF15" s="70" t="str">
        <f t="shared" si="16"/>
        <v/>
      </c>
      <c r="BG15" s="70" t="str">
        <f t="shared" si="17"/>
        <v/>
      </c>
      <c r="BH15" s="83" t="str">
        <f t="shared" si="18"/>
        <v/>
      </c>
      <c r="BI15" s="39"/>
      <c r="BJ15" s="75" t="str">
        <f t="shared" si="4"/>
        <v/>
      </c>
      <c r="BK15" s="76" t="str">
        <f t="shared" si="5"/>
        <v/>
      </c>
      <c r="BL15" s="76" t="str">
        <f t="shared" si="6"/>
        <v/>
      </c>
      <c r="BM15" s="77" t="str">
        <f t="shared" si="7"/>
        <v/>
      </c>
      <c r="BN15" s="39"/>
      <c r="BO15" s="14" t="str">
        <f t="shared" si="19"/>
        <v/>
      </c>
      <c r="BP15" s="15">
        <v>0</v>
      </c>
      <c r="BQ15" s="74" t="str">
        <f t="shared" si="8"/>
        <v/>
      </c>
      <c r="BR15" s="15" t="str">
        <f t="shared" si="9"/>
        <v/>
      </c>
      <c r="BS15" s="16" t="str">
        <f t="shared" si="20"/>
        <v/>
      </c>
      <c r="BT15" s="39"/>
      <c r="BU15" s="51" t="e">
        <f t="shared" si="10"/>
        <v>#VALUE!</v>
      </c>
      <c r="BV15" s="28" t="e">
        <f t="shared" si="21"/>
        <v>#VALUE!</v>
      </c>
      <c r="BW15" s="28" t="e">
        <f t="shared" si="22"/>
        <v>#VALUE!</v>
      </c>
      <c r="BX15" s="28" t="e">
        <f t="shared" si="23"/>
        <v>#VALUE!</v>
      </c>
      <c r="BY15" s="28" t="e">
        <f t="shared" si="24"/>
        <v>#VALUE!</v>
      </c>
      <c r="BZ15" s="52" t="e">
        <f t="shared" si="11"/>
        <v>#VALUE!</v>
      </c>
      <c r="CA15" s="39"/>
      <c r="CB15" s="49" t="str">
        <f t="shared" si="25"/>
        <v>-</v>
      </c>
      <c r="CC15" s="29" t="str">
        <f t="shared" si="26"/>
        <v>-</v>
      </c>
      <c r="CD15" s="29" t="str">
        <f t="shared" si="27"/>
        <v>-</v>
      </c>
      <c r="CE15" s="29" t="str">
        <f t="shared" si="28"/>
        <v>-</v>
      </c>
      <c r="CF15" s="50" t="str">
        <f t="shared" si="29"/>
        <v>-</v>
      </c>
      <c r="CG15" s="39"/>
    </row>
    <row r="16" spans="1:85" s="27" customFormat="1" ht="12.4" customHeight="1" thickBot="1" x14ac:dyDescent="0.25">
      <c r="A16" s="43">
        <f t="shared" si="30"/>
        <v>46308</v>
      </c>
      <c r="B16" s="44" t="str">
        <f t="shared" si="0"/>
        <v>Tue</v>
      </c>
      <c r="C16" s="2">
        <f>SUM(EL_DEL_CD1_STH_PTP_!C16,'Overall without PTP '!C16,ELEVATE_CD3_NTH_HB!C16,ELEVATE_CD3_STAB_HB!C16,ELEVATE_CD3_PTP_HB!C16)</f>
        <v>0</v>
      </c>
      <c r="D16" s="2">
        <f>SUM(EL_DEL_CD1_STH_PTP_!D16,'Overall without PTP '!D16,ELEVATE_CD3_NTH_HB!D16,ELEVATE_CD3_STAB_HB!D16,ELEVATE_CD3_PTP_HB!D16)</f>
        <v>0</v>
      </c>
      <c r="E16" s="3">
        <f>SUM(EL_DEL_CD1_STH_PTP_!E16,'Overall without PTP '!E16,ELEVATE_CD3_NTH_HB!E16,ELEVATE_CD3_STAB_HB!E16,ELEVATE_CD3_PTP_HB!E16)</f>
        <v>0</v>
      </c>
      <c r="F16" s="2">
        <f>SUM(EL_DEL_CD1_STH_PTP_!F16,'Overall without PTP '!F16,ELEVATE_CD3_NTH_HB!F16,ELEVATE_CD3_STAB_HB!F16,ELEVATE_CD3_PTP_HB!F16)</f>
        <v>0</v>
      </c>
      <c r="G16" s="2">
        <f>SUM(EL_DEL_CD1_STH_PTP_!G16,'Overall without PTP '!G16,ELEVATE_CD3_NTH_HB!G16,ELEVATE_CD3_STAB_HB!G16,ELEVATE_CD3_PTP_HB!G16)</f>
        <v>0</v>
      </c>
      <c r="H16" s="4">
        <f>SUM(EL_DEL_CD1_STH_PTP_!H16,'Overall without PTP '!H16,ELEVATE_CD3_NTH_HB!H16,ELEVATE_CD3_STAB_HB!H16,ELEVATE_CD3_PTP_HB!H16)</f>
        <v>0</v>
      </c>
      <c r="I16" s="4">
        <f>SUM(EL_DEL_CD1_STH_PTP_!I16,'Overall without PTP '!I16,ELEVATE_CD3_NTH_HB!I16,ELEVATE_CD3_STAB_HB!I16,ELEVATE_CD3_PTP_HB!I16)</f>
        <v>0</v>
      </c>
      <c r="J16" s="57">
        <f>SUM(EL_DEL_CD1_STH_PTP_!J16,'Overall without PTP '!J16,ELEVATE_CD3_NTH_HB!J16,ELEVATE_CD3_STAB_HB!J16,ELEVATE_CD3_PTP_HB!J16)</f>
        <v>0</v>
      </c>
      <c r="K16" s="5">
        <f>SUM(EL_DEL_CD1_STH_PTP_!K16,'Overall without PTP '!K16,ELEVATE_CD3_NTH_HB!K16,ELEVATE_CD3_STAB_HB!K16,ELEVATE_CD3_PTP_HB!K16)</f>
        <v>0</v>
      </c>
      <c r="L16" s="2">
        <f>SUM(EL_DEL_CD1_STH_PTP_!L16,'Overall without PTP '!L16,ELEVATE_CD3_NTH_HB!L16,ELEVATE_CD3_STAB_HB!L16,ELEVATE_CD3_PTP_HB!L16)</f>
        <v>0</v>
      </c>
      <c r="M16" s="2">
        <f>SUM(EL_DEL_CD1_STH_PTP_!M16,'Overall without PTP '!M16,ELEVATE_CD3_NTH_HB!M16,ELEVATE_CD3_STAB_HB!M16,ELEVATE_CD3_PTP_HB!M16)</f>
        <v>0</v>
      </c>
      <c r="N16" s="2">
        <f>SUM(EL_DEL_CD1_STH_PTP_!N16,'Overall without PTP '!N16,ELEVATE_CD3_NTH_HB!N16,ELEVATE_CD3_STAB_HB!N16,ELEVATE_CD3_PTP_HB!N16)</f>
        <v>0</v>
      </c>
      <c r="O16" s="2">
        <f>SUM(EL_DEL_CD1_STH_PTP_!O16,'Overall without PTP '!O16,ELEVATE_CD3_NTH_HB!O16,ELEVATE_CD3_STAB_HB!O16,ELEVATE_CD3_PTP_HB!O16)</f>
        <v>0</v>
      </c>
      <c r="P16" s="3">
        <f>SUM(EL_DEL_CD1_STH_PTP_!P16,'Overall without PTP '!P16,ELEVATE_CD3_NTH_HB!P16,ELEVATE_CD3_STAB_HB!P16,ELEVATE_CD3_PTP_HB!P16)</f>
        <v>0</v>
      </c>
      <c r="Q16" s="2">
        <f>SUM(EL_DEL_CD1_STH_PTP_!Q16,'Overall without PTP '!Q16,ELEVATE_CD3_NTH_HB!Q16,ELEVATE_CD3_STAB_HB!Q16,ELEVATE_CD3_PTP_HB!Q16)</f>
        <v>0</v>
      </c>
      <c r="R16" s="2">
        <f>SUM(EL_DEL_CD1_STH_PTP_!R16,'Overall without PTP '!R16,ELEVATE_CD3_NTH_HB!R16,ELEVATE_CD3_STAB_HB!R16,ELEVATE_CD3_PTP_HB!R16)</f>
        <v>0</v>
      </c>
      <c r="S16" s="2">
        <f>SUM(EL_DEL_CD1_STH_PTP_!S16,'Overall without PTP '!S16,ELEVATE_CD3_NTH_HB!S16,ELEVATE_CD3_STAB_HB!S16,ELEVATE_CD3_PTP_HB!S16)</f>
        <v>0</v>
      </c>
      <c r="T16" s="2">
        <f>SUM(EL_DEL_CD1_STH_PTP_!T16,'Overall without PTP '!T16,ELEVATE_CD3_NTH_HB!T16,ELEVATE_CD3_STAB_HB!T16,ELEVATE_CD3_PTP_HB!T16)</f>
        <v>0</v>
      </c>
      <c r="U16" s="3">
        <f>SUM(EL_DEL_CD1_STH_PTP_!V16,'Overall without PTP '!V16,ELEVATE_CD3_NTH_HB!U16,ELEVATE_CD3_STAB_HB!U16,ELEVATE_CD3_PTP_HB!U16)</f>
        <v>0</v>
      </c>
      <c r="V16" s="3">
        <f>SUM(EL_DEL_CD1_STH_PTP_!W16,'Overall without PTP '!W16,ELEVATE_CD3_NTH_HB!V16,ELEVATE_CD3_STAB_HB!V16,ELEVATE_CD3_PTP_HB!V16)</f>
        <v>0</v>
      </c>
      <c r="W16" s="2">
        <f>SUM(EL_DEL_CD1_STH_PTP_!X16,'Overall without PTP '!X16,ELEVATE_CD3_NTH_HB!W16,ELEVATE_CD3_STAB_HB!W16,ELEVATE_CD3_PTP_HB!W16)</f>
        <v>0</v>
      </c>
      <c r="X16" s="2">
        <f>SUM(EL_DEL_CD1_STH_PTP_!Y16,'Overall without PTP '!Y16,ELEVATE_CD3_NTH_HB!X16,ELEVATE_CD3_STAB_HB!X16,ELEVATE_CD3_PTP_HB!X16)</f>
        <v>0</v>
      </c>
      <c r="Y16" s="2">
        <f>SUM(EL_DEL_CD1_STH_PTP_!Z16,'Overall without PTP '!Z16,ELEVATE_CD3_NTH_HB!Y16,ELEVATE_CD3_STAB_HB!Y16,ELEVATE_CD3_PTP_HB!Y16)</f>
        <v>0</v>
      </c>
      <c r="Z16" s="2">
        <f>SUM(EL_DEL_CD1_STH_PTP_!AA16,'Overall without PTP '!AA16,ELEVATE_CD3_NTH_HB!Z16,ELEVATE_CD3_STAB_HB!Z16,ELEVATE_CD3_PTP_HB!Z16)</f>
        <v>0</v>
      </c>
      <c r="AA16" s="2">
        <f>SUM(EL_DEL_CD1_STH_PTP_!AB16,'Overall without PTP '!AB16,ELEVATE_CD3_NTH_HB!AA16,ELEVATE_CD3_STAB_HB!AA16,ELEVATE_CD3_PTP_HB!AA16)</f>
        <v>0</v>
      </c>
      <c r="AB16" s="2">
        <f>SUM(EL_DEL_CD1_STH_PTP_!AC16,'Overall without PTP '!AC16,ELEVATE_CD3_NTH_HB!AB16,ELEVATE_CD3_STAB_HB!AB16,ELEVATE_CD3_PTP_HB!AB16)</f>
        <v>0</v>
      </c>
      <c r="AC16" s="2">
        <f>SUM(EL_DEL_CD1_STH_PTP_!AD16,'Overall without PTP '!AD16,ELEVATE_CD3_NTH_HB!AC16,ELEVATE_CD3_STAB_HB!AC16,ELEVATE_CD3_PTP_HB!AC16)</f>
        <v>0</v>
      </c>
      <c r="AD16" s="2">
        <f>SUM(EL_DEL_CD1_STH_PTP_!AE16,'Overall without PTP '!AE16,ELEVATE_CD3_NTH_HB!AD16,ELEVATE_CD3_STAB_HB!AD16,ELEVATE_CD3_PTP_HB!AD16)</f>
        <v>0</v>
      </c>
      <c r="AE16" s="3">
        <f>SUM(EL_DEL_CD1_STH_PTP_!AF16,'Overall without PTP '!AF16,ELEVATE_CD3_NTH_HB!AE16,ELEVATE_CD3_STAB_HB!AE16,ELEVATE_CD3_PTP_HB!AE16)</f>
        <v>0</v>
      </c>
      <c r="AF16" s="3">
        <f>SUM(EL_DEL_CD1_STH_PTP_!AG16,'Overall without PTP '!AG16,ELEVATE_CD3_NTH_HB!AF16,ELEVATE_CD3_STAB_HB!AF16,ELEVATE_CD3_PTP_HB!AF16)</f>
        <v>0</v>
      </c>
      <c r="AG16" s="2">
        <f>SUM(EL_DEL_CD1_STH_PTP_!AH16,'Overall without PTP '!AH16,ELEVATE_CD3_NTH_HB!AG16,ELEVATE_CD3_STAB_HB!AG16,ELEVATE_CD3_PTP_HB!AG16)</f>
        <v>0</v>
      </c>
      <c r="AH16" s="6">
        <f>SUM(EL_DEL_CD1_STH_PTP_!AI16,'Overall without PTP '!AI16,ELEVATE_CD3_NTH_HB!AH16,ELEVATE_CD3_STAB_HB!AH16,ELEVATE_CD3_PTP_HB!AH16)</f>
        <v>0</v>
      </c>
      <c r="AI16" s="7">
        <f>SUM(EL_DEL_CD1_STH_PTP_!AJ16,'Overall without PTP '!AJ16,ELEVATE_CD3_NTH_HB!AI16,ELEVATE_CD3_STAB_HB!AI16,ELEVATE_CD3_PTP_HB!AI16)</f>
        <v>0</v>
      </c>
      <c r="AJ16" s="6">
        <f>SUM(EL_DEL_CD1_STH_PTP_!AK16,'Overall without PTP '!AK16,ELEVATE_CD3_NTH_HB!AJ16,ELEVATE_CD3_STAB_HB!AJ16,ELEVATE_CD3_PTP_HB!AJ16)</f>
        <v>0</v>
      </c>
      <c r="AK16" s="59" t="str">
        <f>IFERROR(AVERAGE(EL_DEL_CD1_STH_PTP_!AL16,'Overall without PTP '!AL16,ELEVATE_CD3_NTH_HB!AK16,ELEVATE_CD3_STAB_HB!AK16,ELEVATE_CD3_PTP_HB!AK16),"")</f>
        <v/>
      </c>
      <c r="AL16" s="59" t="str">
        <f>IFERROR(AVERAGE(EL_DEL_CD1_STH_PTP_!AM16,'Overall without PTP '!AM16,ELEVATE_CD3_NTH_HB!AL16,ELEVATE_CD3_STAB_HB!AL16,ELEVATE_CD3_PTP_HB!AL16),"")</f>
        <v/>
      </c>
      <c r="AM16" s="59" t="str">
        <f>IFERROR(AVERAGE(EL_DEL_CD1_STH_PTP_!AN16,'Overall without PTP '!AN16,ELEVATE_CD3_NTH_HB!AM16,ELEVATE_CD3_STAB_HB!AM16,ELEVATE_CD3_PTP_HB!AM16),"")</f>
        <v/>
      </c>
      <c r="AN16" s="59" t="str">
        <f>IFERROR(AVERAGE(EL_DEL_CD1_STH_PTP_!AO16,'Overall without PTP '!AO16,ELEVATE_CD3_NTH_HB!AN16,ELEVATE_CD3_STAB_HB!AN16,ELEVATE_CD3_PTP_HB!AN16),"")</f>
        <v/>
      </c>
      <c r="AO16" s="59" t="str">
        <f>IFERROR(AVERAGE(EL_DEL_CD1_STH_PTP_!AP16,'Overall without PTP '!AP16,ELEVATE_CD3_NTH_HB!AO16,ELEVATE_CD3_STAB_HB!AO16,ELEVATE_CD3_PTP_HB!AO16),"")</f>
        <v/>
      </c>
      <c r="AP16" s="59" t="str">
        <f>IFERROR(AVERAGE(EL_DEL_CD1_STH_PTP_!AQ16,'Overall without PTP '!AQ16,ELEVATE_CD3_NTH_HB!AP16,ELEVATE_CD3_STAB_HB!AP16,ELEVATE_CD3_PTP_HB!AP16),"")</f>
        <v/>
      </c>
      <c r="AQ16" s="59" t="str">
        <f>IFERROR(AVERAGE(EL_DEL_CD1_STH_PTP_!AR16,'Overall without PTP '!AR16,ELEVATE_CD3_NTH_HB!AQ16,ELEVATE_CD3_STAB_HB!AQ16,ELEVATE_CD3_PTP_HB!AQ16),"")</f>
        <v/>
      </c>
      <c r="AR16" s="59" t="str">
        <f>IFERROR(AVERAGE(EL_DEL_CD1_STH_PTP_!AS16,'Overall without PTP '!AS16,ELEVATE_CD3_NTH_HB!AR16,ELEVATE_CD3_STAB_HB!AR16,ELEVATE_CD3_PTP_HB!AR16),"")</f>
        <v/>
      </c>
      <c r="AS16" s="8">
        <f>SUM(EL_DEL_CD1_STH_PTP_!AT16,'Overall without PTP '!AT16,ELEVATE_CD3_NTH_HB!AS16,ELEVATE_CD3_STAB_HB!AS16,ELEVATE_CD3_PTP_HB!AS16)</f>
        <v>0</v>
      </c>
      <c r="AT16" s="8">
        <f>SUM(EL_DEL_CD1_STH_PTP_!AU16,'Overall without PTP '!AU16,ELEVATE_CD3_NTH_HB!AT16,ELEVATE_CD3_STAB_HB!AT16,ELEVATE_CD3_PTP_HB!AT16)</f>
        <v>0</v>
      </c>
      <c r="AU16" s="9">
        <f>SUM(EL_DEL_CD1_STH_PTP_!AV16,'Overall without PTP '!AV16,ELEVATE_CD3_NTH_HB!AU16,ELEVATE_CD3_STAB_HB!AU16,ELEVATE_CD3_PTP_HB!AU16)</f>
        <v>0</v>
      </c>
      <c r="AV16" s="8">
        <f>IFERROR(AVERAGE(EL_DEL_CD1_STH_PTP_!AW16,'Overall without PTP '!AW16,ELEVATE_CD3_NTH_HB!AV16,ELEVATE_CD3_STAB_HB!AV16,ELEVATE_CD3_PTP_HB!AV16),"")</f>
        <v>0</v>
      </c>
      <c r="AW16" s="10" t="str">
        <f t="shared" si="12"/>
        <v>-</v>
      </c>
      <c r="AX16" s="39"/>
      <c r="AY16" s="1" t="str">
        <f t="shared" si="1"/>
        <v/>
      </c>
      <c r="AZ16" s="11" t="str">
        <f t="shared" si="2"/>
        <v/>
      </c>
      <c r="BA16" s="1" t="str">
        <f t="shared" si="3"/>
        <v/>
      </c>
      <c r="BB16" s="39"/>
      <c r="BC16" s="82" t="str">
        <f t="shared" si="13"/>
        <v/>
      </c>
      <c r="BD16" s="70" t="str">
        <f t="shared" si="14"/>
        <v/>
      </c>
      <c r="BE16" s="70" t="str">
        <f t="shared" si="15"/>
        <v/>
      </c>
      <c r="BF16" s="70" t="str">
        <f t="shared" si="16"/>
        <v/>
      </c>
      <c r="BG16" s="70" t="str">
        <f t="shared" si="17"/>
        <v/>
      </c>
      <c r="BH16" s="83" t="str">
        <f t="shared" si="18"/>
        <v/>
      </c>
      <c r="BI16" s="39"/>
      <c r="BJ16" s="75" t="str">
        <f t="shared" si="4"/>
        <v/>
      </c>
      <c r="BK16" s="76" t="str">
        <f t="shared" si="5"/>
        <v/>
      </c>
      <c r="BL16" s="76" t="str">
        <f t="shared" si="6"/>
        <v/>
      </c>
      <c r="BM16" s="77" t="str">
        <f t="shared" si="7"/>
        <v/>
      </c>
      <c r="BN16" s="39"/>
      <c r="BO16" s="14" t="str">
        <f t="shared" si="19"/>
        <v/>
      </c>
      <c r="BP16" s="15">
        <v>0</v>
      </c>
      <c r="BQ16" s="74" t="str">
        <f t="shared" si="8"/>
        <v/>
      </c>
      <c r="BR16" s="15" t="str">
        <f t="shared" si="9"/>
        <v/>
      </c>
      <c r="BS16" s="16" t="str">
        <f t="shared" si="20"/>
        <v/>
      </c>
      <c r="BT16" s="39"/>
      <c r="BU16" s="51" t="e">
        <f t="shared" si="10"/>
        <v>#VALUE!</v>
      </c>
      <c r="BV16" s="28" t="e">
        <f t="shared" si="21"/>
        <v>#VALUE!</v>
      </c>
      <c r="BW16" s="28" t="e">
        <f t="shared" si="22"/>
        <v>#VALUE!</v>
      </c>
      <c r="BX16" s="28" t="e">
        <f t="shared" si="23"/>
        <v>#VALUE!</v>
      </c>
      <c r="BY16" s="28" t="e">
        <f t="shared" si="24"/>
        <v>#VALUE!</v>
      </c>
      <c r="BZ16" s="52" t="e">
        <f t="shared" si="11"/>
        <v>#VALUE!</v>
      </c>
      <c r="CA16" s="39"/>
      <c r="CB16" s="49" t="str">
        <f t="shared" si="25"/>
        <v>-</v>
      </c>
      <c r="CC16" s="29" t="str">
        <f t="shared" si="26"/>
        <v>-</v>
      </c>
      <c r="CD16" s="29" t="str">
        <f t="shared" si="27"/>
        <v>-</v>
      </c>
      <c r="CE16" s="29" t="str">
        <f t="shared" si="28"/>
        <v>-</v>
      </c>
      <c r="CF16" s="50" t="str">
        <f t="shared" si="29"/>
        <v>-</v>
      </c>
      <c r="CG16" s="39"/>
    </row>
    <row r="17" spans="1:85" s="27" customFormat="1" ht="12.4" customHeight="1" thickBot="1" x14ac:dyDescent="0.25">
      <c r="A17" s="43">
        <f t="shared" si="30"/>
        <v>46309</v>
      </c>
      <c r="B17" s="44" t="str">
        <f t="shared" si="0"/>
        <v>Wed</v>
      </c>
      <c r="C17" s="2">
        <f>SUM(EL_DEL_CD1_STH_PTP_!C17,'Overall without PTP '!C17,ELEVATE_CD3_NTH_HB!C17,ELEVATE_CD3_STAB_HB!C17,ELEVATE_CD3_PTP_HB!C17)</f>
        <v>0</v>
      </c>
      <c r="D17" s="2">
        <f>SUM(EL_DEL_CD1_STH_PTP_!D17,'Overall without PTP '!D17,ELEVATE_CD3_NTH_HB!D17,ELEVATE_CD3_STAB_HB!D17,ELEVATE_CD3_PTP_HB!D17)</f>
        <v>0</v>
      </c>
      <c r="E17" s="3">
        <f>SUM(EL_DEL_CD1_STH_PTP_!E17,'Overall without PTP '!E17,ELEVATE_CD3_NTH_HB!E17,ELEVATE_CD3_STAB_HB!E17,ELEVATE_CD3_PTP_HB!E17)</f>
        <v>0</v>
      </c>
      <c r="F17" s="2">
        <f>SUM(EL_DEL_CD1_STH_PTP_!F17,'Overall without PTP '!F17,ELEVATE_CD3_NTH_HB!F17,ELEVATE_CD3_STAB_HB!F17,ELEVATE_CD3_PTP_HB!F17)</f>
        <v>0</v>
      </c>
      <c r="G17" s="2">
        <f>SUM(EL_DEL_CD1_STH_PTP_!G17,'Overall without PTP '!G17,ELEVATE_CD3_NTH_HB!G17,ELEVATE_CD3_STAB_HB!G17,ELEVATE_CD3_PTP_HB!G17)</f>
        <v>0</v>
      </c>
      <c r="H17" s="4">
        <f>SUM(EL_DEL_CD1_STH_PTP_!H17,'Overall without PTP '!H17,ELEVATE_CD3_NTH_HB!H17,ELEVATE_CD3_STAB_HB!H17,ELEVATE_CD3_PTP_HB!H17)</f>
        <v>0</v>
      </c>
      <c r="I17" s="4">
        <f>SUM(EL_DEL_CD1_STH_PTP_!I17,'Overall without PTP '!I17,ELEVATE_CD3_NTH_HB!I17,ELEVATE_CD3_STAB_HB!I17,ELEVATE_CD3_PTP_HB!I17)</f>
        <v>0</v>
      </c>
      <c r="J17" s="57">
        <f>SUM(EL_DEL_CD1_STH_PTP_!J17,'Overall without PTP '!J17,ELEVATE_CD3_NTH_HB!J17,ELEVATE_CD3_STAB_HB!J17,ELEVATE_CD3_PTP_HB!J17)</f>
        <v>0</v>
      </c>
      <c r="K17" s="5">
        <f>SUM(EL_DEL_CD1_STH_PTP_!K17,'Overall without PTP '!K17,ELEVATE_CD3_NTH_HB!K17,ELEVATE_CD3_STAB_HB!K17,ELEVATE_CD3_PTP_HB!K17)</f>
        <v>0</v>
      </c>
      <c r="L17" s="2">
        <f>SUM(EL_DEL_CD1_STH_PTP_!L17,'Overall without PTP '!L17,ELEVATE_CD3_NTH_HB!L17,ELEVATE_CD3_STAB_HB!L17,ELEVATE_CD3_PTP_HB!L17)</f>
        <v>0</v>
      </c>
      <c r="M17" s="2">
        <f>SUM(EL_DEL_CD1_STH_PTP_!M17,'Overall without PTP '!M17,ELEVATE_CD3_NTH_HB!M17,ELEVATE_CD3_STAB_HB!M17,ELEVATE_CD3_PTP_HB!M17)</f>
        <v>0</v>
      </c>
      <c r="N17" s="2">
        <f>SUM(EL_DEL_CD1_STH_PTP_!N17,'Overall without PTP '!N17,ELEVATE_CD3_NTH_HB!N17,ELEVATE_CD3_STAB_HB!N17,ELEVATE_CD3_PTP_HB!N17)</f>
        <v>0</v>
      </c>
      <c r="O17" s="2">
        <f>SUM(EL_DEL_CD1_STH_PTP_!O17,'Overall without PTP '!O17,ELEVATE_CD3_NTH_HB!O17,ELEVATE_CD3_STAB_HB!O17,ELEVATE_CD3_PTP_HB!O17)</f>
        <v>0</v>
      </c>
      <c r="P17" s="3">
        <f>SUM(EL_DEL_CD1_STH_PTP_!P17,'Overall without PTP '!P17,ELEVATE_CD3_NTH_HB!P17,ELEVATE_CD3_STAB_HB!P17,ELEVATE_CD3_PTP_HB!P17)</f>
        <v>0</v>
      </c>
      <c r="Q17" s="2">
        <f>SUM(EL_DEL_CD1_STH_PTP_!Q17,'Overall without PTP '!Q17,ELEVATE_CD3_NTH_HB!Q17,ELEVATE_CD3_STAB_HB!Q17,ELEVATE_CD3_PTP_HB!Q17)</f>
        <v>0</v>
      </c>
      <c r="R17" s="2">
        <f>SUM(EL_DEL_CD1_STH_PTP_!R17,'Overall without PTP '!R17,ELEVATE_CD3_NTH_HB!R17,ELEVATE_CD3_STAB_HB!R17,ELEVATE_CD3_PTP_HB!R17)</f>
        <v>0</v>
      </c>
      <c r="S17" s="2">
        <f>SUM(EL_DEL_CD1_STH_PTP_!S17,'Overall without PTP '!S17,ELEVATE_CD3_NTH_HB!S17,ELEVATE_CD3_STAB_HB!S17,ELEVATE_CD3_PTP_HB!S17)</f>
        <v>0</v>
      </c>
      <c r="T17" s="2">
        <f>SUM(EL_DEL_CD1_STH_PTP_!T17,'Overall without PTP '!T17,ELEVATE_CD3_NTH_HB!T17,ELEVATE_CD3_STAB_HB!T17,ELEVATE_CD3_PTP_HB!T17)</f>
        <v>0</v>
      </c>
      <c r="U17" s="3">
        <f>SUM(EL_DEL_CD1_STH_PTP_!V17,'Overall without PTP '!V17,ELEVATE_CD3_NTH_HB!U17,ELEVATE_CD3_STAB_HB!U17,ELEVATE_CD3_PTP_HB!U17)</f>
        <v>0</v>
      </c>
      <c r="V17" s="3">
        <f>SUM(EL_DEL_CD1_STH_PTP_!W17,'Overall without PTP '!W17,ELEVATE_CD3_NTH_HB!V17,ELEVATE_CD3_STAB_HB!V17,ELEVATE_CD3_PTP_HB!V17)</f>
        <v>0</v>
      </c>
      <c r="W17" s="2">
        <f>SUM(EL_DEL_CD1_STH_PTP_!X17,'Overall without PTP '!X17,ELEVATE_CD3_NTH_HB!W17,ELEVATE_CD3_STAB_HB!W17,ELEVATE_CD3_PTP_HB!W17)</f>
        <v>0</v>
      </c>
      <c r="X17" s="2">
        <f>SUM(EL_DEL_CD1_STH_PTP_!Y17,'Overall without PTP '!Y17,ELEVATE_CD3_NTH_HB!X17,ELEVATE_CD3_STAB_HB!X17,ELEVATE_CD3_PTP_HB!X17)</f>
        <v>0</v>
      </c>
      <c r="Y17" s="2">
        <f>SUM(EL_DEL_CD1_STH_PTP_!Z17,'Overall without PTP '!Z17,ELEVATE_CD3_NTH_HB!Y17,ELEVATE_CD3_STAB_HB!Y17,ELEVATE_CD3_PTP_HB!Y17)</f>
        <v>0</v>
      </c>
      <c r="Z17" s="2">
        <f>SUM(EL_DEL_CD1_STH_PTP_!AA17,'Overall without PTP '!AA17,ELEVATE_CD3_NTH_HB!Z17,ELEVATE_CD3_STAB_HB!Z17,ELEVATE_CD3_PTP_HB!Z17)</f>
        <v>0</v>
      </c>
      <c r="AA17" s="2">
        <f>SUM(EL_DEL_CD1_STH_PTP_!AB17,'Overall without PTP '!AB17,ELEVATE_CD3_NTH_HB!AA17,ELEVATE_CD3_STAB_HB!AA17,ELEVATE_CD3_PTP_HB!AA17)</f>
        <v>0</v>
      </c>
      <c r="AB17" s="2">
        <f>SUM(EL_DEL_CD1_STH_PTP_!AC17,'Overall without PTP '!AC17,ELEVATE_CD3_NTH_HB!AB17,ELEVATE_CD3_STAB_HB!AB17,ELEVATE_CD3_PTP_HB!AB17)</f>
        <v>0</v>
      </c>
      <c r="AC17" s="2">
        <f>SUM(EL_DEL_CD1_STH_PTP_!AD17,'Overall without PTP '!AD17,ELEVATE_CD3_NTH_HB!AC17,ELEVATE_CD3_STAB_HB!AC17,ELEVATE_CD3_PTP_HB!AC17)</f>
        <v>0</v>
      </c>
      <c r="AD17" s="2">
        <f>SUM(EL_DEL_CD1_STH_PTP_!AE17,'Overall without PTP '!AE17,ELEVATE_CD3_NTH_HB!AD17,ELEVATE_CD3_STAB_HB!AD17,ELEVATE_CD3_PTP_HB!AD17)</f>
        <v>0</v>
      </c>
      <c r="AE17" s="3">
        <f>SUM(EL_DEL_CD1_STH_PTP_!AF17,'Overall without PTP '!AF17,ELEVATE_CD3_NTH_HB!AE17,ELEVATE_CD3_STAB_HB!AE17,ELEVATE_CD3_PTP_HB!AE17)</f>
        <v>0</v>
      </c>
      <c r="AF17" s="3">
        <f>SUM(EL_DEL_CD1_STH_PTP_!AG17,'Overall without PTP '!AG17,ELEVATE_CD3_NTH_HB!AF17,ELEVATE_CD3_STAB_HB!AF17,ELEVATE_CD3_PTP_HB!AF17)</f>
        <v>0</v>
      </c>
      <c r="AG17" s="2">
        <f>SUM(EL_DEL_CD1_STH_PTP_!AH17,'Overall without PTP '!AH17,ELEVATE_CD3_NTH_HB!AG17,ELEVATE_CD3_STAB_HB!AG17,ELEVATE_CD3_PTP_HB!AG17)</f>
        <v>0</v>
      </c>
      <c r="AH17" s="6">
        <f>SUM(EL_DEL_CD1_STH_PTP_!AI17,'Overall without PTP '!AI17,ELEVATE_CD3_NTH_HB!AH17,ELEVATE_CD3_STAB_HB!AH17,ELEVATE_CD3_PTP_HB!AH17)</f>
        <v>0</v>
      </c>
      <c r="AI17" s="7">
        <f>SUM(EL_DEL_CD1_STH_PTP_!AJ17,'Overall without PTP '!AJ17,ELEVATE_CD3_NTH_HB!AI17,ELEVATE_CD3_STAB_HB!AI17,ELEVATE_CD3_PTP_HB!AI17)</f>
        <v>0</v>
      </c>
      <c r="AJ17" s="6">
        <f>SUM(EL_DEL_CD1_STH_PTP_!AK17,'Overall without PTP '!AK17,ELEVATE_CD3_NTH_HB!AJ17,ELEVATE_CD3_STAB_HB!AJ17,ELEVATE_CD3_PTP_HB!AJ17)</f>
        <v>0</v>
      </c>
      <c r="AK17" s="59" t="str">
        <f>IFERROR(AVERAGE(EL_DEL_CD1_STH_PTP_!AL17,'Overall without PTP '!AL17,ELEVATE_CD3_NTH_HB!AK17,ELEVATE_CD3_STAB_HB!AK17,ELEVATE_CD3_PTP_HB!AK17),"")</f>
        <v/>
      </c>
      <c r="AL17" s="59" t="str">
        <f>IFERROR(AVERAGE(EL_DEL_CD1_STH_PTP_!AM17,'Overall without PTP '!AM17,ELEVATE_CD3_NTH_HB!AL17,ELEVATE_CD3_STAB_HB!AL17,ELEVATE_CD3_PTP_HB!AL17),"")</f>
        <v/>
      </c>
      <c r="AM17" s="59" t="str">
        <f>IFERROR(AVERAGE(EL_DEL_CD1_STH_PTP_!AN17,'Overall without PTP '!AN17,ELEVATE_CD3_NTH_HB!AM17,ELEVATE_CD3_STAB_HB!AM17,ELEVATE_CD3_PTP_HB!AM17),"")</f>
        <v/>
      </c>
      <c r="AN17" s="59" t="str">
        <f>IFERROR(AVERAGE(EL_DEL_CD1_STH_PTP_!AO17,'Overall without PTP '!AO17,ELEVATE_CD3_NTH_HB!AN17,ELEVATE_CD3_STAB_HB!AN17,ELEVATE_CD3_PTP_HB!AN17),"")</f>
        <v/>
      </c>
      <c r="AO17" s="59" t="str">
        <f>IFERROR(AVERAGE(EL_DEL_CD1_STH_PTP_!AP17,'Overall without PTP '!AP17,ELEVATE_CD3_NTH_HB!AO17,ELEVATE_CD3_STAB_HB!AO17,ELEVATE_CD3_PTP_HB!AO17),"")</f>
        <v/>
      </c>
      <c r="AP17" s="59" t="str">
        <f>IFERROR(AVERAGE(EL_DEL_CD1_STH_PTP_!AQ17,'Overall without PTP '!AQ17,ELEVATE_CD3_NTH_HB!AP17,ELEVATE_CD3_STAB_HB!AP17,ELEVATE_CD3_PTP_HB!AP17),"")</f>
        <v/>
      </c>
      <c r="AQ17" s="59" t="str">
        <f>IFERROR(AVERAGE(EL_DEL_CD1_STH_PTP_!AR17,'Overall without PTP '!AR17,ELEVATE_CD3_NTH_HB!AQ17,ELEVATE_CD3_STAB_HB!AQ17,ELEVATE_CD3_PTP_HB!AQ17),"")</f>
        <v/>
      </c>
      <c r="AR17" s="59" t="str">
        <f>IFERROR(AVERAGE(EL_DEL_CD1_STH_PTP_!AS17,'Overall without PTP '!AS17,ELEVATE_CD3_NTH_HB!AR17,ELEVATE_CD3_STAB_HB!AR17,ELEVATE_CD3_PTP_HB!AR17),"")</f>
        <v/>
      </c>
      <c r="AS17" s="8">
        <f>SUM(EL_DEL_CD1_STH_PTP_!AT17,'Overall without PTP '!AT17,ELEVATE_CD3_NTH_HB!AS17,ELEVATE_CD3_STAB_HB!AS17,ELEVATE_CD3_PTP_HB!AS17)</f>
        <v>0</v>
      </c>
      <c r="AT17" s="8">
        <f>SUM(EL_DEL_CD1_STH_PTP_!AU17,'Overall without PTP '!AU17,ELEVATE_CD3_NTH_HB!AT17,ELEVATE_CD3_STAB_HB!AT17,ELEVATE_CD3_PTP_HB!AT17)</f>
        <v>0</v>
      </c>
      <c r="AU17" s="9">
        <f>SUM(EL_DEL_CD1_STH_PTP_!AV17,'Overall without PTP '!AV17,ELEVATE_CD3_NTH_HB!AU17,ELEVATE_CD3_STAB_HB!AU17,ELEVATE_CD3_PTP_HB!AU17)</f>
        <v>0</v>
      </c>
      <c r="AV17" s="8">
        <f>IFERROR(AVERAGE(EL_DEL_CD1_STH_PTP_!AW17,'Overall without PTP '!AW17,ELEVATE_CD3_NTH_HB!AV17,ELEVATE_CD3_STAB_HB!AV17,ELEVATE_CD3_PTP_HB!AV17),"")</f>
        <v>0</v>
      </c>
      <c r="AW17" s="10" t="str">
        <f t="shared" si="12"/>
        <v>-</v>
      </c>
      <c r="AX17" s="39"/>
      <c r="AY17" s="1" t="str">
        <f t="shared" si="1"/>
        <v/>
      </c>
      <c r="AZ17" s="11" t="str">
        <f t="shared" si="2"/>
        <v/>
      </c>
      <c r="BA17" s="1" t="str">
        <f t="shared" si="3"/>
        <v/>
      </c>
      <c r="BB17" s="39"/>
      <c r="BC17" s="82" t="str">
        <f t="shared" si="13"/>
        <v/>
      </c>
      <c r="BD17" s="70" t="str">
        <f t="shared" si="14"/>
        <v/>
      </c>
      <c r="BE17" s="70" t="str">
        <f t="shared" si="15"/>
        <v/>
      </c>
      <c r="BF17" s="70" t="str">
        <f t="shared" si="16"/>
        <v/>
      </c>
      <c r="BG17" s="70" t="str">
        <f t="shared" si="17"/>
        <v/>
      </c>
      <c r="BH17" s="83" t="str">
        <f t="shared" si="18"/>
        <v/>
      </c>
      <c r="BI17" s="39"/>
      <c r="BJ17" s="75" t="str">
        <f t="shared" si="4"/>
        <v/>
      </c>
      <c r="BK17" s="76" t="str">
        <f t="shared" si="5"/>
        <v/>
      </c>
      <c r="BL17" s="76" t="str">
        <f t="shared" si="6"/>
        <v/>
      </c>
      <c r="BM17" s="77" t="str">
        <f t="shared" si="7"/>
        <v/>
      </c>
      <c r="BN17" s="39"/>
      <c r="BO17" s="14" t="str">
        <f t="shared" si="19"/>
        <v/>
      </c>
      <c r="BP17" s="15">
        <v>0</v>
      </c>
      <c r="BQ17" s="74" t="str">
        <f t="shared" si="8"/>
        <v/>
      </c>
      <c r="BR17" s="15" t="str">
        <f t="shared" si="9"/>
        <v/>
      </c>
      <c r="BS17" s="16" t="str">
        <f t="shared" si="20"/>
        <v/>
      </c>
      <c r="BT17" s="39"/>
      <c r="BU17" s="51" t="e">
        <f t="shared" si="10"/>
        <v>#VALUE!</v>
      </c>
      <c r="BV17" s="28" t="e">
        <f t="shared" si="21"/>
        <v>#VALUE!</v>
      </c>
      <c r="BW17" s="28" t="e">
        <f t="shared" si="22"/>
        <v>#VALUE!</v>
      </c>
      <c r="BX17" s="28" t="e">
        <f t="shared" si="23"/>
        <v>#VALUE!</v>
      </c>
      <c r="BY17" s="28" t="e">
        <f t="shared" si="24"/>
        <v>#VALUE!</v>
      </c>
      <c r="BZ17" s="52" t="e">
        <f t="shared" si="11"/>
        <v>#VALUE!</v>
      </c>
      <c r="CA17" s="39"/>
      <c r="CB17" s="49" t="str">
        <f t="shared" si="25"/>
        <v>-</v>
      </c>
      <c r="CC17" s="29" t="str">
        <f t="shared" si="26"/>
        <v>-</v>
      </c>
      <c r="CD17" s="29" t="str">
        <f t="shared" si="27"/>
        <v>-</v>
      </c>
      <c r="CE17" s="29" t="str">
        <f t="shared" si="28"/>
        <v>-</v>
      </c>
      <c r="CF17" s="50" t="str">
        <f t="shared" si="29"/>
        <v>-</v>
      </c>
      <c r="CG17" s="39"/>
    </row>
    <row r="18" spans="1:85" s="27" customFormat="1" ht="12.4" customHeight="1" thickBot="1" x14ac:dyDescent="0.25">
      <c r="A18" s="43">
        <f t="shared" si="30"/>
        <v>46310</v>
      </c>
      <c r="B18" s="44" t="str">
        <f t="shared" si="0"/>
        <v>Thu</v>
      </c>
      <c r="C18" s="2">
        <f>SUM(EL_DEL_CD1_STH_PTP_!C18,'Overall without PTP '!C18,ELEVATE_CD3_NTH_HB!C18,ELEVATE_CD3_STAB_HB!C18,ELEVATE_CD3_PTP_HB!C18)</f>
        <v>0</v>
      </c>
      <c r="D18" s="2">
        <f>SUM(EL_DEL_CD1_STH_PTP_!D18,'Overall without PTP '!D18,ELEVATE_CD3_NTH_HB!D18,ELEVATE_CD3_STAB_HB!D18,ELEVATE_CD3_PTP_HB!D18)</f>
        <v>0</v>
      </c>
      <c r="E18" s="3">
        <f>SUM(EL_DEL_CD1_STH_PTP_!E18,'Overall without PTP '!E18,ELEVATE_CD3_NTH_HB!E18,ELEVATE_CD3_STAB_HB!E18,ELEVATE_CD3_PTP_HB!E18)</f>
        <v>0</v>
      </c>
      <c r="F18" s="2">
        <f>SUM(EL_DEL_CD1_STH_PTP_!F18,'Overall without PTP '!F18,ELEVATE_CD3_NTH_HB!F18,ELEVATE_CD3_STAB_HB!F18,ELEVATE_CD3_PTP_HB!F18)</f>
        <v>0</v>
      </c>
      <c r="G18" s="2">
        <f>SUM(EL_DEL_CD1_STH_PTP_!G18,'Overall without PTP '!G18,ELEVATE_CD3_NTH_HB!G18,ELEVATE_CD3_STAB_HB!G18,ELEVATE_CD3_PTP_HB!G18)</f>
        <v>0</v>
      </c>
      <c r="H18" s="4">
        <f>SUM(EL_DEL_CD1_STH_PTP_!H18,'Overall without PTP '!H18,ELEVATE_CD3_NTH_HB!H18,ELEVATE_CD3_STAB_HB!H18,ELEVATE_CD3_PTP_HB!H18)</f>
        <v>0</v>
      </c>
      <c r="I18" s="4">
        <f>SUM(EL_DEL_CD1_STH_PTP_!I18,'Overall without PTP '!I18,ELEVATE_CD3_NTH_HB!I18,ELEVATE_CD3_STAB_HB!I18,ELEVATE_CD3_PTP_HB!I18)</f>
        <v>0</v>
      </c>
      <c r="J18" s="57">
        <f>SUM(EL_DEL_CD1_STH_PTP_!J18,'Overall without PTP '!J18,ELEVATE_CD3_NTH_HB!J18,ELEVATE_CD3_STAB_HB!J18,ELEVATE_CD3_PTP_HB!J18)</f>
        <v>0</v>
      </c>
      <c r="K18" s="5">
        <f>SUM(EL_DEL_CD1_STH_PTP_!K18,'Overall without PTP '!K18,ELEVATE_CD3_NTH_HB!K18,ELEVATE_CD3_STAB_HB!K18,ELEVATE_CD3_PTP_HB!K18)</f>
        <v>0</v>
      </c>
      <c r="L18" s="2">
        <f>SUM(EL_DEL_CD1_STH_PTP_!L18,'Overall without PTP '!L18,ELEVATE_CD3_NTH_HB!L18,ELEVATE_CD3_STAB_HB!L18,ELEVATE_CD3_PTP_HB!L18)</f>
        <v>0</v>
      </c>
      <c r="M18" s="2">
        <f>SUM(EL_DEL_CD1_STH_PTP_!M18,'Overall without PTP '!M18,ELEVATE_CD3_NTH_HB!M18,ELEVATE_CD3_STAB_HB!M18,ELEVATE_CD3_PTP_HB!M18)</f>
        <v>0</v>
      </c>
      <c r="N18" s="2">
        <f>SUM(EL_DEL_CD1_STH_PTP_!N18,'Overall without PTP '!N18,ELEVATE_CD3_NTH_HB!N18,ELEVATE_CD3_STAB_HB!N18,ELEVATE_CD3_PTP_HB!N18)</f>
        <v>0</v>
      </c>
      <c r="O18" s="2">
        <f>SUM(EL_DEL_CD1_STH_PTP_!O18,'Overall without PTP '!O18,ELEVATE_CD3_NTH_HB!O18,ELEVATE_CD3_STAB_HB!O18,ELEVATE_CD3_PTP_HB!O18)</f>
        <v>0</v>
      </c>
      <c r="P18" s="3">
        <f>SUM(EL_DEL_CD1_STH_PTP_!P18,'Overall without PTP '!P18,ELEVATE_CD3_NTH_HB!P18,ELEVATE_CD3_STAB_HB!P18,ELEVATE_CD3_PTP_HB!P18)</f>
        <v>0</v>
      </c>
      <c r="Q18" s="2">
        <f>SUM(EL_DEL_CD1_STH_PTP_!Q18,'Overall without PTP '!Q18,ELEVATE_CD3_NTH_HB!Q18,ELEVATE_CD3_STAB_HB!Q18,ELEVATE_CD3_PTP_HB!Q18)</f>
        <v>0</v>
      </c>
      <c r="R18" s="2">
        <f>SUM(EL_DEL_CD1_STH_PTP_!R18,'Overall without PTP '!R18,ELEVATE_CD3_NTH_HB!R18,ELEVATE_CD3_STAB_HB!R18,ELEVATE_CD3_PTP_HB!R18)</f>
        <v>0</v>
      </c>
      <c r="S18" s="2">
        <f>SUM(EL_DEL_CD1_STH_PTP_!S18,'Overall without PTP '!S18,ELEVATE_CD3_NTH_HB!S18,ELEVATE_CD3_STAB_HB!S18,ELEVATE_CD3_PTP_HB!S18)</f>
        <v>0</v>
      </c>
      <c r="T18" s="2">
        <f>SUM(EL_DEL_CD1_STH_PTP_!T18,'Overall without PTP '!T18,ELEVATE_CD3_NTH_HB!T18,ELEVATE_CD3_STAB_HB!T18,ELEVATE_CD3_PTP_HB!T18)</f>
        <v>0</v>
      </c>
      <c r="U18" s="3">
        <f>SUM(EL_DEL_CD1_STH_PTP_!V18,'Overall without PTP '!V18,ELEVATE_CD3_NTH_HB!U18,ELEVATE_CD3_STAB_HB!U18,ELEVATE_CD3_PTP_HB!U18)</f>
        <v>0</v>
      </c>
      <c r="V18" s="3">
        <f>SUM(EL_DEL_CD1_STH_PTP_!W18,'Overall without PTP '!W18,ELEVATE_CD3_NTH_HB!V18,ELEVATE_CD3_STAB_HB!V18,ELEVATE_CD3_PTP_HB!V18)</f>
        <v>0</v>
      </c>
      <c r="W18" s="2">
        <f>SUM(EL_DEL_CD1_STH_PTP_!X18,'Overall without PTP '!X18,ELEVATE_CD3_NTH_HB!W18,ELEVATE_CD3_STAB_HB!W18,ELEVATE_CD3_PTP_HB!W18)</f>
        <v>0</v>
      </c>
      <c r="X18" s="2">
        <f>SUM(EL_DEL_CD1_STH_PTP_!Y18,'Overall without PTP '!Y18,ELEVATE_CD3_NTH_HB!X18,ELEVATE_CD3_STAB_HB!X18,ELEVATE_CD3_PTP_HB!X18)</f>
        <v>0</v>
      </c>
      <c r="Y18" s="2">
        <f>SUM(EL_DEL_CD1_STH_PTP_!Z18,'Overall without PTP '!Z18,ELEVATE_CD3_NTH_HB!Y18,ELEVATE_CD3_STAB_HB!Y18,ELEVATE_CD3_PTP_HB!Y18)</f>
        <v>0</v>
      </c>
      <c r="Z18" s="2">
        <f>SUM(EL_DEL_CD1_STH_PTP_!AA18,'Overall without PTP '!AA18,ELEVATE_CD3_NTH_HB!Z18,ELEVATE_CD3_STAB_HB!Z18,ELEVATE_CD3_PTP_HB!Z18)</f>
        <v>0</v>
      </c>
      <c r="AA18" s="2">
        <f>SUM(EL_DEL_CD1_STH_PTP_!AB18,'Overall without PTP '!AB18,ELEVATE_CD3_NTH_HB!AA18,ELEVATE_CD3_STAB_HB!AA18,ELEVATE_CD3_PTP_HB!AA18)</f>
        <v>0</v>
      </c>
      <c r="AB18" s="2">
        <f>SUM(EL_DEL_CD1_STH_PTP_!AC18,'Overall without PTP '!AC18,ELEVATE_CD3_NTH_HB!AB18,ELEVATE_CD3_STAB_HB!AB18,ELEVATE_CD3_PTP_HB!AB18)</f>
        <v>0</v>
      </c>
      <c r="AC18" s="2">
        <f>SUM(EL_DEL_CD1_STH_PTP_!AD18,'Overall without PTP '!AD18,ELEVATE_CD3_NTH_HB!AC18,ELEVATE_CD3_STAB_HB!AC18,ELEVATE_CD3_PTP_HB!AC18)</f>
        <v>0</v>
      </c>
      <c r="AD18" s="2">
        <f>SUM(EL_DEL_CD1_STH_PTP_!AE18,'Overall without PTP '!AE18,ELEVATE_CD3_NTH_HB!AD18,ELEVATE_CD3_STAB_HB!AD18,ELEVATE_CD3_PTP_HB!AD18)</f>
        <v>0</v>
      </c>
      <c r="AE18" s="3">
        <f>SUM(EL_DEL_CD1_STH_PTP_!AF18,'Overall without PTP '!AF18,ELEVATE_CD3_NTH_HB!AE18,ELEVATE_CD3_STAB_HB!AE18,ELEVATE_CD3_PTP_HB!AE18)</f>
        <v>0</v>
      </c>
      <c r="AF18" s="3">
        <f>SUM(EL_DEL_CD1_STH_PTP_!AG18,'Overall without PTP '!AG18,ELEVATE_CD3_NTH_HB!AF18,ELEVATE_CD3_STAB_HB!AF18,ELEVATE_CD3_PTP_HB!AF18)</f>
        <v>0</v>
      </c>
      <c r="AG18" s="2">
        <f>SUM(EL_DEL_CD1_STH_PTP_!AH18,'Overall without PTP '!AH18,ELEVATE_CD3_NTH_HB!AG18,ELEVATE_CD3_STAB_HB!AG18,ELEVATE_CD3_PTP_HB!AG18)</f>
        <v>0</v>
      </c>
      <c r="AH18" s="6">
        <f>SUM(EL_DEL_CD1_STH_PTP_!AI18,'Overall without PTP '!AI18,ELEVATE_CD3_NTH_HB!AH18,ELEVATE_CD3_STAB_HB!AH18,ELEVATE_CD3_PTP_HB!AH18)</f>
        <v>0</v>
      </c>
      <c r="AI18" s="7">
        <f>SUM(EL_DEL_CD1_STH_PTP_!AJ18,'Overall without PTP '!AJ18,ELEVATE_CD3_NTH_HB!AI18,ELEVATE_CD3_STAB_HB!AI18,ELEVATE_CD3_PTP_HB!AI18)</f>
        <v>0</v>
      </c>
      <c r="AJ18" s="6">
        <f>SUM(EL_DEL_CD1_STH_PTP_!AK18,'Overall without PTP '!AK18,ELEVATE_CD3_NTH_HB!AJ18,ELEVATE_CD3_STAB_HB!AJ18,ELEVATE_CD3_PTP_HB!AJ18)</f>
        <v>0</v>
      </c>
      <c r="AK18" s="59" t="str">
        <f>IFERROR(AVERAGE(EL_DEL_CD1_STH_PTP_!AL18,'Overall without PTP '!AL18,ELEVATE_CD3_NTH_HB!AK18,ELEVATE_CD3_STAB_HB!AK18,ELEVATE_CD3_PTP_HB!AK18),"")</f>
        <v/>
      </c>
      <c r="AL18" s="59" t="str">
        <f>IFERROR(AVERAGE(EL_DEL_CD1_STH_PTP_!AM18,'Overall without PTP '!AM18,ELEVATE_CD3_NTH_HB!AL18,ELEVATE_CD3_STAB_HB!AL18,ELEVATE_CD3_PTP_HB!AL18),"")</f>
        <v/>
      </c>
      <c r="AM18" s="59" t="str">
        <f>IFERROR(AVERAGE(EL_DEL_CD1_STH_PTP_!AN18,'Overall without PTP '!AN18,ELEVATE_CD3_NTH_HB!AM18,ELEVATE_CD3_STAB_HB!AM18,ELEVATE_CD3_PTP_HB!AM18),"")</f>
        <v/>
      </c>
      <c r="AN18" s="59" t="str">
        <f>IFERROR(AVERAGE(EL_DEL_CD1_STH_PTP_!AO18,'Overall without PTP '!AO18,ELEVATE_CD3_NTH_HB!AN18,ELEVATE_CD3_STAB_HB!AN18,ELEVATE_CD3_PTP_HB!AN18),"")</f>
        <v/>
      </c>
      <c r="AO18" s="59" t="str">
        <f>IFERROR(AVERAGE(EL_DEL_CD1_STH_PTP_!AP18,'Overall without PTP '!AP18,ELEVATE_CD3_NTH_HB!AO18,ELEVATE_CD3_STAB_HB!AO18,ELEVATE_CD3_PTP_HB!AO18),"")</f>
        <v/>
      </c>
      <c r="AP18" s="59" t="str">
        <f>IFERROR(AVERAGE(EL_DEL_CD1_STH_PTP_!AQ18,'Overall without PTP '!AQ18,ELEVATE_CD3_NTH_HB!AP18,ELEVATE_CD3_STAB_HB!AP18,ELEVATE_CD3_PTP_HB!AP18),"")</f>
        <v/>
      </c>
      <c r="AQ18" s="59" t="str">
        <f>IFERROR(AVERAGE(EL_DEL_CD1_STH_PTP_!AR18,'Overall without PTP '!AR18,ELEVATE_CD3_NTH_HB!AQ18,ELEVATE_CD3_STAB_HB!AQ18,ELEVATE_CD3_PTP_HB!AQ18),"")</f>
        <v/>
      </c>
      <c r="AR18" s="59" t="str">
        <f>IFERROR(AVERAGE(EL_DEL_CD1_STH_PTP_!AS18,'Overall without PTP '!AS18,ELEVATE_CD3_NTH_HB!AR18,ELEVATE_CD3_STAB_HB!AR18,ELEVATE_CD3_PTP_HB!AR18),"")</f>
        <v/>
      </c>
      <c r="AS18" s="8">
        <f>SUM(EL_DEL_CD1_STH_PTP_!AT18,'Overall without PTP '!AT18,ELEVATE_CD3_NTH_HB!AS18,ELEVATE_CD3_STAB_HB!AS18,ELEVATE_CD3_PTP_HB!AS18)</f>
        <v>0</v>
      </c>
      <c r="AT18" s="8">
        <f>SUM(EL_DEL_CD1_STH_PTP_!AU18,'Overall without PTP '!AU18,ELEVATE_CD3_NTH_HB!AT18,ELEVATE_CD3_STAB_HB!AT18,ELEVATE_CD3_PTP_HB!AT18)</f>
        <v>0</v>
      </c>
      <c r="AU18" s="9">
        <f>SUM(EL_DEL_CD1_STH_PTP_!AV18,'Overall without PTP '!AV18,ELEVATE_CD3_NTH_HB!AU18,ELEVATE_CD3_STAB_HB!AU18,ELEVATE_CD3_PTP_HB!AU18)</f>
        <v>0</v>
      </c>
      <c r="AV18" s="8">
        <f>IFERROR(AVERAGE(EL_DEL_CD1_STH_PTP_!AW18,'Overall without PTP '!AW18,ELEVATE_CD3_NTH_HB!AV18,ELEVATE_CD3_STAB_HB!AV18,ELEVATE_CD3_PTP_HB!AV18),"")</f>
        <v>0</v>
      </c>
      <c r="AW18" s="10" t="str">
        <f t="shared" si="12"/>
        <v>-</v>
      </c>
      <c r="AX18" s="39"/>
      <c r="AY18" s="1" t="str">
        <f t="shared" si="1"/>
        <v/>
      </c>
      <c r="AZ18" s="11" t="str">
        <f t="shared" si="2"/>
        <v/>
      </c>
      <c r="BA18" s="1" t="str">
        <f t="shared" si="3"/>
        <v/>
      </c>
      <c r="BB18" s="39"/>
      <c r="BC18" s="82" t="str">
        <f t="shared" si="13"/>
        <v/>
      </c>
      <c r="BD18" s="70" t="str">
        <f t="shared" si="14"/>
        <v/>
      </c>
      <c r="BE18" s="70" t="str">
        <f t="shared" si="15"/>
        <v/>
      </c>
      <c r="BF18" s="70" t="str">
        <f t="shared" si="16"/>
        <v/>
      </c>
      <c r="BG18" s="70" t="str">
        <f t="shared" si="17"/>
        <v/>
      </c>
      <c r="BH18" s="83" t="str">
        <f t="shared" si="18"/>
        <v/>
      </c>
      <c r="BI18" s="39"/>
      <c r="BJ18" s="75" t="str">
        <f t="shared" si="4"/>
        <v/>
      </c>
      <c r="BK18" s="76" t="str">
        <f t="shared" si="5"/>
        <v/>
      </c>
      <c r="BL18" s="76" t="str">
        <f t="shared" si="6"/>
        <v/>
      </c>
      <c r="BM18" s="77" t="str">
        <f t="shared" si="7"/>
        <v/>
      </c>
      <c r="BN18" s="39"/>
      <c r="BO18" s="14" t="str">
        <f t="shared" si="19"/>
        <v/>
      </c>
      <c r="BP18" s="15">
        <v>0</v>
      </c>
      <c r="BQ18" s="74" t="str">
        <f t="shared" si="8"/>
        <v/>
      </c>
      <c r="BR18" s="15" t="str">
        <f t="shared" si="9"/>
        <v/>
      </c>
      <c r="BS18" s="16" t="str">
        <f t="shared" si="20"/>
        <v/>
      </c>
      <c r="BT18" s="39"/>
      <c r="BU18" s="51" t="e">
        <f t="shared" si="10"/>
        <v>#VALUE!</v>
      </c>
      <c r="BV18" s="28" t="e">
        <f t="shared" si="21"/>
        <v>#VALUE!</v>
      </c>
      <c r="BW18" s="28" t="e">
        <f t="shared" si="22"/>
        <v>#VALUE!</v>
      </c>
      <c r="BX18" s="28" t="e">
        <f t="shared" si="23"/>
        <v>#VALUE!</v>
      </c>
      <c r="BY18" s="28" t="e">
        <f t="shared" si="24"/>
        <v>#VALUE!</v>
      </c>
      <c r="BZ18" s="52" t="e">
        <f t="shared" si="11"/>
        <v>#VALUE!</v>
      </c>
      <c r="CA18" s="39"/>
      <c r="CB18" s="49" t="str">
        <f t="shared" si="25"/>
        <v>-</v>
      </c>
      <c r="CC18" s="29" t="str">
        <f t="shared" si="26"/>
        <v>-</v>
      </c>
      <c r="CD18" s="29" t="str">
        <f t="shared" si="27"/>
        <v>-</v>
      </c>
      <c r="CE18" s="29" t="str">
        <f t="shared" si="28"/>
        <v>-</v>
      </c>
      <c r="CF18" s="50" t="str">
        <f t="shared" si="29"/>
        <v>-</v>
      </c>
      <c r="CG18" s="39"/>
    </row>
    <row r="19" spans="1:85" s="27" customFormat="1" ht="12.4" customHeight="1" thickBot="1" x14ac:dyDescent="0.25">
      <c r="A19" s="43">
        <f t="shared" si="30"/>
        <v>46311</v>
      </c>
      <c r="B19" s="44" t="str">
        <f t="shared" si="0"/>
        <v>Fri</v>
      </c>
      <c r="C19" s="2">
        <f>SUM(EL_DEL_CD1_STH_PTP_!C19,'Overall without PTP '!C19,ELEVATE_CD3_NTH_HB!C19,ELEVATE_CD3_STAB_HB!C19,ELEVATE_CD3_PTP_HB!C19)</f>
        <v>0</v>
      </c>
      <c r="D19" s="2">
        <f>SUM(EL_DEL_CD1_STH_PTP_!D19,'Overall without PTP '!D19,ELEVATE_CD3_NTH_HB!D19,ELEVATE_CD3_STAB_HB!D19,ELEVATE_CD3_PTP_HB!D19)</f>
        <v>0</v>
      </c>
      <c r="E19" s="3">
        <f>SUM(EL_DEL_CD1_STH_PTP_!E19,'Overall without PTP '!E19,ELEVATE_CD3_NTH_HB!E19,ELEVATE_CD3_STAB_HB!E19,ELEVATE_CD3_PTP_HB!E19)</f>
        <v>0</v>
      </c>
      <c r="F19" s="2">
        <f>SUM(EL_DEL_CD1_STH_PTP_!F19,'Overall without PTP '!F19,ELEVATE_CD3_NTH_HB!F19,ELEVATE_CD3_STAB_HB!F19,ELEVATE_CD3_PTP_HB!F19)</f>
        <v>0</v>
      </c>
      <c r="G19" s="2">
        <f>SUM(EL_DEL_CD1_STH_PTP_!G19,'Overall without PTP '!G19,ELEVATE_CD3_NTH_HB!G19,ELEVATE_CD3_STAB_HB!G19,ELEVATE_CD3_PTP_HB!G19)</f>
        <v>0</v>
      </c>
      <c r="H19" s="4">
        <f>SUM(EL_DEL_CD1_STH_PTP_!H19,'Overall without PTP '!H19,ELEVATE_CD3_NTH_HB!H19,ELEVATE_CD3_STAB_HB!H19,ELEVATE_CD3_PTP_HB!H19)</f>
        <v>0</v>
      </c>
      <c r="I19" s="4">
        <f>SUM(EL_DEL_CD1_STH_PTP_!I19,'Overall without PTP '!I19,ELEVATE_CD3_NTH_HB!I19,ELEVATE_CD3_STAB_HB!I19,ELEVATE_CD3_PTP_HB!I19)</f>
        <v>0</v>
      </c>
      <c r="J19" s="57">
        <f>SUM(EL_DEL_CD1_STH_PTP_!J19,'Overall without PTP '!J19,ELEVATE_CD3_NTH_HB!J19,ELEVATE_CD3_STAB_HB!J19,ELEVATE_CD3_PTP_HB!J19)</f>
        <v>0</v>
      </c>
      <c r="K19" s="5">
        <f>SUM(EL_DEL_CD1_STH_PTP_!K19,'Overall without PTP '!K19,ELEVATE_CD3_NTH_HB!K19,ELEVATE_CD3_STAB_HB!K19,ELEVATE_CD3_PTP_HB!K19)</f>
        <v>0</v>
      </c>
      <c r="L19" s="2">
        <f>SUM(EL_DEL_CD1_STH_PTP_!L19,'Overall without PTP '!L19,ELEVATE_CD3_NTH_HB!L19,ELEVATE_CD3_STAB_HB!L19,ELEVATE_CD3_PTP_HB!L19)</f>
        <v>0</v>
      </c>
      <c r="M19" s="2">
        <f>SUM(EL_DEL_CD1_STH_PTP_!M19,'Overall without PTP '!M19,ELEVATE_CD3_NTH_HB!M19,ELEVATE_CD3_STAB_HB!M19,ELEVATE_CD3_PTP_HB!M19)</f>
        <v>0</v>
      </c>
      <c r="N19" s="2">
        <f>SUM(EL_DEL_CD1_STH_PTP_!N19,'Overall without PTP '!N19,ELEVATE_CD3_NTH_HB!N19,ELEVATE_CD3_STAB_HB!N19,ELEVATE_CD3_PTP_HB!N19)</f>
        <v>0</v>
      </c>
      <c r="O19" s="2">
        <f>SUM(EL_DEL_CD1_STH_PTP_!O19,'Overall without PTP '!O19,ELEVATE_CD3_NTH_HB!O19,ELEVATE_CD3_STAB_HB!O19,ELEVATE_CD3_PTP_HB!O19)</f>
        <v>0</v>
      </c>
      <c r="P19" s="3">
        <f>SUM(EL_DEL_CD1_STH_PTP_!P19,'Overall without PTP '!P19,ELEVATE_CD3_NTH_HB!P19,ELEVATE_CD3_STAB_HB!P19,ELEVATE_CD3_PTP_HB!P19)</f>
        <v>0</v>
      </c>
      <c r="Q19" s="2">
        <f>SUM(EL_DEL_CD1_STH_PTP_!Q19,'Overall without PTP '!Q19,ELEVATE_CD3_NTH_HB!Q19,ELEVATE_CD3_STAB_HB!Q19,ELEVATE_CD3_PTP_HB!Q19)</f>
        <v>0</v>
      </c>
      <c r="R19" s="2">
        <f>SUM(EL_DEL_CD1_STH_PTP_!R19,'Overall without PTP '!R19,ELEVATE_CD3_NTH_HB!R19,ELEVATE_CD3_STAB_HB!R19,ELEVATE_CD3_PTP_HB!R19)</f>
        <v>0</v>
      </c>
      <c r="S19" s="2">
        <f>SUM(EL_DEL_CD1_STH_PTP_!S19,'Overall without PTP '!S19,ELEVATE_CD3_NTH_HB!S19,ELEVATE_CD3_STAB_HB!S19,ELEVATE_CD3_PTP_HB!S19)</f>
        <v>0</v>
      </c>
      <c r="T19" s="2">
        <f>SUM(EL_DEL_CD1_STH_PTP_!T19,'Overall without PTP '!T19,ELEVATE_CD3_NTH_HB!T19,ELEVATE_CD3_STAB_HB!T19,ELEVATE_CD3_PTP_HB!T19)</f>
        <v>0</v>
      </c>
      <c r="U19" s="3">
        <f>SUM(EL_DEL_CD1_STH_PTP_!V19,'Overall without PTP '!V19,ELEVATE_CD3_NTH_HB!U19,ELEVATE_CD3_STAB_HB!U19,ELEVATE_CD3_PTP_HB!U19)</f>
        <v>0</v>
      </c>
      <c r="V19" s="3">
        <f>SUM(EL_DEL_CD1_STH_PTP_!W19,'Overall without PTP '!W19,ELEVATE_CD3_NTH_HB!V19,ELEVATE_CD3_STAB_HB!V19,ELEVATE_CD3_PTP_HB!V19)</f>
        <v>0</v>
      </c>
      <c r="W19" s="2">
        <f>SUM(EL_DEL_CD1_STH_PTP_!X19,'Overall without PTP '!X19,ELEVATE_CD3_NTH_HB!W19,ELEVATE_CD3_STAB_HB!W19,ELEVATE_CD3_PTP_HB!W19)</f>
        <v>0</v>
      </c>
      <c r="X19" s="2">
        <f>SUM(EL_DEL_CD1_STH_PTP_!Y19,'Overall without PTP '!Y19,ELEVATE_CD3_NTH_HB!X19,ELEVATE_CD3_STAB_HB!X19,ELEVATE_CD3_PTP_HB!X19)</f>
        <v>0</v>
      </c>
      <c r="Y19" s="2">
        <f>SUM(EL_DEL_CD1_STH_PTP_!Z19,'Overall without PTP '!Z19,ELEVATE_CD3_NTH_HB!Y19,ELEVATE_CD3_STAB_HB!Y19,ELEVATE_CD3_PTP_HB!Y19)</f>
        <v>0</v>
      </c>
      <c r="Z19" s="2">
        <f>SUM(EL_DEL_CD1_STH_PTP_!AA19,'Overall without PTP '!AA19,ELEVATE_CD3_NTH_HB!Z19,ELEVATE_CD3_STAB_HB!Z19,ELEVATE_CD3_PTP_HB!Z19)</f>
        <v>0</v>
      </c>
      <c r="AA19" s="2">
        <f>SUM(EL_DEL_CD1_STH_PTP_!AB19,'Overall without PTP '!AB19,ELEVATE_CD3_NTH_HB!AA19,ELEVATE_CD3_STAB_HB!AA19,ELEVATE_CD3_PTP_HB!AA19)</f>
        <v>0</v>
      </c>
      <c r="AB19" s="2">
        <f>SUM(EL_DEL_CD1_STH_PTP_!AC19,'Overall without PTP '!AC19,ELEVATE_CD3_NTH_HB!AB19,ELEVATE_CD3_STAB_HB!AB19,ELEVATE_CD3_PTP_HB!AB19)</f>
        <v>0</v>
      </c>
      <c r="AC19" s="2">
        <f>SUM(EL_DEL_CD1_STH_PTP_!AD19,'Overall without PTP '!AD19,ELEVATE_CD3_NTH_HB!AC19,ELEVATE_CD3_STAB_HB!AC19,ELEVATE_CD3_PTP_HB!AC19)</f>
        <v>0</v>
      </c>
      <c r="AD19" s="2">
        <f>SUM(EL_DEL_CD1_STH_PTP_!AE19,'Overall without PTP '!AE19,ELEVATE_CD3_NTH_HB!AD19,ELEVATE_CD3_STAB_HB!AD19,ELEVATE_CD3_PTP_HB!AD19)</f>
        <v>0</v>
      </c>
      <c r="AE19" s="3">
        <f>SUM(EL_DEL_CD1_STH_PTP_!AF19,'Overall without PTP '!AF19,ELEVATE_CD3_NTH_HB!AE19,ELEVATE_CD3_STAB_HB!AE19,ELEVATE_CD3_PTP_HB!AE19)</f>
        <v>0</v>
      </c>
      <c r="AF19" s="3">
        <f>SUM(EL_DEL_CD1_STH_PTP_!AG19,'Overall without PTP '!AG19,ELEVATE_CD3_NTH_HB!AF19,ELEVATE_CD3_STAB_HB!AF19,ELEVATE_CD3_PTP_HB!AF19)</f>
        <v>0</v>
      </c>
      <c r="AG19" s="2">
        <f>SUM(EL_DEL_CD1_STH_PTP_!AH19,'Overall without PTP '!AH19,ELEVATE_CD3_NTH_HB!AG19,ELEVATE_CD3_STAB_HB!AG19,ELEVATE_CD3_PTP_HB!AG19)</f>
        <v>0</v>
      </c>
      <c r="AH19" s="6">
        <f>SUM(EL_DEL_CD1_STH_PTP_!AI19,'Overall without PTP '!AI19,ELEVATE_CD3_NTH_HB!AH19,ELEVATE_CD3_STAB_HB!AH19,ELEVATE_CD3_PTP_HB!AH19)</f>
        <v>0</v>
      </c>
      <c r="AI19" s="7">
        <f>SUM(EL_DEL_CD1_STH_PTP_!AJ19,'Overall without PTP '!AJ19,ELEVATE_CD3_NTH_HB!AI19,ELEVATE_CD3_STAB_HB!AI19,ELEVATE_CD3_PTP_HB!AI19)</f>
        <v>0</v>
      </c>
      <c r="AJ19" s="6">
        <f>SUM(EL_DEL_CD1_STH_PTP_!AK19,'Overall without PTP '!AK19,ELEVATE_CD3_NTH_HB!AJ19,ELEVATE_CD3_STAB_HB!AJ19,ELEVATE_CD3_PTP_HB!AJ19)</f>
        <v>0</v>
      </c>
      <c r="AK19" s="59" t="str">
        <f>IFERROR(AVERAGE(EL_DEL_CD1_STH_PTP_!AL19,'Overall without PTP '!AL19,ELEVATE_CD3_NTH_HB!AK19,ELEVATE_CD3_STAB_HB!AK19,ELEVATE_CD3_PTP_HB!AK19),"")</f>
        <v/>
      </c>
      <c r="AL19" s="59" t="str">
        <f>IFERROR(AVERAGE(EL_DEL_CD1_STH_PTP_!AM19,'Overall without PTP '!AM19,ELEVATE_CD3_NTH_HB!AL19,ELEVATE_CD3_STAB_HB!AL19,ELEVATE_CD3_PTP_HB!AL19),"")</f>
        <v/>
      </c>
      <c r="AM19" s="59" t="str">
        <f>IFERROR(AVERAGE(EL_DEL_CD1_STH_PTP_!AN19,'Overall without PTP '!AN19,ELEVATE_CD3_NTH_HB!AM19,ELEVATE_CD3_STAB_HB!AM19,ELEVATE_CD3_PTP_HB!AM19),"")</f>
        <v/>
      </c>
      <c r="AN19" s="59" t="str">
        <f>IFERROR(AVERAGE(EL_DEL_CD1_STH_PTP_!AO19,'Overall without PTP '!AO19,ELEVATE_CD3_NTH_HB!AN19,ELEVATE_CD3_STAB_HB!AN19,ELEVATE_CD3_PTP_HB!AN19),"")</f>
        <v/>
      </c>
      <c r="AO19" s="59" t="str">
        <f>IFERROR(AVERAGE(EL_DEL_CD1_STH_PTP_!AP19,'Overall without PTP '!AP19,ELEVATE_CD3_NTH_HB!AO19,ELEVATE_CD3_STAB_HB!AO19,ELEVATE_CD3_PTP_HB!AO19),"")</f>
        <v/>
      </c>
      <c r="AP19" s="59" t="str">
        <f>IFERROR(AVERAGE(EL_DEL_CD1_STH_PTP_!AQ19,'Overall without PTP '!AQ19,ELEVATE_CD3_NTH_HB!AP19,ELEVATE_CD3_STAB_HB!AP19,ELEVATE_CD3_PTP_HB!AP19),"")</f>
        <v/>
      </c>
      <c r="AQ19" s="59" t="str">
        <f>IFERROR(AVERAGE(EL_DEL_CD1_STH_PTP_!AR19,'Overall without PTP '!AR19,ELEVATE_CD3_NTH_HB!AQ19,ELEVATE_CD3_STAB_HB!AQ19,ELEVATE_CD3_PTP_HB!AQ19),"")</f>
        <v/>
      </c>
      <c r="AR19" s="59" t="str">
        <f>IFERROR(AVERAGE(EL_DEL_CD1_STH_PTP_!AS19,'Overall without PTP '!AS19,ELEVATE_CD3_NTH_HB!AR19,ELEVATE_CD3_STAB_HB!AR19,ELEVATE_CD3_PTP_HB!AR19),"")</f>
        <v/>
      </c>
      <c r="AS19" s="8">
        <f>SUM(EL_DEL_CD1_STH_PTP_!AT19,'Overall without PTP '!AT19,ELEVATE_CD3_NTH_HB!AS19,ELEVATE_CD3_STAB_HB!AS19,ELEVATE_CD3_PTP_HB!AS19)</f>
        <v>0</v>
      </c>
      <c r="AT19" s="8">
        <f>SUM(EL_DEL_CD1_STH_PTP_!AU19,'Overall without PTP '!AU19,ELEVATE_CD3_NTH_HB!AT19,ELEVATE_CD3_STAB_HB!AT19,ELEVATE_CD3_PTP_HB!AT19)</f>
        <v>0</v>
      </c>
      <c r="AU19" s="9">
        <f>SUM(EL_DEL_CD1_STH_PTP_!AV19,'Overall without PTP '!AV19,ELEVATE_CD3_NTH_HB!AU19,ELEVATE_CD3_STAB_HB!AU19,ELEVATE_CD3_PTP_HB!AU19)</f>
        <v>0</v>
      </c>
      <c r="AV19" s="8">
        <f>IFERROR(AVERAGE(EL_DEL_CD1_STH_PTP_!AW19,'Overall without PTP '!AW19,ELEVATE_CD3_NTH_HB!AV19,ELEVATE_CD3_STAB_HB!AV19,ELEVATE_CD3_PTP_HB!AV19),"")</f>
        <v>0</v>
      </c>
      <c r="AW19" s="10" t="str">
        <f t="shared" si="12"/>
        <v>-</v>
      </c>
      <c r="AX19" s="39"/>
      <c r="AY19" s="1" t="str">
        <f t="shared" si="1"/>
        <v/>
      </c>
      <c r="AZ19" s="11" t="str">
        <f t="shared" si="2"/>
        <v/>
      </c>
      <c r="BA19" s="1" t="str">
        <f t="shared" si="3"/>
        <v/>
      </c>
      <c r="BB19" s="39"/>
      <c r="BC19" s="82" t="str">
        <f t="shared" si="13"/>
        <v/>
      </c>
      <c r="BD19" s="70" t="str">
        <f t="shared" si="14"/>
        <v/>
      </c>
      <c r="BE19" s="70" t="str">
        <f t="shared" si="15"/>
        <v/>
      </c>
      <c r="BF19" s="70" t="str">
        <f t="shared" si="16"/>
        <v/>
      </c>
      <c r="BG19" s="70" t="str">
        <f t="shared" si="17"/>
        <v/>
      </c>
      <c r="BH19" s="83" t="str">
        <f t="shared" si="18"/>
        <v/>
      </c>
      <c r="BI19" s="39"/>
      <c r="BJ19" s="75" t="str">
        <f t="shared" si="4"/>
        <v/>
      </c>
      <c r="BK19" s="76" t="str">
        <f t="shared" si="5"/>
        <v/>
      </c>
      <c r="BL19" s="76" t="str">
        <f t="shared" si="6"/>
        <v/>
      </c>
      <c r="BM19" s="77" t="str">
        <f t="shared" si="7"/>
        <v/>
      </c>
      <c r="BN19" s="39"/>
      <c r="BO19" s="14" t="str">
        <f t="shared" si="19"/>
        <v/>
      </c>
      <c r="BP19" s="15">
        <v>0</v>
      </c>
      <c r="BQ19" s="74" t="str">
        <f t="shared" si="8"/>
        <v/>
      </c>
      <c r="BR19" s="15" t="str">
        <f t="shared" si="9"/>
        <v/>
      </c>
      <c r="BS19" s="16" t="str">
        <f t="shared" si="20"/>
        <v/>
      </c>
      <c r="BT19" s="39"/>
      <c r="BU19" s="51" t="e">
        <f t="shared" si="10"/>
        <v>#VALUE!</v>
      </c>
      <c r="BV19" s="28" t="e">
        <f t="shared" si="21"/>
        <v>#VALUE!</v>
      </c>
      <c r="BW19" s="28" t="e">
        <f t="shared" si="22"/>
        <v>#VALUE!</v>
      </c>
      <c r="BX19" s="28" t="e">
        <f t="shared" si="23"/>
        <v>#VALUE!</v>
      </c>
      <c r="BY19" s="28" t="e">
        <f t="shared" si="24"/>
        <v>#VALUE!</v>
      </c>
      <c r="BZ19" s="52" t="e">
        <f t="shared" si="11"/>
        <v>#VALUE!</v>
      </c>
      <c r="CA19" s="39"/>
      <c r="CB19" s="49" t="str">
        <f t="shared" si="25"/>
        <v>-</v>
      </c>
      <c r="CC19" s="29" t="str">
        <f t="shared" si="26"/>
        <v>-</v>
      </c>
      <c r="CD19" s="29" t="str">
        <f t="shared" si="27"/>
        <v>-</v>
      </c>
      <c r="CE19" s="29" t="str">
        <f t="shared" si="28"/>
        <v>-</v>
      </c>
      <c r="CF19" s="50" t="str">
        <f t="shared" si="29"/>
        <v>-</v>
      </c>
      <c r="CG19" s="39"/>
    </row>
    <row r="20" spans="1:85" s="27" customFormat="1" ht="12.4" customHeight="1" thickBot="1" x14ac:dyDescent="0.25">
      <c r="A20" s="43">
        <f t="shared" si="30"/>
        <v>46312</v>
      </c>
      <c r="B20" s="44" t="str">
        <f t="shared" si="0"/>
        <v>Sat</v>
      </c>
      <c r="C20" s="2">
        <f>SUM(EL_DEL_CD1_STH_PTP_!C20,'Overall without PTP '!C20,ELEVATE_CD3_NTH_HB!C20,ELEVATE_CD3_STAB_HB!C20,ELEVATE_CD3_PTP_HB!C20)</f>
        <v>0</v>
      </c>
      <c r="D20" s="2">
        <f>SUM(EL_DEL_CD1_STH_PTP_!D20,'Overall without PTP '!D20,ELEVATE_CD3_NTH_HB!D20,ELEVATE_CD3_STAB_HB!D20,ELEVATE_CD3_PTP_HB!D20)</f>
        <v>0</v>
      </c>
      <c r="E20" s="3">
        <f>SUM(EL_DEL_CD1_STH_PTP_!E20,'Overall without PTP '!E20,ELEVATE_CD3_NTH_HB!E20,ELEVATE_CD3_STAB_HB!E20,ELEVATE_CD3_PTP_HB!E20)</f>
        <v>0</v>
      </c>
      <c r="F20" s="2">
        <f>SUM(EL_DEL_CD1_STH_PTP_!F20,'Overall without PTP '!F20,ELEVATE_CD3_NTH_HB!F20,ELEVATE_CD3_STAB_HB!F20,ELEVATE_CD3_PTP_HB!F20)</f>
        <v>0</v>
      </c>
      <c r="G20" s="2">
        <f>SUM(EL_DEL_CD1_STH_PTP_!G20,'Overall without PTP '!G20,ELEVATE_CD3_NTH_HB!G20,ELEVATE_CD3_STAB_HB!G20,ELEVATE_CD3_PTP_HB!G20)</f>
        <v>0</v>
      </c>
      <c r="H20" s="4">
        <f>SUM(EL_DEL_CD1_STH_PTP_!H20,'Overall without PTP '!H20,ELEVATE_CD3_NTH_HB!H20,ELEVATE_CD3_STAB_HB!H20,ELEVATE_CD3_PTP_HB!H20)</f>
        <v>0</v>
      </c>
      <c r="I20" s="4">
        <f>SUM(EL_DEL_CD1_STH_PTP_!I20,'Overall without PTP '!I20,ELEVATE_CD3_NTH_HB!I20,ELEVATE_CD3_STAB_HB!I20,ELEVATE_CD3_PTP_HB!I20)</f>
        <v>0</v>
      </c>
      <c r="J20" s="57">
        <f>SUM(EL_DEL_CD1_STH_PTP_!J20,'Overall without PTP '!J20,ELEVATE_CD3_NTH_HB!J20,ELEVATE_CD3_STAB_HB!J20,ELEVATE_CD3_PTP_HB!J20)</f>
        <v>0</v>
      </c>
      <c r="K20" s="5">
        <f>SUM(EL_DEL_CD1_STH_PTP_!K20,'Overall without PTP '!K20,ELEVATE_CD3_NTH_HB!K20,ELEVATE_CD3_STAB_HB!K20,ELEVATE_CD3_PTP_HB!K20)</f>
        <v>0</v>
      </c>
      <c r="L20" s="2">
        <f>SUM(EL_DEL_CD1_STH_PTP_!L20,'Overall without PTP '!L20,ELEVATE_CD3_NTH_HB!L20,ELEVATE_CD3_STAB_HB!L20,ELEVATE_CD3_PTP_HB!L20)</f>
        <v>0</v>
      </c>
      <c r="M20" s="2">
        <f>SUM(EL_DEL_CD1_STH_PTP_!M20,'Overall without PTP '!M20,ELEVATE_CD3_NTH_HB!M20,ELEVATE_CD3_STAB_HB!M20,ELEVATE_CD3_PTP_HB!M20)</f>
        <v>0</v>
      </c>
      <c r="N20" s="2">
        <f>SUM(EL_DEL_CD1_STH_PTP_!N20,'Overall without PTP '!N20,ELEVATE_CD3_NTH_HB!N20,ELEVATE_CD3_STAB_HB!N20,ELEVATE_CD3_PTP_HB!N20)</f>
        <v>0</v>
      </c>
      <c r="O20" s="2">
        <f>SUM(EL_DEL_CD1_STH_PTP_!O20,'Overall without PTP '!O20,ELEVATE_CD3_NTH_HB!O20,ELEVATE_CD3_STAB_HB!O20,ELEVATE_CD3_PTP_HB!O20)</f>
        <v>0</v>
      </c>
      <c r="P20" s="3">
        <f>SUM(EL_DEL_CD1_STH_PTP_!P20,'Overall without PTP '!P20,ELEVATE_CD3_NTH_HB!P20,ELEVATE_CD3_STAB_HB!P20,ELEVATE_CD3_PTP_HB!P20)</f>
        <v>0</v>
      </c>
      <c r="Q20" s="2">
        <f>SUM(EL_DEL_CD1_STH_PTP_!Q20,'Overall without PTP '!Q20,ELEVATE_CD3_NTH_HB!Q20,ELEVATE_CD3_STAB_HB!Q20,ELEVATE_CD3_PTP_HB!Q20)</f>
        <v>0</v>
      </c>
      <c r="R20" s="2">
        <f>SUM(EL_DEL_CD1_STH_PTP_!R20,'Overall without PTP '!R20,ELEVATE_CD3_NTH_HB!R20,ELEVATE_CD3_STAB_HB!R20,ELEVATE_CD3_PTP_HB!R20)</f>
        <v>0</v>
      </c>
      <c r="S20" s="2">
        <f>SUM(EL_DEL_CD1_STH_PTP_!S20,'Overall without PTP '!S20,ELEVATE_CD3_NTH_HB!S20,ELEVATE_CD3_STAB_HB!S20,ELEVATE_CD3_PTP_HB!S20)</f>
        <v>0</v>
      </c>
      <c r="T20" s="2">
        <f>SUM(EL_DEL_CD1_STH_PTP_!T20,'Overall without PTP '!T20,ELEVATE_CD3_NTH_HB!T20,ELEVATE_CD3_STAB_HB!T20,ELEVATE_CD3_PTP_HB!T20)</f>
        <v>0</v>
      </c>
      <c r="U20" s="3">
        <f>SUM(EL_DEL_CD1_STH_PTP_!V20,'Overall without PTP '!V20,ELEVATE_CD3_NTH_HB!U20,ELEVATE_CD3_STAB_HB!U20,ELEVATE_CD3_PTP_HB!U20)</f>
        <v>0</v>
      </c>
      <c r="V20" s="3">
        <f>SUM(EL_DEL_CD1_STH_PTP_!W20,'Overall without PTP '!W20,ELEVATE_CD3_NTH_HB!V20,ELEVATE_CD3_STAB_HB!V20,ELEVATE_CD3_PTP_HB!V20)</f>
        <v>0</v>
      </c>
      <c r="W20" s="2">
        <f>SUM(EL_DEL_CD1_STH_PTP_!X20,'Overall without PTP '!X20,ELEVATE_CD3_NTH_HB!W20,ELEVATE_CD3_STAB_HB!W20,ELEVATE_CD3_PTP_HB!W20)</f>
        <v>0</v>
      </c>
      <c r="X20" s="2">
        <f>SUM(EL_DEL_CD1_STH_PTP_!Y20,'Overall without PTP '!Y20,ELEVATE_CD3_NTH_HB!X20,ELEVATE_CD3_STAB_HB!X20,ELEVATE_CD3_PTP_HB!X20)</f>
        <v>0</v>
      </c>
      <c r="Y20" s="2">
        <f>SUM(EL_DEL_CD1_STH_PTP_!Z20,'Overall without PTP '!Z20,ELEVATE_CD3_NTH_HB!Y20,ELEVATE_CD3_STAB_HB!Y20,ELEVATE_CD3_PTP_HB!Y20)</f>
        <v>0</v>
      </c>
      <c r="Z20" s="2">
        <f>SUM(EL_DEL_CD1_STH_PTP_!AA20,'Overall without PTP '!AA20,ELEVATE_CD3_NTH_HB!Z20,ELEVATE_CD3_STAB_HB!Z20,ELEVATE_CD3_PTP_HB!Z20)</f>
        <v>0</v>
      </c>
      <c r="AA20" s="2">
        <f>SUM(EL_DEL_CD1_STH_PTP_!AB20,'Overall without PTP '!AB20,ELEVATE_CD3_NTH_HB!AA20,ELEVATE_CD3_STAB_HB!AA20,ELEVATE_CD3_PTP_HB!AA20)</f>
        <v>0</v>
      </c>
      <c r="AB20" s="2">
        <f>SUM(EL_DEL_CD1_STH_PTP_!AC20,'Overall without PTP '!AC20,ELEVATE_CD3_NTH_HB!AB20,ELEVATE_CD3_STAB_HB!AB20,ELEVATE_CD3_PTP_HB!AB20)</f>
        <v>0</v>
      </c>
      <c r="AC20" s="2">
        <f>SUM(EL_DEL_CD1_STH_PTP_!AD20,'Overall without PTP '!AD20,ELEVATE_CD3_NTH_HB!AC20,ELEVATE_CD3_STAB_HB!AC20,ELEVATE_CD3_PTP_HB!AC20)</f>
        <v>0</v>
      </c>
      <c r="AD20" s="2">
        <f>SUM(EL_DEL_CD1_STH_PTP_!AE20,'Overall without PTP '!AE20,ELEVATE_CD3_NTH_HB!AD20,ELEVATE_CD3_STAB_HB!AD20,ELEVATE_CD3_PTP_HB!AD20)</f>
        <v>0</v>
      </c>
      <c r="AE20" s="3">
        <f>SUM(EL_DEL_CD1_STH_PTP_!AF20,'Overall without PTP '!AF20,ELEVATE_CD3_NTH_HB!AE20,ELEVATE_CD3_STAB_HB!AE20,ELEVATE_CD3_PTP_HB!AE20)</f>
        <v>0</v>
      </c>
      <c r="AF20" s="3">
        <f>SUM(EL_DEL_CD1_STH_PTP_!AG20,'Overall without PTP '!AG20,ELEVATE_CD3_NTH_HB!AF20,ELEVATE_CD3_STAB_HB!AF20,ELEVATE_CD3_PTP_HB!AF20)</f>
        <v>0</v>
      </c>
      <c r="AG20" s="2">
        <f>SUM(EL_DEL_CD1_STH_PTP_!AH20,'Overall without PTP '!AH20,ELEVATE_CD3_NTH_HB!AG20,ELEVATE_CD3_STAB_HB!AG20,ELEVATE_CD3_PTP_HB!AG20)</f>
        <v>0</v>
      </c>
      <c r="AH20" s="6">
        <f>SUM(EL_DEL_CD1_STH_PTP_!AI20,'Overall without PTP '!AI20,ELEVATE_CD3_NTH_HB!AH20,ELEVATE_CD3_STAB_HB!AH20,ELEVATE_CD3_PTP_HB!AH20)</f>
        <v>0</v>
      </c>
      <c r="AI20" s="7">
        <f>SUM(EL_DEL_CD1_STH_PTP_!AJ20,'Overall without PTP '!AJ20,ELEVATE_CD3_NTH_HB!AI20,ELEVATE_CD3_STAB_HB!AI20,ELEVATE_CD3_PTP_HB!AI20)</f>
        <v>0</v>
      </c>
      <c r="AJ20" s="6">
        <f>SUM(EL_DEL_CD1_STH_PTP_!AK20,'Overall without PTP '!AK20,ELEVATE_CD3_NTH_HB!AJ20,ELEVATE_CD3_STAB_HB!AJ20,ELEVATE_CD3_PTP_HB!AJ20)</f>
        <v>0</v>
      </c>
      <c r="AK20" s="59" t="str">
        <f>IFERROR(AVERAGE(EL_DEL_CD1_STH_PTP_!AL20,'Overall without PTP '!AL20,ELEVATE_CD3_NTH_HB!AK20,ELEVATE_CD3_STAB_HB!AK20,ELEVATE_CD3_PTP_HB!AK20),"")</f>
        <v/>
      </c>
      <c r="AL20" s="59" t="str">
        <f>IFERROR(AVERAGE(EL_DEL_CD1_STH_PTP_!AM20,'Overall without PTP '!AM20,ELEVATE_CD3_NTH_HB!AL20,ELEVATE_CD3_STAB_HB!AL20,ELEVATE_CD3_PTP_HB!AL20),"")</f>
        <v/>
      </c>
      <c r="AM20" s="59" t="str">
        <f>IFERROR(AVERAGE(EL_DEL_CD1_STH_PTP_!AN20,'Overall without PTP '!AN20,ELEVATE_CD3_NTH_HB!AM20,ELEVATE_CD3_STAB_HB!AM20,ELEVATE_CD3_PTP_HB!AM20),"")</f>
        <v/>
      </c>
      <c r="AN20" s="59" t="str">
        <f>IFERROR(AVERAGE(EL_DEL_CD1_STH_PTP_!AO20,'Overall without PTP '!AO20,ELEVATE_CD3_NTH_HB!AN20,ELEVATE_CD3_STAB_HB!AN20,ELEVATE_CD3_PTP_HB!AN20),"")</f>
        <v/>
      </c>
      <c r="AO20" s="59" t="str">
        <f>IFERROR(AVERAGE(EL_DEL_CD1_STH_PTP_!AP20,'Overall without PTP '!AP20,ELEVATE_CD3_NTH_HB!AO20,ELEVATE_CD3_STAB_HB!AO20,ELEVATE_CD3_PTP_HB!AO20),"")</f>
        <v/>
      </c>
      <c r="AP20" s="59" t="str">
        <f>IFERROR(AVERAGE(EL_DEL_CD1_STH_PTP_!AQ20,'Overall without PTP '!AQ20,ELEVATE_CD3_NTH_HB!AP20,ELEVATE_CD3_STAB_HB!AP20,ELEVATE_CD3_PTP_HB!AP20),"")</f>
        <v/>
      </c>
      <c r="AQ20" s="59" t="str">
        <f>IFERROR(AVERAGE(EL_DEL_CD1_STH_PTP_!AR20,'Overall without PTP '!AR20,ELEVATE_CD3_NTH_HB!AQ20,ELEVATE_CD3_STAB_HB!AQ20,ELEVATE_CD3_PTP_HB!AQ20),"")</f>
        <v/>
      </c>
      <c r="AR20" s="59" t="str">
        <f>IFERROR(AVERAGE(EL_DEL_CD1_STH_PTP_!AS20,'Overall without PTP '!AS20,ELEVATE_CD3_NTH_HB!AR20,ELEVATE_CD3_STAB_HB!AR20,ELEVATE_CD3_PTP_HB!AR20),"")</f>
        <v/>
      </c>
      <c r="AS20" s="8">
        <f>SUM(EL_DEL_CD1_STH_PTP_!AT20,'Overall without PTP '!AT20,ELEVATE_CD3_NTH_HB!AS20,ELEVATE_CD3_STAB_HB!AS20,ELEVATE_CD3_PTP_HB!AS20)</f>
        <v>0</v>
      </c>
      <c r="AT20" s="8">
        <f>SUM(EL_DEL_CD1_STH_PTP_!AU20,'Overall without PTP '!AU20,ELEVATE_CD3_NTH_HB!AT20,ELEVATE_CD3_STAB_HB!AT20,ELEVATE_CD3_PTP_HB!AT20)</f>
        <v>0</v>
      </c>
      <c r="AU20" s="9">
        <f>SUM(EL_DEL_CD1_STH_PTP_!AV20,'Overall without PTP '!AV20,ELEVATE_CD3_NTH_HB!AU20,ELEVATE_CD3_STAB_HB!AU20,ELEVATE_CD3_PTP_HB!AU20)</f>
        <v>0</v>
      </c>
      <c r="AV20" s="8">
        <f>IFERROR(AVERAGE(EL_DEL_CD1_STH_PTP_!AW20,'Overall without PTP '!AW20,ELEVATE_CD3_NTH_HB!AV20,ELEVATE_CD3_STAB_HB!AV20,ELEVATE_CD3_PTP_HB!AV20),"")</f>
        <v>0</v>
      </c>
      <c r="AW20" s="10" t="str">
        <f t="shared" si="12"/>
        <v>-</v>
      </c>
      <c r="AX20" s="39"/>
      <c r="AY20" s="1" t="str">
        <f t="shared" si="1"/>
        <v/>
      </c>
      <c r="AZ20" s="11" t="str">
        <f t="shared" si="2"/>
        <v/>
      </c>
      <c r="BA20" s="1" t="str">
        <f t="shared" si="3"/>
        <v/>
      </c>
      <c r="BB20" s="39"/>
      <c r="BC20" s="82" t="str">
        <f t="shared" si="13"/>
        <v/>
      </c>
      <c r="BD20" s="70" t="str">
        <f t="shared" si="14"/>
        <v/>
      </c>
      <c r="BE20" s="70" t="str">
        <f t="shared" si="15"/>
        <v/>
      </c>
      <c r="BF20" s="70" t="str">
        <f t="shared" si="16"/>
        <v/>
      </c>
      <c r="BG20" s="70" t="str">
        <f t="shared" si="17"/>
        <v/>
      </c>
      <c r="BH20" s="83" t="str">
        <f t="shared" si="18"/>
        <v/>
      </c>
      <c r="BI20" s="39"/>
      <c r="BJ20" s="75" t="str">
        <f t="shared" si="4"/>
        <v/>
      </c>
      <c r="BK20" s="76" t="str">
        <f t="shared" si="5"/>
        <v/>
      </c>
      <c r="BL20" s="76" t="str">
        <f t="shared" si="6"/>
        <v/>
      </c>
      <c r="BM20" s="77" t="str">
        <f t="shared" si="7"/>
        <v/>
      </c>
      <c r="BN20" s="39"/>
      <c r="BO20" s="14" t="str">
        <f t="shared" si="19"/>
        <v/>
      </c>
      <c r="BP20" s="15">
        <v>0</v>
      </c>
      <c r="BQ20" s="74" t="str">
        <f t="shared" si="8"/>
        <v/>
      </c>
      <c r="BR20" s="15" t="str">
        <f t="shared" si="9"/>
        <v/>
      </c>
      <c r="BS20" s="16" t="str">
        <f t="shared" si="20"/>
        <v/>
      </c>
      <c r="BT20" s="39"/>
      <c r="BU20" s="51" t="e">
        <f t="shared" si="10"/>
        <v>#VALUE!</v>
      </c>
      <c r="BV20" s="28" t="e">
        <f t="shared" si="21"/>
        <v>#VALUE!</v>
      </c>
      <c r="BW20" s="28" t="e">
        <f t="shared" si="22"/>
        <v>#VALUE!</v>
      </c>
      <c r="BX20" s="28" t="e">
        <f t="shared" si="23"/>
        <v>#VALUE!</v>
      </c>
      <c r="BY20" s="28" t="e">
        <f t="shared" si="24"/>
        <v>#VALUE!</v>
      </c>
      <c r="BZ20" s="52" t="e">
        <f t="shared" si="11"/>
        <v>#VALUE!</v>
      </c>
      <c r="CA20" s="39"/>
      <c r="CB20" s="49" t="str">
        <f t="shared" si="25"/>
        <v>-</v>
      </c>
      <c r="CC20" s="29" t="str">
        <f t="shared" si="26"/>
        <v>-</v>
      </c>
      <c r="CD20" s="29" t="str">
        <f t="shared" si="27"/>
        <v>-</v>
      </c>
      <c r="CE20" s="29" t="str">
        <f t="shared" si="28"/>
        <v>-</v>
      </c>
      <c r="CF20" s="50" t="str">
        <f t="shared" si="29"/>
        <v>-</v>
      </c>
      <c r="CG20" s="39"/>
    </row>
    <row r="21" spans="1:85" s="27" customFormat="1" ht="12.4" customHeight="1" thickBot="1" x14ac:dyDescent="0.25">
      <c r="A21" s="43">
        <f t="shared" si="30"/>
        <v>46313</v>
      </c>
      <c r="B21" s="44" t="str">
        <f t="shared" si="0"/>
        <v>Sun</v>
      </c>
      <c r="C21" s="2">
        <f>SUM(EL_DEL_CD1_STH_PTP_!C21,'Overall without PTP '!C21,ELEVATE_CD3_NTH_HB!C21,ELEVATE_CD3_STAB_HB!C21,ELEVATE_CD3_PTP_HB!C21)</f>
        <v>0</v>
      </c>
      <c r="D21" s="2">
        <f>SUM(EL_DEL_CD1_STH_PTP_!D21,'Overall without PTP '!D21,ELEVATE_CD3_NTH_HB!D21,ELEVATE_CD3_STAB_HB!D21,ELEVATE_CD3_PTP_HB!D21)</f>
        <v>0</v>
      </c>
      <c r="E21" s="3">
        <f>SUM(EL_DEL_CD1_STH_PTP_!E21,'Overall without PTP '!E21,ELEVATE_CD3_NTH_HB!E21,ELEVATE_CD3_STAB_HB!E21,ELEVATE_CD3_PTP_HB!E21)</f>
        <v>0</v>
      </c>
      <c r="F21" s="2">
        <f>SUM(EL_DEL_CD1_STH_PTP_!F21,'Overall without PTP '!F21,ELEVATE_CD3_NTH_HB!F21,ELEVATE_CD3_STAB_HB!F21,ELEVATE_CD3_PTP_HB!F21)</f>
        <v>0</v>
      </c>
      <c r="G21" s="2">
        <f>SUM(EL_DEL_CD1_STH_PTP_!G21,'Overall without PTP '!G21,ELEVATE_CD3_NTH_HB!G21,ELEVATE_CD3_STAB_HB!G21,ELEVATE_CD3_PTP_HB!G21)</f>
        <v>0</v>
      </c>
      <c r="H21" s="4">
        <f>SUM(EL_DEL_CD1_STH_PTP_!H21,'Overall without PTP '!H21,ELEVATE_CD3_NTH_HB!H21,ELEVATE_CD3_STAB_HB!H21,ELEVATE_CD3_PTP_HB!H21)</f>
        <v>0</v>
      </c>
      <c r="I21" s="4">
        <f>SUM(EL_DEL_CD1_STH_PTP_!I21,'Overall without PTP '!I21,ELEVATE_CD3_NTH_HB!I21,ELEVATE_CD3_STAB_HB!I21,ELEVATE_CD3_PTP_HB!I21)</f>
        <v>0</v>
      </c>
      <c r="J21" s="57">
        <f>SUM(EL_DEL_CD1_STH_PTP_!J21,'Overall without PTP '!J21,ELEVATE_CD3_NTH_HB!J21,ELEVATE_CD3_STAB_HB!J21,ELEVATE_CD3_PTP_HB!J21)</f>
        <v>0</v>
      </c>
      <c r="K21" s="5">
        <f>SUM(EL_DEL_CD1_STH_PTP_!K21,'Overall without PTP '!K21,ELEVATE_CD3_NTH_HB!K21,ELEVATE_CD3_STAB_HB!K21,ELEVATE_CD3_PTP_HB!K21)</f>
        <v>0</v>
      </c>
      <c r="L21" s="2">
        <f>SUM(EL_DEL_CD1_STH_PTP_!L21,'Overall without PTP '!L21,ELEVATE_CD3_NTH_HB!L21,ELEVATE_CD3_STAB_HB!L21,ELEVATE_CD3_PTP_HB!L21)</f>
        <v>0</v>
      </c>
      <c r="M21" s="2">
        <f>SUM(EL_DEL_CD1_STH_PTP_!M21,'Overall without PTP '!M21,ELEVATE_CD3_NTH_HB!M21,ELEVATE_CD3_STAB_HB!M21,ELEVATE_CD3_PTP_HB!M21)</f>
        <v>0</v>
      </c>
      <c r="N21" s="2">
        <f>SUM(EL_DEL_CD1_STH_PTP_!N21,'Overall without PTP '!N21,ELEVATE_CD3_NTH_HB!N21,ELEVATE_CD3_STAB_HB!N21,ELEVATE_CD3_PTP_HB!N21)</f>
        <v>0</v>
      </c>
      <c r="O21" s="2">
        <f>SUM(EL_DEL_CD1_STH_PTP_!O21,'Overall without PTP '!O21,ELEVATE_CD3_NTH_HB!O21,ELEVATE_CD3_STAB_HB!O21,ELEVATE_CD3_PTP_HB!O21)</f>
        <v>0</v>
      </c>
      <c r="P21" s="3">
        <f>SUM(EL_DEL_CD1_STH_PTP_!P21,'Overall without PTP '!P21,ELEVATE_CD3_NTH_HB!P21,ELEVATE_CD3_STAB_HB!P21,ELEVATE_CD3_PTP_HB!P21)</f>
        <v>0</v>
      </c>
      <c r="Q21" s="2">
        <f>SUM(EL_DEL_CD1_STH_PTP_!Q21,'Overall without PTP '!Q21,ELEVATE_CD3_NTH_HB!Q21,ELEVATE_CD3_STAB_HB!Q21,ELEVATE_CD3_PTP_HB!Q21)</f>
        <v>0</v>
      </c>
      <c r="R21" s="2">
        <f>SUM(EL_DEL_CD1_STH_PTP_!R21,'Overall without PTP '!R21,ELEVATE_CD3_NTH_HB!R21,ELEVATE_CD3_STAB_HB!R21,ELEVATE_CD3_PTP_HB!R21)</f>
        <v>0</v>
      </c>
      <c r="S21" s="2">
        <f>SUM(EL_DEL_CD1_STH_PTP_!S21,'Overall without PTP '!S21,ELEVATE_CD3_NTH_HB!S21,ELEVATE_CD3_STAB_HB!S21,ELEVATE_CD3_PTP_HB!S21)</f>
        <v>0</v>
      </c>
      <c r="T21" s="2">
        <f>SUM(EL_DEL_CD1_STH_PTP_!T21,'Overall without PTP '!T21,ELEVATE_CD3_NTH_HB!T21,ELEVATE_CD3_STAB_HB!T21,ELEVATE_CD3_PTP_HB!T21)</f>
        <v>0</v>
      </c>
      <c r="U21" s="3">
        <f>SUM(EL_DEL_CD1_STH_PTP_!V21,'Overall without PTP '!V21,ELEVATE_CD3_NTH_HB!U21,ELEVATE_CD3_STAB_HB!U21,ELEVATE_CD3_PTP_HB!U21)</f>
        <v>0</v>
      </c>
      <c r="V21" s="3">
        <f>SUM(EL_DEL_CD1_STH_PTP_!W21,'Overall without PTP '!W21,ELEVATE_CD3_NTH_HB!V21,ELEVATE_CD3_STAB_HB!V21,ELEVATE_CD3_PTP_HB!V21)</f>
        <v>0</v>
      </c>
      <c r="W21" s="2">
        <f>SUM(EL_DEL_CD1_STH_PTP_!X21,'Overall without PTP '!X21,ELEVATE_CD3_NTH_HB!W21,ELEVATE_CD3_STAB_HB!W21,ELEVATE_CD3_PTP_HB!W21)</f>
        <v>0</v>
      </c>
      <c r="X21" s="2">
        <f>SUM(EL_DEL_CD1_STH_PTP_!Y21,'Overall without PTP '!Y21,ELEVATE_CD3_NTH_HB!X21,ELEVATE_CD3_STAB_HB!X21,ELEVATE_CD3_PTP_HB!X21)</f>
        <v>0</v>
      </c>
      <c r="Y21" s="2">
        <f>SUM(EL_DEL_CD1_STH_PTP_!Z21,'Overall without PTP '!Z21,ELEVATE_CD3_NTH_HB!Y21,ELEVATE_CD3_STAB_HB!Y21,ELEVATE_CD3_PTP_HB!Y21)</f>
        <v>0</v>
      </c>
      <c r="Z21" s="2">
        <f>SUM(EL_DEL_CD1_STH_PTP_!AA21,'Overall without PTP '!AA21,ELEVATE_CD3_NTH_HB!Z21,ELEVATE_CD3_STAB_HB!Z21,ELEVATE_CD3_PTP_HB!Z21)</f>
        <v>0</v>
      </c>
      <c r="AA21" s="2">
        <f>SUM(EL_DEL_CD1_STH_PTP_!AB21,'Overall without PTP '!AB21,ELEVATE_CD3_NTH_HB!AA21,ELEVATE_CD3_STAB_HB!AA21,ELEVATE_CD3_PTP_HB!AA21)</f>
        <v>0</v>
      </c>
      <c r="AB21" s="2">
        <f>SUM(EL_DEL_CD1_STH_PTP_!AC21,'Overall without PTP '!AC21,ELEVATE_CD3_NTH_HB!AB21,ELEVATE_CD3_STAB_HB!AB21,ELEVATE_CD3_PTP_HB!AB21)</f>
        <v>0</v>
      </c>
      <c r="AC21" s="2">
        <f>SUM(EL_DEL_CD1_STH_PTP_!AD21,'Overall without PTP '!AD21,ELEVATE_CD3_NTH_HB!AC21,ELEVATE_CD3_STAB_HB!AC21,ELEVATE_CD3_PTP_HB!AC21)</f>
        <v>0</v>
      </c>
      <c r="AD21" s="2">
        <f>SUM(EL_DEL_CD1_STH_PTP_!AE21,'Overall without PTP '!AE21,ELEVATE_CD3_NTH_HB!AD21,ELEVATE_CD3_STAB_HB!AD21,ELEVATE_CD3_PTP_HB!AD21)</f>
        <v>0</v>
      </c>
      <c r="AE21" s="3">
        <f>SUM(EL_DEL_CD1_STH_PTP_!AF21,'Overall without PTP '!AF21,ELEVATE_CD3_NTH_HB!AE21,ELEVATE_CD3_STAB_HB!AE21,ELEVATE_CD3_PTP_HB!AE21)</f>
        <v>0</v>
      </c>
      <c r="AF21" s="3">
        <f>SUM(EL_DEL_CD1_STH_PTP_!AG21,'Overall without PTP '!AG21,ELEVATE_CD3_NTH_HB!AF21,ELEVATE_CD3_STAB_HB!AF21,ELEVATE_CD3_PTP_HB!AF21)</f>
        <v>0</v>
      </c>
      <c r="AG21" s="2">
        <f>SUM(EL_DEL_CD1_STH_PTP_!AH21,'Overall without PTP '!AH21,ELEVATE_CD3_NTH_HB!AG21,ELEVATE_CD3_STAB_HB!AG21,ELEVATE_CD3_PTP_HB!AG21)</f>
        <v>0</v>
      </c>
      <c r="AH21" s="6">
        <f>SUM(EL_DEL_CD1_STH_PTP_!AI21,'Overall without PTP '!AI21,ELEVATE_CD3_NTH_HB!AH21,ELEVATE_CD3_STAB_HB!AH21,ELEVATE_CD3_PTP_HB!AH21)</f>
        <v>0</v>
      </c>
      <c r="AI21" s="7">
        <f>SUM(EL_DEL_CD1_STH_PTP_!AJ21,'Overall without PTP '!AJ21,ELEVATE_CD3_NTH_HB!AI21,ELEVATE_CD3_STAB_HB!AI21,ELEVATE_CD3_PTP_HB!AI21)</f>
        <v>0</v>
      </c>
      <c r="AJ21" s="6">
        <f>SUM(EL_DEL_CD1_STH_PTP_!AK21,'Overall without PTP '!AK21,ELEVATE_CD3_NTH_HB!AJ21,ELEVATE_CD3_STAB_HB!AJ21,ELEVATE_CD3_PTP_HB!AJ21)</f>
        <v>0</v>
      </c>
      <c r="AK21" s="59" t="str">
        <f>IFERROR(AVERAGE(EL_DEL_CD1_STH_PTP_!AL21,'Overall without PTP '!AL21,ELEVATE_CD3_NTH_HB!AK21,ELEVATE_CD3_STAB_HB!AK21,ELEVATE_CD3_PTP_HB!AK21),"")</f>
        <v/>
      </c>
      <c r="AL21" s="59" t="str">
        <f>IFERROR(AVERAGE(EL_DEL_CD1_STH_PTP_!AM21,'Overall without PTP '!AM21,ELEVATE_CD3_NTH_HB!AL21,ELEVATE_CD3_STAB_HB!AL21,ELEVATE_CD3_PTP_HB!AL21),"")</f>
        <v/>
      </c>
      <c r="AM21" s="59" t="str">
        <f>IFERROR(AVERAGE(EL_DEL_CD1_STH_PTP_!AN21,'Overall without PTP '!AN21,ELEVATE_CD3_NTH_HB!AM21,ELEVATE_CD3_STAB_HB!AM21,ELEVATE_CD3_PTP_HB!AM21),"")</f>
        <v/>
      </c>
      <c r="AN21" s="59" t="str">
        <f>IFERROR(AVERAGE(EL_DEL_CD1_STH_PTP_!AO21,'Overall without PTP '!AO21,ELEVATE_CD3_NTH_HB!AN21,ELEVATE_CD3_STAB_HB!AN21,ELEVATE_CD3_PTP_HB!AN21),"")</f>
        <v/>
      </c>
      <c r="AO21" s="59" t="str">
        <f>IFERROR(AVERAGE(EL_DEL_CD1_STH_PTP_!AP21,'Overall without PTP '!AP21,ELEVATE_CD3_NTH_HB!AO21,ELEVATE_CD3_STAB_HB!AO21,ELEVATE_CD3_PTP_HB!AO21),"")</f>
        <v/>
      </c>
      <c r="AP21" s="59" t="str">
        <f>IFERROR(AVERAGE(EL_DEL_CD1_STH_PTP_!AQ21,'Overall without PTP '!AQ21,ELEVATE_CD3_NTH_HB!AP21,ELEVATE_CD3_STAB_HB!AP21,ELEVATE_CD3_PTP_HB!AP21),"")</f>
        <v/>
      </c>
      <c r="AQ21" s="59" t="str">
        <f>IFERROR(AVERAGE(EL_DEL_CD1_STH_PTP_!AR21,'Overall without PTP '!AR21,ELEVATE_CD3_NTH_HB!AQ21,ELEVATE_CD3_STAB_HB!AQ21,ELEVATE_CD3_PTP_HB!AQ21),"")</f>
        <v/>
      </c>
      <c r="AR21" s="59" t="str">
        <f>IFERROR(AVERAGE(EL_DEL_CD1_STH_PTP_!AS21,'Overall without PTP '!AS21,ELEVATE_CD3_NTH_HB!AR21,ELEVATE_CD3_STAB_HB!AR21,ELEVATE_CD3_PTP_HB!AR21),"")</f>
        <v/>
      </c>
      <c r="AS21" s="8">
        <f>SUM(EL_DEL_CD1_STH_PTP_!AT21,'Overall without PTP '!AT21,ELEVATE_CD3_NTH_HB!AS21,ELEVATE_CD3_STAB_HB!AS21,ELEVATE_CD3_PTP_HB!AS21)</f>
        <v>0</v>
      </c>
      <c r="AT21" s="8">
        <f>SUM(EL_DEL_CD1_STH_PTP_!AU21,'Overall without PTP '!AU21,ELEVATE_CD3_NTH_HB!AT21,ELEVATE_CD3_STAB_HB!AT21,ELEVATE_CD3_PTP_HB!AT21)</f>
        <v>0</v>
      </c>
      <c r="AU21" s="9">
        <f>SUM(EL_DEL_CD1_STH_PTP_!AV21,'Overall without PTP '!AV21,ELEVATE_CD3_NTH_HB!AU21,ELEVATE_CD3_STAB_HB!AU21,ELEVATE_CD3_PTP_HB!AU21)</f>
        <v>0</v>
      </c>
      <c r="AV21" s="8">
        <f>IFERROR(AVERAGE(EL_DEL_CD1_STH_PTP_!AW21,'Overall without PTP '!AW21,ELEVATE_CD3_NTH_HB!AV21,ELEVATE_CD3_STAB_HB!AV21,ELEVATE_CD3_PTP_HB!AV21),"")</f>
        <v>0</v>
      </c>
      <c r="AW21" s="10" t="str">
        <f t="shared" si="12"/>
        <v>-</v>
      </c>
      <c r="AX21" s="39"/>
      <c r="AY21" s="1" t="str">
        <f t="shared" si="1"/>
        <v/>
      </c>
      <c r="AZ21" s="11" t="str">
        <f t="shared" si="2"/>
        <v/>
      </c>
      <c r="BA21" s="1" t="str">
        <f t="shared" si="3"/>
        <v/>
      </c>
      <c r="BB21" s="39"/>
      <c r="BC21" s="82" t="str">
        <f t="shared" si="13"/>
        <v/>
      </c>
      <c r="BD21" s="70" t="str">
        <f t="shared" si="14"/>
        <v/>
      </c>
      <c r="BE21" s="70" t="str">
        <f t="shared" si="15"/>
        <v/>
      </c>
      <c r="BF21" s="70" t="str">
        <f t="shared" si="16"/>
        <v/>
      </c>
      <c r="BG21" s="70" t="str">
        <f t="shared" si="17"/>
        <v/>
      </c>
      <c r="BH21" s="83" t="str">
        <f t="shared" si="18"/>
        <v/>
      </c>
      <c r="BI21" s="39"/>
      <c r="BJ21" s="75" t="str">
        <f t="shared" si="4"/>
        <v/>
      </c>
      <c r="BK21" s="76" t="str">
        <f t="shared" si="5"/>
        <v/>
      </c>
      <c r="BL21" s="76" t="str">
        <f t="shared" si="6"/>
        <v/>
      </c>
      <c r="BM21" s="77" t="str">
        <f t="shared" si="7"/>
        <v/>
      </c>
      <c r="BN21" s="39"/>
      <c r="BO21" s="14" t="str">
        <f t="shared" si="19"/>
        <v/>
      </c>
      <c r="BP21" s="15">
        <v>0</v>
      </c>
      <c r="BQ21" s="74" t="str">
        <f t="shared" si="8"/>
        <v/>
      </c>
      <c r="BR21" s="15" t="str">
        <f t="shared" si="9"/>
        <v/>
      </c>
      <c r="BS21" s="16" t="str">
        <f t="shared" si="20"/>
        <v/>
      </c>
      <c r="BT21" s="39"/>
      <c r="BU21" s="51" t="e">
        <f t="shared" si="10"/>
        <v>#VALUE!</v>
      </c>
      <c r="BV21" s="28" t="e">
        <f t="shared" si="21"/>
        <v>#VALUE!</v>
      </c>
      <c r="BW21" s="28" t="e">
        <f t="shared" si="22"/>
        <v>#VALUE!</v>
      </c>
      <c r="BX21" s="28" t="e">
        <f t="shared" si="23"/>
        <v>#VALUE!</v>
      </c>
      <c r="BY21" s="28" t="e">
        <f t="shared" si="24"/>
        <v>#VALUE!</v>
      </c>
      <c r="BZ21" s="52" t="e">
        <f t="shared" si="11"/>
        <v>#VALUE!</v>
      </c>
      <c r="CA21" s="39"/>
      <c r="CB21" s="49" t="str">
        <f t="shared" si="25"/>
        <v>-</v>
      </c>
      <c r="CC21" s="29" t="str">
        <f t="shared" si="26"/>
        <v>-</v>
      </c>
      <c r="CD21" s="29" t="str">
        <f t="shared" si="27"/>
        <v>-</v>
      </c>
      <c r="CE21" s="29" t="str">
        <f t="shared" si="28"/>
        <v>-</v>
      </c>
      <c r="CF21" s="50" t="str">
        <f t="shared" si="29"/>
        <v>-</v>
      </c>
      <c r="CG21" s="39"/>
    </row>
    <row r="22" spans="1:85" s="27" customFormat="1" ht="12.4" customHeight="1" thickBot="1" x14ac:dyDescent="0.25">
      <c r="A22" s="43">
        <f t="shared" si="30"/>
        <v>46314</v>
      </c>
      <c r="B22" s="44" t="str">
        <f t="shared" si="0"/>
        <v>Mon</v>
      </c>
      <c r="C22" s="2">
        <f>SUM(EL_DEL_CD1_STH_PTP_!C22,'Overall without PTP '!C22,ELEVATE_CD3_NTH_HB!C22,ELEVATE_CD3_STAB_HB!C22,ELEVATE_CD3_PTP_HB!C22)</f>
        <v>0</v>
      </c>
      <c r="D22" s="2">
        <f>SUM(EL_DEL_CD1_STH_PTP_!D22,'Overall without PTP '!D22,ELEVATE_CD3_NTH_HB!D22,ELEVATE_CD3_STAB_HB!D22,ELEVATE_CD3_PTP_HB!D22)</f>
        <v>0</v>
      </c>
      <c r="E22" s="3">
        <f>SUM(EL_DEL_CD1_STH_PTP_!E22,'Overall without PTP '!E22,ELEVATE_CD3_NTH_HB!E22,ELEVATE_CD3_STAB_HB!E22,ELEVATE_CD3_PTP_HB!E22)</f>
        <v>0</v>
      </c>
      <c r="F22" s="2">
        <f>SUM(EL_DEL_CD1_STH_PTP_!F22,'Overall without PTP '!F22,ELEVATE_CD3_NTH_HB!F22,ELEVATE_CD3_STAB_HB!F22,ELEVATE_CD3_PTP_HB!F22)</f>
        <v>0</v>
      </c>
      <c r="G22" s="2">
        <f>SUM(EL_DEL_CD1_STH_PTP_!G22,'Overall without PTP '!G22,ELEVATE_CD3_NTH_HB!G22,ELEVATE_CD3_STAB_HB!G22,ELEVATE_CD3_PTP_HB!G22)</f>
        <v>0</v>
      </c>
      <c r="H22" s="4">
        <f>SUM(EL_DEL_CD1_STH_PTP_!H22,'Overall without PTP '!H22,ELEVATE_CD3_NTH_HB!H22,ELEVATE_CD3_STAB_HB!H22,ELEVATE_CD3_PTP_HB!H22)</f>
        <v>0</v>
      </c>
      <c r="I22" s="4">
        <f>SUM(EL_DEL_CD1_STH_PTP_!I22,'Overall without PTP '!I22,ELEVATE_CD3_NTH_HB!I22,ELEVATE_CD3_STAB_HB!I22,ELEVATE_CD3_PTP_HB!I22)</f>
        <v>0</v>
      </c>
      <c r="J22" s="57">
        <f>SUM(EL_DEL_CD1_STH_PTP_!J22,'Overall without PTP '!J22,ELEVATE_CD3_NTH_HB!J22,ELEVATE_CD3_STAB_HB!J22,ELEVATE_CD3_PTP_HB!J22)</f>
        <v>0</v>
      </c>
      <c r="K22" s="5">
        <f>SUM(EL_DEL_CD1_STH_PTP_!K22,'Overall without PTP '!K22,ELEVATE_CD3_NTH_HB!K22,ELEVATE_CD3_STAB_HB!K22,ELEVATE_CD3_PTP_HB!K22)</f>
        <v>0</v>
      </c>
      <c r="L22" s="2">
        <f>SUM(EL_DEL_CD1_STH_PTP_!L22,'Overall without PTP '!L22,ELEVATE_CD3_NTH_HB!L22,ELEVATE_CD3_STAB_HB!L22,ELEVATE_CD3_PTP_HB!L22)</f>
        <v>0</v>
      </c>
      <c r="M22" s="2">
        <f>SUM(EL_DEL_CD1_STH_PTP_!M22,'Overall without PTP '!M22,ELEVATE_CD3_NTH_HB!M22,ELEVATE_CD3_STAB_HB!M22,ELEVATE_CD3_PTP_HB!M22)</f>
        <v>0</v>
      </c>
      <c r="N22" s="2">
        <f>SUM(EL_DEL_CD1_STH_PTP_!N22,'Overall without PTP '!N22,ELEVATE_CD3_NTH_HB!N22,ELEVATE_CD3_STAB_HB!N22,ELEVATE_CD3_PTP_HB!N22)</f>
        <v>0</v>
      </c>
      <c r="O22" s="2">
        <f>SUM(EL_DEL_CD1_STH_PTP_!O22,'Overall without PTP '!O22,ELEVATE_CD3_NTH_HB!O22,ELEVATE_CD3_STAB_HB!O22,ELEVATE_CD3_PTP_HB!O22)</f>
        <v>0</v>
      </c>
      <c r="P22" s="3">
        <f>SUM(EL_DEL_CD1_STH_PTP_!P22,'Overall without PTP '!P22,ELEVATE_CD3_NTH_HB!P22,ELEVATE_CD3_STAB_HB!P22,ELEVATE_CD3_PTP_HB!P22)</f>
        <v>0</v>
      </c>
      <c r="Q22" s="2">
        <f>SUM(EL_DEL_CD1_STH_PTP_!Q22,'Overall without PTP '!Q22,ELEVATE_CD3_NTH_HB!Q22,ELEVATE_CD3_STAB_HB!Q22,ELEVATE_CD3_PTP_HB!Q22)</f>
        <v>0</v>
      </c>
      <c r="R22" s="2">
        <f>SUM(EL_DEL_CD1_STH_PTP_!R22,'Overall without PTP '!R22,ELEVATE_CD3_NTH_HB!R22,ELEVATE_CD3_STAB_HB!R22,ELEVATE_CD3_PTP_HB!R22)</f>
        <v>0</v>
      </c>
      <c r="S22" s="2">
        <f>SUM(EL_DEL_CD1_STH_PTP_!S22,'Overall without PTP '!S22,ELEVATE_CD3_NTH_HB!S22,ELEVATE_CD3_STAB_HB!S22,ELEVATE_CD3_PTP_HB!S22)</f>
        <v>0</v>
      </c>
      <c r="T22" s="2">
        <f>SUM(EL_DEL_CD1_STH_PTP_!T22,'Overall without PTP '!T22,ELEVATE_CD3_NTH_HB!T22,ELEVATE_CD3_STAB_HB!T22,ELEVATE_CD3_PTP_HB!T22)</f>
        <v>0</v>
      </c>
      <c r="U22" s="3">
        <f>SUM(EL_DEL_CD1_STH_PTP_!V22,'Overall without PTP '!V22,ELEVATE_CD3_NTH_HB!U22,ELEVATE_CD3_STAB_HB!U22,ELEVATE_CD3_PTP_HB!U22)</f>
        <v>0</v>
      </c>
      <c r="V22" s="3">
        <f>SUM(EL_DEL_CD1_STH_PTP_!W22,'Overall without PTP '!W22,ELEVATE_CD3_NTH_HB!V22,ELEVATE_CD3_STAB_HB!V22,ELEVATE_CD3_PTP_HB!V22)</f>
        <v>0</v>
      </c>
      <c r="W22" s="2">
        <f>SUM(EL_DEL_CD1_STH_PTP_!X22,'Overall without PTP '!X22,ELEVATE_CD3_NTH_HB!W22,ELEVATE_CD3_STAB_HB!W22,ELEVATE_CD3_PTP_HB!W22)</f>
        <v>0</v>
      </c>
      <c r="X22" s="2">
        <f>SUM(EL_DEL_CD1_STH_PTP_!Y22,'Overall without PTP '!Y22,ELEVATE_CD3_NTH_HB!X22,ELEVATE_CD3_STAB_HB!X22,ELEVATE_CD3_PTP_HB!X22)</f>
        <v>0</v>
      </c>
      <c r="Y22" s="2">
        <f>SUM(EL_DEL_CD1_STH_PTP_!Z22,'Overall without PTP '!Z22,ELEVATE_CD3_NTH_HB!Y22,ELEVATE_CD3_STAB_HB!Y22,ELEVATE_CD3_PTP_HB!Y22)</f>
        <v>0</v>
      </c>
      <c r="Z22" s="2">
        <f>SUM(EL_DEL_CD1_STH_PTP_!AA22,'Overall without PTP '!AA22,ELEVATE_CD3_NTH_HB!Z22,ELEVATE_CD3_STAB_HB!Z22,ELEVATE_CD3_PTP_HB!Z22)</f>
        <v>0</v>
      </c>
      <c r="AA22" s="2">
        <f>SUM(EL_DEL_CD1_STH_PTP_!AB22,'Overall without PTP '!AB22,ELEVATE_CD3_NTH_HB!AA22,ELEVATE_CD3_STAB_HB!AA22,ELEVATE_CD3_PTP_HB!AA22)</f>
        <v>0</v>
      </c>
      <c r="AB22" s="2">
        <f>SUM(EL_DEL_CD1_STH_PTP_!AC22,'Overall without PTP '!AC22,ELEVATE_CD3_NTH_HB!AB22,ELEVATE_CD3_STAB_HB!AB22,ELEVATE_CD3_PTP_HB!AB22)</f>
        <v>0</v>
      </c>
      <c r="AC22" s="2">
        <f>SUM(EL_DEL_CD1_STH_PTP_!AD22,'Overall without PTP '!AD22,ELEVATE_CD3_NTH_HB!AC22,ELEVATE_CD3_STAB_HB!AC22,ELEVATE_CD3_PTP_HB!AC22)</f>
        <v>0</v>
      </c>
      <c r="AD22" s="2">
        <f>SUM(EL_DEL_CD1_STH_PTP_!AE22,'Overall without PTP '!AE22,ELEVATE_CD3_NTH_HB!AD22,ELEVATE_CD3_STAB_HB!AD22,ELEVATE_CD3_PTP_HB!AD22)</f>
        <v>0</v>
      </c>
      <c r="AE22" s="3">
        <f>SUM(EL_DEL_CD1_STH_PTP_!AF22,'Overall without PTP '!AF22,ELEVATE_CD3_NTH_HB!AE22,ELEVATE_CD3_STAB_HB!AE22,ELEVATE_CD3_PTP_HB!AE22)</f>
        <v>0</v>
      </c>
      <c r="AF22" s="3">
        <f>SUM(EL_DEL_CD1_STH_PTP_!AG22,'Overall without PTP '!AG22,ELEVATE_CD3_NTH_HB!AF22,ELEVATE_CD3_STAB_HB!AF22,ELEVATE_CD3_PTP_HB!AF22)</f>
        <v>0</v>
      </c>
      <c r="AG22" s="2">
        <f>SUM(EL_DEL_CD1_STH_PTP_!AH22,'Overall without PTP '!AH22,ELEVATE_CD3_NTH_HB!AG22,ELEVATE_CD3_STAB_HB!AG22,ELEVATE_CD3_PTP_HB!AG22)</f>
        <v>0</v>
      </c>
      <c r="AH22" s="6">
        <f>SUM(EL_DEL_CD1_STH_PTP_!AI22,'Overall without PTP '!AI22,ELEVATE_CD3_NTH_HB!AH22,ELEVATE_CD3_STAB_HB!AH22,ELEVATE_CD3_PTP_HB!AH22)</f>
        <v>0</v>
      </c>
      <c r="AI22" s="7">
        <f>SUM(EL_DEL_CD1_STH_PTP_!AJ22,'Overall without PTP '!AJ22,ELEVATE_CD3_NTH_HB!AI22,ELEVATE_CD3_STAB_HB!AI22,ELEVATE_CD3_PTP_HB!AI22)</f>
        <v>0</v>
      </c>
      <c r="AJ22" s="6">
        <f>SUM(EL_DEL_CD1_STH_PTP_!AK22,'Overall without PTP '!AK22,ELEVATE_CD3_NTH_HB!AJ22,ELEVATE_CD3_STAB_HB!AJ22,ELEVATE_CD3_PTP_HB!AJ22)</f>
        <v>0</v>
      </c>
      <c r="AK22" s="59" t="str">
        <f>IFERROR(AVERAGE(EL_DEL_CD1_STH_PTP_!AL22,'Overall without PTP '!AL22,ELEVATE_CD3_NTH_HB!AK22,ELEVATE_CD3_STAB_HB!AK22,ELEVATE_CD3_PTP_HB!AK22),"")</f>
        <v/>
      </c>
      <c r="AL22" s="59" t="str">
        <f>IFERROR(AVERAGE(EL_DEL_CD1_STH_PTP_!AM22,'Overall without PTP '!AM22,ELEVATE_CD3_NTH_HB!AL22,ELEVATE_CD3_STAB_HB!AL22,ELEVATE_CD3_PTP_HB!AL22),"")</f>
        <v/>
      </c>
      <c r="AM22" s="59" t="str">
        <f>IFERROR(AVERAGE(EL_DEL_CD1_STH_PTP_!AN22,'Overall without PTP '!AN22,ELEVATE_CD3_NTH_HB!AM22,ELEVATE_CD3_STAB_HB!AM22,ELEVATE_CD3_PTP_HB!AM22),"")</f>
        <v/>
      </c>
      <c r="AN22" s="59" t="str">
        <f>IFERROR(AVERAGE(EL_DEL_CD1_STH_PTP_!AO22,'Overall without PTP '!AO22,ELEVATE_CD3_NTH_HB!AN22,ELEVATE_CD3_STAB_HB!AN22,ELEVATE_CD3_PTP_HB!AN22),"")</f>
        <v/>
      </c>
      <c r="AO22" s="59" t="str">
        <f>IFERROR(AVERAGE(EL_DEL_CD1_STH_PTP_!AP22,'Overall without PTP '!AP22,ELEVATE_CD3_NTH_HB!AO22,ELEVATE_CD3_STAB_HB!AO22,ELEVATE_CD3_PTP_HB!AO22),"")</f>
        <v/>
      </c>
      <c r="AP22" s="59" t="str">
        <f>IFERROR(AVERAGE(EL_DEL_CD1_STH_PTP_!AQ22,'Overall without PTP '!AQ22,ELEVATE_CD3_NTH_HB!AP22,ELEVATE_CD3_STAB_HB!AP22,ELEVATE_CD3_PTP_HB!AP22),"")</f>
        <v/>
      </c>
      <c r="AQ22" s="59" t="str">
        <f>IFERROR(AVERAGE(EL_DEL_CD1_STH_PTP_!AR22,'Overall without PTP '!AR22,ELEVATE_CD3_NTH_HB!AQ22,ELEVATE_CD3_STAB_HB!AQ22,ELEVATE_CD3_PTP_HB!AQ22),"")</f>
        <v/>
      </c>
      <c r="AR22" s="59" t="str">
        <f>IFERROR(AVERAGE(EL_DEL_CD1_STH_PTP_!AS22,'Overall without PTP '!AS22,ELEVATE_CD3_NTH_HB!AR22,ELEVATE_CD3_STAB_HB!AR22,ELEVATE_CD3_PTP_HB!AR22),"")</f>
        <v/>
      </c>
      <c r="AS22" s="8">
        <f>SUM(EL_DEL_CD1_STH_PTP_!AT22,'Overall without PTP '!AT22,ELEVATE_CD3_NTH_HB!AS22,ELEVATE_CD3_STAB_HB!AS22,ELEVATE_CD3_PTP_HB!AS22)</f>
        <v>0</v>
      </c>
      <c r="AT22" s="8">
        <f>SUM(EL_DEL_CD1_STH_PTP_!AU22,'Overall without PTP '!AU22,ELEVATE_CD3_NTH_HB!AT22,ELEVATE_CD3_STAB_HB!AT22,ELEVATE_CD3_PTP_HB!AT22)</f>
        <v>0</v>
      </c>
      <c r="AU22" s="9">
        <f>SUM(EL_DEL_CD1_STH_PTP_!AV22,'Overall without PTP '!AV22,ELEVATE_CD3_NTH_HB!AU22,ELEVATE_CD3_STAB_HB!AU22,ELEVATE_CD3_PTP_HB!AU22)</f>
        <v>0</v>
      </c>
      <c r="AV22" s="8">
        <f>IFERROR(AVERAGE(EL_DEL_CD1_STH_PTP_!AW22,'Overall without PTP '!AW22,ELEVATE_CD3_NTH_HB!AV22,ELEVATE_CD3_STAB_HB!AV22,ELEVATE_CD3_PTP_HB!AV22),"")</f>
        <v>0</v>
      </c>
      <c r="AW22" s="10" t="str">
        <f t="shared" si="12"/>
        <v>-</v>
      </c>
      <c r="AX22" s="39"/>
      <c r="AY22" s="1" t="str">
        <f t="shared" si="1"/>
        <v/>
      </c>
      <c r="AZ22" s="11" t="str">
        <f t="shared" si="2"/>
        <v/>
      </c>
      <c r="BA22" s="1" t="str">
        <f t="shared" si="3"/>
        <v/>
      </c>
      <c r="BB22" s="39"/>
      <c r="BC22" s="82" t="str">
        <f t="shared" si="13"/>
        <v/>
      </c>
      <c r="BD22" s="70" t="str">
        <f t="shared" si="14"/>
        <v/>
      </c>
      <c r="BE22" s="70" t="str">
        <f t="shared" si="15"/>
        <v/>
      </c>
      <c r="BF22" s="70" t="str">
        <f t="shared" si="16"/>
        <v/>
      </c>
      <c r="BG22" s="70" t="str">
        <f t="shared" si="17"/>
        <v/>
      </c>
      <c r="BH22" s="83" t="str">
        <f t="shared" si="18"/>
        <v/>
      </c>
      <c r="BI22" s="39"/>
      <c r="BJ22" s="75" t="str">
        <f t="shared" si="4"/>
        <v/>
      </c>
      <c r="BK22" s="76" t="str">
        <f t="shared" si="5"/>
        <v/>
      </c>
      <c r="BL22" s="76" t="str">
        <f t="shared" si="6"/>
        <v/>
      </c>
      <c r="BM22" s="77" t="str">
        <f t="shared" si="7"/>
        <v/>
      </c>
      <c r="BN22" s="39"/>
      <c r="BO22" s="14" t="str">
        <f t="shared" si="19"/>
        <v/>
      </c>
      <c r="BP22" s="15">
        <v>0</v>
      </c>
      <c r="BQ22" s="74" t="str">
        <f t="shared" si="8"/>
        <v/>
      </c>
      <c r="BR22" s="15" t="str">
        <f t="shared" si="9"/>
        <v/>
      </c>
      <c r="BS22" s="16" t="str">
        <f t="shared" si="20"/>
        <v/>
      </c>
      <c r="BT22" s="39"/>
      <c r="BU22" s="51" t="e">
        <f t="shared" si="10"/>
        <v>#VALUE!</v>
      </c>
      <c r="BV22" s="28" t="e">
        <f t="shared" si="21"/>
        <v>#VALUE!</v>
      </c>
      <c r="BW22" s="28" t="e">
        <f t="shared" si="22"/>
        <v>#VALUE!</v>
      </c>
      <c r="BX22" s="28" t="e">
        <f t="shared" si="23"/>
        <v>#VALUE!</v>
      </c>
      <c r="BY22" s="28" t="e">
        <f t="shared" si="24"/>
        <v>#VALUE!</v>
      </c>
      <c r="BZ22" s="52" t="e">
        <f t="shared" si="11"/>
        <v>#VALUE!</v>
      </c>
      <c r="CA22" s="39"/>
      <c r="CB22" s="49" t="str">
        <f t="shared" si="25"/>
        <v>-</v>
      </c>
      <c r="CC22" s="29" t="str">
        <f t="shared" si="26"/>
        <v>-</v>
      </c>
      <c r="CD22" s="29" t="str">
        <f t="shared" si="27"/>
        <v>-</v>
      </c>
      <c r="CE22" s="29" t="str">
        <f t="shared" si="28"/>
        <v>-</v>
      </c>
      <c r="CF22" s="50" t="str">
        <f t="shared" si="29"/>
        <v>-</v>
      </c>
      <c r="CG22" s="39"/>
    </row>
    <row r="23" spans="1:85" s="27" customFormat="1" ht="12.4" customHeight="1" thickBot="1" x14ac:dyDescent="0.25">
      <c r="A23" s="43">
        <f t="shared" si="30"/>
        <v>46315</v>
      </c>
      <c r="B23" s="44" t="str">
        <f t="shared" si="0"/>
        <v>Tue</v>
      </c>
      <c r="C23" s="2">
        <f>SUM(EL_DEL_CD1_STH_PTP_!C23,'Overall without PTP '!C23,ELEVATE_CD3_NTH_HB!C23,ELEVATE_CD3_STAB_HB!C23,ELEVATE_CD3_PTP_HB!C23)</f>
        <v>0</v>
      </c>
      <c r="D23" s="2">
        <f>SUM(EL_DEL_CD1_STH_PTP_!D23,'Overall without PTP '!D23,ELEVATE_CD3_NTH_HB!D23,ELEVATE_CD3_STAB_HB!D23,ELEVATE_CD3_PTP_HB!D23)</f>
        <v>0</v>
      </c>
      <c r="E23" s="3">
        <f>SUM(EL_DEL_CD1_STH_PTP_!E23,'Overall without PTP '!E23,ELEVATE_CD3_NTH_HB!E23,ELEVATE_CD3_STAB_HB!E23,ELEVATE_CD3_PTP_HB!E23)</f>
        <v>0</v>
      </c>
      <c r="F23" s="2">
        <f>SUM(EL_DEL_CD1_STH_PTP_!F23,'Overall without PTP '!F23,ELEVATE_CD3_NTH_HB!F23,ELEVATE_CD3_STAB_HB!F23,ELEVATE_CD3_PTP_HB!F23)</f>
        <v>0</v>
      </c>
      <c r="G23" s="2">
        <f>SUM(EL_DEL_CD1_STH_PTP_!G23,'Overall without PTP '!G23,ELEVATE_CD3_NTH_HB!G23,ELEVATE_CD3_STAB_HB!G23,ELEVATE_CD3_PTP_HB!G23)</f>
        <v>0</v>
      </c>
      <c r="H23" s="4">
        <f>SUM(EL_DEL_CD1_STH_PTP_!H23,'Overall without PTP '!H23,ELEVATE_CD3_NTH_HB!H23,ELEVATE_CD3_STAB_HB!H23,ELEVATE_CD3_PTP_HB!H23)</f>
        <v>0</v>
      </c>
      <c r="I23" s="4">
        <f>SUM(EL_DEL_CD1_STH_PTP_!I23,'Overall without PTP '!I23,ELEVATE_CD3_NTH_HB!I23,ELEVATE_CD3_STAB_HB!I23,ELEVATE_CD3_PTP_HB!I23)</f>
        <v>0</v>
      </c>
      <c r="J23" s="57">
        <f>SUM(EL_DEL_CD1_STH_PTP_!J23,'Overall without PTP '!J23,ELEVATE_CD3_NTH_HB!J23,ELEVATE_CD3_STAB_HB!J23,ELEVATE_CD3_PTP_HB!J23)</f>
        <v>0</v>
      </c>
      <c r="K23" s="5">
        <f>SUM(EL_DEL_CD1_STH_PTP_!K23,'Overall without PTP '!K23,ELEVATE_CD3_NTH_HB!K23,ELEVATE_CD3_STAB_HB!K23,ELEVATE_CD3_PTP_HB!K23)</f>
        <v>0</v>
      </c>
      <c r="L23" s="2">
        <f>SUM(EL_DEL_CD1_STH_PTP_!L23,'Overall without PTP '!L23,ELEVATE_CD3_NTH_HB!L23,ELEVATE_CD3_STAB_HB!L23,ELEVATE_CD3_PTP_HB!L23)</f>
        <v>0</v>
      </c>
      <c r="M23" s="2">
        <f>SUM(EL_DEL_CD1_STH_PTP_!M23,'Overall without PTP '!M23,ELEVATE_CD3_NTH_HB!M23,ELEVATE_CD3_STAB_HB!M23,ELEVATE_CD3_PTP_HB!M23)</f>
        <v>0</v>
      </c>
      <c r="N23" s="2">
        <f>SUM(EL_DEL_CD1_STH_PTP_!N23,'Overall without PTP '!N23,ELEVATE_CD3_NTH_HB!N23,ELEVATE_CD3_STAB_HB!N23,ELEVATE_CD3_PTP_HB!N23)</f>
        <v>0</v>
      </c>
      <c r="O23" s="2">
        <f>SUM(EL_DEL_CD1_STH_PTP_!O23,'Overall without PTP '!O23,ELEVATE_CD3_NTH_HB!O23,ELEVATE_CD3_STAB_HB!O23,ELEVATE_CD3_PTP_HB!O23)</f>
        <v>0</v>
      </c>
      <c r="P23" s="3">
        <f>SUM(EL_DEL_CD1_STH_PTP_!P23,'Overall without PTP '!P23,ELEVATE_CD3_NTH_HB!P23,ELEVATE_CD3_STAB_HB!P23,ELEVATE_CD3_PTP_HB!P23)</f>
        <v>0</v>
      </c>
      <c r="Q23" s="2">
        <f>SUM(EL_DEL_CD1_STH_PTP_!Q23,'Overall without PTP '!Q23,ELEVATE_CD3_NTH_HB!Q23,ELEVATE_CD3_STAB_HB!Q23,ELEVATE_CD3_PTP_HB!Q23)</f>
        <v>0</v>
      </c>
      <c r="R23" s="2">
        <f>SUM(EL_DEL_CD1_STH_PTP_!R23,'Overall without PTP '!R23,ELEVATE_CD3_NTH_HB!R23,ELEVATE_CD3_STAB_HB!R23,ELEVATE_CD3_PTP_HB!R23)</f>
        <v>0</v>
      </c>
      <c r="S23" s="2">
        <f>SUM(EL_DEL_CD1_STH_PTP_!S23,'Overall without PTP '!S23,ELEVATE_CD3_NTH_HB!S23,ELEVATE_CD3_STAB_HB!S23,ELEVATE_CD3_PTP_HB!S23)</f>
        <v>0</v>
      </c>
      <c r="T23" s="2">
        <f>SUM(EL_DEL_CD1_STH_PTP_!T23,'Overall without PTP '!T23,ELEVATE_CD3_NTH_HB!T23,ELEVATE_CD3_STAB_HB!T23,ELEVATE_CD3_PTP_HB!T23)</f>
        <v>0</v>
      </c>
      <c r="U23" s="3">
        <f>SUM(EL_DEL_CD1_STH_PTP_!V23,'Overall without PTP '!V23,ELEVATE_CD3_NTH_HB!U23,ELEVATE_CD3_STAB_HB!U23,ELEVATE_CD3_PTP_HB!U23)</f>
        <v>0</v>
      </c>
      <c r="V23" s="3">
        <f>SUM(EL_DEL_CD1_STH_PTP_!W23,'Overall without PTP '!W23,ELEVATE_CD3_NTH_HB!V23,ELEVATE_CD3_STAB_HB!V23,ELEVATE_CD3_PTP_HB!V23)</f>
        <v>0</v>
      </c>
      <c r="W23" s="2">
        <f>SUM(EL_DEL_CD1_STH_PTP_!X23,'Overall without PTP '!X23,ELEVATE_CD3_NTH_HB!W23,ELEVATE_CD3_STAB_HB!W23,ELEVATE_CD3_PTP_HB!W23)</f>
        <v>0</v>
      </c>
      <c r="X23" s="2">
        <f>SUM(EL_DEL_CD1_STH_PTP_!Y23,'Overall without PTP '!Y23,ELEVATE_CD3_NTH_HB!X23,ELEVATE_CD3_STAB_HB!X23,ELEVATE_CD3_PTP_HB!X23)</f>
        <v>0</v>
      </c>
      <c r="Y23" s="2">
        <f>SUM(EL_DEL_CD1_STH_PTP_!Z23,'Overall without PTP '!Z23,ELEVATE_CD3_NTH_HB!Y23,ELEVATE_CD3_STAB_HB!Y23,ELEVATE_CD3_PTP_HB!Y23)</f>
        <v>0</v>
      </c>
      <c r="Z23" s="2">
        <f>SUM(EL_DEL_CD1_STH_PTP_!AA23,'Overall without PTP '!AA23,ELEVATE_CD3_NTH_HB!Z23,ELEVATE_CD3_STAB_HB!Z23,ELEVATE_CD3_PTP_HB!Z23)</f>
        <v>0</v>
      </c>
      <c r="AA23" s="2">
        <f>SUM(EL_DEL_CD1_STH_PTP_!AB23,'Overall without PTP '!AB23,ELEVATE_CD3_NTH_HB!AA23,ELEVATE_CD3_STAB_HB!AA23,ELEVATE_CD3_PTP_HB!AA23)</f>
        <v>0</v>
      </c>
      <c r="AB23" s="2">
        <f>SUM(EL_DEL_CD1_STH_PTP_!AC23,'Overall without PTP '!AC23,ELEVATE_CD3_NTH_HB!AB23,ELEVATE_CD3_STAB_HB!AB23,ELEVATE_CD3_PTP_HB!AB23)</f>
        <v>0</v>
      </c>
      <c r="AC23" s="2">
        <f>SUM(EL_DEL_CD1_STH_PTP_!AD23,'Overall without PTP '!AD23,ELEVATE_CD3_NTH_HB!AC23,ELEVATE_CD3_STAB_HB!AC23,ELEVATE_CD3_PTP_HB!AC23)</f>
        <v>0</v>
      </c>
      <c r="AD23" s="2">
        <f>SUM(EL_DEL_CD1_STH_PTP_!AE23,'Overall without PTP '!AE23,ELEVATE_CD3_NTH_HB!AD23,ELEVATE_CD3_STAB_HB!AD23,ELEVATE_CD3_PTP_HB!AD23)</f>
        <v>0</v>
      </c>
      <c r="AE23" s="3">
        <f>SUM(EL_DEL_CD1_STH_PTP_!AF23,'Overall without PTP '!AF23,ELEVATE_CD3_NTH_HB!AE23,ELEVATE_CD3_STAB_HB!AE23,ELEVATE_CD3_PTP_HB!AE23)</f>
        <v>0</v>
      </c>
      <c r="AF23" s="3">
        <f>SUM(EL_DEL_CD1_STH_PTP_!AG23,'Overall without PTP '!AG23,ELEVATE_CD3_NTH_HB!AF23,ELEVATE_CD3_STAB_HB!AF23,ELEVATE_CD3_PTP_HB!AF23)</f>
        <v>0</v>
      </c>
      <c r="AG23" s="2">
        <f>SUM(EL_DEL_CD1_STH_PTP_!AH23,'Overall without PTP '!AH23,ELEVATE_CD3_NTH_HB!AG23,ELEVATE_CD3_STAB_HB!AG23,ELEVATE_CD3_PTP_HB!AG23)</f>
        <v>0</v>
      </c>
      <c r="AH23" s="6">
        <f>SUM(EL_DEL_CD1_STH_PTP_!AI23,'Overall without PTP '!AI23,ELEVATE_CD3_NTH_HB!AH23,ELEVATE_CD3_STAB_HB!AH23,ELEVATE_CD3_PTP_HB!AH23)</f>
        <v>0</v>
      </c>
      <c r="AI23" s="7">
        <f>SUM(EL_DEL_CD1_STH_PTP_!AJ23,'Overall without PTP '!AJ23,ELEVATE_CD3_NTH_HB!AI23,ELEVATE_CD3_STAB_HB!AI23,ELEVATE_CD3_PTP_HB!AI23)</f>
        <v>0</v>
      </c>
      <c r="AJ23" s="6">
        <f>SUM(EL_DEL_CD1_STH_PTP_!AK23,'Overall without PTP '!AK23,ELEVATE_CD3_NTH_HB!AJ23,ELEVATE_CD3_STAB_HB!AJ23,ELEVATE_CD3_PTP_HB!AJ23)</f>
        <v>0</v>
      </c>
      <c r="AK23" s="59" t="str">
        <f>IFERROR(AVERAGE(EL_DEL_CD1_STH_PTP_!AL23,'Overall without PTP '!AL23,ELEVATE_CD3_NTH_HB!AK23,ELEVATE_CD3_STAB_HB!AK23,ELEVATE_CD3_PTP_HB!AK23),"")</f>
        <v/>
      </c>
      <c r="AL23" s="59" t="str">
        <f>IFERROR(AVERAGE(EL_DEL_CD1_STH_PTP_!AM23,'Overall without PTP '!AM23,ELEVATE_CD3_NTH_HB!AL23,ELEVATE_CD3_STAB_HB!AL23,ELEVATE_CD3_PTP_HB!AL23),"")</f>
        <v/>
      </c>
      <c r="AM23" s="59" t="str">
        <f>IFERROR(AVERAGE(EL_DEL_CD1_STH_PTP_!AN23,'Overall without PTP '!AN23,ELEVATE_CD3_NTH_HB!AM23,ELEVATE_CD3_STAB_HB!AM23,ELEVATE_CD3_PTP_HB!AM23),"")</f>
        <v/>
      </c>
      <c r="AN23" s="59" t="str">
        <f>IFERROR(AVERAGE(EL_DEL_CD1_STH_PTP_!AO23,'Overall without PTP '!AO23,ELEVATE_CD3_NTH_HB!AN23,ELEVATE_CD3_STAB_HB!AN23,ELEVATE_CD3_PTP_HB!AN23),"")</f>
        <v/>
      </c>
      <c r="AO23" s="59" t="str">
        <f>IFERROR(AVERAGE(EL_DEL_CD1_STH_PTP_!AP23,'Overall without PTP '!AP23,ELEVATE_CD3_NTH_HB!AO23,ELEVATE_CD3_STAB_HB!AO23,ELEVATE_CD3_PTP_HB!AO23),"")</f>
        <v/>
      </c>
      <c r="AP23" s="59" t="str">
        <f>IFERROR(AVERAGE(EL_DEL_CD1_STH_PTP_!AQ23,'Overall without PTP '!AQ23,ELEVATE_CD3_NTH_HB!AP23,ELEVATE_CD3_STAB_HB!AP23,ELEVATE_CD3_PTP_HB!AP23),"")</f>
        <v/>
      </c>
      <c r="AQ23" s="59" t="str">
        <f>IFERROR(AVERAGE(EL_DEL_CD1_STH_PTP_!AR23,'Overall without PTP '!AR23,ELEVATE_CD3_NTH_HB!AQ23,ELEVATE_CD3_STAB_HB!AQ23,ELEVATE_CD3_PTP_HB!AQ23),"")</f>
        <v/>
      </c>
      <c r="AR23" s="59" t="str">
        <f>IFERROR(AVERAGE(EL_DEL_CD1_STH_PTP_!AS23,'Overall without PTP '!AS23,ELEVATE_CD3_NTH_HB!AR23,ELEVATE_CD3_STAB_HB!AR23,ELEVATE_CD3_PTP_HB!AR23),"")</f>
        <v/>
      </c>
      <c r="AS23" s="8">
        <f>SUM(EL_DEL_CD1_STH_PTP_!AT23,'Overall without PTP '!AT23,ELEVATE_CD3_NTH_HB!AS23,ELEVATE_CD3_STAB_HB!AS23,ELEVATE_CD3_PTP_HB!AS23)</f>
        <v>0</v>
      </c>
      <c r="AT23" s="8">
        <f>SUM(EL_DEL_CD1_STH_PTP_!AU23,'Overall without PTP '!AU23,ELEVATE_CD3_NTH_HB!AT23,ELEVATE_CD3_STAB_HB!AT23,ELEVATE_CD3_PTP_HB!AT23)</f>
        <v>0</v>
      </c>
      <c r="AU23" s="9">
        <f>SUM(EL_DEL_CD1_STH_PTP_!AV23,'Overall without PTP '!AV23,ELEVATE_CD3_NTH_HB!AU23,ELEVATE_CD3_STAB_HB!AU23,ELEVATE_CD3_PTP_HB!AU23)</f>
        <v>0</v>
      </c>
      <c r="AV23" s="8">
        <f>IFERROR(AVERAGE(EL_DEL_CD1_STH_PTP_!AW23,'Overall without PTP '!AW23,ELEVATE_CD3_NTH_HB!AV23,ELEVATE_CD3_STAB_HB!AV23,ELEVATE_CD3_PTP_HB!AV23),"")</f>
        <v>0</v>
      </c>
      <c r="AW23" s="10" t="str">
        <f t="shared" si="12"/>
        <v>-</v>
      </c>
      <c r="AX23" s="39"/>
      <c r="AY23" s="1" t="str">
        <f t="shared" si="1"/>
        <v/>
      </c>
      <c r="AZ23" s="11" t="str">
        <f t="shared" si="2"/>
        <v/>
      </c>
      <c r="BA23" s="1" t="str">
        <f t="shared" si="3"/>
        <v/>
      </c>
      <c r="BB23" s="39"/>
      <c r="BC23" s="82" t="str">
        <f t="shared" si="13"/>
        <v/>
      </c>
      <c r="BD23" s="70" t="str">
        <f t="shared" si="14"/>
        <v/>
      </c>
      <c r="BE23" s="70" t="str">
        <f t="shared" si="15"/>
        <v/>
      </c>
      <c r="BF23" s="70" t="str">
        <f t="shared" si="16"/>
        <v/>
      </c>
      <c r="BG23" s="70" t="str">
        <f t="shared" si="17"/>
        <v/>
      </c>
      <c r="BH23" s="83" t="str">
        <f t="shared" si="18"/>
        <v/>
      </c>
      <c r="BI23" s="39"/>
      <c r="BJ23" s="75" t="str">
        <f t="shared" si="4"/>
        <v/>
      </c>
      <c r="BK23" s="76" t="str">
        <f t="shared" si="5"/>
        <v/>
      </c>
      <c r="BL23" s="76" t="str">
        <f t="shared" si="6"/>
        <v/>
      </c>
      <c r="BM23" s="77" t="str">
        <f t="shared" si="7"/>
        <v/>
      </c>
      <c r="BN23" s="39"/>
      <c r="BO23" s="14" t="str">
        <f t="shared" si="19"/>
        <v/>
      </c>
      <c r="BP23" s="15">
        <v>0</v>
      </c>
      <c r="BQ23" s="74" t="str">
        <f t="shared" si="8"/>
        <v/>
      </c>
      <c r="BR23" s="15" t="str">
        <f t="shared" si="9"/>
        <v/>
      </c>
      <c r="BS23" s="16" t="str">
        <f t="shared" si="20"/>
        <v/>
      </c>
      <c r="BT23" s="39"/>
      <c r="BU23" s="51" t="e">
        <f t="shared" si="10"/>
        <v>#VALUE!</v>
      </c>
      <c r="BV23" s="28" t="e">
        <f t="shared" si="21"/>
        <v>#VALUE!</v>
      </c>
      <c r="BW23" s="28" t="e">
        <f t="shared" si="22"/>
        <v>#VALUE!</v>
      </c>
      <c r="BX23" s="28" t="e">
        <f t="shared" si="23"/>
        <v>#VALUE!</v>
      </c>
      <c r="BY23" s="28" t="e">
        <f t="shared" si="24"/>
        <v>#VALUE!</v>
      </c>
      <c r="BZ23" s="52" t="e">
        <f t="shared" si="11"/>
        <v>#VALUE!</v>
      </c>
      <c r="CA23" s="39"/>
      <c r="CB23" s="49" t="str">
        <f t="shared" si="25"/>
        <v>-</v>
      </c>
      <c r="CC23" s="29" t="str">
        <f t="shared" si="26"/>
        <v>-</v>
      </c>
      <c r="CD23" s="29" t="str">
        <f t="shared" si="27"/>
        <v>-</v>
      </c>
      <c r="CE23" s="29" t="str">
        <f t="shared" si="28"/>
        <v>-</v>
      </c>
      <c r="CF23" s="50" t="str">
        <f t="shared" si="29"/>
        <v>-</v>
      </c>
      <c r="CG23" s="39"/>
    </row>
    <row r="24" spans="1:85" s="27" customFormat="1" ht="12.4" customHeight="1" thickBot="1" x14ac:dyDescent="0.25">
      <c r="A24" s="43">
        <f t="shared" si="30"/>
        <v>46316</v>
      </c>
      <c r="B24" s="44" t="str">
        <f t="shared" si="0"/>
        <v>Wed</v>
      </c>
      <c r="C24" s="2">
        <f>SUM(EL_DEL_CD1_STH_PTP_!C24,'Overall without PTP '!C24,ELEVATE_CD3_NTH_HB!C24,ELEVATE_CD3_STAB_HB!C24,ELEVATE_CD3_PTP_HB!C24)</f>
        <v>0</v>
      </c>
      <c r="D24" s="2">
        <f>SUM(EL_DEL_CD1_STH_PTP_!D24,'Overall without PTP '!D24,ELEVATE_CD3_NTH_HB!D24,ELEVATE_CD3_STAB_HB!D24,ELEVATE_CD3_PTP_HB!D24)</f>
        <v>0</v>
      </c>
      <c r="E24" s="3">
        <f>SUM(EL_DEL_CD1_STH_PTP_!E24,'Overall without PTP '!E24,ELEVATE_CD3_NTH_HB!E24,ELEVATE_CD3_STAB_HB!E24,ELEVATE_CD3_PTP_HB!E24)</f>
        <v>0</v>
      </c>
      <c r="F24" s="2">
        <f>SUM(EL_DEL_CD1_STH_PTP_!F24,'Overall without PTP '!F24,ELEVATE_CD3_NTH_HB!F24,ELEVATE_CD3_STAB_HB!F24,ELEVATE_CD3_PTP_HB!F24)</f>
        <v>0</v>
      </c>
      <c r="G24" s="2">
        <f>SUM(EL_DEL_CD1_STH_PTP_!G24,'Overall without PTP '!G24,ELEVATE_CD3_NTH_HB!G24,ELEVATE_CD3_STAB_HB!G24,ELEVATE_CD3_PTP_HB!G24)</f>
        <v>0</v>
      </c>
      <c r="H24" s="4">
        <f>SUM(EL_DEL_CD1_STH_PTP_!H24,'Overall without PTP '!H24,ELEVATE_CD3_NTH_HB!H24,ELEVATE_CD3_STAB_HB!H24,ELEVATE_CD3_PTP_HB!H24)</f>
        <v>0</v>
      </c>
      <c r="I24" s="4">
        <f>SUM(EL_DEL_CD1_STH_PTP_!I24,'Overall without PTP '!I24,ELEVATE_CD3_NTH_HB!I24,ELEVATE_CD3_STAB_HB!I24,ELEVATE_CD3_PTP_HB!I24)</f>
        <v>0</v>
      </c>
      <c r="J24" s="57">
        <f>SUM(EL_DEL_CD1_STH_PTP_!J24,'Overall without PTP '!J24,ELEVATE_CD3_NTH_HB!J24,ELEVATE_CD3_STAB_HB!J24,ELEVATE_CD3_PTP_HB!J24)</f>
        <v>0</v>
      </c>
      <c r="K24" s="5">
        <f>SUM(EL_DEL_CD1_STH_PTP_!K24,'Overall without PTP '!K24,ELEVATE_CD3_NTH_HB!K24,ELEVATE_CD3_STAB_HB!K24,ELEVATE_CD3_PTP_HB!K24)</f>
        <v>0</v>
      </c>
      <c r="L24" s="2">
        <f>SUM(EL_DEL_CD1_STH_PTP_!L24,'Overall without PTP '!L24,ELEVATE_CD3_NTH_HB!L24,ELEVATE_CD3_STAB_HB!L24,ELEVATE_CD3_PTP_HB!L24)</f>
        <v>0</v>
      </c>
      <c r="M24" s="2">
        <f>SUM(EL_DEL_CD1_STH_PTP_!M24,'Overall without PTP '!M24,ELEVATE_CD3_NTH_HB!M24,ELEVATE_CD3_STAB_HB!M24,ELEVATE_CD3_PTP_HB!M24)</f>
        <v>0</v>
      </c>
      <c r="N24" s="2">
        <f>SUM(EL_DEL_CD1_STH_PTP_!N24,'Overall without PTP '!N24,ELEVATE_CD3_NTH_HB!N24,ELEVATE_CD3_STAB_HB!N24,ELEVATE_CD3_PTP_HB!N24)</f>
        <v>0</v>
      </c>
      <c r="O24" s="2">
        <f>SUM(EL_DEL_CD1_STH_PTP_!O24,'Overall without PTP '!O24,ELEVATE_CD3_NTH_HB!O24,ELEVATE_CD3_STAB_HB!O24,ELEVATE_CD3_PTP_HB!O24)</f>
        <v>0</v>
      </c>
      <c r="P24" s="3">
        <f>SUM(EL_DEL_CD1_STH_PTP_!P24,'Overall without PTP '!P24,ELEVATE_CD3_NTH_HB!P24,ELEVATE_CD3_STAB_HB!P24,ELEVATE_CD3_PTP_HB!P24)</f>
        <v>0</v>
      </c>
      <c r="Q24" s="2">
        <f>SUM(EL_DEL_CD1_STH_PTP_!Q24,'Overall without PTP '!Q24,ELEVATE_CD3_NTH_HB!Q24,ELEVATE_CD3_STAB_HB!Q24,ELEVATE_CD3_PTP_HB!Q24)</f>
        <v>0</v>
      </c>
      <c r="R24" s="2">
        <f>SUM(EL_DEL_CD1_STH_PTP_!R24,'Overall without PTP '!R24,ELEVATE_CD3_NTH_HB!R24,ELEVATE_CD3_STAB_HB!R24,ELEVATE_CD3_PTP_HB!R24)</f>
        <v>0</v>
      </c>
      <c r="S24" s="2">
        <f>SUM(EL_DEL_CD1_STH_PTP_!S24,'Overall without PTP '!S24,ELEVATE_CD3_NTH_HB!S24,ELEVATE_CD3_STAB_HB!S24,ELEVATE_CD3_PTP_HB!S24)</f>
        <v>0</v>
      </c>
      <c r="T24" s="2">
        <f>SUM(EL_DEL_CD1_STH_PTP_!T24,'Overall without PTP '!T24,ELEVATE_CD3_NTH_HB!T24,ELEVATE_CD3_STAB_HB!T24,ELEVATE_CD3_PTP_HB!T24)</f>
        <v>0</v>
      </c>
      <c r="U24" s="3">
        <f>SUM(EL_DEL_CD1_STH_PTP_!V24,'Overall without PTP '!V24,ELEVATE_CD3_NTH_HB!U24,ELEVATE_CD3_STAB_HB!U24,ELEVATE_CD3_PTP_HB!U24)</f>
        <v>0</v>
      </c>
      <c r="V24" s="3">
        <f>SUM(EL_DEL_CD1_STH_PTP_!W24,'Overall without PTP '!W24,ELEVATE_CD3_NTH_HB!V24,ELEVATE_CD3_STAB_HB!V24,ELEVATE_CD3_PTP_HB!V24)</f>
        <v>0</v>
      </c>
      <c r="W24" s="2">
        <f>SUM(EL_DEL_CD1_STH_PTP_!X24,'Overall without PTP '!X24,ELEVATE_CD3_NTH_HB!W24,ELEVATE_CD3_STAB_HB!W24,ELEVATE_CD3_PTP_HB!W24)</f>
        <v>0</v>
      </c>
      <c r="X24" s="2">
        <f>SUM(EL_DEL_CD1_STH_PTP_!Y24,'Overall without PTP '!Y24,ELEVATE_CD3_NTH_HB!X24,ELEVATE_CD3_STAB_HB!X24,ELEVATE_CD3_PTP_HB!X24)</f>
        <v>0</v>
      </c>
      <c r="Y24" s="2">
        <f>SUM(EL_DEL_CD1_STH_PTP_!Z24,'Overall without PTP '!Z24,ELEVATE_CD3_NTH_HB!Y24,ELEVATE_CD3_STAB_HB!Y24,ELEVATE_CD3_PTP_HB!Y24)</f>
        <v>0</v>
      </c>
      <c r="Z24" s="2">
        <f>SUM(EL_DEL_CD1_STH_PTP_!AA24,'Overall without PTP '!AA24,ELEVATE_CD3_NTH_HB!Z24,ELEVATE_CD3_STAB_HB!Z24,ELEVATE_CD3_PTP_HB!Z24)</f>
        <v>0</v>
      </c>
      <c r="AA24" s="2">
        <f>SUM(EL_DEL_CD1_STH_PTP_!AB24,'Overall without PTP '!AB24,ELEVATE_CD3_NTH_HB!AA24,ELEVATE_CD3_STAB_HB!AA24,ELEVATE_CD3_PTP_HB!AA24)</f>
        <v>0</v>
      </c>
      <c r="AB24" s="2">
        <f>SUM(EL_DEL_CD1_STH_PTP_!AC24,'Overall without PTP '!AC24,ELEVATE_CD3_NTH_HB!AB24,ELEVATE_CD3_STAB_HB!AB24,ELEVATE_CD3_PTP_HB!AB24)</f>
        <v>0</v>
      </c>
      <c r="AC24" s="2">
        <f>SUM(EL_DEL_CD1_STH_PTP_!AD24,'Overall without PTP '!AD24,ELEVATE_CD3_NTH_HB!AC24,ELEVATE_CD3_STAB_HB!AC24,ELEVATE_CD3_PTP_HB!AC24)</f>
        <v>0</v>
      </c>
      <c r="AD24" s="2">
        <f>SUM(EL_DEL_CD1_STH_PTP_!AE24,'Overall without PTP '!AE24,ELEVATE_CD3_NTH_HB!AD24,ELEVATE_CD3_STAB_HB!AD24,ELEVATE_CD3_PTP_HB!AD24)</f>
        <v>0</v>
      </c>
      <c r="AE24" s="3">
        <f>SUM(EL_DEL_CD1_STH_PTP_!AF24,'Overall without PTP '!AF24,ELEVATE_CD3_NTH_HB!AE24,ELEVATE_CD3_STAB_HB!AE24,ELEVATE_CD3_PTP_HB!AE24)</f>
        <v>0</v>
      </c>
      <c r="AF24" s="3">
        <f>SUM(EL_DEL_CD1_STH_PTP_!AG24,'Overall without PTP '!AG24,ELEVATE_CD3_NTH_HB!AF24,ELEVATE_CD3_STAB_HB!AF24,ELEVATE_CD3_PTP_HB!AF24)</f>
        <v>0</v>
      </c>
      <c r="AG24" s="2">
        <f>SUM(EL_DEL_CD1_STH_PTP_!AH24,'Overall without PTP '!AH24,ELEVATE_CD3_NTH_HB!AG24,ELEVATE_CD3_STAB_HB!AG24,ELEVATE_CD3_PTP_HB!AG24)</f>
        <v>0</v>
      </c>
      <c r="AH24" s="6">
        <f>SUM(EL_DEL_CD1_STH_PTP_!AI24,'Overall without PTP '!AI24,ELEVATE_CD3_NTH_HB!AH24,ELEVATE_CD3_STAB_HB!AH24,ELEVATE_CD3_PTP_HB!AH24)</f>
        <v>0</v>
      </c>
      <c r="AI24" s="7">
        <f>SUM(EL_DEL_CD1_STH_PTP_!AJ24,'Overall without PTP '!AJ24,ELEVATE_CD3_NTH_HB!AI24,ELEVATE_CD3_STAB_HB!AI24,ELEVATE_CD3_PTP_HB!AI24)</f>
        <v>0</v>
      </c>
      <c r="AJ24" s="6">
        <f>SUM(EL_DEL_CD1_STH_PTP_!AK24,'Overall without PTP '!AK24,ELEVATE_CD3_NTH_HB!AJ24,ELEVATE_CD3_STAB_HB!AJ24,ELEVATE_CD3_PTP_HB!AJ24)</f>
        <v>0</v>
      </c>
      <c r="AK24" s="59" t="str">
        <f>IFERROR(AVERAGE(EL_DEL_CD1_STH_PTP_!AL24,'Overall without PTP '!AL24,ELEVATE_CD3_NTH_HB!AK24,ELEVATE_CD3_STAB_HB!AK24,ELEVATE_CD3_PTP_HB!AK24),"")</f>
        <v/>
      </c>
      <c r="AL24" s="59" t="str">
        <f>IFERROR(AVERAGE(EL_DEL_CD1_STH_PTP_!AM24,'Overall without PTP '!AM24,ELEVATE_CD3_NTH_HB!AL24,ELEVATE_CD3_STAB_HB!AL24,ELEVATE_CD3_PTP_HB!AL24),"")</f>
        <v/>
      </c>
      <c r="AM24" s="59" t="str">
        <f>IFERROR(AVERAGE(EL_DEL_CD1_STH_PTP_!AN24,'Overall without PTP '!AN24,ELEVATE_CD3_NTH_HB!AM24,ELEVATE_CD3_STAB_HB!AM24,ELEVATE_CD3_PTP_HB!AM24),"")</f>
        <v/>
      </c>
      <c r="AN24" s="59" t="str">
        <f>IFERROR(AVERAGE(EL_DEL_CD1_STH_PTP_!AO24,'Overall without PTP '!AO24,ELEVATE_CD3_NTH_HB!AN24,ELEVATE_CD3_STAB_HB!AN24,ELEVATE_CD3_PTP_HB!AN24),"")</f>
        <v/>
      </c>
      <c r="AO24" s="59" t="str">
        <f>IFERROR(AVERAGE(EL_DEL_CD1_STH_PTP_!AP24,'Overall without PTP '!AP24,ELEVATE_CD3_NTH_HB!AO24,ELEVATE_CD3_STAB_HB!AO24,ELEVATE_CD3_PTP_HB!AO24),"")</f>
        <v/>
      </c>
      <c r="AP24" s="59" t="str">
        <f>IFERROR(AVERAGE(EL_DEL_CD1_STH_PTP_!AQ24,'Overall without PTP '!AQ24,ELEVATE_CD3_NTH_HB!AP24,ELEVATE_CD3_STAB_HB!AP24,ELEVATE_CD3_PTP_HB!AP24),"")</f>
        <v/>
      </c>
      <c r="AQ24" s="59" t="str">
        <f>IFERROR(AVERAGE(EL_DEL_CD1_STH_PTP_!AR24,'Overall without PTP '!AR24,ELEVATE_CD3_NTH_HB!AQ24,ELEVATE_CD3_STAB_HB!AQ24,ELEVATE_CD3_PTP_HB!AQ24),"")</f>
        <v/>
      </c>
      <c r="AR24" s="59" t="str">
        <f>IFERROR(AVERAGE(EL_DEL_CD1_STH_PTP_!AS24,'Overall without PTP '!AS24,ELEVATE_CD3_NTH_HB!AR24,ELEVATE_CD3_STAB_HB!AR24,ELEVATE_CD3_PTP_HB!AR24),"")</f>
        <v/>
      </c>
      <c r="AS24" s="8">
        <f>SUM(EL_DEL_CD1_STH_PTP_!AT24,'Overall without PTP '!AT24,ELEVATE_CD3_NTH_HB!AS24,ELEVATE_CD3_STAB_HB!AS24,ELEVATE_CD3_PTP_HB!AS24)</f>
        <v>0</v>
      </c>
      <c r="AT24" s="8">
        <f>SUM(EL_DEL_CD1_STH_PTP_!AU24,'Overall without PTP '!AU24,ELEVATE_CD3_NTH_HB!AT24,ELEVATE_CD3_STAB_HB!AT24,ELEVATE_CD3_PTP_HB!AT24)</f>
        <v>0</v>
      </c>
      <c r="AU24" s="9">
        <f>SUM(EL_DEL_CD1_STH_PTP_!AV24,'Overall without PTP '!AV24,ELEVATE_CD3_NTH_HB!AU24,ELEVATE_CD3_STAB_HB!AU24,ELEVATE_CD3_PTP_HB!AU24)</f>
        <v>0</v>
      </c>
      <c r="AV24" s="8">
        <f>IFERROR(AVERAGE(EL_DEL_CD1_STH_PTP_!AW24,'Overall without PTP '!AW24,ELEVATE_CD3_NTH_HB!AV24,ELEVATE_CD3_STAB_HB!AV24,ELEVATE_CD3_PTP_HB!AV24),"")</f>
        <v>0</v>
      </c>
      <c r="AW24" s="10" t="str">
        <f t="shared" si="12"/>
        <v>-</v>
      </c>
      <c r="AX24" s="39"/>
      <c r="AY24" s="1" t="str">
        <f t="shared" si="1"/>
        <v/>
      </c>
      <c r="AZ24" s="11" t="str">
        <f t="shared" si="2"/>
        <v/>
      </c>
      <c r="BA24" s="1" t="str">
        <f t="shared" si="3"/>
        <v/>
      </c>
      <c r="BB24" s="39"/>
      <c r="BC24" s="82" t="str">
        <f t="shared" si="13"/>
        <v/>
      </c>
      <c r="BD24" s="70" t="str">
        <f t="shared" si="14"/>
        <v/>
      </c>
      <c r="BE24" s="70" t="str">
        <f t="shared" si="15"/>
        <v/>
      </c>
      <c r="BF24" s="70" t="str">
        <f t="shared" si="16"/>
        <v/>
      </c>
      <c r="BG24" s="70" t="str">
        <f t="shared" si="17"/>
        <v/>
      </c>
      <c r="BH24" s="83" t="str">
        <f t="shared" si="18"/>
        <v/>
      </c>
      <c r="BI24" s="39"/>
      <c r="BJ24" s="75" t="str">
        <f t="shared" si="4"/>
        <v/>
      </c>
      <c r="BK24" s="76" t="str">
        <f t="shared" si="5"/>
        <v/>
      </c>
      <c r="BL24" s="76" t="str">
        <f t="shared" si="6"/>
        <v/>
      </c>
      <c r="BM24" s="77" t="str">
        <f t="shared" si="7"/>
        <v/>
      </c>
      <c r="BN24" s="39"/>
      <c r="BO24" s="14" t="str">
        <f t="shared" si="19"/>
        <v/>
      </c>
      <c r="BP24" s="15">
        <v>0</v>
      </c>
      <c r="BQ24" s="74" t="str">
        <f t="shared" si="8"/>
        <v/>
      </c>
      <c r="BR24" s="15" t="str">
        <f t="shared" si="9"/>
        <v/>
      </c>
      <c r="BS24" s="16" t="str">
        <f t="shared" si="20"/>
        <v/>
      </c>
      <c r="BT24" s="39"/>
      <c r="BU24" s="51" t="e">
        <f t="shared" si="10"/>
        <v>#VALUE!</v>
      </c>
      <c r="BV24" s="28" t="e">
        <f t="shared" si="21"/>
        <v>#VALUE!</v>
      </c>
      <c r="BW24" s="28" t="e">
        <f t="shared" si="22"/>
        <v>#VALUE!</v>
      </c>
      <c r="BX24" s="28" t="e">
        <f t="shared" si="23"/>
        <v>#VALUE!</v>
      </c>
      <c r="BY24" s="28" t="e">
        <f t="shared" si="24"/>
        <v>#VALUE!</v>
      </c>
      <c r="BZ24" s="52" t="e">
        <f t="shared" si="11"/>
        <v>#VALUE!</v>
      </c>
      <c r="CA24" s="39"/>
      <c r="CB24" s="49" t="str">
        <f t="shared" si="25"/>
        <v>-</v>
      </c>
      <c r="CC24" s="29" t="str">
        <f t="shared" si="26"/>
        <v>-</v>
      </c>
      <c r="CD24" s="29" t="str">
        <f t="shared" si="27"/>
        <v>-</v>
      </c>
      <c r="CE24" s="29" t="str">
        <f t="shared" si="28"/>
        <v>-</v>
      </c>
      <c r="CF24" s="50" t="str">
        <f t="shared" si="29"/>
        <v>-</v>
      </c>
      <c r="CG24" s="39"/>
    </row>
    <row r="25" spans="1:85" s="27" customFormat="1" ht="12.4" customHeight="1" thickBot="1" x14ac:dyDescent="0.25">
      <c r="A25" s="43">
        <f t="shared" si="30"/>
        <v>46317</v>
      </c>
      <c r="B25" s="44" t="str">
        <f t="shared" si="0"/>
        <v>Thu</v>
      </c>
      <c r="C25" s="2">
        <f>SUM(EL_DEL_CD1_STH_PTP_!C25,'Overall without PTP '!C25,ELEVATE_CD3_NTH_HB!C25,ELEVATE_CD3_STAB_HB!C25,ELEVATE_CD3_PTP_HB!C25)</f>
        <v>0</v>
      </c>
      <c r="D25" s="2">
        <f>SUM(EL_DEL_CD1_STH_PTP_!D25,'Overall without PTP '!D25,ELEVATE_CD3_NTH_HB!D25,ELEVATE_CD3_STAB_HB!D25,ELEVATE_CD3_PTP_HB!D25)</f>
        <v>0</v>
      </c>
      <c r="E25" s="3">
        <f>SUM(EL_DEL_CD1_STH_PTP_!E25,'Overall without PTP '!E25,ELEVATE_CD3_NTH_HB!E25,ELEVATE_CD3_STAB_HB!E25,ELEVATE_CD3_PTP_HB!E25)</f>
        <v>0</v>
      </c>
      <c r="F25" s="2">
        <f>SUM(EL_DEL_CD1_STH_PTP_!F25,'Overall without PTP '!F25,ELEVATE_CD3_NTH_HB!F25,ELEVATE_CD3_STAB_HB!F25,ELEVATE_CD3_PTP_HB!F25)</f>
        <v>0</v>
      </c>
      <c r="G25" s="2">
        <f>SUM(EL_DEL_CD1_STH_PTP_!G25,'Overall without PTP '!G25,ELEVATE_CD3_NTH_HB!G25,ELEVATE_CD3_STAB_HB!G25,ELEVATE_CD3_PTP_HB!G25)</f>
        <v>0</v>
      </c>
      <c r="H25" s="4">
        <f>SUM(EL_DEL_CD1_STH_PTP_!H25,'Overall without PTP '!H25,ELEVATE_CD3_NTH_HB!H25,ELEVATE_CD3_STAB_HB!H25,ELEVATE_CD3_PTP_HB!H25)</f>
        <v>0</v>
      </c>
      <c r="I25" s="4">
        <f>SUM(EL_DEL_CD1_STH_PTP_!I25,'Overall without PTP '!I25,ELEVATE_CD3_NTH_HB!I25,ELEVATE_CD3_STAB_HB!I25,ELEVATE_CD3_PTP_HB!I25)</f>
        <v>0</v>
      </c>
      <c r="J25" s="57">
        <f>SUM(EL_DEL_CD1_STH_PTP_!J25,'Overall without PTP '!J25,ELEVATE_CD3_NTH_HB!J25,ELEVATE_CD3_STAB_HB!J25,ELEVATE_CD3_PTP_HB!J25)</f>
        <v>0</v>
      </c>
      <c r="K25" s="5">
        <f>SUM(EL_DEL_CD1_STH_PTP_!K25,'Overall without PTP '!K25,ELEVATE_CD3_NTH_HB!K25,ELEVATE_CD3_STAB_HB!K25,ELEVATE_CD3_PTP_HB!K25)</f>
        <v>0</v>
      </c>
      <c r="L25" s="2">
        <f>SUM(EL_DEL_CD1_STH_PTP_!L25,'Overall without PTP '!L25,ELEVATE_CD3_NTH_HB!L25,ELEVATE_CD3_STAB_HB!L25,ELEVATE_CD3_PTP_HB!L25)</f>
        <v>0</v>
      </c>
      <c r="M25" s="2">
        <f>SUM(EL_DEL_CD1_STH_PTP_!M25,'Overall without PTP '!M25,ELEVATE_CD3_NTH_HB!M25,ELEVATE_CD3_STAB_HB!M25,ELEVATE_CD3_PTP_HB!M25)</f>
        <v>0</v>
      </c>
      <c r="N25" s="2">
        <f>SUM(EL_DEL_CD1_STH_PTP_!N25,'Overall without PTP '!N25,ELEVATE_CD3_NTH_HB!N25,ELEVATE_CD3_STAB_HB!N25,ELEVATE_CD3_PTP_HB!N25)</f>
        <v>0</v>
      </c>
      <c r="O25" s="2">
        <f>SUM(EL_DEL_CD1_STH_PTP_!O25,'Overall without PTP '!O25,ELEVATE_CD3_NTH_HB!O25,ELEVATE_CD3_STAB_HB!O25,ELEVATE_CD3_PTP_HB!O25)</f>
        <v>0</v>
      </c>
      <c r="P25" s="3">
        <f>SUM(EL_DEL_CD1_STH_PTP_!P25,'Overall without PTP '!P25,ELEVATE_CD3_NTH_HB!P25,ELEVATE_CD3_STAB_HB!P25,ELEVATE_CD3_PTP_HB!P25)</f>
        <v>0</v>
      </c>
      <c r="Q25" s="2">
        <f>SUM(EL_DEL_CD1_STH_PTP_!Q25,'Overall without PTP '!Q25,ELEVATE_CD3_NTH_HB!Q25,ELEVATE_CD3_STAB_HB!Q25,ELEVATE_CD3_PTP_HB!Q25)</f>
        <v>0</v>
      </c>
      <c r="R25" s="2">
        <f>SUM(EL_DEL_CD1_STH_PTP_!R25,'Overall without PTP '!R25,ELEVATE_CD3_NTH_HB!R25,ELEVATE_CD3_STAB_HB!R25,ELEVATE_CD3_PTP_HB!R25)</f>
        <v>0</v>
      </c>
      <c r="S25" s="2">
        <f>SUM(EL_DEL_CD1_STH_PTP_!S25,'Overall without PTP '!S25,ELEVATE_CD3_NTH_HB!S25,ELEVATE_CD3_STAB_HB!S25,ELEVATE_CD3_PTP_HB!S25)</f>
        <v>0</v>
      </c>
      <c r="T25" s="2">
        <f>SUM(EL_DEL_CD1_STH_PTP_!T25,'Overall without PTP '!T25,ELEVATE_CD3_NTH_HB!T25,ELEVATE_CD3_STAB_HB!T25,ELEVATE_CD3_PTP_HB!T25)</f>
        <v>0</v>
      </c>
      <c r="U25" s="3">
        <f>SUM(EL_DEL_CD1_STH_PTP_!V25,'Overall without PTP '!V25,ELEVATE_CD3_NTH_HB!U25,ELEVATE_CD3_STAB_HB!U25,ELEVATE_CD3_PTP_HB!U25)</f>
        <v>0</v>
      </c>
      <c r="V25" s="3">
        <f>SUM(EL_DEL_CD1_STH_PTP_!W25,'Overall without PTP '!W25,ELEVATE_CD3_NTH_HB!V25,ELEVATE_CD3_STAB_HB!V25,ELEVATE_CD3_PTP_HB!V25)</f>
        <v>0</v>
      </c>
      <c r="W25" s="2">
        <f>SUM(EL_DEL_CD1_STH_PTP_!X25,'Overall without PTP '!X25,ELEVATE_CD3_NTH_HB!W25,ELEVATE_CD3_STAB_HB!W25,ELEVATE_CD3_PTP_HB!W25)</f>
        <v>0</v>
      </c>
      <c r="X25" s="2">
        <f>SUM(EL_DEL_CD1_STH_PTP_!Y25,'Overall without PTP '!Y25,ELEVATE_CD3_NTH_HB!X25,ELEVATE_CD3_STAB_HB!X25,ELEVATE_CD3_PTP_HB!X25)</f>
        <v>0</v>
      </c>
      <c r="Y25" s="2">
        <f>SUM(EL_DEL_CD1_STH_PTP_!Z25,'Overall without PTP '!Z25,ELEVATE_CD3_NTH_HB!Y25,ELEVATE_CD3_STAB_HB!Y25,ELEVATE_CD3_PTP_HB!Y25)</f>
        <v>0</v>
      </c>
      <c r="Z25" s="2">
        <f>SUM(EL_DEL_CD1_STH_PTP_!AA25,'Overall without PTP '!AA25,ELEVATE_CD3_NTH_HB!Z25,ELEVATE_CD3_STAB_HB!Z25,ELEVATE_CD3_PTP_HB!Z25)</f>
        <v>0</v>
      </c>
      <c r="AA25" s="2">
        <f>SUM(EL_DEL_CD1_STH_PTP_!AB25,'Overall without PTP '!AB25,ELEVATE_CD3_NTH_HB!AA25,ELEVATE_CD3_STAB_HB!AA25,ELEVATE_CD3_PTP_HB!AA25)</f>
        <v>0</v>
      </c>
      <c r="AB25" s="2">
        <f>SUM(EL_DEL_CD1_STH_PTP_!AC25,'Overall without PTP '!AC25,ELEVATE_CD3_NTH_HB!AB25,ELEVATE_CD3_STAB_HB!AB25,ELEVATE_CD3_PTP_HB!AB25)</f>
        <v>0</v>
      </c>
      <c r="AC25" s="2">
        <f>SUM(EL_DEL_CD1_STH_PTP_!AD25,'Overall without PTP '!AD25,ELEVATE_CD3_NTH_HB!AC25,ELEVATE_CD3_STAB_HB!AC25,ELEVATE_CD3_PTP_HB!AC25)</f>
        <v>0</v>
      </c>
      <c r="AD25" s="2">
        <f>SUM(EL_DEL_CD1_STH_PTP_!AE25,'Overall without PTP '!AE25,ELEVATE_CD3_NTH_HB!AD25,ELEVATE_CD3_STAB_HB!AD25,ELEVATE_CD3_PTP_HB!AD25)</f>
        <v>0</v>
      </c>
      <c r="AE25" s="3">
        <f>SUM(EL_DEL_CD1_STH_PTP_!AF25,'Overall without PTP '!AF25,ELEVATE_CD3_NTH_HB!AE25,ELEVATE_CD3_STAB_HB!AE25,ELEVATE_CD3_PTP_HB!AE25)</f>
        <v>0</v>
      </c>
      <c r="AF25" s="3">
        <f>SUM(EL_DEL_CD1_STH_PTP_!AG25,'Overall without PTP '!AG25,ELEVATE_CD3_NTH_HB!AF25,ELEVATE_CD3_STAB_HB!AF25,ELEVATE_CD3_PTP_HB!AF25)</f>
        <v>0</v>
      </c>
      <c r="AG25" s="2">
        <f>SUM(EL_DEL_CD1_STH_PTP_!AH25,'Overall without PTP '!AH25,ELEVATE_CD3_NTH_HB!AG25,ELEVATE_CD3_STAB_HB!AG25,ELEVATE_CD3_PTP_HB!AG25)</f>
        <v>0</v>
      </c>
      <c r="AH25" s="6">
        <f>SUM(EL_DEL_CD1_STH_PTP_!AI25,'Overall without PTP '!AI25,ELEVATE_CD3_NTH_HB!AH25,ELEVATE_CD3_STAB_HB!AH25,ELEVATE_CD3_PTP_HB!AH25)</f>
        <v>0</v>
      </c>
      <c r="AI25" s="7">
        <f>SUM(EL_DEL_CD1_STH_PTP_!AJ25,'Overall without PTP '!AJ25,ELEVATE_CD3_NTH_HB!AI25,ELEVATE_CD3_STAB_HB!AI25,ELEVATE_CD3_PTP_HB!AI25)</f>
        <v>0</v>
      </c>
      <c r="AJ25" s="6">
        <f>SUM(EL_DEL_CD1_STH_PTP_!AK25,'Overall without PTP '!AK25,ELEVATE_CD3_NTH_HB!AJ25,ELEVATE_CD3_STAB_HB!AJ25,ELEVATE_CD3_PTP_HB!AJ25)</f>
        <v>0</v>
      </c>
      <c r="AK25" s="59" t="str">
        <f>IFERROR(AVERAGE(EL_DEL_CD1_STH_PTP_!AL25,'Overall without PTP '!AL25,ELEVATE_CD3_NTH_HB!AK25,ELEVATE_CD3_STAB_HB!AK25,ELEVATE_CD3_PTP_HB!AK25),"")</f>
        <v/>
      </c>
      <c r="AL25" s="59" t="str">
        <f>IFERROR(AVERAGE(EL_DEL_CD1_STH_PTP_!AM25,'Overall without PTP '!AM25,ELEVATE_CD3_NTH_HB!AL25,ELEVATE_CD3_STAB_HB!AL25,ELEVATE_CD3_PTP_HB!AL25),"")</f>
        <v/>
      </c>
      <c r="AM25" s="59" t="str">
        <f>IFERROR(AVERAGE(EL_DEL_CD1_STH_PTP_!AN25,'Overall without PTP '!AN25,ELEVATE_CD3_NTH_HB!AM25,ELEVATE_CD3_STAB_HB!AM25,ELEVATE_CD3_PTP_HB!AM25),"")</f>
        <v/>
      </c>
      <c r="AN25" s="59" t="str">
        <f>IFERROR(AVERAGE(EL_DEL_CD1_STH_PTP_!AO25,'Overall without PTP '!AO25,ELEVATE_CD3_NTH_HB!AN25,ELEVATE_CD3_STAB_HB!AN25,ELEVATE_CD3_PTP_HB!AN25),"")</f>
        <v/>
      </c>
      <c r="AO25" s="59" t="str">
        <f>IFERROR(AVERAGE(EL_DEL_CD1_STH_PTP_!AP25,'Overall without PTP '!AP25,ELEVATE_CD3_NTH_HB!AO25,ELEVATE_CD3_STAB_HB!AO25,ELEVATE_CD3_PTP_HB!AO25),"")</f>
        <v/>
      </c>
      <c r="AP25" s="59" t="str">
        <f>IFERROR(AVERAGE(EL_DEL_CD1_STH_PTP_!AQ25,'Overall without PTP '!AQ25,ELEVATE_CD3_NTH_HB!AP25,ELEVATE_CD3_STAB_HB!AP25,ELEVATE_CD3_PTP_HB!AP25),"")</f>
        <v/>
      </c>
      <c r="AQ25" s="59" t="str">
        <f>IFERROR(AVERAGE(EL_DEL_CD1_STH_PTP_!AR25,'Overall without PTP '!AR25,ELEVATE_CD3_NTH_HB!AQ25,ELEVATE_CD3_STAB_HB!AQ25,ELEVATE_CD3_PTP_HB!AQ25),"")</f>
        <v/>
      </c>
      <c r="AR25" s="59" t="str">
        <f>IFERROR(AVERAGE(EL_DEL_CD1_STH_PTP_!AS25,'Overall without PTP '!AS25,ELEVATE_CD3_NTH_HB!AR25,ELEVATE_CD3_STAB_HB!AR25,ELEVATE_CD3_PTP_HB!AR25),"")</f>
        <v/>
      </c>
      <c r="AS25" s="8">
        <f>SUM(EL_DEL_CD1_STH_PTP_!AT25,'Overall without PTP '!AT25,ELEVATE_CD3_NTH_HB!AS25,ELEVATE_CD3_STAB_HB!AS25,ELEVATE_CD3_PTP_HB!AS25)</f>
        <v>0</v>
      </c>
      <c r="AT25" s="8">
        <f>SUM(EL_DEL_CD1_STH_PTP_!AU25,'Overall without PTP '!AU25,ELEVATE_CD3_NTH_HB!AT25,ELEVATE_CD3_STAB_HB!AT25,ELEVATE_CD3_PTP_HB!AT25)</f>
        <v>0</v>
      </c>
      <c r="AU25" s="9">
        <f>SUM(EL_DEL_CD1_STH_PTP_!AV25,'Overall without PTP '!AV25,ELEVATE_CD3_NTH_HB!AU25,ELEVATE_CD3_STAB_HB!AU25,ELEVATE_CD3_PTP_HB!AU25)</f>
        <v>0</v>
      </c>
      <c r="AV25" s="8">
        <f>IFERROR(AVERAGE(EL_DEL_CD1_STH_PTP_!AW25,'Overall without PTP '!AW25,ELEVATE_CD3_NTH_HB!AV25,ELEVATE_CD3_STAB_HB!AV25,ELEVATE_CD3_PTP_HB!AV25),"")</f>
        <v>0</v>
      </c>
      <c r="AW25" s="10" t="str">
        <f t="shared" si="12"/>
        <v>-</v>
      </c>
      <c r="AX25" s="39"/>
      <c r="AY25" s="1" t="str">
        <f t="shared" si="1"/>
        <v/>
      </c>
      <c r="AZ25" s="11" t="str">
        <f t="shared" si="2"/>
        <v/>
      </c>
      <c r="BA25" s="1" t="str">
        <f t="shared" si="3"/>
        <v/>
      </c>
      <c r="BB25" s="39"/>
      <c r="BC25" s="82" t="str">
        <f t="shared" si="13"/>
        <v/>
      </c>
      <c r="BD25" s="70" t="str">
        <f t="shared" si="14"/>
        <v/>
      </c>
      <c r="BE25" s="70" t="str">
        <f t="shared" si="15"/>
        <v/>
      </c>
      <c r="BF25" s="70" t="str">
        <f t="shared" si="16"/>
        <v/>
      </c>
      <c r="BG25" s="70" t="str">
        <f t="shared" si="17"/>
        <v/>
      </c>
      <c r="BH25" s="83" t="str">
        <f t="shared" si="18"/>
        <v/>
      </c>
      <c r="BI25" s="39"/>
      <c r="BJ25" s="75" t="str">
        <f t="shared" si="4"/>
        <v/>
      </c>
      <c r="BK25" s="76" t="str">
        <f t="shared" si="5"/>
        <v/>
      </c>
      <c r="BL25" s="76" t="str">
        <f t="shared" si="6"/>
        <v/>
      </c>
      <c r="BM25" s="77" t="str">
        <f t="shared" si="7"/>
        <v/>
      </c>
      <c r="BN25" s="39"/>
      <c r="BO25" s="14" t="str">
        <f t="shared" si="19"/>
        <v/>
      </c>
      <c r="BP25" s="15">
        <v>0</v>
      </c>
      <c r="BQ25" s="74" t="str">
        <f t="shared" si="8"/>
        <v/>
      </c>
      <c r="BR25" s="15" t="str">
        <f t="shared" si="9"/>
        <v/>
      </c>
      <c r="BS25" s="16" t="str">
        <f t="shared" si="20"/>
        <v/>
      </c>
      <c r="BT25" s="39"/>
      <c r="BU25" s="51" t="e">
        <f t="shared" si="10"/>
        <v>#VALUE!</v>
      </c>
      <c r="BV25" s="28" t="e">
        <f t="shared" si="21"/>
        <v>#VALUE!</v>
      </c>
      <c r="BW25" s="28" t="e">
        <f t="shared" si="22"/>
        <v>#VALUE!</v>
      </c>
      <c r="BX25" s="28" t="e">
        <f t="shared" si="23"/>
        <v>#VALUE!</v>
      </c>
      <c r="BY25" s="28" t="e">
        <f t="shared" si="24"/>
        <v>#VALUE!</v>
      </c>
      <c r="BZ25" s="52" t="e">
        <f t="shared" si="11"/>
        <v>#VALUE!</v>
      </c>
      <c r="CA25" s="39"/>
      <c r="CB25" s="49" t="str">
        <f t="shared" si="25"/>
        <v>-</v>
      </c>
      <c r="CC25" s="29" t="str">
        <f t="shared" si="26"/>
        <v>-</v>
      </c>
      <c r="CD25" s="29" t="str">
        <f t="shared" si="27"/>
        <v>-</v>
      </c>
      <c r="CE25" s="29" t="str">
        <f t="shared" si="28"/>
        <v>-</v>
      </c>
      <c r="CF25" s="50" t="str">
        <f t="shared" si="29"/>
        <v>-</v>
      </c>
      <c r="CG25" s="39"/>
    </row>
    <row r="26" spans="1:85" s="27" customFormat="1" ht="12.4" customHeight="1" thickBot="1" x14ac:dyDescent="0.25">
      <c r="A26" s="43">
        <f t="shared" si="30"/>
        <v>46318</v>
      </c>
      <c r="B26" s="44" t="str">
        <f t="shared" si="0"/>
        <v>Fri</v>
      </c>
      <c r="C26" s="2">
        <f>SUM(EL_DEL_CD1_STH_PTP_!C26,'Overall without PTP '!C26,ELEVATE_CD3_NTH_HB!C26,ELEVATE_CD3_STAB_HB!C26,ELEVATE_CD3_PTP_HB!C26)</f>
        <v>0</v>
      </c>
      <c r="D26" s="2">
        <f>SUM(EL_DEL_CD1_STH_PTP_!D26,'Overall without PTP '!D26,ELEVATE_CD3_NTH_HB!D26,ELEVATE_CD3_STAB_HB!D26,ELEVATE_CD3_PTP_HB!D26)</f>
        <v>0</v>
      </c>
      <c r="E26" s="3">
        <f>SUM(EL_DEL_CD1_STH_PTP_!E26,'Overall without PTP '!E26,ELEVATE_CD3_NTH_HB!E26,ELEVATE_CD3_STAB_HB!E26,ELEVATE_CD3_PTP_HB!E26)</f>
        <v>0</v>
      </c>
      <c r="F26" s="2">
        <f>SUM(EL_DEL_CD1_STH_PTP_!F26,'Overall without PTP '!F26,ELEVATE_CD3_NTH_HB!F26,ELEVATE_CD3_STAB_HB!F26,ELEVATE_CD3_PTP_HB!F26)</f>
        <v>0</v>
      </c>
      <c r="G26" s="2">
        <f>SUM(EL_DEL_CD1_STH_PTP_!G26,'Overall without PTP '!G26,ELEVATE_CD3_NTH_HB!G26,ELEVATE_CD3_STAB_HB!G26,ELEVATE_CD3_PTP_HB!G26)</f>
        <v>0</v>
      </c>
      <c r="H26" s="4">
        <f>SUM(EL_DEL_CD1_STH_PTP_!H26,'Overall without PTP '!H26,ELEVATE_CD3_NTH_HB!H26,ELEVATE_CD3_STAB_HB!H26,ELEVATE_CD3_PTP_HB!H26)</f>
        <v>0</v>
      </c>
      <c r="I26" s="4">
        <f>SUM(EL_DEL_CD1_STH_PTP_!I26,'Overall without PTP '!I26,ELEVATE_CD3_NTH_HB!I26,ELEVATE_CD3_STAB_HB!I26,ELEVATE_CD3_PTP_HB!I26)</f>
        <v>0</v>
      </c>
      <c r="J26" s="57">
        <f>SUM(EL_DEL_CD1_STH_PTP_!J26,'Overall without PTP '!J26,ELEVATE_CD3_NTH_HB!J26,ELEVATE_CD3_STAB_HB!J26,ELEVATE_CD3_PTP_HB!J26)</f>
        <v>0</v>
      </c>
      <c r="K26" s="5">
        <f>SUM(EL_DEL_CD1_STH_PTP_!K26,'Overall without PTP '!K26,ELEVATE_CD3_NTH_HB!K26,ELEVATE_CD3_STAB_HB!K26,ELEVATE_CD3_PTP_HB!K26)</f>
        <v>0</v>
      </c>
      <c r="L26" s="2">
        <f>SUM(EL_DEL_CD1_STH_PTP_!L26,'Overall without PTP '!L26,ELEVATE_CD3_NTH_HB!L26,ELEVATE_CD3_STAB_HB!L26,ELEVATE_CD3_PTP_HB!L26)</f>
        <v>0</v>
      </c>
      <c r="M26" s="2">
        <f>SUM(EL_DEL_CD1_STH_PTP_!M26,'Overall without PTP '!M26,ELEVATE_CD3_NTH_HB!M26,ELEVATE_CD3_STAB_HB!M26,ELEVATE_CD3_PTP_HB!M26)</f>
        <v>0</v>
      </c>
      <c r="N26" s="2">
        <f>SUM(EL_DEL_CD1_STH_PTP_!N26,'Overall without PTP '!N26,ELEVATE_CD3_NTH_HB!N26,ELEVATE_CD3_STAB_HB!N26,ELEVATE_CD3_PTP_HB!N26)</f>
        <v>0</v>
      </c>
      <c r="O26" s="2">
        <f>SUM(EL_DEL_CD1_STH_PTP_!O26,'Overall without PTP '!O26,ELEVATE_CD3_NTH_HB!O26,ELEVATE_CD3_STAB_HB!O26,ELEVATE_CD3_PTP_HB!O26)</f>
        <v>0</v>
      </c>
      <c r="P26" s="3">
        <f>SUM(EL_DEL_CD1_STH_PTP_!P26,'Overall without PTP '!P26,ELEVATE_CD3_NTH_HB!P26,ELEVATE_CD3_STAB_HB!P26,ELEVATE_CD3_PTP_HB!P26)</f>
        <v>0</v>
      </c>
      <c r="Q26" s="2">
        <f>SUM(EL_DEL_CD1_STH_PTP_!Q26,'Overall without PTP '!Q26,ELEVATE_CD3_NTH_HB!Q26,ELEVATE_CD3_STAB_HB!Q26,ELEVATE_CD3_PTP_HB!Q26)</f>
        <v>0</v>
      </c>
      <c r="R26" s="2">
        <f>SUM(EL_DEL_CD1_STH_PTP_!R26,'Overall without PTP '!R26,ELEVATE_CD3_NTH_HB!R26,ELEVATE_CD3_STAB_HB!R26,ELEVATE_CD3_PTP_HB!R26)</f>
        <v>0</v>
      </c>
      <c r="S26" s="2">
        <f>SUM(EL_DEL_CD1_STH_PTP_!S26,'Overall without PTP '!S26,ELEVATE_CD3_NTH_HB!S26,ELEVATE_CD3_STAB_HB!S26,ELEVATE_CD3_PTP_HB!S26)</f>
        <v>0</v>
      </c>
      <c r="T26" s="2">
        <f>SUM(EL_DEL_CD1_STH_PTP_!T26,'Overall without PTP '!T26,ELEVATE_CD3_NTH_HB!T26,ELEVATE_CD3_STAB_HB!T26,ELEVATE_CD3_PTP_HB!T26)</f>
        <v>0</v>
      </c>
      <c r="U26" s="3">
        <f>SUM(EL_DEL_CD1_STH_PTP_!V26,'Overall without PTP '!V26,ELEVATE_CD3_NTH_HB!U26,ELEVATE_CD3_STAB_HB!U26,ELEVATE_CD3_PTP_HB!U26)</f>
        <v>0</v>
      </c>
      <c r="V26" s="3">
        <f>SUM(EL_DEL_CD1_STH_PTP_!W26,'Overall without PTP '!W26,ELEVATE_CD3_NTH_HB!V26,ELEVATE_CD3_STAB_HB!V26,ELEVATE_CD3_PTP_HB!V26)</f>
        <v>0</v>
      </c>
      <c r="W26" s="2">
        <f>SUM(EL_DEL_CD1_STH_PTP_!X26,'Overall without PTP '!X26,ELEVATE_CD3_NTH_HB!W26,ELEVATE_CD3_STAB_HB!W26,ELEVATE_CD3_PTP_HB!W26)</f>
        <v>0</v>
      </c>
      <c r="X26" s="2">
        <f>SUM(EL_DEL_CD1_STH_PTP_!Y26,'Overall without PTP '!Y26,ELEVATE_CD3_NTH_HB!X26,ELEVATE_CD3_STAB_HB!X26,ELEVATE_CD3_PTP_HB!X26)</f>
        <v>0</v>
      </c>
      <c r="Y26" s="2">
        <f>SUM(EL_DEL_CD1_STH_PTP_!Z26,'Overall without PTP '!Z26,ELEVATE_CD3_NTH_HB!Y26,ELEVATE_CD3_STAB_HB!Y26,ELEVATE_CD3_PTP_HB!Y26)</f>
        <v>0</v>
      </c>
      <c r="Z26" s="2">
        <f>SUM(EL_DEL_CD1_STH_PTP_!AA26,'Overall without PTP '!AA26,ELEVATE_CD3_NTH_HB!Z26,ELEVATE_CD3_STAB_HB!Z26,ELEVATE_CD3_PTP_HB!Z26)</f>
        <v>0</v>
      </c>
      <c r="AA26" s="2">
        <f>SUM(EL_DEL_CD1_STH_PTP_!AB26,'Overall without PTP '!AB26,ELEVATE_CD3_NTH_HB!AA26,ELEVATE_CD3_STAB_HB!AA26,ELEVATE_CD3_PTP_HB!AA26)</f>
        <v>0</v>
      </c>
      <c r="AB26" s="2">
        <f>SUM(EL_DEL_CD1_STH_PTP_!AC26,'Overall without PTP '!AC26,ELEVATE_CD3_NTH_HB!AB26,ELEVATE_CD3_STAB_HB!AB26,ELEVATE_CD3_PTP_HB!AB26)</f>
        <v>0</v>
      </c>
      <c r="AC26" s="2">
        <f>SUM(EL_DEL_CD1_STH_PTP_!AD26,'Overall without PTP '!AD26,ELEVATE_CD3_NTH_HB!AC26,ELEVATE_CD3_STAB_HB!AC26,ELEVATE_CD3_PTP_HB!AC26)</f>
        <v>0</v>
      </c>
      <c r="AD26" s="2">
        <f>SUM(EL_DEL_CD1_STH_PTP_!AE26,'Overall without PTP '!AE26,ELEVATE_CD3_NTH_HB!AD26,ELEVATE_CD3_STAB_HB!AD26,ELEVATE_CD3_PTP_HB!AD26)</f>
        <v>0</v>
      </c>
      <c r="AE26" s="3">
        <f>SUM(EL_DEL_CD1_STH_PTP_!AF26,'Overall without PTP '!AF26,ELEVATE_CD3_NTH_HB!AE26,ELEVATE_CD3_STAB_HB!AE26,ELEVATE_CD3_PTP_HB!AE26)</f>
        <v>0</v>
      </c>
      <c r="AF26" s="3">
        <f>SUM(EL_DEL_CD1_STH_PTP_!AG26,'Overall without PTP '!AG26,ELEVATE_CD3_NTH_HB!AF26,ELEVATE_CD3_STAB_HB!AF26,ELEVATE_CD3_PTP_HB!AF26)</f>
        <v>0</v>
      </c>
      <c r="AG26" s="2">
        <f>SUM(EL_DEL_CD1_STH_PTP_!AH26,'Overall without PTP '!AH26,ELEVATE_CD3_NTH_HB!AG26,ELEVATE_CD3_STAB_HB!AG26,ELEVATE_CD3_PTP_HB!AG26)</f>
        <v>0</v>
      </c>
      <c r="AH26" s="6">
        <f>SUM(EL_DEL_CD1_STH_PTP_!AI26,'Overall without PTP '!AI26,ELEVATE_CD3_NTH_HB!AH26,ELEVATE_CD3_STAB_HB!AH26,ELEVATE_CD3_PTP_HB!AH26)</f>
        <v>0</v>
      </c>
      <c r="AI26" s="7">
        <f>SUM(EL_DEL_CD1_STH_PTP_!AJ26,'Overall without PTP '!AJ26,ELEVATE_CD3_NTH_HB!AI26,ELEVATE_CD3_STAB_HB!AI26,ELEVATE_CD3_PTP_HB!AI26)</f>
        <v>0</v>
      </c>
      <c r="AJ26" s="6">
        <f>SUM(EL_DEL_CD1_STH_PTP_!AK26,'Overall without PTP '!AK26,ELEVATE_CD3_NTH_HB!AJ26,ELEVATE_CD3_STAB_HB!AJ26,ELEVATE_CD3_PTP_HB!AJ26)</f>
        <v>0</v>
      </c>
      <c r="AK26" s="59" t="str">
        <f>IFERROR(AVERAGE(EL_DEL_CD1_STH_PTP_!AL26,'Overall without PTP '!AL26,ELEVATE_CD3_NTH_HB!AK26,ELEVATE_CD3_STAB_HB!AK26,ELEVATE_CD3_PTP_HB!AK26),"")</f>
        <v/>
      </c>
      <c r="AL26" s="59" t="str">
        <f>IFERROR(AVERAGE(EL_DEL_CD1_STH_PTP_!AM26,'Overall without PTP '!AM26,ELEVATE_CD3_NTH_HB!AL26,ELEVATE_CD3_STAB_HB!AL26,ELEVATE_CD3_PTP_HB!AL26),"")</f>
        <v/>
      </c>
      <c r="AM26" s="59" t="str">
        <f>IFERROR(AVERAGE(EL_DEL_CD1_STH_PTP_!AN26,'Overall without PTP '!AN26,ELEVATE_CD3_NTH_HB!AM26,ELEVATE_CD3_STAB_HB!AM26,ELEVATE_CD3_PTP_HB!AM26),"")</f>
        <v/>
      </c>
      <c r="AN26" s="59" t="str">
        <f>IFERROR(AVERAGE(EL_DEL_CD1_STH_PTP_!AO26,'Overall without PTP '!AO26,ELEVATE_CD3_NTH_HB!AN26,ELEVATE_CD3_STAB_HB!AN26,ELEVATE_CD3_PTP_HB!AN26),"")</f>
        <v/>
      </c>
      <c r="AO26" s="59" t="str">
        <f>IFERROR(AVERAGE(EL_DEL_CD1_STH_PTP_!AP26,'Overall without PTP '!AP26,ELEVATE_CD3_NTH_HB!AO26,ELEVATE_CD3_STAB_HB!AO26,ELEVATE_CD3_PTP_HB!AO26),"")</f>
        <v/>
      </c>
      <c r="AP26" s="59" t="str">
        <f>IFERROR(AVERAGE(EL_DEL_CD1_STH_PTP_!AQ26,'Overall without PTP '!AQ26,ELEVATE_CD3_NTH_HB!AP26,ELEVATE_CD3_STAB_HB!AP26,ELEVATE_CD3_PTP_HB!AP26),"")</f>
        <v/>
      </c>
      <c r="AQ26" s="59" t="str">
        <f>IFERROR(AVERAGE(EL_DEL_CD1_STH_PTP_!AR26,'Overall without PTP '!AR26,ELEVATE_CD3_NTH_HB!AQ26,ELEVATE_CD3_STAB_HB!AQ26,ELEVATE_CD3_PTP_HB!AQ26),"")</f>
        <v/>
      </c>
      <c r="AR26" s="59" t="str">
        <f>IFERROR(AVERAGE(EL_DEL_CD1_STH_PTP_!AS26,'Overall without PTP '!AS26,ELEVATE_CD3_NTH_HB!AR26,ELEVATE_CD3_STAB_HB!AR26,ELEVATE_CD3_PTP_HB!AR26),"")</f>
        <v/>
      </c>
      <c r="AS26" s="8">
        <f>SUM(EL_DEL_CD1_STH_PTP_!AT26,'Overall without PTP '!AT26,ELEVATE_CD3_NTH_HB!AS26,ELEVATE_CD3_STAB_HB!AS26,ELEVATE_CD3_PTP_HB!AS26)</f>
        <v>0</v>
      </c>
      <c r="AT26" s="8">
        <f>SUM(EL_DEL_CD1_STH_PTP_!AU26,'Overall without PTP '!AU26,ELEVATE_CD3_NTH_HB!AT26,ELEVATE_CD3_STAB_HB!AT26,ELEVATE_CD3_PTP_HB!AT26)</f>
        <v>0</v>
      </c>
      <c r="AU26" s="9">
        <f>SUM(EL_DEL_CD1_STH_PTP_!AV26,'Overall without PTP '!AV26,ELEVATE_CD3_NTH_HB!AU26,ELEVATE_CD3_STAB_HB!AU26,ELEVATE_CD3_PTP_HB!AU26)</f>
        <v>0</v>
      </c>
      <c r="AV26" s="8">
        <f>IFERROR(AVERAGE(EL_DEL_CD1_STH_PTP_!AW26,'Overall without PTP '!AW26,ELEVATE_CD3_NTH_HB!AV26,ELEVATE_CD3_STAB_HB!AV26,ELEVATE_CD3_PTP_HB!AV26),"")</f>
        <v>0</v>
      </c>
      <c r="AW26" s="10" t="str">
        <f t="shared" si="12"/>
        <v>-</v>
      </c>
      <c r="AX26" s="39"/>
      <c r="AY26" s="1" t="str">
        <f t="shared" si="1"/>
        <v/>
      </c>
      <c r="AZ26" s="11" t="str">
        <f t="shared" si="2"/>
        <v/>
      </c>
      <c r="BA26" s="1" t="str">
        <f t="shared" si="3"/>
        <v/>
      </c>
      <c r="BB26" s="39"/>
      <c r="BC26" s="82" t="str">
        <f t="shared" si="13"/>
        <v/>
      </c>
      <c r="BD26" s="70" t="str">
        <f t="shared" si="14"/>
        <v/>
      </c>
      <c r="BE26" s="70" t="str">
        <f t="shared" si="15"/>
        <v/>
      </c>
      <c r="BF26" s="70" t="str">
        <f t="shared" si="16"/>
        <v/>
      </c>
      <c r="BG26" s="70" t="str">
        <f t="shared" si="17"/>
        <v/>
      </c>
      <c r="BH26" s="83" t="str">
        <f t="shared" si="18"/>
        <v/>
      </c>
      <c r="BI26" s="39"/>
      <c r="BJ26" s="75" t="str">
        <f t="shared" si="4"/>
        <v/>
      </c>
      <c r="BK26" s="76" t="str">
        <f t="shared" si="5"/>
        <v/>
      </c>
      <c r="BL26" s="76" t="str">
        <f t="shared" si="6"/>
        <v/>
      </c>
      <c r="BM26" s="77" t="str">
        <f t="shared" si="7"/>
        <v/>
      </c>
      <c r="BN26" s="39"/>
      <c r="BO26" s="14" t="str">
        <f t="shared" si="19"/>
        <v/>
      </c>
      <c r="BP26" s="15">
        <v>0</v>
      </c>
      <c r="BQ26" s="74" t="str">
        <f t="shared" si="8"/>
        <v/>
      </c>
      <c r="BR26" s="15" t="str">
        <f t="shared" si="9"/>
        <v/>
      </c>
      <c r="BS26" s="16" t="str">
        <f t="shared" si="20"/>
        <v/>
      </c>
      <c r="BT26" s="39"/>
      <c r="BU26" s="51" t="e">
        <f t="shared" si="10"/>
        <v>#VALUE!</v>
      </c>
      <c r="BV26" s="28" t="e">
        <f t="shared" si="21"/>
        <v>#VALUE!</v>
      </c>
      <c r="BW26" s="28" t="e">
        <f t="shared" si="22"/>
        <v>#VALUE!</v>
      </c>
      <c r="BX26" s="28" t="e">
        <f t="shared" si="23"/>
        <v>#VALUE!</v>
      </c>
      <c r="BY26" s="28" t="e">
        <f t="shared" si="24"/>
        <v>#VALUE!</v>
      </c>
      <c r="BZ26" s="52" t="e">
        <f t="shared" si="11"/>
        <v>#VALUE!</v>
      </c>
      <c r="CA26" s="39"/>
      <c r="CB26" s="49" t="str">
        <f t="shared" si="25"/>
        <v>-</v>
      </c>
      <c r="CC26" s="29" t="str">
        <f t="shared" si="26"/>
        <v>-</v>
      </c>
      <c r="CD26" s="29" t="str">
        <f t="shared" si="27"/>
        <v>-</v>
      </c>
      <c r="CE26" s="29" t="str">
        <f t="shared" si="28"/>
        <v>-</v>
      </c>
      <c r="CF26" s="50" t="str">
        <f t="shared" si="29"/>
        <v>-</v>
      </c>
      <c r="CG26" s="39"/>
    </row>
    <row r="27" spans="1:85" s="27" customFormat="1" ht="12.4" customHeight="1" thickBot="1" x14ac:dyDescent="0.25">
      <c r="A27" s="43">
        <f t="shared" si="30"/>
        <v>46319</v>
      </c>
      <c r="B27" s="44" t="str">
        <f t="shared" si="0"/>
        <v>Sat</v>
      </c>
      <c r="C27" s="2">
        <f>SUM(EL_DEL_CD1_STH_PTP_!C27,'Overall without PTP '!C27,ELEVATE_CD3_NTH_HB!C27,ELEVATE_CD3_STAB_HB!C27,ELEVATE_CD3_PTP_HB!C27)</f>
        <v>0</v>
      </c>
      <c r="D27" s="2">
        <f>SUM(EL_DEL_CD1_STH_PTP_!D27,'Overall without PTP '!D27,ELEVATE_CD3_NTH_HB!D27,ELEVATE_CD3_STAB_HB!D27,ELEVATE_CD3_PTP_HB!D27)</f>
        <v>0</v>
      </c>
      <c r="E27" s="3">
        <f>SUM(EL_DEL_CD1_STH_PTP_!E27,'Overall without PTP '!E27,ELEVATE_CD3_NTH_HB!E27,ELEVATE_CD3_STAB_HB!E27,ELEVATE_CD3_PTP_HB!E27)</f>
        <v>0</v>
      </c>
      <c r="F27" s="2">
        <f>SUM(EL_DEL_CD1_STH_PTP_!F27,'Overall without PTP '!F27,ELEVATE_CD3_NTH_HB!F27,ELEVATE_CD3_STAB_HB!F27,ELEVATE_CD3_PTP_HB!F27)</f>
        <v>0</v>
      </c>
      <c r="G27" s="2">
        <f>SUM(EL_DEL_CD1_STH_PTP_!G27,'Overall without PTP '!G27,ELEVATE_CD3_NTH_HB!G27,ELEVATE_CD3_STAB_HB!G27,ELEVATE_CD3_PTP_HB!G27)</f>
        <v>0</v>
      </c>
      <c r="H27" s="4">
        <f>SUM(EL_DEL_CD1_STH_PTP_!H27,'Overall without PTP '!H27,ELEVATE_CD3_NTH_HB!H27,ELEVATE_CD3_STAB_HB!H27,ELEVATE_CD3_PTP_HB!H27)</f>
        <v>0</v>
      </c>
      <c r="I27" s="4">
        <f>SUM(EL_DEL_CD1_STH_PTP_!I27,'Overall without PTP '!I27,ELEVATE_CD3_NTH_HB!I27,ELEVATE_CD3_STAB_HB!I27,ELEVATE_CD3_PTP_HB!I27)</f>
        <v>0</v>
      </c>
      <c r="J27" s="57">
        <f>SUM(EL_DEL_CD1_STH_PTP_!J27,'Overall without PTP '!J27,ELEVATE_CD3_NTH_HB!J27,ELEVATE_CD3_STAB_HB!J27,ELEVATE_CD3_PTP_HB!J27)</f>
        <v>0</v>
      </c>
      <c r="K27" s="5">
        <f>SUM(EL_DEL_CD1_STH_PTP_!K27,'Overall without PTP '!K27,ELEVATE_CD3_NTH_HB!K27,ELEVATE_CD3_STAB_HB!K27,ELEVATE_CD3_PTP_HB!K27)</f>
        <v>0</v>
      </c>
      <c r="L27" s="2">
        <f>SUM(EL_DEL_CD1_STH_PTP_!L27,'Overall without PTP '!L27,ELEVATE_CD3_NTH_HB!L27,ELEVATE_CD3_STAB_HB!L27,ELEVATE_CD3_PTP_HB!L27)</f>
        <v>0</v>
      </c>
      <c r="M27" s="2">
        <f>SUM(EL_DEL_CD1_STH_PTP_!M27,'Overall without PTP '!M27,ELEVATE_CD3_NTH_HB!M27,ELEVATE_CD3_STAB_HB!M27,ELEVATE_CD3_PTP_HB!M27)</f>
        <v>0</v>
      </c>
      <c r="N27" s="2">
        <f>SUM(EL_DEL_CD1_STH_PTP_!N27,'Overall without PTP '!N27,ELEVATE_CD3_NTH_HB!N27,ELEVATE_CD3_STAB_HB!N27,ELEVATE_CD3_PTP_HB!N27)</f>
        <v>0</v>
      </c>
      <c r="O27" s="2">
        <f>SUM(EL_DEL_CD1_STH_PTP_!O27,'Overall without PTP '!O27,ELEVATE_CD3_NTH_HB!O27,ELEVATE_CD3_STAB_HB!O27,ELEVATE_CD3_PTP_HB!O27)</f>
        <v>0</v>
      </c>
      <c r="P27" s="3">
        <f>SUM(EL_DEL_CD1_STH_PTP_!P27,'Overall without PTP '!P27,ELEVATE_CD3_NTH_HB!P27,ELEVATE_CD3_STAB_HB!P27,ELEVATE_CD3_PTP_HB!P27)</f>
        <v>0</v>
      </c>
      <c r="Q27" s="2">
        <f>SUM(EL_DEL_CD1_STH_PTP_!Q27,'Overall without PTP '!Q27,ELEVATE_CD3_NTH_HB!Q27,ELEVATE_CD3_STAB_HB!Q27,ELEVATE_CD3_PTP_HB!Q27)</f>
        <v>0</v>
      </c>
      <c r="R27" s="2">
        <f>SUM(EL_DEL_CD1_STH_PTP_!R27,'Overall without PTP '!R27,ELEVATE_CD3_NTH_HB!R27,ELEVATE_CD3_STAB_HB!R27,ELEVATE_CD3_PTP_HB!R27)</f>
        <v>0</v>
      </c>
      <c r="S27" s="2">
        <f>SUM(EL_DEL_CD1_STH_PTP_!S27,'Overall without PTP '!S27,ELEVATE_CD3_NTH_HB!S27,ELEVATE_CD3_STAB_HB!S27,ELEVATE_CD3_PTP_HB!S27)</f>
        <v>0</v>
      </c>
      <c r="T27" s="2">
        <f>SUM(EL_DEL_CD1_STH_PTP_!T27,'Overall without PTP '!T27,ELEVATE_CD3_NTH_HB!T27,ELEVATE_CD3_STAB_HB!T27,ELEVATE_CD3_PTP_HB!T27)</f>
        <v>0</v>
      </c>
      <c r="U27" s="3">
        <f>SUM(EL_DEL_CD1_STH_PTP_!V27,'Overall without PTP '!V27,ELEVATE_CD3_NTH_HB!U27,ELEVATE_CD3_STAB_HB!U27,ELEVATE_CD3_PTP_HB!U27)</f>
        <v>0</v>
      </c>
      <c r="V27" s="3">
        <f>SUM(EL_DEL_CD1_STH_PTP_!W27,'Overall without PTP '!W27,ELEVATE_CD3_NTH_HB!V27,ELEVATE_CD3_STAB_HB!V27,ELEVATE_CD3_PTP_HB!V27)</f>
        <v>0</v>
      </c>
      <c r="W27" s="2">
        <f>SUM(EL_DEL_CD1_STH_PTP_!X27,'Overall without PTP '!X27,ELEVATE_CD3_NTH_HB!W27,ELEVATE_CD3_STAB_HB!W27,ELEVATE_CD3_PTP_HB!W27)</f>
        <v>0</v>
      </c>
      <c r="X27" s="2">
        <f>SUM(EL_DEL_CD1_STH_PTP_!Y27,'Overall without PTP '!Y27,ELEVATE_CD3_NTH_HB!X27,ELEVATE_CD3_STAB_HB!X27,ELEVATE_CD3_PTP_HB!X27)</f>
        <v>0</v>
      </c>
      <c r="Y27" s="2">
        <f>SUM(EL_DEL_CD1_STH_PTP_!Z27,'Overall without PTP '!Z27,ELEVATE_CD3_NTH_HB!Y27,ELEVATE_CD3_STAB_HB!Y27,ELEVATE_CD3_PTP_HB!Y27)</f>
        <v>0</v>
      </c>
      <c r="Z27" s="2">
        <f>SUM(EL_DEL_CD1_STH_PTP_!AA27,'Overall without PTP '!AA27,ELEVATE_CD3_NTH_HB!Z27,ELEVATE_CD3_STAB_HB!Z27,ELEVATE_CD3_PTP_HB!Z27)</f>
        <v>0</v>
      </c>
      <c r="AA27" s="2">
        <f>SUM(EL_DEL_CD1_STH_PTP_!AB27,'Overall without PTP '!AB27,ELEVATE_CD3_NTH_HB!AA27,ELEVATE_CD3_STAB_HB!AA27,ELEVATE_CD3_PTP_HB!AA27)</f>
        <v>0</v>
      </c>
      <c r="AB27" s="2">
        <f>SUM(EL_DEL_CD1_STH_PTP_!AC27,'Overall without PTP '!AC27,ELEVATE_CD3_NTH_HB!AB27,ELEVATE_CD3_STAB_HB!AB27,ELEVATE_CD3_PTP_HB!AB27)</f>
        <v>0</v>
      </c>
      <c r="AC27" s="2">
        <f>SUM(EL_DEL_CD1_STH_PTP_!AD27,'Overall without PTP '!AD27,ELEVATE_CD3_NTH_HB!AC27,ELEVATE_CD3_STAB_HB!AC27,ELEVATE_CD3_PTP_HB!AC27)</f>
        <v>0</v>
      </c>
      <c r="AD27" s="2">
        <f>SUM(EL_DEL_CD1_STH_PTP_!AE27,'Overall without PTP '!AE27,ELEVATE_CD3_NTH_HB!AD27,ELEVATE_CD3_STAB_HB!AD27,ELEVATE_CD3_PTP_HB!AD27)</f>
        <v>0</v>
      </c>
      <c r="AE27" s="3">
        <f>SUM(EL_DEL_CD1_STH_PTP_!AF27,'Overall without PTP '!AF27,ELEVATE_CD3_NTH_HB!AE27,ELEVATE_CD3_STAB_HB!AE27,ELEVATE_CD3_PTP_HB!AE27)</f>
        <v>0</v>
      </c>
      <c r="AF27" s="3">
        <f>SUM(EL_DEL_CD1_STH_PTP_!AG27,'Overall without PTP '!AG27,ELEVATE_CD3_NTH_HB!AF27,ELEVATE_CD3_STAB_HB!AF27,ELEVATE_CD3_PTP_HB!AF27)</f>
        <v>0</v>
      </c>
      <c r="AG27" s="2">
        <f>SUM(EL_DEL_CD1_STH_PTP_!AH27,'Overall without PTP '!AH27,ELEVATE_CD3_NTH_HB!AG27,ELEVATE_CD3_STAB_HB!AG27,ELEVATE_CD3_PTP_HB!AG27)</f>
        <v>0</v>
      </c>
      <c r="AH27" s="6">
        <f>SUM(EL_DEL_CD1_STH_PTP_!AI27,'Overall without PTP '!AI27,ELEVATE_CD3_NTH_HB!AH27,ELEVATE_CD3_STAB_HB!AH27,ELEVATE_CD3_PTP_HB!AH27)</f>
        <v>0</v>
      </c>
      <c r="AI27" s="7">
        <f>SUM(EL_DEL_CD1_STH_PTP_!AJ27,'Overall without PTP '!AJ27,ELEVATE_CD3_NTH_HB!AI27,ELEVATE_CD3_STAB_HB!AI27,ELEVATE_CD3_PTP_HB!AI27)</f>
        <v>0</v>
      </c>
      <c r="AJ27" s="6">
        <f>SUM(EL_DEL_CD1_STH_PTP_!AK27,'Overall without PTP '!AK27,ELEVATE_CD3_NTH_HB!AJ27,ELEVATE_CD3_STAB_HB!AJ27,ELEVATE_CD3_PTP_HB!AJ27)</f>
        <v>0</v>
      </c>
      <c r="AK27" s="59" t="str">
        <f>IFERROR(AVERAGE(EL_DEL_CD1_STH_PTP_!AL27,'Overall without PTP '!AL27,ELEVATE_CD3_NTH_HB!AK27,ELEVATE_CD3_STAB_HB!AK27,ELEVATE_CD3_PTP_HB!AK27),"")</f>
        <v/>
      </c>
      <c r="AL27" s="59" t="str">
        <f>IFERROR(AVERAGE(EL_DEL_CD1_STH_PTP_!AM27,'Overall without PTP '!AM27,ELEVATE_CD3_NTH_HB!AL27,ELEVATE_CD3_STAB_HB!AL27,ELEVATE_CD3_PTP_HB!AL27),"")</f>
        <v/>
      </c>
      <c r="AM27" s="59" t="str">
        <f>IFERROR(AVERAGE(EL_DEL_CD1_STH_PTP_!AN27,'Overall without PTP '!AN27,ELEVATE_CD3_NTH_HB!AM27,ELEVATE_CD3_STAB_HB!AM27,ELEVATE_CD3_PTP_HB!AM27),"")</f>
        <v/>
      </c>
      <c r="AN27" s="59" t="str">
        <f>IFERROR(AVERAGE(EL_DEL_CD1_STH_PTP_!AO27,'Overall without PTP '!AO27,ELEVATE_CD3_NTH_HB!AN27,ELEVATE_CD3_STAB_HB!AN27,ELEVATE_CD3_PTP_HB!AN27),"")</f>
        <v/>
      </c>
      <c r="AO27" s="59" t="str">
        <f>IFERROR(AVERAGE(EL_DEL_CD1_STH_PTP_!AP27,'Overall without PTP '!AP27,ELEVATE_CD3_NTH_HB!AO27,ELEVATE_CD3_STAB_HB!AO27,ELEVATE_CD3_PTP_HB!AO27),"")</f>
        <v/>
      </c>
      <c r="AP27" s="59" t="str">
        <f>IFERROR(AVERAGE(EL_DEL_CD1_STH_PTP_!AQ27,'Overall without PTP '!AQ27,ELEVATE_CD3_NTH_HB!AP27,ELEVATE_CD3_STAB_HB!AP27,ELEVATE_CD3_PTP_HB!AP27),"")</f>
        <v/>
      </c>
      <c r="AQ27" s="59" t="str">
        <f>IFERROR(AVERAGE(EL_DEL_CD1_STH_PTP_!AR27,'Overall without PTP '!AR27,ELEVATE_CD3_NTH_HB!AQ27,ELEVATE_CD3_STAB_HB!AQ27,ELEVATE_CD3_PTP_HB!AQ27),"")</f>
        <v/>
      </c>
      <c r="AR27" s="59" t="str">
        <f>IFERROR(AVERAGE(EL_DEL_CD1_STH_PTP_!AS27,'Overall without PTP '!AS27,ELEVATE_CD3_NTH_HB!AR27,ELEVATE_CD3_STAB_HB!AR27,ELEVATE_CD3_PTP_HB!AR27),"")</f>
        <v/>
      </c>
      <c r="AS27" s="8">
        <f>SUM(EL_DEL_CD1_STH_PTP_!AT27,'Overall without PTP '!AT27,ELEVATE_CD3_NTH_HB!AS27,ELEVATE_CD3_STAB_HB!AS27,ELEVATE_CD3_PTP_HB!AS27)</f>
        <v>0</v>
      </c>
      <c r="AT27" s="8">
        <f>SUM(EL_DEL_CD1_STH_PTP_!AU27,'Overall without PTP '!AU27,ELEVATE_CD3_NTH_HB!AT27,ELEVATE_CD3_STAB_HB!AT27,ELEVATE_CD3_PTP_HB!AT27)</f>
        <v>0</v>
      </c>
      <c r="AU27" s="9">
        <f>SUM(EL_DEL_CD1_STH_PTP_!AV27,'Overall without PTP '!AV27,ELEVATE_CD3_NTH_HB!AU27,ELEVATE_CD3_STAB_HB!AU27,ELEVATE_CD3_PTP_HB!AU27)</f>
        <v>0</v>
      </c>
      <c r="AV27" s="8">
        <f>IFERROR(AVERAGE(EL_DEL_CD1_STH_PTP_!AW27,'Overall without PTP '!AW27,ELEVATE_CD3_NTH_HB!AV27,ELEVATE_CD3_STAB_HB!AV27,ELEVATE_CD3_PTP_HB!AV27),"")</f>
        <v>0</v>
      </c>
      <c r="AW27" s="10" t="str">
        <f t="shared" si="12"/>
        <v>-</v>
      </c>
      <c r="AX27" s="39"/>
      <c r="AY27" s="1" t="str">
        <f t="shared" si="1"/>
        <v/>
      </c>
      <c r="AZ27" s="11" t="str">
        <f t="shared" si="2"/>
        <v/>
      </c>
      <c r="BA27" s="1" t="str">
        <f t="shared" si="3"/>
        <v/>
      </c>
      <c r="BB27" s="39"/>
      <c r="BC27" s="82" t="str">
        <f t="shared" si="13"/>
        <v/>
      </c>
      <c r="BD27" s="70" t="str">
        <f t="shared" si="14"/>
        <v/>
      </c>
      <c r="BE27" s="70" t="str">
        <f t="shared" si="15"/>
        <v/>
      </c>
      <c r="BF27" s="70" t="str">
        <f t="shared" si="16"/>
        <v/>
      </c>
      <c r="BG27" s="70" t="str">
        <f t="shared" si="17"/>
        <v/>
      </c>
      <c r="BH27" s="83" t="str">
        <f t="shared" si="18"/>
        <v/>
      </c>
      <c r="BI27" s="39"/>
      <c r="BJ27" s="75" t="str">
        <f t="shared" si="4"/>
        <v/>
      </c>
      <c r="BK27" s="76" t="str">
        <f t="shared" si="5"/>
        <v/>
      </c>
      <c r="BL27" s="76" t="str">
        <f t="shared" si="6"/>
        <v/>
      </c>
      <c r="BM27" s="77" t="str">
        <f t="shared" si="7"/>
        <v/>
      </c>
      <c r="BN27" s="39"/>
      <c r="BO27" s="14" t="str">
        <f t="shared" si="19"/>
        <v/>
      </c>
      <c r="BP27" s="15">
        <v>0</v>
      </c>
      <c r="BQ27" s="74" t="str">
        <f t="shared" si="8"/>
        <v/>
      </c>
      <c r="BR27" s="15" t="str">
        <f t="shared" si="9"/>
        <v/>
      </c>
      <c r="BS27" s="16" t="str">
        <f t="shared" si="20"/>
        <v/>
      </c>
      <c r="BT27" s="39"/>
      <c r="BU27" s="51" t="e">
        <f t="shared" si="10"/>
        <v>#VALUE!</v>
      </c>
      <c r="BV27" s="28" t="e">
        <f t="shared" si="21"/>
        <v>#VALUE!</v>
      </c>
      <c r="BW27" s="28" t="e">
        <f t="shared" si="22"/>
        <v>#VALUE!</v>
      </c>
      <c r="BX27" s="28" t="e">
        <f t="shared" si="23"/>
        <v>#VALUE!</v>
      </c>
      <c r="BY27" s="28" t="e">
        <f t="shared" si="24"/>
        <v>#VALUE!</v>
      </c>
      <c r="BZ27" s="52" t="e">
        <f t="shared" si="11"/>
        <v>#VALUE!</v>
      </c>
      <c r="CA27" s="39"/>
      <c r="CB27" s="49" t="str">
        <f t="shared" si="25"/>
        <v>-</v>
      </c>
      <c r="CC27" s="29" t="str">
        <f t="shared" si="26"/>
        <v>-</v>
      </c>
      <c r="CD27" s="29" t="str">
        <f t="shared" si="27"/>
        <v>-</v>
      </c>
      <c r="CE27" s="29" t="str">
        <f t="shared" si="28"/>
        <v>-</v>
      </c>
      <c r="CF27" s="50" t="str">
        <f t="shared" si="29"/>
        <v>-</v>
      </c>
      <c r="CG27" s="39"/>
    </row>
    <row r="28" spans="1:85" s="27" customFormat="1" ht="12.4" customHeight="1" thickBot="1" x14ac:dyDescent="0.25">
      <c r="A28" s="43">
        <f t="shared" si="30"/>
        <v>46320</v>
      </c>
      <c r="B28" s="44" t="str">
        <f t="shared" si="0"/>
        <v>Sun</v>
      </c>
      <c r="C28" s="2">
        <f>SUM(EL_DEL_CD1_STH_PTP_!C28,'Overall without PTP '!C28,ELEVATE_CD3_NTH_HB!C28,ELEVATE_CD3_STAB_HB!C28,ELEVATE_CD3_PTP_HB!C28)</f>
        <v>0</v>
      </c>
      <c r="D28" s="2">
        <f>SUM(EL_DEL_CD1_STH_PTP_!D28,'Overall without PTP '!D28,ELEVATE_CD3_NTH_HB!D28,ELEVATE_CD3_STAB_HB!D28,ELEVATE_CD3_PTP_HB!D28)</f>
        <v>0</v>
      </c>
      <c r="E28" s="3">
        <f>SUM(EL_DEL_CD1_STH_PTP_!E28,'Overall without PTP '!E28,ELEVATE_CD3_NTH_HB!E28,ELEVATE_CD3_STAB_HB!E28,ELEVATE_CD3_PTP_HB!E28)</f>
        <v>0</v>
      </c>
      <c r="F28" s="2">
        <f>SUM(EL_DEL_CD1_STH_PTP_!F28,'Overall without PTP '!F28,ELEVATE_CD3_NTH_HB!F28,ELEVATE_CD3_STAB_HB!F28,ELEVATE_CD3_PTP_HB!F28)</f>
        <v>0</v>
      </c>
      <c r="G28" s="2">
        <f>SUM(EL_DEL_CD1_STH_PTP_!G28,'Overall without PTP '!G28,ELEVATE_CD3_NTH_HB!G28,ELEVATE_CD3_STAB_HB!G28,ELEVATE_CD3_PTP_HB!G28)</f>
        <v>0</v>
      </c>
      <c r="H28" s="4">
        <f>SUM(EL_DEL_CD1_STH_PTP_!H28,'Overall without PTP '!H28,ELEVATE_CD3_NTH_HB!H28,ELEVATE_CD3_STAB_HB!H28,ELEVATE_CD3_PTP_HB!H28)</f>
        <v>0</v>
      </c>
      <c r="I28" s="4">
        <f>SUM(EL_DEL_CD1_STH_PTP_!I28,'Overall without PTP '!I28,ELEVATE_CD3_NTH_HB!I28,ELEVATE_CD3_STAB_HB!I28,ELEVATE_CD3_PTP_HB!I28)</f>
        <v>0</v>
      </c>
      <c r="J28" s="57">
        <f>SUM(EL_DEL_CD1_STH_PTP_!J28,'Overall without PTP '!J28,ELEVATE_CD3_NTH_HB!J28,ELEVATE_CD3_STAB_HB!J28,ELEVATE_CD3_PTP_HB!J28)</f>
        <v>0</v>
      </c>
      <c r="K28" s="5">
        <f>SUM(EL_DEL_CD1_STH_PTP_!K28,'Overall without PTP '!K28,ELEVATE_CD3_NTH_HB!K28,ELEVATE_CD3_STAB_HB!K28,ELEVATE_CD3_PTP_HB!K28)</f>
        <v>0</v>
      </c>
      <c r="L28" s="2">
        <f>SUM(EL_DEL_CD1_STH_PTP_!L28,'Overall without PTP '!L28,ELEVATE_CD3_NTH_HB!L28,ELEVATE_CD3_STAB_HB!L28,ELEVATE_CD3_PTP_HB!L28)</f>
        <v>0</v>
      </c>
      <c r="M28" s="2">
        <f>SUM(EL_DEL_CD1_STH_PTP_!M28,'Overall without PTP '!M28,ELEVATE_CD3_NTH_HB!M28,ELEVATE_CD3_STAB_HB!M28,ELEVATE_CD3_PTP_HB!M28)</f>
        <v>0</v>
      </c>
      <c r="N28" s="2">
        <f>SUM(EL_DEL_CD1_STH_PTP_!N28,'Overall without PTP '!N28,ELEVATE_CD3_NTH_HB!N28,ELEVATE_CD3_STAB_HB!N28,ELEVATE_CD3_PTP_HB!N28)</f>
        <v>0</v>
      </c>
      <c r="O28" s="2">
        <f>SUM(EL_DEL_CD1_STH_PTP_!O28,'Overall without PTP '!O28,ELEVATE_CD3_NTH_HB!O28,ELEVATE_CD3_STAB_HB!O28,ELEVATE_CD3_PTP_HB!O28)</f>
        <v>0</v>
      </c>
      <c r="P28" s="3">
        <f>SUM(EL_DEL_CD1_STH_PTP_!P28,'Overall without PTP '!P28,ELEVATE_CD3_NTH_HB!P28,ELEVATE_CD3_STAB_HB!P28,ELEVATE_CD3_PTP_HB!P28)</f>
        <v>0</v>
      </c>
      <c r="Q28" s="2">
        <f>SUM(EL_DEL_CD1_STH_PTP_!Q28,'Overall without PTP '!Q28,ELEVATE_CD3_NTH_HB!Q28,ELEVATE_CD3_STAB_HB!Q28,ELEVATE_CD3_PTP_HB!Q28)</f>
        <v>0</v>
      </c>
      <c r="R28" s="2">
        <f>SUM(EL_DEL_CD1_STH_PTP_!R28,'Overall without PTP '!R28,ELEVATE_CD3_NTH_HB!R28,ELEVATE_CD3_STAB_HB!R28,ELEVATE_CD3_PTP_HB!R28)</f>
        <v>0</v>
      </c>
      <c r="S28" s="2">
        <f>SUM(EL_DEL_CD1_STH_PTP_!S28,'Overall without PTP '!S28,ELEVATE_CD3_NTH_HB!S28,ELEVATE_CD3_STAB_HB!S28,ELEVATE_CD3_PTP_HB!S28)</f>
        <v>0</v>
      </c>
      <c r="T28" s="2">
        <f>SUM(EL_DEL_CD1_STH_PTP_!T28,'Overall without PTP '!T28,ELEVATE_CD3_NTH_HB!T28,ELEVATE_CD3_STAB_HB!T28,ELEVATE_CD3_PTP_HB!T28)</f>
        <v>0</v>
      </c>
      <c r="U28" s="3">
        <f>SUM(EL_DEL_CD1_STH_PTP_!V28,'Overall without PTP '!V28,ELEVATE_CD3_NTH_HB!U28,ELEVATE_CD3_STAB_HB!U28,ELEVATE_CD3_PTP_HB!U28)</f>
        <v>0</v>
      </c>
      <c r="V28" s="3">
        <f>SUM(EL_DEL_CD1_STH_PTP_!W28,'Overall without PTP '!W28,ELEVATE_CD3_NTH_HB!V28,ELEVATE_CD3_STAB_HB!V28,ELEVATE_CD3_PTP_HB!V28)</f>
        <v>0</v>
      </c>
      <c r="W28" s="2">
        <f>SUM(EL_DEL_CD1_STH_PTP_!X28,'Overall without PTP '!X28,ELEVATE_CD3_NTH_HB!W28,ELEVATE_CD3_STAB_HB!W28,ELEVATE_CD3_PTP_HB!W28)</f>
        <v>0</v>
      </c>
      <c r="X28" s="2">
        <f>SUM(EL_DEL_CD1_STH_PTP_!Y28,'Overall without PTP '!Y28,ELEVATE_CD3_NTH_HB!X28,ELEVATE_CD3_STAB_HB!X28,ELEVATE_CD3_PTP_HB!X28)</f>
        <v>0</v>
      </c>
      <c r="Y28" s="2">
        <f>SUM(EL_DEL_CD1_STH_PTP_!Z28,'Overall without PTP '!Z28,ELEVATE_CD3_NTH_HB!Y28,ELEVATE_CD3_STAB_HB!Y28,ELEVATE_CD3_PTP_HB!Y28)</f>
        <v>0</v>
      </c>
      <c r="Z28" s="2">
        <f>SUM(EL_DEL_CD1_STH_PTP_!AA28,'Overall without PTP '!AA28,ELEVATE_CD3_NTH_HB!Z28,ELEVATE_CD3_STAB_HB!Z28,ELEVATE_CD3_PTP_HB!Z28)</f>
        <v>0</v>
      </c>
      <c r="AA28" s="2">
        <f>SUM(EL_DEL_CD1_STH_PTP_!AB28,'Overall without PTP '!AB28,ELEVATE_CD3_NTH_HB!AA28,ELEVATE_CD3_STAB_HB!AA28,ELEVATE_CD3_PTP_HB!AA28)</f>
        <v>0</v>
      </c>
      <c r="AB28" s="2">
        <f>SUM(EL_DEL_CD1_STH_PTP_!AC28,'Overall without PTP '!AC28,ELEVATE_CD3_NTH_HB!AB28,ELEVATE_CD3_STAB_HB!AB28,ELEVATE_CD3_PTP_HB!AB28)</f>
        <v>0</v>
      </c>
      <c r="AC28" s="2">
        <f>SUM(EL_DEL_CD1_STH_PTP_!AD28,'Overall without PTP '!AD28,ELEVATE_CD3_NTH_HB!AC28,ELEVATE_CD3_STAB_HB!AC28,ELEVATE_CD3_PTP_HB!AC28)</f>
        <v>0</v>
      </c>
      <c r="AD28" s="2">
        <f>SUM(EL_DEL_CD1_STH_PTP_!AE28,'Overall without PTP '!AE28,ELEVATE_CD3_NTH_HB!AD28,ELEVATE_CD3_STAB_HB!AD28,ELEVATE_CD3_PTP_HB!AD28)</f>
        <v>0</v>
      </c>
      <c r="AE28" s="3">
        <f>SUM(EL_DEL_CD1_STH_PTP_!AF28,'Overall without PTP '!AF28,ELEVATE_CD3_NTH_HB!AE28,ELEVATE_CD3_STAB_HB!AE28,ELEVATE_CD3_PTP_HB!AE28)</f>
        <v>0</v>
      </c>
      <c r="AF28" s="3">
        <f>SUM(EL_DEL_CD1_STH_PTP_!AG28,'Overall without PTP '!AG28,ELEVATE_CD3_NTH_HB!AF28,ELEVATE_CD3_STAB_HB!AF28,ELEVATE_CD3_PTP_HB!AF28)</f>
        <v>0</v>
      </c>
      <c r="AG28" s="2">
        <f>SUM(EL_DEL_CD1_STH_PTP_!AH28,'Overall without PTP '!AH28,ELEVATE_CD3_NTH_HB!AG28,ELEVATE_CD3_STAB_HB!AG28,ELEVATE_CD3_PTP_HB!AG28)</f>
        <v>0</v>
      </c>
      <c r="AH28" s="6">
        <f>SUM(EL_DEL_CD1_STH_PTP_!AI28,'Overall without PTP '!AI28,ELEVATE_CD3_NTH_HB!AH28,ELEVATE_CD3_STAB_HB!AH28,ELEVATE_CD3_PTP_HB!AH28)</f>
        <v>0</v>
      </c>
      <c r="AI28" s="7">
        <f>SUM(EL_DEL_CD1_STH_PTP_!AJ28,'Overall without PTP '!AJ28,ELEVATE_CD3_NTH_HB!AI28,ELEVATE_CD3_STAB_HB!AI28,ELEVATE_CD3_PTP_HB!AI28)</f>
        <v>0</v>
      </c>
      <c r="AJ28" s="6">
        <f>SUM(EL_DEL_CD1_STH_PTP_!AK28,'Overall without PTP '!AK28,ELEVATE_CD3_NTH_HB!AJ28,ELEVATE_CD3_STAB_HB!AJ28,ELEVATE_CD3_PTP_HB!AJ28)</f>
        <v>0</v>
      </c>
      <c r="AK28" s="59" t="str">
        <f>IFERROR(AVERAGE(EL_DEL_CD1_STH_PTP_!AL28,'Overall without PTP '!AL28,ELEVATE_CD3_NTH_HB!AK28,ELEVATE_CD3_STAB_HB!AK28,ELEVATE_CD3_PTP_HB!AK28),"")</f>
        <v/>
      </c>
      <c r="AL28" s="59" t="str">
        <f>IFERROR(AVERAGE(EL_DEL_CD1_STH_PTP_!AM28,'Overall without PTP '!AM28,ELEVATE_CD3_NTH_HB!AL28,ELEVATE_CD3_STAB_HB!AL28,ELEVATE_CD3_PTP_HB!AL28),"")</f>
        <v/>
      </c>
      <c r="AM28" s="59" t="str">
        <f>IFERROR(AVERAGE(EL_DEL_CD1_STH_PTP_!AN28,'Overall without PTP '!AN28,ELEVATE_CD3_NTH_HB!AM28,ELEVATE_CD3_STAB_HB!AM28,ELEVATE_CD3_PTP_HB!AM28),"")</f>
        <v/>
      </c>
      <c r="AN28" s="59" t="str">
        <f>IFERROR(AVERAGE(EL_DEL_CD1_STH_PTP_!AO28,'Overall without PTP '!AO28,ELEVATE_CD3_NTH_HB!AN28,ELEVATE_CD3_STAB_HB!AN28,ELEVATE_CD3_PTP_HB!AN28),"")</f>
        <v/>
      </c>
      <c r="AO28" s="59" t="str">
        <f>IFERROR(AVERAGE(EL_DEL_CD1_STH_PTP_!AP28,'Overall without PTP '!AP28,ELEVATE_CD3_NTH_HB!AO28,ELEVATE_CD3_STAB_HB!AO28,ELEVATE_CD3_PTP_HB!AO28),"")</f>
        <v/>
      </c>
      <c r="AP28" s="59" t="str">
        <f>IFERROR(AVERAGE(EL_DEL_CD1_STH_PTP_!AQ28,'Overall without PTP '!AQ28,ELEVATE_CD3_NTH_HB!AP28,ELEVATE_CD3_STAB_HB!AP28,ELEVATE_CD3_PTP_HB!AP28),"")</f>
        <v/>
      </c>
      <c r="AQ28" s="59" t="str">
        <f>IFERROR(AVERAGE(EL_DEL_CD1_STH_PTP_!AR28,'Overall without PTP '!AR28,ELEVATE_CD3_NTH_HB!AQ28,ELEVATE_CD3_STAB_HB!AQ28,ELEVATE_CD3_PTP_HB!AQ28),"")</f>
        <v/>
      </c>
      <c r="AR28" s="59" t="str">
        <f>IFERROR(AVERAGE(EL_DEL_CD1_STH_PTP_!AS28,'Overall without PTP '!AS28,ELEVATE_CD3_NTH_HB!AR28,ELEVATE_CD3_STAB_HB!AR28,ELEVATE_CD3_PTP_HB!AR28),"")</f>
        <v/>
      </c>
      <c r="AS28" s="8">
        <f>SUM(EL_DEL_CD1_STH_PTP_!AT28,'Overall without PTP '!AT28,ELEVATE_CD3_NTH_HB!AS28,ELEVATE_CD3_STAB_HB!AS28,ELEVATE_CD3_PTP_HB!AS28)</f>
        <v>0</v>
      </c>
      <c r="AT28" s="8">
        <f>SUM(EL_DEL_CD1_STH_PTP_!AU28,'Overall without PTP '!AU28,ELEVATE_CD3_NTH_HB!AT28,ELEVATE_CD3_STAB_HB!AT28,ELEVATE_CD3_PTP_HB!AT28)</f>
        <v>0</v>
      </c>
      <c r="AU28" s="9">
        <f>SUM(EL_DEL_CD1_STH_PTP_!AV28,'Overall without PTP '!AV28,ELEVATE_CD3_NTH_HB!AU28,ELEVATE_CD3_STAB_HB!AU28,ELEVATE_CD3_PTP_HB!AU28)</f>
        <v>0</v>
      </c>
      <c r="AV28" s="8">
        <f>IFERROR(AVERAGE(EL_DEL_CD1_STH_PTP_!AW28,'Overall without PTP '!AW28,ELEVATE_CD3_NTH_HB!AV28,ELEVATE_CD3_STAB_HB!AV28,ELEVATE_CD3_PTP_HB!AV28),"")</f>
        <v>0</v>
      </c>
      <c r="AW28" s="10" t="str">
        <f t="shared" si="12"/>
        <v>-</v>
      </c>
      <c r="AX28" s="39"/>
      <c r="AY28" s="1" t="str">
        <f t="shared" si="1"/>
        <v/>
      </c>
      <c r="AZ28" s="11" t="str">
        <f t="shared" si="2"/>
        <v/>
      </c>
      <c r="BA28" s="1" t="str">
        <f t="shared" si="3"/>
        <v/>
      </c>
      <c r="BB28" s="39"/>
      <c r="BC28" s="82" t="str">
        <f t="shared" si="13"/>
        <v/>
      </c>
      <c r="BD28" s="70" t="str">
        <f t="shared" si="14"/>
        <v/>
      </c>
      <c r="BE28" s="70" t="str">
        <f t="shared" si="15"/>
        <v/>
      </c>
      <c r="BF28" s="70" t="str">
        <f t="shared" si="16"/>
        <v/>
      </c>
      <c r="BG28" s="70" t="str">
        <f t="shared" si="17"/>
        <v/>
      </c>
      <c r="BH28" s="83" t="str">
        <f t="shared" si="18"/>
        <v/>
      </c>
      <c r="BI28" s="39"/>
      <c r="BJ28" s="75" t="str">
        <f t="shared" si="4"/>
        <v/>
      </c>
      <c r="BK28" s="76" t="str">
        <f t="shared" si="5"/>
        <v/>
      </c>
      <c r="BL28" s="76" t="str">
        <f t="shared" si="6"/>
        <v/>
      </c>
      <c r="BM28" s="77" t="str">
        <f t="shared" si="7"/>
        <v/>
      </c>
      <c r="BN28" s="39"/>
      <c r="BO28" s="14" t="str">
        <f t="shared" si="19"/>
        <v/>
      </c>
      <c r="BP28" s="15">
        <v>0</v>
      </c>
      <c r="BQ28" s="74" t="str">
        <f t="shared" si="8"/>
        <v/>
      </c>
      <c r="BR28" s="15" t="str">
        <f t="shared" si="9"/>
        <v/>
      </c>
      <c r="BS28" s="16" t="str">
        <f t="shared" si="20"/>
        <v/>
      </c>
      <c r="BT28" s="39"/>
      <c r="BU28" s="51" t="e">
        <f t="shared" si="10"/>
        <v>#VALUE!</v>
      </c>
      <c r="BV28" s="28" t="e">
        <f t="shared" si="21"/>
        <v>#VALUE!</v>
      </c>
      <c r="BW28" s="28" t="e">
        <f t="shared" si="22"/>
        <v>#VALUE!</v>
      </c>
      <c r="BX28" s="28" t="e">
        <f t="shared" si="23"/>
        <v>#VALUE!</v>
      </c>
      <c r="BY28" s="28" t="e">
        <f t="shared" si="24"/>
        <v>#VALUE!</v>
      </c>
      <c r="BZ28" s="52" t="e">
        <f t="shared" si="11"/>
        <v>#VALUE!</v>
      </c>
      <c r="CA28" s="39"/>
      <c r="CB28" s="49" t="str">
        <f t="shared" si="25"/>
        <v>-</v>
      </c>
      <c r="CC28" s="29" t="str">
        <f t="shared" si="26"/>
        <v>-</v>
      </c>
      <c r="CD28" s="29" t="str">
        <f t="shared" si="27"/>
        <v>-</v>
      </c>
      <c r="CE28" s="29" t="str">
        <f t="shared" si="28"/>
        <v>-</v>
      </c>
      <c r="CF28" s="50" t="str">
        <f t="shared" si="29"/>
        <v>-</v>
      </c>
      <c r="CG28" s="39"/>
    </row>
    <row r="29" spans="1:85" s="27" customFormat="1" ht="12.4" customHeight="1" thickBot="1" x14ac:dyDescent="0.25">
      <c r="A29" s="43">
        <f t="shared" si="30"/>
        <v>46321</v>
      </c>
      <c r="B29" s="44" t="str">
        <f t="shared" si="0"/>
        <v>Mon</v>
      </c>
      <c r="C29" s="2">
        <f>SUM(EL_DEL_CD1_STH_PTP_!C29,'Overall without PTP '!C29,ELEVATE_CD3_NTH_HB!C29,ELEVATE_CD3_STAB_HB!C29,ELEVATE_CD3_PTP_HB!C29)</f>
        <v>0</v>
      </c>
      <c r="D29" s="2">
        <f>SUM(EL_DEL_CD1_STH_PTP_!D29,'Overall without PTP '!D29,ELEVATE_CD3_NTH_HB!D29,ELEVATE_CD3_STAB_HB!D29,ELEVATE_CD3_PTP_HB!D29)</f>
        <v>0</v>
      </c>
      <c r="E29" s="3">
        <f>SUM(EL_DEL_CD1_STH_PTP_!E29,'Overall without PTP '!E29,ELEVATE_CD3_NTH_HB!E29,ELEVATE_CD3_STAB_HB!E29,ELEVATE_CD3_PTP_HB!E29)</f>
        <v>0</v>
      </c>
      <c r="F29" s="2">
        <f>SUM(EL_DEL_CD1_STH_PTP_!F29,'Overall without PTP '!F29,ELEVATE_CD3_NTH_HB!F29,ELEVATE_CD3_STAB_HB!F29,ELEVATE_CD3_PTP_HB!F29)</f>
        <v>0</v>
      </c>
      <c r="G29" s="2">
        <f>SUM(EL_DEL_CD1_STH_PTP_!G29,'Overall without PTP '!G29,ELEVATE_CD3_NTH_HB!G29,ELEVATE_CD3_STAB_HB!G29,ELEVATE_CD3_PTP_HB!G29)</f>
        <v>0</v>
      </c>
      <c r="H29" s="4">
        <f>SUM(EL_DEL_CD1_STH_PTP_!H29,'Overall without PTP '!H29,ELEVATE_CD3_NTH_HB!H29,ELEVATE_CD3_STAB_HB!H29,ELEVATE_CD3_PTP_HB!H29)</f>
        <v>0</v>
      </c>
      <c r="I29" s="4">
        <f>SUM(EL_DEL_CD1_STH_PTP_!I29,'Overall without PTP '!I29,ELEVATE_CD3_NTH_HB!I29,ELEVATE_CD3_STAB_HB!I29,ELEVATE_CD3_PTP_HB!I29)</f>
        <v>0</v>
      </c>
      <c r="J29" s="57">
        <f>SUM(EL_DEL_CD1_STH_PTP_!J29,'Overall without PTP '!J29,ELEVATE_CD3_NTH_HB!J29,ELEVATE_CD3_STAB_HB!J29,ELEVATE_CD3_PTP_HB!J29)</f>
        <v>0</v>
      </c>
      <c r="K29" s="5">
        <f>SUM(EL_DEL_CD1_STH_PTP_!K29,'Overall without PTP '!K29,ELEVATE_CD3_NTH_HB!K29,ELEVATE_CD3_STAB_HB!K29,ELEVATE_CD3_PTP_HB!K29)</f>
        <v>0</v>
      </c>
      <c r="L29" s="2">
        <f>SUM(EL_DEL_CD1_STH_PTP_!L29,'Overall without PTP '!L29,ELEVATE_CD3_NTH_HB!L29,ELEVATE_CD3_STAB_HB!L29,ELEVATE_CD3_PTP_HB!L29)</f>
        <v>0</v>
      </c>
      <c r="M29" s="2">
        <f>SUM(EL_DEL_CD1_STH_PTP_!M29,'Overall without PTP '!M29,ELEVATE_CD3_NTH_HB!M29,ELEVATE_CD3_STAB_HB!M29,ELEVATE_CD3_PTP_HB!M29)</f>
        <v>0</v>
      </c>
      <c r="N29" s="2">
        <f>SUM(EL_DEL_CD1_STH_PTP_!N29,'Overall without PTP '!N29,ELEVATE_CD3_NTH_HB!N29,ELEVATE_CD3_STAB_HB!N29,ELEVATE_CD3_PTP_HB!N29)</f>
        <v>0</v>
      </c>
      <c r="O29" s="2">
        <f>SUM(EL_DEL_CD1_STH_PTP_!O29,'Overall without PTP '!O29,ELEVATE_CD3_NTH_HB!O29,ELEVATE_CD3_STAB_HB!O29,ELEVATE_CD3_PTP_HB!O29)</f>
        <v>0</v>
      </c>
      <c r="P29" s="3">
        <f>SUM(EL_DEL_CD1_STH_PTP_!P29,'Overall without PTP '!P29,ELEVATE_CD3_NTH_HB!P29,ELEVATE_CD3_STAB_HB!P29,ELEVATE_CD3_PTP_HB!P29)</f>
        <v>0</v>
      </c>
      <c r="Q29" s="2">
        <f>SUM(EL_DEL_CD1_STH_PTP_!Q29,'Overall without PTP '!Q29,ELEVATE_CD3_NTH_HB!Q29,ELEVATE_CD3_STAB_HB!Q29,ELEVATE_CD3_PTP_HB!Q29)</f>
        <v>0</v>
      </c>
      <c r="R29" s="2">
        <f>SUM(EL_DEL_CD1_STH_PTP_!R29,'Overall without PTP '!R29,ELEVATE_CD3_NTH_HB!R29,ELEVATE_CD3_STAB_HB!R29,ELEVATE_CD3_PTP_HB!R29)</f>
        <v>0</v>
      </c>
      <c r="S29" s="2">
        <f>SUM(EL_DEL_CD1_STH_PTP_!S29,'Overall without PTP '!S29,ELEVATE_CD3_NTH_HB!S29,ELEVATE_CD3_STAB_HB!S29,ELEVATE_CD3_PTP_HB!S29)</f>
        <v>0</v>
      </c>
      <c r="T29" s="2">
        <f>SUM(EL_DEL_CD1_STH_PTP_!T29,'Overall without PTP '!T29,ELEVATE_CD3_NTH_HB!T29,ELEVATE_CD3_STAB_HB!T29,ELEVATE_CD3_PTP_HB!T29)</f>
        <v>0</v>
      </c>
      <c r="U29" s="3">
        <f>SUM(EL_DEL_CD1_STH_PTP_!V29,'Overall without PTP '!V29,ELEVATE_CD3_NTH_HB!U29,ELEVATE_CD3_STAB_HB!U29,ELEVATE_CD3_PTP_HB!U29)</f>
        <v>0</v>
      </c>
      <c r="V29" s="3">
        <f>SUM(EL_DEL_CD1_STH_PTP_!W29,'Overall without PTP '!W29,ELEVATE_CD3_NTH_HB!V29,ELEVATE_CD3_STAB_HB!V29,ELEVATE_CD3_PTP_HB!V29)</f>
        <v>0</v>
      </c>
      <c r="W29" s="2">
        <f>SUM(EL_DEL_CD1_STH_PTP_!X29,'Overall without PTP '!X29,ELEVATE_CD3_NTH_HB!W29,ELEVATE_CD3_STAB_HB!W29,ELEVATE_CD3_PTP_HB!W29)</f>
        <v>0</v>
      </c>
      <c r="X29" s="2">
        <f>SUM(EL_DEL_CD1_STH_PTP_!Y29,'Overall without PTP '!Y29,ELEVATE_CD3_NTH_HB!X29,ELEVATE_CD3_STAB_HB!X29,ELEVATE_CD3_PTP_HB!X29)</f>
        <v>0</v>
      </c>
      <c r="Y29" s="2">
        <f>SUM(EL_DEL_CD1_STH_PTP_!Z29,'Overall without PTP '!Z29,ELEVATE_CD3_NTH_HB!Y29,ELEVATE_CD3_STAB_HB!Y29,ELEVATE_CD3_PTP_HB!Y29)</f>
        <v>0</v>
      </c>
      <c r="Z29" s="2">
        <f>SUM(EL_DEL_CD1_STH_PTP_!AA29,'Overall without PTP '!AA29,ELEVATE_CD3_NTH_HB!Z29,ELEVATE_CD3_STAB_HB!Z29,ELEVATE_CD3_PTP_HB!Z29)</f>
        <v>0</v>
      </c>
      <c r="AA29" s="2">
        <f>SUM(EL_DEL_CD1_STH_PTP_!AB29,'Overall without PTP '!AB29,ELEVATE_CD3_NTH_HB!AA29,ELEVATE_CD3_STAB_HB!AA29,ELEVATE_CD3_PTP_HB!AA29)</f>
        <v>0</v>
      </c>
      <c r="AB29" s="2">
        <f>SUM(EL_DEL_CD1_STH_PTP_!AC29,'Overall without PTP '!AC29,ELEVATE_CD3_NTH_HB!AB29,ELEVATE_CD3_STAB_HB!AB29,ELEVATE_CD3_PTP_HB!AB29)</f>
        <v>0</v>
      </c>
      <c r="AC29" s="2">
        <f>SUM(EL_DEL_CD1_STH_PTP_!AD29,'Overall without PTP '!AD29,ELEVATE_CD3_NTH_HB!AC29,ELEVATE_CD3_STAB_HB!AC29,ELEVATE_CD3_PTP_HB!AC29)</f>
        <v>0</v>
      </c>
      <c r="AD29" s="2">
        <f>SUM(EL_DEL_CD1_STH_PTP_!AE29,'Overall without PTP '!AE29,ELEVATE_CD3_NTH_HB!AD29,ELEVATE_CD3_STAB_HB!AD29,ELEVATE_CD3_PTP_HB!AD29)</f>
        <v>0</v>
      </c>
      <c r="AE29" s="3">
        <f>SUM(EL_DEL_CD1_STH_PTP_!AF29,'Overall without PTP '!AF29,ELEVATE_CD3_NTH_HB!AE29,ELEVATE_CD3_STAB_HB!AE29,ELEVATE_CD3_PTP_HB!AE29)</f>
        <v>0</v>
      </c>
      <c r="AF29" s="3">
        <f>SUM(EL_DEL_CD1_STH_PTP_!AG29,'Overall without PTP '!AG29,ELEVATE_CD3_NTH_HB!AF29,ELEVATE_CD3_STAB_HB!AF29,ELEVATE_CD3_PTP_HB!AF29)</f>
        <v>0</v>
      </c>
      <c r="AG29" s="2">
        <f>SUM(EL_DEL_CD1_STH_PTP_!AH29,'Overall without PTP '!AH29,ELEVATE_CD3_NTH_HB!AG29,ELEVATE_CD3_STAB_HB!AG29,ELEVATE_CD3_PTP_HB!AG29)</f>
        <v>0</v>
      </c>
      <c r="AH29" s="6">
        <f>SUM(EL_DEL_CD1_STH_PTP_!AI29,'Overall without PTP '!AI29,ELEVATE_CD3_NTH_HB!AH29,ELEVATE_CD3_STAB_HB!AH29,ELEVATE_CD3_PTP_HB!AH29)</f>
        <v>0</v>
      </c>
      <c r="AI29" s="7">
        <f>SUM(EL_DEL_CD1_STH_PTP_!AJ29,'Overall without PTP '!AJ29,ELEVATE_CD3_NTH_HB!AI29,ELEVATE_CD3_STAB_HB!AI29,ELEVATE_CD3_PTP_HB!AI29)</f>
        <v>0</v>
      </c>
      <c r="AJ29" s="6">
        <f>SUM(EL_DEL_CD1_STH_PTP_!AK29,'Overall without PTP '!AK29,ELEVATE_CD3_NTH_HB!AJ29,ELEVATE_CD3_STAB_HB!AJ29,ELEVATE_CD3_PTP_HB!AJ29)</f>
        <v>0</v>
      </c>
      <c r="AK29" s="59" t="str">
        <f>IFERROR(AVERAGE(EL_DEL_CD1_STH_PTP_!AL29,'Overall without PTP '!AL29,ELEVATE_CD3_NTH_HB!AK29,ELEVATE_CD3_STAB_HB!AK29,ELEVATE_CD3_PTP_HB!AK29),"")</f>
        <v/>
      </c>
      <c r="AL29" s="59" t="str">
        <f>IFERROR(AVERAGE(EL_DEL_CD1_STH_PTP_!AM29,'Overall without PTP '!AM29,ELEVATE_CD3_NTH_HB!AL29,ELEVATE_CD3_STAB_HB!AL29,ELEVATE_CD3_PTP_HB!AL29),"")</f>
        <v/>
      </c>
      <c r="AM29" s="59" t="str">
        <f>IFERROR(AVERAGE(EL_DEL_CD1_STH_PTP_!AN29,'Overall without PTP '!AN29,ELEVATE_CD3_NTH_HB!AM29,ELEVATE_CD3_STAB_HB!AM29,ELEVATE_CD3_PTP_HB!AM29),"")</f>
        <v/>
      </c>
      <c r="AN29" s="59" t="str">
        <f>IFERROR(AVERAGE(EL_DEL_CD1_STH_PTP_!AO29,'Overall without PTP '!AO29,ELEVATE_CD3_NTH_HB!AN29,ELEVATE_CD3_STAB_HB!AN29,ELEVATE_CD3_PTP_HB!AN29),"")</f>
        <v/>
      </c>
      <c r="AO29" s="59" t="str">
        <f>IFERROR(AVERAGE(EL_DEL_CD1_STH_PTP_!AP29,'Overall without PTP '!AP29,ELEVATE_CD3_NTH_HB!AO29,ELEVATE_CD3_STAB_HB!AO29,ELEVATE_CD3_PTP_HB!AO29),"")</f>
        <v/>
      </c>
      <c r="AP29" s="59" t="str">
        <f>IFERROR(AVERAGE(EL_DEL_CD1_STH_PTP_!AQ29,'Overall without PTP '!AQ29,ELEVATE_CD3_NTH_HB!AP29,ELEVATE_CD3_STAB_HB!AP29,ELEVATE_CD3_PTP_HB!AP29),"")</f>
        <v/>
      </c>
      <c r="AQ29" s="59" t="str">
        <f>IFERROR(AVERAGE(EL_DEL_CD1_STH_PTP_!AR29,'Overall without PTP '!AR29,ELEVATE_CD3_NTH_HB!AQ29,ELEVATE_CD3_STAB_HB!AQ29,ELEVATE_CD3_PTP_HB!AQ29),"")</f>
        <v/>
      </c>
      <c r="AR29" s="59" t="str">
        <f>IFERROR(AVERAGE(EL_DEL_CD1_STH_PTP_!AS29,'Overall without PTP '!AS29,ELEVATE_CD3_NTH_HB!AR29,ELEVATE_CD3_STAB_HB!AR29,ELEVATE_CD3_PTP_HB!AR29),"")</f>
        <v/>
      </c>
      <c r="AS29" s="8">
        <f>SUM(EL_DEL_CD1_STH_PTP_!AT29,'Overall without PTP '!AT29,ELEVATE_CD3_NTH_HB!AS29,ELEVATE_CD3_STAB_HB!AS29,ELEVATE_CD3_PTP_HB!AS29)</f>
        <v>0</v>
      </c>
      <c r="AT29" s="8">
        <f>SUM(EL_DEL_CD1_STH_PTP_!AU29,'Overall without PTP '!AU29,ELEVATE_CD3_NTH_HB!AT29,ELEVATE_CD3_STAB_HB!AT29,ELEVATE_CD3_PTP_HB!AT29)</f>
        <v>0</v>
      </c>
      <c r="AU29" s="9">
        <f>SUM(EL_DEL_CD1_STH_PTP_!AV29,'Overall without PTP '!AV29,ELEVATE_CD3_NTH_HB!AU29,ELEVATE_CD3_STAB_HB!AU29,ELEVATE_CD3_PTP_HB!AU29)</f>
        <v>0</v>
      </c>
      <c r="AV29" s="8">
        <f>IFERROR(AVERAGE(EL_DEL_CD1_STH_PTP_!AW29,'Overall without PTP '!AW29,ELEVATE_CD3_NTH_HB!AV29,ELEVATE_CD3_STAB_HB!AV29,ELEVATE_CD3_PTP_HB!AV29),"")</f>
        <v>0</v>
      </c>
      <c r="AW29" s="10" t="str">
        <f t="shared" si="12"/>
        <v>-</v>
      </c>
      <c r="AX29" s="39"/>
      <c r="AY29" s="1" t="str">
        <f t="shared" si="1"/>
        <v/>
      </c>
      <c r="AZ29" s="11" t="str">
        <f t="shared" si="2"/>
        <v/>
      </c>
      <c r="BA29" s="1" t="str">
        <f t="shared" si="3"/>
        <v/>
      </c>
      <c r="BB29" s="39"/>
      <c r="BC29" s="82" t="str">
        <f t="shared" si="13"/>
        <v/>
      </c>
      <c r="BD29" s="70" t="str">
        <f t="shared" si="14"/>
        <v/>
      </c>
      <c r="BE29" s="70" t="str">
        <f t="shared" si="15"/>
        <v/>
      </c>
      <c r="BF29" s="70" t="str">
        <f t="shared" si="16"/>
        <v/>
      </c>
      <c r="BG29" s="70" t="str">
        <f t="shared" si="17"/>
        <v/>
      </c>
      <c r="BH29" s="83" t="str">
        <f t="shared" si="18"/>
        <v/>
      </c>
      <c r="BI29" s="39"/>
      <c r="BJ29" s="75" t="str">
        <f t="shared" si="4"/>
        <v/>
      </c>
      <c r="BK29" s="76" t="str">
        <f t="shared" si="5"/>
        <v/>
      </c>
      <c r="BL29" s="76" t="str">
        <f t="shared" si="6"/>
        <v/>
      </c>
      <c r="BM29" s="77" t="str">
        <f t="shared" si="7"/>
        <v/>
      </c>
      <c r="BN29" s="39"/>
      <c r="BO29" s="14" t="str">
        <f t="shared" si="19"/>
        <v/>
      </c>
      <c r="BP29" s="15">
        <v>0</v>
      </c>
      <c r="BQ29" s="74" t="str">
        <f t="shared" si="8"/>
        <v/>
      </c>
      <c r="BR29" s="15" t="str">
        <f t="shared" si="9"/>
        <v/>
      </c>
      <c r="BS29" s="16" t="str">
        <f t="shared" si="20"/>
        <v/>
      </c>
      <c r="BT29" s="39"/>
      <c r="BU29" s="51" t="e">
        <f t="shared" si="10"/>
        <v>#VALUE!</v>
      </c>
      <c r="BV29" s="28" t="e">
        <f t="shared" si="21"/>
        <v>#VALUE!</v>
      </c>
      <c r="BW29" s="28" t="e">
        <f t="shared" si="22"/>
        <v>#VALUE!</v>
      </c>
      <c r="BX29" s="28" t="e">
        <f t="shared" si="23"/>
        <v>#VALUE!</v>
      </c>
      <c r="BY29" s="28" t="e">
        <f t="shared" si="24"/>
        <v>#VALUE!</v>
      </c>
      <c r="BZ29" s="52" t="e">
        <f t="shared" si="11"/>
        <v>#VALUE!</v>
      </c>
      <c r="CA29" s="39"/>
      <c r="CB29" s="49" t="str">
        <f t="shared" si="25"/>
        <v>-</v>
      </c>
      <c r="CC29" s="29" t="str">
        <f t="shared" si="26"/>
        <v>-</v>
      </c>
      <c r="CD29" s="29" t="str">
        <f t="shared" si="27"/>
        <v>-</v>
      </c>
      <c r="CE29" s="29" t="str">
        <f t="shared" si="28"/>
        <v>-</v>
      </c>
      <c r="CF29" s="50" t="str">
        <f t="shared" si="29"/>
        <v>-</v>
      </c>
      <c r="CG29" s="39"/>
    </row>
    <row r="30" spans="1:85" s="27" customFormat="1" ht="12.4" customHeight="1" thickBot="1" x14ac:dyDescent="0.25">
      <c r="A30" s="43">
        <f t="shared" si="30"/>
        <v>46322</v>
      </c>
      <c r="B30" s="44" t="str">
        <f t="shared" si="0"/>
        <v>Tue</v>
      </c>
      <c r="C30" s="2">
        <f>SUM(EL_DEL_CD1_STH_PTP_!C30,'Overall without PTP '!C30,ELEVATE_CD3_NTH_HB!C30,ELEVATE_CD3_STAB_HB!C30,ELEVATE_CD3_PTP_HB!C30)</f>
        <v>0</v>
      </c>
      <c r="D30" s="2">
        <f>SUM(EL_DEL_CD1_STH_PTP_!D30,'Overall without PTP '!D30,ELEVATE_CD3_NTH_HB!D30,ELEVATE_CD3_STAB_HB!D30,ELEVATE_CD3_PTP_HB!D30)</f>
        <v>0</v>
      </c>
      <c r="E30" s="3">
        <f>SUM(EL_DEL_CD1_STH_PTP_!E30,'Overall without PTP '!E30,ELEVATE_CD3_NTH_HB!E30,ELEVATE_CD3_STAB_HB!E30,ELEVATE_CD3_PTP_HB!E30)</f>
        <v>0</v>
      </c>
      <c r="F30" s="2">
        <f>SUM(EL_DEL_CD1_STH_PTP_!F30,'Overall without PTP '!F30,ELEVATE_CD3_NTH_HB!F30,ELEVATE_CD3_STAB_HB!F30,ELEVATE_CD3_PTP_HB!F30)</f>
        <v>0</v>
      </c>
      <c r="G30" s="2">
        <f>SUM(EL_DEL_CD1_STH_PTP_!G30,'Overall without PTP '!G30,ELEVATE_CD3_NTH_HB!G30,ELEVATE_CD3_STAB_HB!G30,ELEVATE_CD3_PTP_HB!G30)</f>
        <v>0</v>
      </c>
      <c r="H30" s="4">
        <f>SUM(EL_DEL_CD1_STH_PTP_!H30,'Overall without PTP '!H30,ELEVATE_CD3_NTH_HB!H30,ELEVATE_CD3_STAB_HB!H30,ELEVATE_CD3_PTP_HB!H30)</f>
        <v>0</v>
      </c>
      <c r="I30" s="4">
        <f>SUM(EL_DEL_CD1_STH_PTP_!I30,'Overall without PTP '!I30,ELEVATE_CD3_NTH_HB!I30,ELEVATE_CD3_STAB_HB!I30,ELEVATE_CD3_PTP_HB!I30)</f>
        <v>0</v>
      </c>
      <c r="J30" s="57">
        <f>SUM(EL_DEL_CD1_STH_PTP_!J30,'Overall without PTP '!J30,ELEVATE_CD3_NTH_HB!J30,ELEVATE_CD3_STAB_HB!J30,ELEVATE_CD3_PTP_HB!J30)</f>
        <v>0</v>
      </c>
      <c r="K30" s="5">
        <f>SUM(EL_DEL_CD1_STH_PTP_!K30,'Overall without PTP '!K30,ELEVATE_CD3_NTH_HB!K30,ELEVATE_CD3_STAB_HB!K30,ELEVATE_CD3_PTP_HB!K30)</f>
        <v>0</v>
      </c>
      <c r="L30" s="2">
        <f>SUM(EL_DEL_CD1_STH_PTP_!L30,'Overall without PTP '!L30,ELEVATE_CD3_NTH_HB!L30,ELEVATE_CD3_STAB_HB!L30,ELEVATE_CD3_PTP_HB!L30)</f>
        <v>0</v>
      </c>
      <c r="M30" s="2">
        <f>SUM(EL_DEL_CD1_STH_PTP_!M30,'Overall without PTP '!M30,ELEVATE_CD3_NTH_HB!M30,ELEVATE_CD3_STAB_HB!M30,ELEVATE_CD3_PTP_HB!M30)</f>
        <v>0</v>
      </c>
      <c r="N30" s="2">
        <f>SUM(EL_DEL_CD1_STH_PTP_!N30,'Overall without PTP '!N30,ELEVATE_CD3_NTH_HB!N30,ELEVATE_CD3_STAB_HB!N30,ELEVATE_CD3_PTP_HB!N30)</f>
        <v>0</v>
      </c>
      <c r="O30" s="2">
        <f>SUM(EL_DEL_CD1_STH_PTP_!O30,'Overall without PTP '!O30,ELEVATE_CD3_NTH_HB!O30,ELEVATE_CD3_STAB_HB!O30,ELEVATE_CD3_PTP_HB!O30)</f>
        <v>0</v>
      </c>
      <c r="P30" s="3">
        <f>SUM(EL_DEL_CD1_STH_PTP_!P30,'Overall without PTP '!P30,ELEVATE_CD3_NTH_HB!P30,ELEVATE_CD3_STAB_HB!P30,ELEVATE_CD3_PTP_HB!P30)</f>
        <v>0</v>
      </c>
      <c r="Q30" s="2">
        <f>SUM(EL_DEL_CD1_STH_PTP_!Q30,'Overall without PTP '!Q30,ELEVATE_CD3_NTH_HB!Q30,ELEVATE_CD3_STAB_HB!Q30,ELEVATE_CD3_PTP_HB!Q30)</f>
        <v>0</v>
      </c>
      <c r="R30" s="2">
        <f>SUM(EL_DEL_CD1_STH_PTP_!R30,'Overall without PTP '!R30,ELEVATE_CD3_NTH_HB!R30,ELEVATE_CD3_STAB_HB!R30,ELEVATE_CD3_PTP_HB!R30)</f>
        <v>0</v>
      </c>
      <c r="S30" s="2">
        <f>SUM(EL_DEL_CD1_STH_PTP_!S30,'Overall without PTP '!S30,ELEVATE_CD3_NTH_HB!S30,ELEVATE_CD3_STAB_HB!S30,ELEVATE_CD3_PTP_HB!S30)</f>
        <v>0</v>
      </c>
      <c r="T30" s="2">
        <f>SUM(EL_DEL_CD1_STH_PTP_!T30,'Overall without PTP '!T30,ELEVATE_CD3_NTH_HB!T30,ELEVATE_CD3_STAB_HB!T30,ELEVATE_CD3_PTP_HB!T30)</f>
        <v>0</v>
      </c>
      <c r="U30" s="3">
        <f>SUM(EL_DEL_CD1_STH_PTP_!V30,'Overall without PTP '!V30,ELEVATE_CD3_NTH_HB!U30,ELEVATE_CD3_STAB_HB!U30,ELEVATE_CD3_PTP_HB!U30)</f>
        <v>0</v>
      </c>
      <c r="V30" s="3">
        <f>SUM(EL_DEL_CD1_STH_PTP_!W30,'Overall without PTP '!W30,ELEVATE_CD3_NTH_HB!V30,ELEVATE_CD3_STAB_HB!V30,ELEVATE_CD3_PTP_HB!V30)</f>
        <v>0</v>
      </c>
      <c r="W30" s="2">
        <f>SUM(EL_DEL_CD1_STH_PTP_!X30,'Overall without PTP '!X30,ELEVATE_CD3_NTH_HB!W30,ELEVATE_CD3_STAB_HB!W30,ELEVATE_CD3_PTP_HB!W30)</f>
        <v>0</v>
      </c>
      <c r="X30" s="2">
        <f>SUM(EL_DEL_CD1_STH_PTP_!Y30,'Overall without PTP '!Y30,ELEVATE_CD3_NTH_HB!X30,ELEVATE_CD3_STAB_HB!X30,ELEVATE_CD3_PTP_HB!X30)</f>
        <v>0</v>
      </c>
      <c r="Y30" s="2">
        <f>SUM(EL_DEL_CD1_STH_PTP_!Z30,'Overall without PTP '!Z30,ELEVATE_CD3_NTH_HB!Y30,ELEVATE_CD3_STAB_HB!Y30,ELEVATE_CD3_PTP_HB!Y30)</f>
        <v>0</v>
      </c>
      <c r="Z30" s="2">
        <f>SUM(EL_DEL_CD1_STH_PTP_!AA30,'Overall without PTP '!AA30,ELEVATE_CD3_NTH_HB!Z30,ELEVATE_CD3_STAB_HB!Z30,ELEVATE_CD3_PTP_HB!Z30)</f>
        <v>0</v>
      </c>
      <c r="AA30" s="2">
        <f>SUM(EL_DEL_CD1_STH_PTP_!AB30,'Overall without PTP '!AB30,ELEVATE_CD3_NTH_HB!AA30,ELEVATE_CD3_STAB_HB!AA30,ELEVATE_CD3_PTP_HB!AA30)</f>
        <v>0</v>
      </c>
      <c r="AB30" s="2">
        <f>SUM(EL_DEL_CD1_STH_PTP_!AC30,'Overall without PTP '!AC30,ELEVATE_CD3_NTH_HB!AB30,ELEVATE_CD3_STAB_HB!AB30,ELEVATE_CD3_PTP_HB!AB30)</f>
        <v>0</v>
      </c>
      <c r="AC30" s="2">
        <f>SUM(EL_DEL_CD1_STH_PTP_!AD30,'Overall without PTP '!AD30,ELEVATE_CD3_NTH_HB!AC30,ELEVATE_CD3_STAB_HB!AC30,ELEVATE_CD3_PTP_HB!AC30)</f>
        <v>0</v>
      </c>
      <c r="AD30" s="2">
        <f>SUM(EL_DEL_CD1_STH_PTP_!AE30,'Overall without PTP '!AE30,ELEVATE_CD3_NTH_HB!AD30,ELEVATE_CD3_STAB_HB!AD30,ELEVATE_CD3_PTP_HB!AD30)</f>
        <v>0</v>
      </c>
      <c r="AE30" s="3">
        <f>SUM(EL_DEL_CD1_STH_PTP_!AF30,'Overall without PTP '!AF30,ELEVATE_CD3_NTH_HB!AE30,ELEVATE_CD3_STAB_HB!AE30,ELEVATE_CD3_PTP_HB!AE30)</f>
        <v>0</v>
      </c>
      <c r="AF30" s="3">
        <f>SUM(EL_DEL_CD1_STH_PTP_!AG30,'Overall without PTP '!AG30,ELEVATE_CD3_NTH_HB!AF30,ELEVATE_CD3_STAB_HB!AF30,ELEVATE_CD3_PTP_HB!AF30)</f>
        <v>0</v>
      </c>
      <c r="AG30" s="2">
        <f>SUM(EL_DEL_CD1_STH_PTP_!AH30,'Overall without PTP '!AH30,ELEVATE_CD3_NTH_HB!AG30,ELEVATE_CD3_STAB_HB!AG30,ELEVATE_CD3_PTP_HB!AG30)</f>
        <v>0</v>
      </c>
      <c r="AH30" s="6">
        <f>SUM(EL_DEL_CD1_STH_PTP_!AI30,'Overall without PTP '!AI30,ELEVATE_CD3_NTH_HB!AH30,ELEVATE_CD3_STAB_HB!AH30,ELEVATE_CD3_PTP_HB!AH30)</f>
        <v>0</v>
      </c>
      <c r="AI30" s="7">
        <f>SUM(EL_DEL_CD1_STH_PTP_!AJ30,'Overall without PTP '!AJ30,ELEVATE_CD3_NTH_HB!AI30,ELEVATE_CD3_STAB_HB!AI30,ELEVATE_CD3_PTP_HB!AI30)</f>
        <v>0</v>
      </c>
      <c r="AJ30" s="6">
        <f>SUM(EL_DEL_CD1_STH_PTP_!AK30,'Overall without PTP '!AK30,ELEVATE_CD3_NTH_HB!AJ30,ELEVATE_CD3_STAB_HB!AJ30,ELEVATE_CD3_PTP_HB!AJ30)</f>
        <v>0</v>
      </c>
      <c r="AK30" s="59" t="str">
        <f>IFERROR(AVERAGE(EL_DEL_CD1_STH_PTP_!AL30,'Overall without PTP '!AL30,ELEVATE_CD3_NTH_HB!AK30,ELEVATE_CD3_STAB_HB!AK30,ELEVATE_CD3_PTP_HB!AK30),"")</f>
        <v/>
      </c>
      <c r="AL30" s="59" t="str">
        <f>IFERROR(AVERAGE(EL_DEL_CD1_STH_PTP_!AM30,'Overall without PTP '!AM30,ELEVATE_CD3_NTH_HB!AL30,ELEVATE_CD3_STAB_HB!AL30,ELEVATE_CD3_PTP_HB!AL30),"")</f>
        <v/>
      </c>
      <c r="AM30" s="59" t="str">
        <f>IFERROR(AVERAGE(EL_DEL_CD1_STH_PTP_!AN30,'Overall without PTP '!AN30,ELEVATE_CD3_NTH_HB!AM30,ELEVATE_CD3_STAB_HB!AM30,ELEVATE_CD3_PTP_HB!AM30),"")</f>
        <v/>
      </c>
      <c r="AN30" s="59" t="str">
        <f>IFERROR(AVERAGE(EL_DEL_CD1_STH_PTP_!AO30,'Overall without PTP '!AO30,ELEVATE_CD3_NTH_HB!AN30,ELEVATE_CD3_STAB_HB!AN30,ELEVATE_CD3_PTP_HB!AN30),"")</f>
        <v/>
      </c>
      <c r="AO30" s="59" t="str">
        <f>IFERROR(AVERAGE(EL_DEL_CD1_STH_PTP_!AP30,'Overall without PTP '!AP30,ELEVATE_CD3_NTH_HB!AO30,ELEVATE_CD3_STAB_HB!AO30,ELEVATE_CD3_PTP_HB!AO30),"")</f>
        <v/>
      </c>
      <c r="AP30" s="59" t="str">
        <f>IFERROR(AVERAGE(EL_DEL_CD1_STH_PTP_!AQ30,'Overall without PTP '!AQ30,ELEVATE_CD3_NTH_HB!AP30,ELEVATE_CD3_STAB_HB!AP30,ELEVATE_CD3_PTP_HB!AP30),"")</f>
        <v/>
      </c>
      <c r="AQ30" s="59" t="str">
        <f>IFERROR(AVERAGE(EL_DEL_CD1_STH_PTP_!AR30,'Overall without PTP '!AR30,ELEVATE_CD3_NTH_HB!AQ30,ELEVATE_CD3_STAB_HB!AQ30,ELEVATE_CD3_PTP_HB!AQ30),"")</f>
        <v/>
      </c>
      <c r="AR30" s="59" t="str">
        <f>IFERROR(AVERAGE(EL_DEL_CD1_STH_PTP_!AS30,'Overall without PTP '!AS30,ELEVATE_CD3_NTH_HB!AR30,ELEVATE_CD3_STAB_HB!AR30,ELEVATE_CD3_PTP_HB!AR30),"")</f>
        <v/>
      </c>
      <c r="AS30" s="8">
        <f>SUM(EL_DEL_CD1_STH_PTP_!AT30,'Overall without PTP '!AT30,ELEVATE_CD3_NTH_HB!AS30,ELEVATE_CD3_STAB_HB!AS30,ELEVATE_CD3_PTP_HB!AS30)</f>
        <v>0</v>
      </c>
      <c r="AT30" s="8">
        <f>SUM(EL_DEL_CD1_STH_PTP_!AU30,'Overall without PTP '!AU30,ELEVATE_CD3_NTH_HB!AT30,ELEVATE_CD3_STAB_HB!AT30,ELEVATE_CD3_PTP_HB!AT30)</f>
        <v>0</v>
      </c>
      <c r="AU30" s="9">
        <f>SUM(EL_DEL_CD1_STH_PTP_!AV30,'Overall without PTP '!AV30,ELEVATE_CD3_NTH_HB!AU30,ELEVATE_CD3_STAB_HB!AU30,ELEVATE_CD3_PTP_HB!AU30)</f>
        <v>0</v>
      </c>
      <c r="AV30" s="8">
        <f>IFERROR(AVERAGE(EL_DEL_CD1_STH_PTP_!AW30,'Overall without PTP '!AW30,ELEVATE_CD3_NTH_HB!AV30,ELEVATE_CD3_STAB_HB!AV30,ELEVATE_CD3_PTP_HB!AV30),"")</f>
        <v>0</v>
      </c>
      <c r="AW30" s="10" t="str">
        <f t="shared" si="12"/>
        <v>-</v>
      </c>
      <c r="AX30" s="39"/>
      <c r="AY30" s="1" t="str">
        <f t="shared" si="1"/>
        <v/>
      </c>
      <c r="AZ30" s="11" t="str">
        <f t="shared" si="2"/>
        <v/>
      </c>
      <c r="BA30" s="1" t="str">
        <f t="shared" si="3"/>
        <v/>
      </c>
      <c r="BB30" s="39"/>
      <c r="BC30" s="82" t="str">
        <f t="shared" si="13"/>
        <v/>
      </c>
      <c r="BD30" s="70" t="str">
        <f t="shared" si="14"/>
        <v/>
      </c>
      <c r="BE30" s="70" t="str">
        <f t="shared" si="15"/>
        <v/>
      </c>
      <c r="BF30" s="70" t="str">
        <f t="shared" si="16"/>
        <v/>
      </c>
      <c r="BG30" s="70" t="str">
        <f t="shared" si="17"/>
        <v/>
      </c>
      <c r="BH30" s="83" t="str">
        <f t="shared" si="18"/>
        <v/>
      </c>
      <c r="BI30" s="39"/>
      <c r="BJ30" s="75" t="str">
        <f t="shared" si="4"/>
        <v/>
      </c>
      <c r="BK30" s="76" t="str">
        <f t="shared" si="5"/>
        <v/>
      </c>
      <c r="BL30" s="76" t="str">
        <f t="shared" si="6"/>
        <v/>
      </c>
      <c r="BM30" s="77" t="str">
        <f t="shared" si="7"/>
        <v/>
      </c>
      <c r="BN30" s="39"/>
      <c r="BO30" s="14" t="str">
        <f t="shared" si="19"/>
        <v/>
      </c>
      <c r="BP30" s="15">
        <v>0</v>
      </c>
      <c r="BQ30" s="74" t="str">
        <f t="shared" si="8"/>
        <v/>
      </c>
      <c r="BR30" s="15" t="str">
        <f t="shared" si="9"/>
        <v/>
      </c>
      <c r="BS30" s="16" t="str">
        <f t="shared" si="20"/>
        <v/>
      </c>
      <c r="BT30" s="39"/>
      <c r="BU30" s="51" t="e">
        <f t="shared" si="10"/>
        <v>#VALUE!</v>
      </c>
      <c r="BV30" s="28" t="e">
        <f t="shared" si="21"/>
        <v>#VALUE!</v>
      </c>
      <c r="BW30" s="28" t="e">
        <f t="shared" si="22"/>
        <v>#VALUE!</v>
      </c>
      <c r="BX30" s="28" t="e">
        <f t="shared" si="23"/>
        <v>#VALUE!</v>
      </c>
      <c r="BY30" s="28" t="e">
        <f t="shared" si="24"/>
        <v>#VALUE!</v>
      </c>
      <c r="BZ30" s="52" t="e">
        <f t="shared" si="11"/>
        <v>#VALUE!</v>
      </c>
      <c r="CA30" s="39"/>
      <c r="CB30" s="49" t="str">
        <f t="shared" si="25"/>
        <v>-</v>
      </c>
      <c r="CC30" s="29" t="str">
        <f t="shared" si="26"/>
        <v>-</v>
      </c>
      <c r="CD30" s="29" t="str">
        <f t="shared" si="27"/>
        <v>-</v>
      </c>
      <c r="CE30" s="29" t="str">
        <f t="shared" si="28"/>
        <v>-</v>
      </c>
      <c r="CF30" s="50" t="str">
        <f t="shared" si="29"/>
        <v>-</v>
      </c>
      <c r="CG30" s="39"/>
    </row>
    <row r="31" spans="1:85" s="27" customFormat="1" ht="12.4" customHeight="1" thickBot="1" x14ac:dyDescent="0.25">
      <c r="A31" s="43">
        <f t="shared" si="30"/>
        <v>46323</v>
      </c>
      <c r="B31" s="44" t="str">
        <f t="shared" si="0"/>
        <v>Wed</v>
      </c>
      <c r="C31" s="2">
        <f>SUM(EL_DEL_CD1_STH_PTP_!C31,'Overall without PTP '!C31,ELEVATE_CD3_NTH_HB!C31,ELEVATE_CD3_STAB_HB!C31,ELEVATE_CD3_PTP_HB!C31)</f>
        <v>0</v>
      </c>
      <c r="D31" s="2">
        <f>SUM(EL_DEL_CD1_STH_PTP_!D31,'Overall without PTP '!D31,ELEVATE_CD3_NTH_HB!D31,ELEVATE_CD3_STAB_HB!D31,ELEVATE_CD3_PTP_HB!D31)</f>
        <v>0</v>
      </c>
      <c r="E31" s="3">
        <f>SUM(EL_DEL_CD1_STH_PTP_!E31,'Overall without PTP '!E31,ELEVATE_CD3_NTH_HB!E31,ELEVATE_CD3_STAB_HB!E31,ELEVATE_CD3_PTP_HB!E31)</f>
        <v>0</v>
      </c>
      <c r="F31" s="2">
        <f>SUM(EL_DEL_CD1_STH_PTP_!F31,'Overall without PTP '!F31,ELEVATE_CD3_NTH_HB!F31,ELEVATE_CD3_STAB_HB!F31,ELEVATE_CD3_PTP_HB!F31)</f>
        <v>0</v>
      </c>
      <c r="G31" s="2">
        <f>SUM(EL_DEL_CD1_STH_PTP_!G31,'Overall without PTP '!G31,ELEVATE_CD3_NTH_HB!G31,ELEVATE_CD3_STAB_HB!G31,ELEVATE_CD3_PTP_HB!G31)</f>
        <v>0</v>
      </c>
      <c r="H31" s="4">
        <f>SUM(EL_DEL_CD1_STH_PTP_!H31,'Overall without PTP '!H31,ELEVATE_CD3_NTH_HB!H31,ELEVATE_CD3_STAB_HB!H31,ELEVATE_CD3_PTP_HB!H31)</f>
        <v>0</v>
      </c>
      <c r="I31" s="4">
        <f>SUM(EL_DEL_CD1_STH_PTP_!I31,'Overall without PTP '!I31,ELEVATE_CD3_NTH_HB!I31,ELEVATE_CD3_STAB_HB!I31,ELEVATE_CD3_PTP_HB!I31)</f>
        <v>0</v>
      </c>
      <c r="J31" s="57">
        <f>SUM(EL_DEL_CD1_STH_PTP_!J31,'Overall without PTP '!J31,ELEVATE_CD3_NTH_HB!J31,ELEVATE_CD3_STAB_HB!J31,ELEVATE_CD3_PTP_HB!J31)</f>
        <v>0</v>
      </c>
      <c r="K31" s="5">
        <f>SUM(EL_DEL_CD1_STH_PTP_!K31,'Overall without PTP '!K31,ELEVATE_CD3_NTH_HB!K31,ELEVATE_CD3_STAB_HB!K31,ELEVATE_CD3_PTP_HB!K31)</f>
        <v>0</v>
      </c>
      <c r="L31" s="2">
        <f>SUM(EL_DEL_CD1_STH_PTP_!L31,'Overall without PTP '!L31,ELEVATE_CD3_NTH_HB!L31,ELEVATE_CD3_STAB_HB!L31,ELEVATE_CD3_PTP_HB!L31)</f>
        <v>0</v>
      </c>
      <c r="M31" s="2">
        <f>SUM(EL_DEL_CD1_STH_PTP_!M31,'Overall without PTP '!M31,ELEVATE_CD3_NTH_HB!M31,ELEVATE_CD3_STAB_HB!M31,ELEVATE_CD3_PTP_HB!M31)</f>
        <v>0</v>
      </c>
      <c r="N31" s="2">
        <f>SUM(EL_DEL_CD1_STH_PTP_!N31,'Overall without PTP '!N31,ELEVATE_CD3_NTH_HB!N31,ELEVATE_CD3_STAB_HB!N31,ELEVATE_CD3_PTP_HB!N31)</f>
        <v>0</v>
      </c>
      <c r="O31" s="2">
        <f>SUM(EL_DEL_CD1_STH_PTP_!O31,'Overall without PTP '!O31,ELEVATE_CD3_NTH_HB!O31,ELEVATE_CD3_STAB_HB!O31,ELEVATE_CD3_PTP_HB!O31)</f>
        <v>0</v>
      </c>
      <c r="P31" s="3">
        <f>SUM(EL_DEL_CD1_STH_PTP_!P31,'Overall without PTP '!P31,ELEVATE_CD3_NTH_HB!P31,ELEVATE_CD3_STAB_HB!P31,ELEVATE_CD3_PTP_HB!P31)</f>
        <v>0</v>
      </c>
      <c r="Q31" s="2">
        <f>SUM(EL_DEL_CD1_STH_PTP_!Q31,'Overall without PTP '!Q31,ELEVATE_CD3_NTH_HB!Q31,ELEVATE_CD3_STAB_HB!Q31,ELEVATE_CD3_PTP_HB!Q31)</f>
        <v>0</v>
      </c>
      <c r="R31" s="2">
        <f>SUM(EL_DEL_CD1_STH_PTP_!R31,'Overall without PTP '!R31,ELEVATE_CD3_NTH_HB!R31,ELEVATE_CD3_STAB_HB!R31,ELEVATE_CD3_PTP_HB!R31)</f>
        <v>0</v>
      </c>
      <c r="S31" s="2">
        <f>SUM(EL_DEL_CD1_STH_PTP_!S31,'Overall without PTP '!S31,ELEVATE_CD3_NTH_HB!S31,ELEVATE_CD3_STAB_HB!S31,ELEVATE_CD3_PTP_HB!S31)</f>
        <v>0</v>
      </c>
      <c r="T31" s="2">
        <f>SUM(EL_DEL_CD1_STH_PTP_!T31,'Overall without PTP '!T31,ELEVATE_CD3_NTH_HB!T31,ELEVATE_CD3_STAB_HB!T31,ELEVATE_CD3_PTP_HB!T31)</f>
        <v>0</v>
      </c>
      <c r="U31" s="3">
        <f>SUM(EL_DEL_CD1_STH_PTP_!V31,'Overall without PTP '!V31,ELEVATE_CD3_NTH_HB!U31,ELEVATE_CD3_STAB_HB!U31,ELEVATE_CD3_PTP_HB!U31)</f>
        <v>0</v>
      </c>
      <c r="V31" s="3">
        <f>SUM(EL_DEL_CD1_STH_PTP_!W31,'Overall without PTP '!W31,ELEVATE_CD3_NTH_HB!V31,ELEVATE_CD3_STAB_HB!V31,ELEVATE_CD3_PTP_HB!V31)</f>
        <v>0</v>
      </c>
      <c r="W31" s="2">
        <f>SUM(EL_DEL_CD1_STH_PTP_!X31,'Overall without PTP '!X31,ELEVATE_CD3_NTH_HB!W31,ELEVATE_CD3_STAB_HB!W31,ELEVATE_CD3_PTP_HB!W31)</f>
        <v>0</v>
      </c>
      <c r="X31" s="2">
        <f>SUM(EL_DEL_CD1_STH_PTP_!Y31,'Overall without PTP '!Y31,ELEVATE_CD3_NTH_HB!X31,ELEVATE_CD3_STAB_HB!X31,ELEVATE_CD3_PTP_HB!X31)</f>
        <v>0</v>
      </c>
      <c r="Y31" s="2">
        <f>SUM(EL_DEL_CD1_STH_PTP_!Z31,'Overall without PTP '!Z31,ELEVATE_CD3_NTH_HB!Y31,ELEVATE_CD3_STAB_HB!Y31,ELEVATE_CD3_PTP_HB!Y31)</f>
        <v>0</v>
      </c>
      <c r="Z31" s="2">
        <f>SUM(EL_DEL_CD1_STH_PTP_!AA31,'Overall without PTP '!AA31,ELEVATE_CD3_NTH_HB!Z31,ELEVATE_CD3_STAB_HB!Z31,ELEVATE_CD3_PTP_HB!Z31)</f>
        <v>0</v>
      </c>
      <c r="AA31" s="2">
        <f>SUM(EL_DEL_CD1_STH_PTP_!AB31,'Overall without PTP '!AB31,ELEVATE_CD3_NTH_HB!AA31,ELEVATE_CD3_STAB_HB!AA31,ELEVATE_CD3_PTP_HB!AA31)</f>
        <v>0</v>
      </c>
      <c r="AB31" s="2">
        <f>SUM(EL_DEL_CD1_STH_PTP_!AC31,'Overall without PTP '!AC31,ELEVATE_CD3_NTH_HB!AB31,ELEVATE_CD3_STAB_HB!AB31,ELEVATE_CD3_PTP_HB!AB31)</f>
        <v>0</v>
      </c>
      <c r="AC31" s="2">
        <f>SUM(EL_DEL_CD1_STH_PTP_!AD31,'Overall without PTP '!AD31,ELEVATE_CD3_NTH_HB!AC31,ELEVATE_CD3_STAB_HB!AC31,ELEVATE_CD3_PTP_HB!AC31)</f>
        <v>0</v>
      </c>
      <c r="AD31" s="2">
        <f>SUM(EL_DEL_CD1_STH_PTP_!AE31,'Overall without PTP '!AE31,ELEVATE_CD3_NTH_HB!AD31,ELEVATE_CD3_STAB_HB!AD31,ELEVATE_CD3_PTP_HB!AD31)</f>
        <v>0</v>
      </c>
      <c r="AE31" s="3">
        <f>SUM(EL_DEL_CD1_STH_PTP_!AF31,'Overall without PTP '!AF31,ELEVATE_CD3_NTH_HB!AE31,ELEVATE_CD3_STAB_HB!AE31,ELEVATE_CD3_PTP_HB!AE31)</f>
        <v>0</v>
      </c>
      <c r="AF31" s="3">
        <f>SUM(EL_DEL_CD1_STH_PTP_!AG31,'Overall without PTP '!AG31,ELEVATE_CD3_NTH_HB!AF31,ELEVATE_CD3_STAB_HB!AF31,ELEVATE_CD3_PTP_HB!AF31)</f>
        <v>0</v>
      </c>
      <c r="AG31" s="2">
        <f>SUM(EL_DEL_CD1_STH_PTP_!AH31,'Overall without PTP '!AH31,ELEVATE_CD3_NTH_HB!AG31,ELEVATE_CD3_STAB_HB!AG31,ELEVATE_CD3_PTP_HB!AG31)</f>
        <v>0</v>
      </c>
      <c r="AH31" s="6">
        <f>SUM(EL_DEL_CD1_STH_PTP_!AI31,'Overall without PTP '!AI31,ELEVATE_CD3_NTH_HB!AH31,ELEVATE_CD3_STAB_HB!AH31,ELEVATE_CD3_PTP_HB!AH31)</f>
        <v>0</v>
      </c>
      <c r="AI31" s="7">
        <f>SUM(EL_DEL_CD1_STH_PTP_!AJ31,'Overall without PTP '!AJ31,ELEVATE_CD3_NTH_HB!AI31,ELEVATE_CD3_STAB_HB!AI31,ELEVATE_CD3_PTP_HB!AI31)</f>
        <v>0</v>
      </c>
      <c r="AJ31" s="6">
        <f>SUM(EL_DEL_CD1_STH_PTP_!AK31,'Overall without PTP '!AK31,ELEVATE_CD3_NTH_HB!AJ31,ELEVATE_CD3_STAB_HB!AJ31,ELEVATE_CD3_PTP_HB!AJ31)</f>
        <v>0</v>
      </c>
      <c r="AK31" s="59" t="str">
        <f>IFERROR(AVERAGE(EL_DEL_CD1_STH_PTP_!AL31,'Overall without PTP '!AL31,ELEVATE_CD3_NTH_HB!AK31,ELEVATE_CD3_STAB_HB!AK31,ELEVATE_CD3_PTP_HB!AK31),"")</f>
        <v/>
      </c>
      <c r="AL31" s="59" t="str">
        <f>IFERROR(AVERAGE(EL_DEL_CD1_STH_PTP_!AM31,'Overall without PTP '!AM31,ELEVATE_CD3_NTH_HB!AL31,ELEVATE_CD3_STAB_HB!AL31,ELEVATE_CD3_PTP_HB!AL31),"")</f>
        <v/>
      </c>
      <c r="AM31" s="59" t="str">
        <f>IFERROR(AVERAGE(EL_DEL_CD1_STH_PTP_!AN31,'Overall without PTP '!AN31,ELEVATE_CD3_NTH_HB!AM31,ELEVATE_CD3_STAB_HB!AM31,ELEVATE_CD3_PTP_HB!AM31),"")</f>
        <v/>
      </c>
      <c r="AN31" s="59" t="str">
        <f>IFERROR(AVERAGE(EL_DEL_CD1_STH_PTP_!AO31,'Overall without PTP '!AO31,ELEVATE_CD3_NTH_HB!AN31,ELEVATE_CD3_STAB_HB!AN31,ELEVATE_CD3_PTP_HB!AN31),"")</f>
        <v/>
      </c>
      <c r="AO31" s="59" t="str">
        <f>IFERROR(AVERAGE(EL_DEL_CD1_STH_PTP_!AP31,'Overall without PTP '!AP31,ELEVATE_CD3_NTH_HB!AO31,ELEVATE_CD3_STAB_HB!AO31,ELEVATE_CD3_PTP_HB!AO31),"")</f>
        <v/>
      </c>
      <c r="AP31" s="59" t="str">
        <f>IFERROR(AVERAGE(EL_DEL_CD1_STH_PTP_!AQ31,'Overall without PTP '!AQ31,ELEVATE_CD3_NTH_HB!AP31,ELEVATE_CD3_STAB_HB!AP31,ELEVATE_CD3_PTP_HB!AP31),"")</f>
        <v/>
      </c>
      <c r="AQ31" s="59" t="str">
        <f>IFERROR(AVERAGE(EL_DEL_CD1_STH_PTP_!AR31,'Overall without PTP '!AR31,ELEVATE_CD3_NTH_HB!AQ31,ELEVATE_CD3_STAB_HB!AQ31,ELEVATE_CD3_PTP_HB!AQ31),"")</f>
        <v/>
      </c>
      <c r="AR31" s="59" t="str">
        <f>IFERROR(AVERAGE(EL_DEL_CD1_STH_PTP_!AS31,'Overall without PTP '!AS31,ELEVATE_CD3_NTH_HB!AR31,ELEVATE_CD3_STAB_HB!AR31,ELEVATE_CD3_PTP_HB!AR31),"")</f>
        <v/>
      </c>
      <c r="AS31" s="8">
        <f>SUM(EL_DEL_CD1_STH_PTP_!AT31,'Overall without PTP '!AT31,ELEVATE_CD3_NTH_HB!AS31,ELEVATE_CD3_STAB_HB!AS31,ELEVATE_CD3_PTP_HB!AS31)</f>
        <v>0</v>
      </c>
      <c r="AT31" s="8">
        <f>SUM(EL_DEL_CD1_STH_PTP_!AU31,'Overall without PTP '!AU31,ELEVATE_CD3_NTH_HB!AT31,ELEVATE_CD3_STAB_HB!AT31,ELEVATE_CD3_PTP_HB!AT31)</f>
        <v>0</v>
      </c>
      <c r="AU31" s="9">
        <f>SUM(EL_DEL_CD1_STH_PTP_!AV31,'Overall without PTP '!AV31,ELEVATE_CD3_NTH_HB!AU31,ELEVATE_CD3_STAB_HB!AU31,ELEVATE_CD3_PTP_HB!AU31)</f>
        <v>0</v>
      </c>
      <c r="AV31" s="8">
        <f>IFERROR(AVERAGE(EL_DEL_CD1_STH_PTP_!AW31,'Overall without PTP '!AW31,ELEVATE_CD3_NTH_HB!AV31,ELEVATE_CD3_STAB_HB!AV31,ELEVATE_CD3_PTP_HB!AV31),"")</f>
        <v>0</v>
      </c>
      <c r="AW31" s="10" t="str">
        <f t="shared" si="12"/>
        <v>-</v>
      </c>
      <c r="AX31" s="39"/>
      <c r="AY31" s="1" t="str">
        <f t="shared" si="1"/>
        <v/>
      </c>
      <c r="AZ31" s="11" t="str">
        <f t="shared" si="2"/>
        <v/>
      </c>
      <c r="BA31" s="1" t="str">
        <f t="shared" si="3"/>
        <v/>
      </c>
      <c r="BB31" s="39"/>
      <c r="BC31" s="82" t="str">
        <f t="shared" si="13"/>
        <v/>
      </c>
      <c r="BD31" s="70" t="str">
        <f t="shared" si="14"/>
        <v/>
      </c>
      <c r="BE31" s="70" t="str">
        <f t="shared" si="15"/>
        <v/>
      </c>
      <c r="BF31" s="70" t="str">
        <f t="shared" si="16"/>
        <v/>
      </c>
      <c r="BG31" s="70" t="str">
        <f t="shared" si="17"/>
        <v/>
      </c>
      <c r="BH31" s="83" t="str">
        <f t="shared" si="18"/>
        <v/>
      </c>
      <c r="BI31" s="39"/>
      <c r="BJ31" s="75" t="str">
        <f t="shared" si="4"/>
        <v/>
      </c>
      <c r="BK31" s="76" t="str">
        <f t="shared" si="5"/>
        <v/>
      </c>
      <c r="BL31" s="76" t="str">
        <f t="shared" si="6"/>
        <v/>
      </c>
      <c r="BM31" s="77" t="str">
        <f t="shared" si="7"/>
        <v/>
      </c>
      <c r="BN31" s="39"/>
      <c r="BO31" s="14" t="str">
        <f t="shared" si="19"/>
        <v/>
      </c>
      <c r="BP31" s="15">
        <v>0</v>
      </c>
      <c r="BQ31" s="74" t="str">
        <f t="shared" si="8"/>
        <v/>
      </c>
      <c r="BR31" s="15" t="str">
        <f t="shared" si="9"/>
        <v/>
      </c>
      <c r="BS31" s="16" t="str">
        <f t="shared" si="20"/>
        <v/>
      </c>
      <c r="BT31" s="39"/>
      <c r="BU31" s="51" t="e">
        <f t="shared" si="10"/>
        <v>#VALUE!</v>
      </c>
      <c r="BV31" s="28" t="e">
        <f t="shared" si="21"/>
        <v>#VALUE!</v>
      </c>
      <c r="BW31" s="28" t="e">
        <f t="shared" si="22"/>
        <v>#VALUE!</v>
      </c>
      <c r="BX31" s="28" t="e">
        <f t="shared" si="23"/>
        <v>#VALUE!</v>
      </c>
      <c r="BY31" s="28" t="e">
        <f t="shared" si="24"/>
        <v>#VALUE!</v>
      </c>
      <c r="BZ31" s="52" t="e">
        <f t="shared" si="11"/>
        <v>#VALUE!</v>
      </c>
      <c r="CA31" s="39"/>
      <c r="CB31" s="49" t="str">
        <f t="shared" si="25"/>
        <v>-</v>
      </c>
      <c r="CC31" s="29" t="str">
        <f t="shared" si="26"/>
        <v>-</v>
      </c>
      <c r="CD31" s="29" t="str">
        <f t="shared" si="27"/>
        <v>-</v>
      </c>
      <c r="CE31" s="29" t="str">
        <f t="shared" si="28"/>
        <v>-</v>
      </c>
      <c r="CF31" s="50" t="str">
        <f t="shared" si="29"/>
        <v>-</v>
      </c>
      <c r="CG31" s="39"/>
    </row>
    <row r="32" spans="1:85" s="27" customFormat="1" ht="13.15" customHeight="1" thickBot="1" x14ac:dyDescent="0.25">
      <c r="A32" s="288" t="s">
        <v>68</v>
      </c>
      <c r="B32" s="289"/>
      <c r="C32" s="45">
        <f t="shared" ref="C32:AV32" si="31">AVERAGE(C4:C31)</f>
        <v>0</v>
      </c>
      <c r="D32" s="17">
        <f t="shared" si="31"/>
        <v>0</v>
      </c>
      <c r="E32" s="17">
        <f t="shared" si="31"/>
        <v>0</v>
      </c>
      <c r="F32" s="17">
        <f t="shared" si="31"/>
        <v>0</v>
      </c>
      <c r="G32" s="17">
        <f t="shared" si="31"/>
        <v>0</v>
      </c>
      <c r="H32" s="17">
        <f t="shared" si="31"/>
        <v>0</v>
      </c>
      <c r="I32" s="17">
        <f t="shared" si="31"/>
        <v>0</v>
      </c>
      <c r="J32" s="17">
        <f t="shared" si="31"/>
        <v>0</v>
      </c>
      <c r="K32" s="17">
        <f t="shared" si="31"/>
        <v>0</v>
      </c>
      <c r="L32" s="17">
        <f t="shared" si="31"/>
        <v>0</v>
      </c>
      <c r="M32" s="17">
        <f t="shared" si="31"/>
        <v>0</v>
      </c>
      <c r="N32" s="17">
        <f t="shared" si="31"/>
        <v>0</v>
      </c>
      <c r="O32" s="17">
        <f t="shared" si="31"/>
        <v>0</v>
      </c>
      <c r="P32" s="17">
        <f t="shared" si="31"/>
        <v>0</v>
      </c>
      <c r="Q32" s="17">
        <f t="shared" si="31"/>
        <v>0</v>
      </c>
      <c r="R32" s="17">
        <f t="shared" si="31"/>
        <v>0</v>
      </c>
      <c r="S32" s="17">
        <f t="shared" si="31"/>
        <v>0</v>
      </c>
      <c r="T32" s="17">
        <f t="shared" si="31"/>
        <v>0</v>
      </c>
      <c r="U32" s="17">
        <f t="shared" si="31"/>
        <v>0</v>
      </c>
      <c r="V32" s="17">
        <f t="shared" si="31"/>
        <v>0</v>
      </c>
      <c r="W32" s="17">
        <f t="shared" si="31"/>
        <v>0</v>
      </c>
      <c r="X32" s="17">
        <f t="shared" si="31"/>
        <v>0</v>
      </c>
      <c r="Y32" s="17">
        <f t="shared" si="31"/>
        <v>0</v>
      </c>
      <c r="Z32" s="17">
        <f t="shared" si="31"/>
        <v>0</v>
      </c>
      <c r="AA32" s="17">
        <f t="shared" si="31"/>
        <v>0</v>
      </c>
      <c r="AB32" s="17">
        <f t="shared" si="31"/>
        <v>0</v>
      </c>
      <c r="AC32" s="17">
        <f t="shared" si="31"/>
        <v>0</v>
      </c>
      <c r="AD32" s="17">
        <f t="shared" si="31"/>
        <v>0</v>
      </c>
      <c r="AE32" s="17">
        <f t="shared" si="31"/>
        <v>0</v>
      </c>
      <c r="AF32" s="17">
        <f t="shared" si="31"/>
        <v>0</v>
      </c>
      <c r="AG32" s="17">
        <f t="shared" si="31"/>
        <v>0</v>
      </c>
      <c r="AH32" s="17">
        <f t="shared" si="31"/>
        <v>0</v>
      </c>
      <c r="AI32" s="17">
        <f t="shared" si="31"/>
        <v>0</v>
      </c>
      <c r="AJ32" s="17">
        <f t="shared" si="31"/>
        <v>0</v>
      </c>
      <c r="AK32" s="64" t="e">
        <f t="shared" si="31"/>
        <v>#DIV/0!</v>
      </c>
      <c r="AL32" s="64" t="e">
        <f t="shared" si="31"/>
        <v>#DIV/0!</v>
      </c>
      <c r="AM32" s="64" t="e">
        <f t="shared" si="31"/>
        <v>#DIV/0!</v>
      </c>
      <c r="AN32" s="64" t="e">
        <f t="shared" si="31"/>
        <v>#DIV/0!</v>
      </c>
      <c r="AO32" s="64" t="e">
        <f t="shared" si="31"/>
        <v>#DIV/0!</v>
      </c>
      <c r="AP32" s="64" t="e">
        <f t="shared" si="31"/>
        <v>#DIV/0!</v>
      </c>
      <c r="AQ32" s="64" t="e">
        <f t="shared" si="31"/>
        <v>#DIV/0!</v>
      </c>
      <c r="AR32" s="64" t="e">
        <f t="shared" si="31"/>
        <v>#DIV/0!</v>
      </c>
      <c r="AS32" s="17">
        <f t="shared" si="31"/>
        <v>0</v>
      </c>
      <c r="AT32" s="17">
        <f t="shared" si="31"/>
        <v>0</v>
      </c>
      <c r="AU32" s="17">
        <f t="shared" si="31"/>
        <v>0</v>
      </c>
      <c r="AV32" s="17">
        <f t="shared" si="31"/>
        <v>0</v>
      </c>
      <c r="AW32" s="46" t="str">
        <f t="shared" si="12"/>
        <v>-</v>
      </c>
      <c r="AX32" s="39"/>
      <c r="AY32" s="18" t="str">
        <f t="shared" si="1"/>
        <v/>
      </c>
      <c r="AZ32" s="19" t="str">
        <f t="shared" si="2"/>
        <v/>
      </c>
      <c r="BA32" s="20" t="str">
        <f t="shared" si="3"/>
        <v/>
      </c>
      <c r="BB32" s="39"/>
      <c r="BC32" s="78" t="str">
        <f t="shared" si="13"/>
        <v/>
      </c>
      <c r="BD32" s="71" t="str">
        <f t="shared" si="14"/>
        <v/>
      </c>
      <c r="BE32" s="71" t="str">
        <f t="shared" si="15"/>
        <v/>
      </c>
      <c r="BF32" s="71" t="e">
        <f t="shared" si="16"/>
        <v>#DIV/0!</v>
      </c>
      <c r="BG32" s="71" t="str">
        <f t="shared" si="17"/>
        <v/>
      </c>
      <c r="BH32" s="79" t="e">
        <f t="shared" si="18"/>
        <v>#DIV/0!</v>
      </c>
      <c r="BI32" s="39"/>
      <c r="BJ32" s="78" t="str">
        <f t="shared" si="4"/>
        <v/>
      </c>
      <c r="BK32" s="71" t="str">
        <f t="shared" si="5"/>
        <v/>
      </c>
      <c r="BL32" s="71" t="str">
        <f t="shared" si="6"/>
        <v/>
      </c>
      <c r="BM32" s="79" t="str">
        <f t="shared" si="7"/>
        <v/>
      </c>
      <c r="BN32" s="39"/>
      <c r="BO32" s="18" t="str">
        <f t="shared" si="19"/>
        <v/>
      </c>
      <c r="BP32" s="21">
        <v>0</v>
      </c>
      <c r="BQ32" s="71" t="str">
        <f t="shared" si="8"/>
        <v/>
      </c>
      <c r="BR32" s="21" t="str">
        <f t="shared" si="9"/>
        <v/>
      </c>
      <c r="BS32" s="20" t="str">
        <f t="shared" si="20"/>
        <v/>
      </c>
      <c r="BT32" s="39"/>
      <c r="BU32" s="30" t="e">
        <f t="shared" si="10"/>
        <v>#DIV/0!</v>
      </c>
      <c r="BV32" s="31" t="e">
        <f t="shared" si="21"/>
        <v>#DIV/0!</v>
      </c>
      <c r="BW32" s="31" t="e">
        <f t="shared" si="22"/>
        <v>#DIV/0!</v>
      </c>
      <c r="BX32" s="31" t="e">
        <f t="shared" si="23"/>
        <v>#DIV/0!</v>
      </c>
      <c r="BY32" s="31" t="e">
        <f t="shared" si="24"/>
        <v>#DIV/0!</v>
      </c>
      <c r="BZ32" s="32" t="e">
        <f t="shared" si="11"/>
        <v>#DIV/0!</v>
      </c>
      <c r="CA32" s="39"/>
      <c r="CB32" s="30" t="str">
        <f t="shared" si="25"/>
        <v>-</v>
      </c>
      <c r="CC32" s="31" t="str">
        <f t="shared" si="26"/>
        <v>-</v>
      </c>
      <c r="CD32" s="31" t="str">
        <f t="shared" si="27"/>
        <v>-</v>
      </c>
      <c r="CE32" s="31" t="str">
        <f t="shared" si="28"/>
        <v>-</v>
      </c>
      <c r="CF32" s="32" t="str">
        <f t="shared" si="29"/>
        <v>-</v>
      </c>
      <c r="CG32" s="39"/>
    </row>
    <row r="33" spans="1:85" s="27" customFormat="1" ht="13.15" customHeight="1" thickBot="1" x14ac:dyDescent="0.25">
      <c r="A33" s="288" t="s">
        <v>69</v>
      </c>
      <c r="B33" s="289"/>
      <c r="C33" s="47">
        <f t="shared" ref="C33:AV33" si="32">SUM(C4:C31)</f>
        <v>0</v>
      </c>
      <c r="D33" s="22">
        <f t="shared" si="32"/>
        <v>0</v>
      </c>
      <c r="E33" s="22">
        <f t="shared" si="32"/>
        <v>0</v>
      </c>
      <c r="F33" s="22">
        <f t="shared" si="32"/>
        <v>0</v>
      </c>
      <c r="G33" s="22">
        <f t="shared" si="32"/>
        <v>0</v>
      </c>
      <c r="H33" s="22">
        <f t="shared" si="32"/>
        <v>0</v>
      </c>
      <c r="I33" s="22">
        <f t="shared" si="32"/>
        <v>0</v>
      </c>
      <c r="J33" s="22">
        <f t="shared" si="32"/>
        <v>0</v>
      </c>
      <c r="K33" s="22">
        <f t="shared" si="32"/>
        <v>0</v>
      </c>
      <c r="L33" s="22">
        <f t="shared" si="32"/>
        <v>0</v>
      </c>
      <c r="M33" s="22">
        <f t="shared" si="32"/>
        <v>0</v>
      </c>
      <c r="N33" s="22">
        <f t="shared" si="32"/>
        <v>0</v>
      </c>
      <c r="O33" s="22">
        <f t="shared" si="32"/>
        <v>0</v>
      </c>
      <c r="P33" s="22">
        <f t="shared" si="32"/>
        <v>0</v>
      </c>
      <c r="Q33" s="22">
        <f t="shared" si="32"/>
        <v>0</v>
      </c>
      <c r="R33" s="22">
        <f t="shared" si="32"/>
        <v>0</v>
      </c>
      <c r="S33" s="22">
        <f t="shared" si="32"/>
        <v>0</v>
      </c>
      <c r="T33" s="22">
        <f t="shared" si="32"/>
        <v>0</v>
      </c>
      <c r="U33" s="22">
        <f t="shared" si="32"/>
        <v>0</v>
      </c>
      <c r="V33" s="22">
        <f t="shared" si="32"/>
        <v>0</v>
      </c>
      <c r="W33" s="22">
        <f t="shared" si="32"/>
        <v>0</v>
      </c>
      <c r="X33" s="22">
        <f t="shared" si="32"/>
        <v>0</v>
      </c>
      <c r="Y33" s="22">
        <f t="shared" si="32"/>
        <v>0</v>
      </c>
      <c r="Z33" s="22">
        <f t="shared" si="32"/>
        <v>0</v>
      </c>
      <c r="AA33" s="22">
        <f t="shared" si="32"/>
        <v>0</v>
      </c>
      <c r="AB33" s="22">
        <f t="shared" si="32"/>
        <v>0</v>
      </c>
      <c r="AC33" s="22">
        <f t="shared" si="32"/>
        <v>0</v>
      </c>
      <c r="AD33" s="22">
        <f t="shared" si="32"/>
        <v>0</v>
      </c>
      <c r="AE33" s="22">
        <f t="shared" si="32"/>
        <v>0</v>
      </c>
      <c r="AF33" s="22">
        <f t="shared" si="32"/>
        <v>0</v>
      </c>
      <c r="AG33" s="22">
        <f t="shared" si="32"/>
        <v>0</v>
      </c>
      <c r="AH33" s="22">
        <f t="shared" si="32"/>
        <v>0</v>
      </c>
      <c r="AI33" s="22">
        <f t="shared" si="32"/>
        <v>0</v>
      </c>
      <c r="AJ33" s="22">
        <f t="shared" si="32"/>
        <v>0</v>
      </c>
      <c r="AK33" s="65">
        <f t="shared" si="32"/>
        <v>0</v>
      </c>
      <c r="AL33" s="65">
        <f t="shared" si="32"/>
        <v>0</v>
      </c>
      <c r="AM33" s="65">
        <f t="shared" si="32"/>
        <v>0</v>
      </c>
      <c r="AN33" s="65">
        <f t="shared" si="32"/>
        <v>0</v>
      </c>
      <c r="AO33" s="65">
        <f t="shared" si="32"/>
        <v>0</v>
      </c>
      <c r="AP33" s="65">
        <f t="shared" si="32"/>
        <v>0</v>
      </c>
      <c r="AQ33" s="65">
        <f t="shared" si="32"/>
        <v>0</v>
      </c>
      <c r="AR33" s="65">
        <f t="shared" si="32"/>
        <v>0</v>
      </c>
      <c r="AS33" s="22">
        <f t="shared" si="32"/>
        <v>0</v>
      </c>
      <c r="AT33" s="22">
        <f t="shared" si="32"/>
        <v>0</v>
      </c>
      <c r="AU33" s="22">
        <f t="shared" si="32"/>
        <v>0</v>
      </c>
      <c r="AV33" s="22">
        <f t="shared" si="32"/>
        <v>0</v>
      </c>
      <c r="AW33" s="48" t="str">
        <f t="shared" si="12"/>
        <v>-</v>
      </c>
      <c r="AX33" s="40"/>
      <c r="AY33" s="23" t="str">
        <f t="shared" si="1"/>
        <v/>
      </c>
      <c r="AZ33" s="24" t="str">
        <f t="shared" si="2"/>
        <v/>
      </c>
      <c r="BA33" s="25" t="str">
        <f t="shared" si="3"/>
        <v/>
      </c>
      <c r="BB33" s="40"/>
      <c r="BC33" s="80" t="str">
        <f t="shared" si="13"/>
        <v/>
      </c>
      <c r="BD33" s="72" t="str">
        <f t="shared" si="14"/>
        <v/>
      </c>
      <c r="BE33" s="72" t="str">
        <f t="shared" si="15"/>
        <v/>
      </c>
      <c r="BF33" s="72" t="str">
        <f t="shared" si="16"/>
        <v/>
      </c>
      <c r="BG33" s="72" t="str">
        <f t="shared" si="17"/>
        <v/>
      </c>
      <c r="BH33" s="81" t="str">
        <f t="shared" si="18"/>
        <v/>
      </c>
      <c r="BI33" s="40"/>
      <c r="BJ33" s="80" t="str">
        <f t="shared" si="4"/>
        <v/>
      </c>
      <c r="BK33" s="72" t="str">
        <f t="shared" si="5"/>
        <v/>
      </c>
      <c r="BL33" s="72" t="str">
        <f t="shared" si="6"/>
        <v/>
      </c>
      <c r="BM33" s="81" t="str">
        <f t="shared" si="7"/>
        <v/>
      </c>
      <c r="BN33" s="40"/>
      <c r="BO33" s="23" t="str">
        <f t="shared" si="19"/>
        <v/>
      </c>
      <c r="BP33" s="26">
        <v>0</v>
      </c>
      <c r="BQ33" s="72" t="str">
        <f t="shared" si="8"/>
        <v/>
      </c>
      <c r="BR33" s="26" t="str">
        <f t="shared" si="9"/>
        <v/>
      </c>
      <c r="BS33" s="25" t="str">
        <f t="shared" si="20"/>
        <v/>
      </c>
      <c r="BT33" s="40"/>
      <c r="BU33" s="33" t="str">
        <f t="shared" si="10"/>
        <v/>
      </c>
      <c r="BV33" s="34" t="str">
        <f t="shared" si="21"/>
        <v/>
      </c>
      <c r="BW33" s="34" t="str">
        <f t="shared" si="22"/>
        <v/>
      </c>
      <c r="BX33" s="34" t="str">
        <f t="shared" si="23"/>
        <v/>
      </c>
      <c r="BY33" s="34" t="str">
        <f t="shared" si="24"/>
        <v/>
      </c>
      <c r="BZ33" s="35" t="str">
        <f t="shared" si="11"/>
        <v/>
      </c>
      <c r="CA33" s="40"/>
      <c r="CB33" s="33" t="str">
        <f t="shared" si="25"/>
        <v>-</v>
      </c>
      <c r="CC33" s="34" t="str">
        <f t="shared" si="26"/>
        <v>-</v>
      </c>
      <c r="CD33" s="34" t="str">
        <f t="shared" si="27"/>
        <v>-</v>
      </c>
      <c r="CE33" s="34" t="str">
        <f t="shared" si="28"/>
        <v>-</v>
      </c>
      <c r="CF33" s="35" t="str">
        <f t="shared" si="29"/>
        <v>-</v>
      </c>
      <c r="CG33" s="40"/>
    </row>
    <row r="34" spans="1:85" x14ac:dyDescent="0.2"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</row>
  </sheetData>
  <mergeCells count="87">
    <mergeCell ref="AY1:BA1"/>
    <mergeCell ref="BC1:BH1"/>
    <mergeCell ref="BJ1:BM1"/>
    <mergeCell ref="BO1:BS1"/>
    <mergeCell ref="CB1:CF1"/>
    <mergeCell ref="BU1:BZ1"/>
    <mergeCell ref="CF2:CF3"/>
    <mergeCell ref="A32:B32"/>
    <mergeCell ref="A33:B33"/>
    <mergeCell ref="BZ2:BZ3"/>
    <mergeCell ref="CB2:CB3"/>
    <mergeCell ref="CC2:CC3"/>
    <mergeCell ref="CD2:CD3"/>
    <mergeCell ref="CE2:CE3"/>
    <mergeCell ref="BS2:BS3"/>
    <mergeCell ref="BU2:BU3"/>
    <mergeCell ref="BV2:BV3"/>
    <mergeCell ref="BW2:BW3"/>
    <mergeCell ref="BX2:BX3"/>
    <mergeCell ref="BY2:BY3"/>
    <mergeCell ref="BL2:BL3"/>
    <mergeCell ref="BM2:BM3"/>
    <mergeCell ref="BO2:BO3"/>
    <mergeCell ref="BQ2:BQ3"/>
    <mergeCell ref="BR2:BR3"/>
    <mergeCell ref="BF2:BF3"/>
    <mergeCell ref="BG2:BG3"/>
    <mergeCell ref="BH2:BH3"/>
    <mergeCell ref="BJ2:BJ3"/>
    <mergeCell ref="BK2:BK3"/>
    <mergeCell ref="BP2:BP3"/>
    <mergeCell ref="AZ2:AZ3"/>
    <mergeCell ref="BA2:BA3"/>
    <mergeCell ref="BC2:BC3"/>
    <mergeCell ref="BD2:BD3"/>
    <mergeCell ref="BE2:BE3"/>
    <mergeCell ref="AT2:AT3"/>
    <mergeCell ref="AU2:AU3"/>
    <mergeCell ref="AV2:AV3"/>
    <mergeCell ref="AW2:AW3"/>
    <mergeCell ref="AY2:AY3"/>
    <mergeCell ref="AS2:AS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G2:AG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E2:E3"/>
    <mergeCell ref="U2:U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B1"/>
    <mergeCell ref="A2:A3"/>
    <mergeCell ref="B2:B3"/>
    <mergeCell ref="C2:C3"/>
    <mergeCell ref="D2:D3"/>
    <mergeCell ref="V2:V3"/>
    <mergeCell ref="W2:W3"/>
    <mergeCell ref="F2:F3"/>
    <mergeCell ref="G2:G3"/>
    <mergeCell ref="H2:H3"/>
    <mergeCell ref="I2:I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7"/>
  <sheetViews>
    <sheetView workbookViewId="0">
      <selection sqref="A1:B1"/>
    </sheetView>
  </sheetViews>
  <sheetFormatPr defaultColWidth="0" defaultRowHeight="11.25" x14ac:dyDescent="0.2"/>
  <cols>
    <col min="1" max="1" width="9.5703125" style="148" bestFit="1" customWidth="1"/>
    <col min="2" max="2" width="4.5703125" style="148" customWidth="1"/>
    <col min="3" max="3" width="15.5703125" style="148" bestFit="1" customWidth="1"/>
    <col min="4" max="4" width="18.85546875" style="148" bestFit="1" customWidth="1"/>
    <col min="5" max="5" width="20" style="148" bestFit="1" customWidth="1"/>
    <col min="6" max="6" width="16" style="148" bestFit="1" customWidth="1"/>
    <col min="7" max="7" width="8.5703125" style="148" bestFit="1" customWidth="1"/>
    <col min="8" max="8" width="18.5703125" style="148" bestFit="1" customWidth="1"/>
    <col min="9" max="9" width="9" style="148" bestFit="1" customWidth="1"/>
    <col min="10" max="10" width="9.42578125" style="148" customWidth="1"/>
    <col min="11" max="11" width="11" style="148" bestFit="1" customWidth="1"/>
    <col min="12" max="20" width="8.5703125" style="148" bestFit="1" customWidth="1"/>
    <col min="21" max="21" width="6" style="148" bestFit="1" customWidth="1"/>
    <col min="22" max="34" width="8.5703125" style="148" bestFit="1" customWidth="1"/>
    <col min="35" max="35" width="13.28515625" style="148" bestFit="1" customWidth="1"/>
    <col min="36" max="36" width="15.7109375" style="148" bestFit="1" customWidth="1"/>
    <col min="37" max="37" width="16.28515625" style="148" bestFit="1" customWidth="1"/>
    <col min="38" max="38" width="15.42578125" style="148" bestFit="1" customWidth="1"/>
    <col min="39" max="39" width="15.85546875" style="148" bestFit="1" customWidth="1"/>
    <col min="40" max="40" width="16.28515625" style="148" bestFit="1" customWidth="1"/>
    <col min="41" max="41" width="10" style="148" bestFit="1" customWidth="1"/>
    <col min="42" max="42" width="13.85546875" style="148" bestFit="1" customWidth="1"/>
    <col min="43" max="43" width="11.140625" style="148" bestFit="1" customWidth="1"/>
    <col min="44" max="44" width="10.28515625" style="148" bestFit="1" customWidth="1"/>
    <col min="45" max="45" width="12.5703125" style="150" bestFit="1" customWidth="1"/>
    <col min="46" max="46" width="10.7109375" style="148" bestFit="1" customWidth="1"/>
    <col min="47" max="47" width="10.7109375" style="148" customWidth="1"/>
    <col min="48" max="48" width="16.28515625" style="148" bestFit="1" customWidth="1"/>
    <col min="49" max="50" width="16.140625" style="148" bestFit="1" customWidth="1"/>
    <col min="51" max="51" width="2.28515625" style="148" customWidth="1"/>
    <col min="52" max="52" width="16.42578125" style="148" bestFit="1" customWidth="1"/>
    <col min="53" max="53" width="12" style="148" bestFit="1" customWidth="1"/>
    <col min="54" max="54" width="12.85546875" style="148" bestFit="1" customWidth="1"/>
    <col min="55" max="55" width="1.5703125" style="148" customWidth="1"/>
    <col min="56" max="56" width="12.7109375" style="148" bestFit="1" customWidth="1"/>
    <col min="57" max="57" width="13.42578125" style="148" bestFit="1" customWidth="1"/>
    <col min="58" max="58" width="20.42578125" style="148" bestFit="1" customWidth="1"/>
    <col min="59" max="59" width="9.5703125" style="148" bestFit="1" customWidth="1"/>
    <col min="60" max="60" width="14.85546875" style="148" bestFit="1" customWidth="1"/>
    <col min="61" max="61" width="10.7109375" style="148" bestFit="1" customWidth="1"/>
    <col min="62" max="62" width="1.85546875" style="148" customWidth="1"/>
    <col min="63" max="63" width="20.28515625" style="148" bestFit="1" customWidth="1"/>
    <col min="64" max="64" width="25.42578125" style="148" bestFit="1" customWidth="1"/>
    <col min="65" max="65" width="14.140625" style="148" bestFit="1" customWidth="1"/>
    <col min="66" max="66" width="18.140625" style="148" bestFit="1" customWidth="1"/>
    <col min="67" max="67" width="2.140625" style="148" customWidth="1"/>
    <col min="68" max="68" width="9.28515625" style="148" bestFit="1" customWidth="1"/>
    <col min="69" max="69" width="13" style="148" bestFit="1" customWidth="1"/>
    <col min="70" max="70" width="14.140625" style="148" bestFit="1" customWidth="1"/>
    <col min="71" max="71" width="13.85546875" style="148" bestFit="1" customWidth="1"/>
    <col min="72" max="72" width="8" style="148" bestFit="1" customWidth="1"/>
    <col min="73" max="73" width="2.140625" style="148" customWidth="1"/>
    <col min="74" max="74" width="18.5703125" style="148" bestFit="1" customWidth="1"/>
    <col min="75" max="75" width="14.5703125" style="148" bestFit="1" customWidth="1"/>
    <col min="76" max="76" width="18.5703125" style="148" bestFit="1" customWidth="1"/>
    <col min="77" max="77" width="19" style="148" bestFit="1" customWidth="1"/>
    <col min="78" max="78" width="18.140625" style="148" bestFit="1" customWidth="1"/>
    <col min="79" max="79" width="18.7109375" style="148" bestFit="1" customWidth="1"/>
    <col min="80" max="80" width="1.85546875" style="148" customWidth="1"/>
    <col min="81" max="81" width="7.7109375" style="148" bestFit="1" customWidth="1"/>
    <col min="82" max="82" width="5.7109375" style="148" bestFit="1" customWidth="1"/>
    <col min="83" max="83" width="6" style="148" bestFit="1" customWidth="1"/>
    <col min="84" max="84" width="5.7109375" style="148" bestFit="1" customWidth="1"/>
    <col min="85" max="85" width="8.5703125" style="148" bestFit="1" customWidth="1"/>
    <col min="86" max="103" width="0" style="148" hidden="1" customWidth="1"/>
    <col min="104" max="16384" width="10.7109375" style="148" hidden="1"/>
  </cols>
  <sheetData>
    <row r="1" spans="1:86" s="115" customFormat="1" ht="13.15" customHeight="1" thickBot="1" x14ac:dyDescent="0.25">
      <c r="A1" s="197" t="s">
        <v>0</v>
      </c>
      <c r="B1" s="198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13"/>
      <c r="AY1" s="114"/>
      <c r="AZ1" s="246" t="s">
        <v>1</v>
      </c>
      <c r="BA1" s="247"/>
      <c r="BB1" s="248"/>
      <c r="BC1" s="114"/>
      <c r="BD1" s="249" t="s">
        <v>2</v>
      </c>
      <c r="BE1" s="250"/>
      <c r="BF1" s="250"/>
      <c r="BG1" s="250"/>
      <c r="BH1" s="250"/>
      <c r="BI1" s="251"/>
      <c r="BJ1" s="114"/>
      <c r="BK1" s="249" t="s">
        <v>3</v>
      </c>
      <c r="BL1" s="250"/>
      <c r="BM1" s="250"/>
      <c r="BN1" s="251"/>
      <c r="BO1" s="114"/>
      <c r="BP1" s="249" t="s">
        <v>4</v>
      </c>
      <c r="BQ1" s="250"/>
      <c r="BR1" s="250"/>
      <c r="BS1" s="250"/>
      <c r="BT1" s="251"/>
      <c r="BU1" s="114"/>
      <c r="BV1" s="249" t="s">
        <v>5</v>
      </c>
      <c r="BW1" s="250"/>
      <c r="BX1" s="250"/>
      <c r="BY1" s="250"/>
      <c r="BZ1" s="250"/>
      <c r="CA1" s="251"/>
      <c r="CB1" s="114"/>
      <c r="CC1" s="249" t="s">
        <v>6</v>
      </c>
      <c r="CD1" s="250"/>
      <c r="CE1" s="250"/>
      <c r="CF1" s="250"/>
      <c r="CG1" s="251"/>
      <c r="CH1" s="114"/>
    </row>
    <row r="2" spans="1:86" s="115" customFormat="1" ht="15" customHeight="1" x14ac:dyDescent="0.2">
      <c r="A2" s="199" t="s">
        <v>7</v>
      </c>
      <c r="B2" s="201" t="s">
        <v>8</v>
      </c>
      <c r="C2" s="203" t="s">
        <v>9</v>
      </c>
      <c r="D2" s="193" t="s">
        <v>10</v>
      </c>
      <c r="E2" s="193" t="s">
        <v>11</v>
      </c>
      <c r="F2" s="193" t="s">
        <v>12</v>
      </c>
      <c r="G2" s="193" t="s">
        <v>13</v>
      </c>
      <c r="H2" s="195" t="s">
        <v>14</v>
      </c>
      <c r="I2" s="193" t="s">
        <v>15</v>
      </c>
      <c r="J2" s="193" t="s">
        <v>16</v>
      </c>
      <c r="K2" s="193" t="s">
        <v>17</v>
      </c>
      <c r="L2" s="205" t="s">
        <v>18</v>
      </c>
      <c r="M2" s="193" t="s">
        <v>83</v>
      </c>
      <c r="N2" s="193" t="s">
        <v>71</v>
      </c>
      <c r="O2" s="193" t="s">
        <v>19</v>
      </c>
      <c r="P2" s="193" t="s">
        <v>20</v>
      </c>
      <c r="Q2" s="193" t="s">
        <v>84</v>
      </c>
      <c r="R2" s="193" t="s">
        <v>21</v>
      </c>
      <c r="S2" s="193" t="s">
        <v>22</v>
      </c>
      <c r="T2" s="193" t="s">
        <v>23</v>
      </c>
      <c r="U2" s="193" t="s">
        <v>87</v>
      </c>
      <c r="V2" s="193" t="s">
        <v>78</v>
      </c>
      <c r="W2" s="193" t="s">
        <v>24</v>
      </c>
      <c r="X2" s="193" t="s">
        <v>85</v>
      </c>
      <c r="Y2" s="193" t="s">
        <v>25</v>
      </c>
      <c r="Z2" s="193" t="s">
        <v>70</v>
      </c>
      <c r="AA2" s="193" t="s">
        <v>79</v>
      </c>
      <c r="AB2" s="193" t="s">
        <v>76</v>
      </c>
      <c r="AC2" s="193" t="s">
        <v>77</v>
      </c>
      <c r="AD2" s="193" t="s">
        <v>80</v>
      </c>
      <c r="AE2" s="193" t="s">
        <v>75</v>
      </c>
      <c r="AF2" s="193" t="s">
        <v>74</v>
      </c>
      <c r="AG2" s="193" t="s">
        <v>72</v>
      </c>
      <c r="AH2" s="193" t="s">
        <v>73</v>
      </c>
      <c r="AI2" s="193" t="s">
        <v>26</v>
      </c>
      <c r="AJ2" s="193" t="s">
        <v>27</v>
      </c>
      <c r="AK2" s="193" t="s">
        <v>28</v>
      </c>
      <c r="AL2" s="252" t="s">
        <v>29</v>
      </c>
      <c r="AM2" s="252" t="s">
        <v>30</v>
      </c>
      <c r="AN2" s="254" t="s">
        <v>31</v>
      </c>
      <c r="AO2" s="254" t="s">
        <v>32</v>
      </c>
      <c r="AP2" s="254" t="s">
        <v>33</v>
      </c>
      <c r="AQ2" s="254" t="s">
        <v>34</v>
      </c>
      <c r="AR2" s="254" t="s">
        <v>35</v>
      </c>
      <c r="AS2" s="254" t="s">
        <v>36</v>
      </c>
      <c r="AT2" s="207" t="s">
        <v>37</v>
      </c>
      <c r="AU2" s="211" t="s">
        <v>82</v>
      </c>
      <c r="AV2" s="211" t="s">
        <v>81</v>
      </c>
      <c r="AW2" s="213" t="s">
        <v>38</v>
      </c>
      <c r="AX2" s="215" t="s">
        <v>39</v>
      </c>
      <c r="AY2" s="114"/>
      <c r="AZ2" s="217" t="s">
        <v>40</v>
      </c>
      <c r="BA2" s="219" t="s">
        <v>41</v>
      </c>
      <c r="BB2" s="221" t="s">
        <v>42</v>
      </c>
      <c r="BC2" s="114"/>
      <c r="BD2" s="223" t="s">
        <v>43</v>
      </c>
      <c r="BE2" s="225" t="s">
        <v>44</v>
      </c>
      <c r="BF2" s="225" t="s">
        <v>45</v>
      </c>
      <c r="BG2" s="225" t="s">
        <v>46</v>
      </c>
      <c r="BH2" s="225" t="s">
        <v>47</v>
      </c>
      <c r="BI2" s="229" t="s">
        <v>48</v>
      </c>
      <c r="BJ2" s="114"/>
      <c r="BK2" s="231" t="s">
        <v>49</v>
      </c>
      <c r="BL2" s="232" t="s">
        <v>50</v>
      </c>
      <c r="BM2" s="232" t="s">
        <v>51</v>
      </c>
      <c r="BN2" s="245" t="s">
        <v>52</v>
      </c>
      <c r="BO2" s="114"/>
      <c r="BP2" s="223" t="s">
        <v>53</v>
      </c>
      <c r="BQ2" s="225" t="s">
        <v>54</v>
      </c>
      <c r="BR2" s="227" t="s">
        <v>67</v>
      </c>
      <c r="BS2" s="225" t="s">
        <v>55</v>
      </c>
      <c r="BT2" s="229" t="s">
        <v>86</v>
      </c>
      <c r="BU2" s="114"/>
      <c r="BV2" s="241" t="s">
        <v>56</v>
      </c>
      <c r="BW2" s="243" t="s">
        <v>57</v>
      </c>
      <c r="BX2" s="243" t="s">
        <v>58</v>
      </c>
      <c r="BY2" s="193" t="s">
        <v>59</v>
      </c>
      <c r="BZ2" s="243" t="s">
        <v>60</v>
      </c>
      <c r="CA2" s="237" t="s">
        <v>61</v>
      </c>
      <c r="CB2" s="114"/>
      <c r="CC2" s="239" t="s">
        <v>62</v>
      </c>
      <c r="CD2" s="227" t="s">
        <v>63</v>
      </c>
      <c r="CE2" s="227" t="s">
        <v>64</v>
      </c>
      <c r="CF2" s="227" t="s">
        <v>65</v>
      </c>
      <c r="CG2" s="233" t="s">
        <v>66</v>
      </c>
      <c r="CH2" s="114"/>
    </row>
    <row r="3" spans="1:86" s="115" customFormat="1" ht="15" customHeight="1" thickBot="1" x14ac:dyDescent="0.25">
      <c r="A3" s="200"/>
      <c r="B3" s="202"/>
      <c r="C3" s="204"/>
      <c r="D3" s="194"/>
      <c r="E3" s="194"/>
      <c r="F3" s="194"/>
      <c r="G3" s="194"/>
      <c r="H3" s="196"/>
      <c r="I3" s="194"/>
      <c r="J3" s="194"/>
      <c r="K3" s="194"/>
      <c r="L3" s="206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253"/>
      <c r="AM3" s="253"/>
      <c r="AN3" s="255"/>
      <c r="AO3" s="255"/>
      <c r="AP3" s="255"/>
      <c r="AQ3" s="255"/>
      <c r="AR3" s="255"/>
      <c r="AS3" s="255"/>
      <c r="AT3" s="208"/>
      <c r="AU3" s="212"/>
      <c r="AV3" s="212"/>
      <c r="AW3" s="214"/>
      <c r="AX3" s="216" t="s">
        <v>38</v>
      </c>
      <c r="AY3" s="114"/>
      <c r="AZ3" s="218"/>
      <c r="BA3" s="220"/>
      <c r="BB3" s="222"/>
      <c r="BC3" s="114"/>
      <c r="BD3" s="224"/>
      <c r="BE3" s="226"/>
      <c r="BF3" s="226"/>
      <c r="BG3" s="226"/>
      <c r="BH3" s="226"/>
      <c r="BI3" s="230"/>
      <c r="BJ3" s="114"/>
      <c r="BK3" s="224"/>
      <c r="BL3" s="226"/>
      <c r="BM3" s="226"/>
      <c r="BN3" s="230"/>
      <c r="BO3" s="114"/>
      <c r="BP3" s="224"/>
      <c r="BQ3" s="226"/>
      <c r="BR3" s="228"/>
      <c r="BS3" s="226"/>
      <c r="BT3" s="230"/>
      <c r="BU3" s="114"/>
      <c r="BV3" s="242"/>
      <c r="BW3" s="244"/>
      <c r="BX3" s="244"/>
      <c r="BY3" s="194"/>
      <c r="BZ3" s="244"/>
      <c r="CA3" s="238"/>
      <c r="CB3" s="114"/>
      <c r="CC3" s="240"/>
      <c r="CD3" s="228"/>
      <c r="CE3" s="228"/>
      <c r="CF3" s="228"/>
      <c r="CG3" s="234"/>
      <c r="CH3" s="114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0" si="0">+TEXT(A4,"DDD")</f>
        <v>Thu</v>
      </c>
      <c r="C4" s="60">
        <f>+SUM(EL_DEL_CD2_PTP_!C4,EL_DEL_CD2_PTP_L_!C4)</f>
        <v>0</v>
      </c>
      <c r="D4" s="60">
        <f>+SUM(EL_DEL_CD2_PTP_!D4,EL_DEL_CD2_PTP_L_!D4)</f>
        <v>0</v>
      </c>
      <c r="E4" s="60">
        <f>+SUM(EL_DEL_CD2_PTP_!E4,EL_DEL_CD2_PTP_L_!E4)</f>
        <v>0</v>
      </c>
      <c r="F4" s="60">
        <f>+SUM(EL_DEL_CD2_PTP_!F4,EL_DEL_CD2_PTP_L_!F4)</f>
        <v>0</v>
      </c>
      <c r="G4" s="60">
        <f>+SUM(EL_DEL_CD2_PTP_!G4,EL_DEL_CD2_PTP_L_!G4)</f>
        <v>0</v>
      </c>
      <c r="H4" s="60">
        <f>+SUM(EL_DEL_CD2_PTP_!H4,EL_DEL_CD2_PTP_L_!H4)</f>
        <v>0</v>
      </c>
      <c r="I4" s="60">
        <f>+SUM(EL_DEL_CD2_PTP_!I4,EL_DEL_CD2_PTP_L_!I4)</f>
        <v>0</v>
      </c>
      <c r="J4" s="60">
        <f>+SUM(EL_DEL_CD2_PTP_!J4,EL_DEL_CD2_PTP_L_!J4)</f>
        <v>0</v>
      </c>
      <c r="K4" s="60">
        <f>+SUM(EL_DEL_CD2_PTP_!K4,EL_DEL_CD2_PTP_L_!K4)</f>
        <v>0</v>
      </c>
      <c r="L4" s="60">
        <f>+SUM(EL_DEL_CD2_PTP_!L4,EL_DEL_CD2_PTP_L_!L4)</f>
        <v>0</v>
      </c>
      <c r="M4" s="60">
        <f>+SUM(EL_DEL_CD2_PTP_!M4,EL_DEL_CD2_PTP_L_!M4)</f>
        <v>0</v>
      </c>
      <c r="N4" s="60">
        <f>+SUM(EL_DEL_CD2_PTP_!N4,EL_DEL_CD2_PTP_L_!N4)</f>
        <v>0</v>
      </c>
      <c r="O4" s="60">
        <f>+SUM(EL_DEL_CD2_PTP_!O4,EL_DEL_CD2_PTP_L_!O4)</f>
        <v>0</v>
      </c>
      <c r="P4" s="60">
        <f>+SUM(EL_DEL_CD2_PTP_!P4,EL_DEL_CD2_PTP_L_!P4)</f>
        <v>0</v>
      </c>
      <c r="Q4" s="60">
        <f>+SUM(EL_DEL_CD2_PTP_!Q4,EL_DEL_CD2_PTP_L_!Q4)</f>
        <v>0</v>
      </c>
      <c r="R4" s="60">
        <f>+SUM(EL_DEL_CD2_PTP_!R4,EL_DEL_CD2_PTP_L_!R4)</f>
        <v>0</v>
      </c>
      <c r="S4" s="60">
        <f>+SUM(EL_DEL_CD2_PTP_!S4,EL_DEL_CD2_PTP_L_!S4)</f>
        <v>0</v>
      </c>
      <c r="T4" s="60">
        <f>+SUM(EL_DEL_CD2_PTP_!T4,EL_DEL_CD2_PTP_L_!T4)</f>
        <v>0</v>
      </c>
      <c r="U4" s="60">
        <f>+SUM(EL_DEL_CD2_PTP_!U4,EL_DEL_CD2_PTP_L_!U4)</f>
        <v>0</v>
      </c>
      <c r="V4" s="60">
        <f>+SUM(EL_DEL_CD2_PTP_!V4,EL_DEL_CD2_PTP_L_!V4)</f>
        <v>0</v>
      </c>
      <c r="W4" s="60">
        <f>+SUM(EL_DEL_CD2_PTP_!W4,EL_DEL_CD2_PTP_L_!W4)</f>
        <v>0</v>
      </c>
      <c r="X4" s="60">
        <f>+SUM(EL_DEL_CD2_PTP_!X4,EL_DEL_CD2_PTP_L_!X4)</f>
        <v>0</v>
      </c>
      <c r="Y4" s="60">
        <f>+SUM(EL_DEL_CD2_PTP_!Y4,EL_DEL_CD2_PTP_L_!Y4)</f>
        <v>0</v>
      </c>
      <c r="Z4" s="60">
        <f>+SUM(EL_DEL_CD2_PTP_!Z4,EL_DEL_CD2_PTP_L_!Z4)</f>
        <v>0</v>
      </c>
      <c r="AA4" s="60">
        <f>+SUM(EL_DEL_CD2_PTP_!AA4,EL_DEL_CD2_PTP_L_!AA4)</f>
        <v>0</v>
      </c>
      <c r="AB4" s="60">
        <f>+SUM(EL_DEL_CD2_PTP_!AB4,EL_DEL_CD2_PTP_L_!AB4)</f>
        <v>0</v>
      </c>
      <c r="AC4" s="60">
        <f>+SUM(EL_DEL_CD2_PTP_!AC4,EL_DEL_CD2_PTP_L_!AC4)</f>
        <v>0</v>
      </c>
      <c r="AD4" s="60">
        <f>+SUM(EL_DEL_CD2_PTP_!AD4,EL_DEL_CD2_PTP_L_!AD4)</f>
        <v>0</v>
      </c>
      <c r="AE4" s="60">
        <f>+SUM(EL_DEL_CD2_PTP_!AE4,EL_DEL_CD2_PTP_L_!AE4)</f>
        <v>0</v>
      </c>
      <c r="AF4" s="60">
        <f>+SUM(EL_DEL_CD2_PTP_!AF4,EL_DEL_CD2_PTP_L_!AF4)</f>
        <v>0</v>
      </c>
      <c r="AG4" s="60">
        <f>+SUM(EL_DEL_CD2_PTP_!AG4,EL_DEL_CD2_PTP_L_!AG4)</f>
        <v>0</v>
      </c>
      <c r="AH4" s="60">
        <f>+SUM(EL_DEL_CD2_PTP_!AH4,EL_DEL_CD2_PTP_L_!AH4)</f>
        <v>0</v>
      </c>
      <c r="AI4" s="60">
        <f>+SUM(EL_DEL_CD2_PTP_!AI4,EL_DEL_CD2_PTP_L_!AI4)</f>
        <v>0</v>
      </c>
      <c r="AJ4" s="60">
        <f>+SUM(EL_DEL_CD2_PTP_!AJ4,EL_DEL_CD2_PTP_L_!AJ4)</f>
        <v>0</v>
      </c>
      <c r="AK4" s="60">
        <f>+SUM(EL_DEL_CD2_PTP_!AK4,EL_DEL_CD2_PTP_L_!AK4)</f>
        <v>0</v>
      </c>
      <c r="AL4" s="99" t="str">
        <f>+IFERROR(AVERAGE(EL_DEL_CD2_PTP_!AL4,EL_DEL_CD2_PTP_L_!AL4),"0")</f>
        <v>0</v>
      </c>
      <c r="AM4" s="99" t="str">
        <f>+IFERROR(AVERAGE(EL_DEL_CD2_PTP_!AM4,EL_DEL_CD2_PTP_L_!AM4),"0")</f>
        <v>0</v>
      </c>
      <c r="AN4" s="99" t="str">
        <f>+IFERROR(AVERAGE(EL_DEL_CD2_PTP_!AN4,EL_DEL_CD2_PTP_L_!AN4),"0")</f>
        <v>0</v>
      </c>
      <c r="AO4" s="99" t="str">
        <f>+IFERROR(AVERAGE(EL_DEL_CD2_PTP_!AO4,EL_DEL_CD2_PTP_L_!AO4),"0")</f>
        <v>0</v>
      </c>
      <c r="AP4" s="99" t="str">
        <f>+IFERROR(AVERAGE(EL_DEL_CD2_PTP_!AP4,EL_DEL_CD2_PTP_L_!AP4),"0")</f>
        <v>0</v>
      </c>
      <c r="AQ4" s="99" t="str">
        <f>+IFERROR(AVERAGE(EL_DEL_CD2_PTP_!AQ4,EL_DEL_CD2_PTP_L_!AQ4),"0")</f>
        <v>0</v>
      </c>
      <c r="AR4" s="99" t="str">
        <f>+IFERROR(AVERAGE(EL_DEL_CD2_PTP_!AR4,EL_DEL_CD2_PTP_L_!AR4),"0")</f>
        <v>0</v>
      </c>
      <c r="AS4" s="99" t="str">
        <f>+IFERROR(AVERAGE(EL_DEL_CD2_PTP_!AS4,EL_DEL_CD2_PTP_L_!AS4),"0")</f>
        <v>0</v>
      </c>
      <c r="AT4" s="60">
        <f>+SUM(EL_DEL_CD2_PTP_!AT4,EL_DEL_CD2_PTP_L_!AT4)</f>
        <v>0</v>
      </c>
      <c r="AU4" s="60">
        <f>+SUM(EL_DEL_CD2_PTP_!AU4,EL_DEL_CD2_PTP_L_!AU4)</f>
        <v>0</v>
      </c>
      <c r="AV4" s="60">
        <f>+SUM(EL_DEL_CD2_PTP_!AV4,EL_DEL_CD2_PTP_L_!AV4)</f>
        <v>0</v>
      </c>
      <c r="AW4" s="60">
        <f>+SUM(EL_DEL_CD2_PTP_!AW4,EL_DEL_CD2_PTP_L_!AW4)</f>
        <v>0</v>
      </c>
      <c r="AX4" s="102" t="str">
        <f>IFERROR(AN4/AW4,"-")</f>
        <v>-</v>
      </c>
      <c r="AY4" s="114"/>
      <c r="AZ4" s="116" t="str">
        <f t="shared" ref="AZ4:AZ36" si="1">IF(E4&gt;0,F4/E4,"")</f>
        <v/>
      </c>
      <c r="BA4" s="117" t="str">
        <f t="shared" ref="BA4:BA36" si="2">+IF(E4&gt;0,G4/E4,"")</f>
        <v/>
      </c>
      <c r="BB4" s="116" t="str">
        <f t="shared" ref="BB4:BB36" si="3">+IF(E4&gt;0,AJ4/E4,"")</f>
        <v/>
      </c>
      <c r="BC4" s="114"/>
      <c r="BD4" s="118" t="str">
        <f t="shared" ref="BD4:BD36" si="4">+IF(G4&gt;0,I4/G4,"")</f>
        <v/>
      </c>
      <c r="BE4" s="119" t="str">
        <f t="shared" ref="BE4:BE36" si="5">+IF(G4&gt;0,J4/G4,"")</f>
        <v/>
      </c>
      <c r="BF4" s="119" t="str">
        <f t="shared" ref="BF4:BF36" si="6">+IF(I4&gt;0,L4/I4,"")</f>
        <v/>
      </c>
      <c r="BG4" s="119" t="str">
        <f>+IF(SUM(AO4:AR4)&gt;0,AO4/AN4,"")</f>
        <v/>
      </c>
      <c r="BH4" s="119" t="str">
        <f t="shared" ref="BH4:BH36" si="7">+IF(G4&gt;0,K4/G4,"")</f>
        <v/>
      </c>
      <c r="BI4" s="120" t="str">
        <f>+IF(SUM(AO4:AR4)&gt;0,AQ4/AN4,"")</f>
        <v/>
      </c>
      <c r="BJ4" s="114"/>
      <c r="BK4" s="121" t="str">
        <f t="shared" ref="BK4:BK36" si="8">+IF(E4&gt;0,(AJ4/E4),"")</f>
        <v/>
      </c>
      <c r="BL4" s="122" t="str">
        <f t="shared" ref="BL4:BL36" si="9">+IF(E4&gt;0,(AJ4/F4),"")</f>
        <v/>
      </c>
      <c r="BM4" s="122" t="str">
        <f t="shared" ref="BM4:BM36" si="10">+IF(E4&gt;0,(AJ4/G4),"")</f>
        <v/>
      </c>
      <c r="BN4" s="123" t="str">
        <f t="shared" ref="BN4:BN36" si="11">+IF(E4&gt;0,(AJ4/J4),"")</f>
        <v/>
      </c>
      <c r="BO4" s="114"/>
      <c r="BP4" s="124" t="str">
        <f t="shared" ref="BP4:BP36" si="12">IF(AJ4&gt;0,(N4/AJ4),"")</f>
        <v/>
      </c>
      <c r="BQ4" s="125">
        <v>0</v>
      </c>
      <c r="BR4" s="125" t="str">
        <f>IF(AJ4&gt;0,(AK4/AJ4),"")</f>
        <v/>
      </c>
      <c r="BS4" s="125" t="str">
        <f>IF(AJ4&gt;0,(AK4/AJ4),"")</f>
        <v/>
      </c>
      <c r="BT4" s="126" t="str">
        <f t="shared" ref="BT4:BT36" si="13">IF(J4&gt;0,AD4/J4,"")</f>
        <v/>
      </c>
      <c r="BU4" s="114"/>
      <c r="BV4" s="127" t="e">
        <f t="shared" ref="BV4:BV36" si="14">IF(AN4&gt;0,(E4/AN4),"")</f>
        <v>#DIV/0!</v>
      </c>
      <c r="BW4" s="127" t="e">
        <f t="shared" ref="BW4:BW36" si="15">IF(AN4&gt;0,(G4/AN4),"")</f>
        <v>#DIV/0!</v>
      </c>
      <c r="BX4" s="127" t="e">
        <f t="shared" ref="BX4:BX36" si="16">IF(AN4&gt;0,(J4/AN4),"")</f>
        <v>#DIV/0!</v>
      </c>
      <c r="BY4" s="127" t="e">
        <f t="shared" ref="BY4:BY36" si="17">IF(AN4&gt;0,(K4/AN4),"")</f>
        <v>#DIV/0!</v>
      </c>
      <c r="BZ4" s="127" t="e">
        <f>IF(AN4&gt;0,(AJ4/AN4),"")</f>
        <v>#DIV/0!</v>
      </c>
      <c r="CA4" s="128" t="e">
        <f>IF(AN4&gt;0,(AK4/AN4),"")</f>
        <v>#DIV/0!</v>
      </c>
      <c r="CB4" s="114"/>
      <c r="CC4" s="129" t="str">
        <f t="shared" ref="CC4:CC36" si="18">IFERROR(((AN4-AO4)*3600)/J4,"-")</f>
        <v>-</v>
      </c>
      <c r="CD4" s="130" t="str">
        <f t="shared" ref="CD4:CD36" si="19">IFERROR((AR4*3600)/J4,"-")</f>
        <v>-</v>
      </c>
      <c r="CE4" s="130" t="str">
        <f t="shared" ref="CE4:CE36" si="20">IFERROR((AQ4*3600)/J4,"-")</f>
        <v>-</v>
      </c>
      <c r="CF4" s="130" t="str">
        <f t="shared" ref="CF4:CF36" si="21">IFERROR((AO4*3600)/J4,"-")</f>
        <v>-</v>
      </c>
      <c r="CG4" s="131" t="str">
        <f t="shared" ref="CG4:CG36" si="22">IFERROR((AP4*3600)/J4,"-")</f>
        <v>-</v>
      </c>
      <c r="CH4" s="114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60">
        <f>+SUM(EL_DEL_CD2_PTP_!C5,EL_DEL_CD2_PTP_L_!C5)</f>
        <v>0</v>
      </c>
      <c r="D5" s="60">
        <f>+SUM(EL_DEL_CD2_PTP_!D5,EL_DEL_CD2_PTP_L_!D5)</f>
        <v>0</v>
      </c>
      <c r="E5" s="60">
        <f>+SUM(EL_DEL_CD2_PTP_!E5,EL_DEL_CD2_PTP_L_!E5)</f>
        <v>0</v>
      </c>
      <c r="F5" s="60">
        <f>+SUM(EL_DEL_CD2_PTP_!F5,EL_DEL_CD2_PTP_L_!F5)</f>
        <v>0</v>
      </c>
      <c r="G5" s="60">
        <f>+SUM(EL_DEL_CD2_PTP_!G5,EL_DEL_CD2_PTP_L_!G5)</f>
        <v>0</v>
      </c>
      <c r="H5" s="60">
        <f>+SUM(EL_DEL_CD2_PTP_!H5,EL_DEL_CD2_PTP_L_!H5)</f>
        <v>0</v>
      </c>
      <c r="I5" s="60">
        <f>+SUM(EL_DEL_CD2_PTP_!I5,EL_DEL_CD2_PTP_L_!I5)</f>
        <v>0</v>
      </c>
      <c r="J5" s="60">
        <f>+SUM(EL_DEL_CD2_PTP_!J5,EL_DEL_CD2_PTP_L_!J5)</f>
        <v>0</v>
      </c>
      <c r="K5" s="60">
        <f>+SUM(EL_DEL_CD2_PTP_!K5,EL_DEL_CD2_PTP_L_!K5)</f>
        <v>0</v>
      </c>
      <c r="L5" s="60">
        <f>+SUM(EL_DEL_CD2_PTP_!L5,EL_DEL_CD2_PTP_L_!L5)</f>
        <v>0</v>
      </c>
      <c r="M5" s="60">
        <f>+SUM(EL_DEL_CD2_PTP_!M5,EL_DEL_CD2_PTP_L_!M5)</f>
        <v>0</v>
      </c>
      <c r="N5" s="60">
        <f>+SUM(EL_DEL_CD2_PTP_!N5,EL_DEL_CD2_PTP_L_!N5)</f>
        <v>0</v>
      </c>
      <c r="O5" s="60">
        <f>+SUM(EL_DEL_CD2_PTP_!O5,EL_DEL_CD2_PTP_L_!O5)</f>
        <v>0</v>
      </c>
      <c r="P5" s="60">
        <f>+SUM(EL_DEL_CD2_PTP_!P5,EL_DEL_CD2_PTP_L_!P5)</f>
        <v>0</v>
      </c>
      <c r="Q5" s="60">
        <f>+SUM(EL_DEL_CD2_PTP_!Q5,EL_DEL_CD2_PTP_L_!Q5)</f>
        <v>0</v>
      </c>
      <c r="R5" s="60">
        <f>+SUM(EL_DEL_CD2_PTP_!R5,EL_DEL_CD2_PTP_L_!R5)</f>
        <v>0</v>
      </c>
      <c r="S5" s="60">
        <f>+SUM(EL_DEL_CD2_PTP_!S5,EL_DEL_CD2_PTP_L_!S5)</f>
        <v>0</v>
      </c>
      <c r="T5" s="60">
        <f>+SUM(EL_DEL_CD2_PTP_!T5,EL_DEL_CD2_PTP_L_!T5)</f>
        <v>0</v>
      </c>
      <c r="U5" s="98">
        <f>+SUM(EL_DEL_CD2_PTP_!U5,EL_DEL_CD2_PTP_L_!U5)</f>
        <v>0</v>
      </c>
      <c r="V5" s="60">
        <f>+SUM(EL_DEL_CD2_PTP_!V5,EL_DEL_CD2_PTP_L_!V5)</f>
        <v>0</v>
      </c>
      <c r="W5" s="60">
        <f>+SUM(EL_DEL_CD2_PTP_!W5,EL_DEL_CD2_PTP_L_!W5)</f>
        <v>0</v>
      </c>
      <c r="X5" s="60">
        <f>+SUM(EL_DEL_CD2_PTP_!X5,EL_DEL_CD2_PTP_L_!X5)</f>
        <v>0</v>
      </c>
      <c r="Y5" s="60">
        <f>+SUM(EL_DEL_CD2_PTP_!Y5,EL_DEL_CD2_PTP_L_!Y5)</f>
        <v>0</v>
      </c>
      <c r="Z5" s="60">
        <f>+SUM(EL_DEL_CD2_PTP_!Z5,EL_DEL_CD2_PTP_L_!Z5)</f>
        <v>0</v>
      </c>
      <c r="AA5" s="60">
        <f>+SUM(EL_DEL_CD2_PTP_!AA5,EL_DEL_CD2_PTP_L_!AA5)</f>
        <v>0</v>
      </c>
      <c r="AB5" s="60">
        <f>+SUM(EL_DEL_CD2_PTP_!AB5,EL_DEL_CD2_PTP_L_!AB5)</f>
        <v>0</v>
      </c>
      <c r="AC5" s="60">
        <f>+SUM(EL_DEL_CD2_PTP_!AC5,EL_DEL_CD2_PTP_L_!AC5)</f>
        <v>0</v>
      </c>
      <c r="AD5" s="60">
        <f>+SUM(EL_DEL_CD2_PTP_!AD5,EL_DEL_CD2_PTP_L_!AD5)</f>
        <v>0</v>
      </c>
      <c r="AE5" s="60">
        <f>+SUM(EL_DEL_CD2_PTP_!AE5,EL_DEL_CD2_PTP_L_!AE5)</f>
        <v>0</v>
      </c>
      <c r="AF5" s="60">
        <f>+SUM(EL_DEL_CD2_PTP_!AF5,EL_DEL_CD2_PTP_L_!AF5)</f>
        <v>0</v>
      </c>
      <c r="AG5" s="60">
        <f>+SUM(EL_DEL_CD2_PTP_!AG5,EL_DEL_CD2_PTP_L_!AG5)</f>
        <v>0</v>
      </c>
      <c r="AH5" s="60">
        <f>+SUM(EL_DEL_CD2_PTP_!AH5,EL_DEL_CD2_PTP_L_!AH5)</f>
        <v>0</v>
      </c>
      <c r="AI5" s="60">
        <f>+SUM(EL_DEL_CD2_PTP_!AI5,EL_DEL_CD2_PTP_L_!AI5)</f>
        <v>0</v>
      </c>
      <c r="AJ5" s="60">
        <f>+SUM(EL_DEL_CD2_PTP_!AJ5,EL_DEL_CD2_PTP_L_!AJ5)</f>
        <v>0</v>
      </c>
      <c r="AK5" s="60">
        <f>+SUM(EL_DEL_CD2_PTP_!AK5,EL_DEL_CD2_PTP_L_!AK5)</f>
        <v>0</v>
      </c>
      <c r="AL5" s="99" t="str">
        <f>+IFERROR(AVERAGE(EL_DEL_CD2_PTP_!AL5,EL_DEL_CD2_PTP_L_!AL5),"0")</f>
        <v>0</v>
      </c>
      <c r="AM5" s="99" t="str">
        <f>+IFERROR(AVERAGE(EL_DEL_CD2_PTP_!AM5,EL_DEL_CD2_PTP_L_!AM5),"0")</f>
        <v>0</v>
      </c>
      <c r="AN5" s="99" t="str">
        <f>+IFERROR(AVERAGE(EL_DEL_CD2_PTP_!AN5,EL_DEL_CD2_PTP_L_!AN5),"0")</f>
        <v>0</v>
      </c>
      <c r="AO5" s="99" t="str">
        <f>+IFERROR(AVERAGE(EL_DEL_CD2_PTP_!AO5,EL_DEL_CD2_PTP_L_!AO5),"0")</f>
        <v>0</v>
      </c>
      <c r="AP5" s="99" t="str">
        <f>+IFERROR(AVERAGE(EL_DEL_CD2_PTP_!AP5,EL_DEL_CD2_PTP_L_!AP5),"0")</f>
        <v>0</v>
      </c>
      <c r="AQ5" s="99" t="str">
        <f>+IFERROR(AVERAGE(EL_DEL_CD2_PTP_!AQ5,EL_DEL_CD2_PTP_L_!AQ5),"0")</f>
        <v>0</v>
      </c>
      <c r="AR5" s="99" t="str">
        <f>+IFERROR(AVERAGE(EL_DEL_CD2_PTP_!AR5,EL_DEL_CD2_PTP_L_!AR5),"0")</f>
        <v>0</v>
      </c>
      <c r="AS5" s="99" t="str">
        <f>+IFERROR(AVERAGE(EL_DEL_CD2_PTP_!AS5,EL_DEL_CD2_PTP_L_!AS5),"0")</f>
        <v>0</v>
      </c>
      <c r="AT5" s="100">
        <f>+SUM(EL_DEL_CD2_PTP_!AT5,EL_DEL_CD2_PTP_L_!AT5)</f>
        <v>0</v>
      </c>
      <c r="AU5" s="100">
        <f>+SUM(EL_DEL_CD2_PTP_!AU5,EL_DEL_CD2_PTP_L_!AU5)</f>
        <v>0</v>
      </c>
      <c r="AV5" s="101">
        <f>+SUM(EL_DEL_CD2_PTP_!AV5,EL_DEL_CD2_PTP_L_!AV5)</f>
        <v>0</v>
      </c>
      <c r="AW5" s="60">
        <f>+SUM(EL_DEL_CD2_PTP_!AW5,EL_DEL_CD2_PTP_L_!AW5)</f>
        <v>0</v>
      </c>
      <c r="AX5" s="102" t="str">
        <f t="shared" ref="AX5:AX34" si="23">IFERROR(AN5/AW5,"-")</f>
        <v>-</v>
      </c>
      <c r="AY5" s="114"/>
      <c r="AZ5" s="116" t="str">
        <f t="shared" si="1"/>
        <v/>
      </c>
      <c r="BA5" s="117" t="str">
        <f t="shared" si="2"/>
        <v/>
      </c>
      <c r="BB5" s="116" t="str">
        <f t="shared" si="3"/>
        <v/>
      </c>
      <c r="BC5" s="114"/>
      <c r="BD5" s="118" t="str">
        <f t="shared" si="4"/>
        <v/>
      </c>
      <c r="BE5" s="119" t="str">
        <f t="shared" si="5"/>
        <v/>
      </c>
      <c r="BF5" s="119" t="str">
        <f t="shared" si="6"/>
        <v/>
      </c>
      <c r="BG5" s="119" t="str">
        <f t="shared" ref="BG5:BG36" si="24">+IF(SUM(AO5:AR5)&gt;0,AO5/AN5,"")</f>
        <v/>
      </c>
      <c r="BH5" s="119" t="str">
        <f t="shared" si="7"/>
        <v/>
      </c>
      <c r="BI5" s="120" t="str">
        <f t="shared" ref="BI5:BI36" si="25">+IF(SUM(AO5:AR5)&gt;0,AQ5/AN5,"")</f>
        <v/>
      </c>
      <c r="BJ5" s="114"/>
      <c r="BK5" s="121" t="str">
        <f t="shared" si="8"/>
        <v/>
      </c>
      <c r="BL5" s="122" t="str">
        <f t="shared" si="9"/>
        <v/>
      </c>
      <c r="BM5" s="122" t="str">
        <f t="shared" si="10"/>
        <v/>
      </c>
      <c r="BN5" s="123" t="str">
        <f t="shared" si="11"/>
        <v/>
      </c>
      <c r="BO5" s="114"/>
      <c r="BP5" s="124" t="str">
        <f t="shared" si="12"/>
        <v/>
      </c>
      <c r="BQ5" s="125">
        <v>0</v>
      </c>
      <c r="BR5" s="125" t="str">
        <f t="shared" ref="BR5:BR36" si="26">IF(AJ5&gt;0,(AK5/AJ5),"")</f>
        <v/>
      </c>
      <c r="BS5" s="125" t="str">
        <f t="shared" ref="BS5:BS36" si="27">IF(AJ5&gt;0,(AK5/AJ5),"")</f>
        <v/>
      </c>
      <c r="BT5" s="126" t="str">
        <f t="shared" si="13"/>
        <v/>
      </c>
      <c r="BU5" s="114"/>
      <c r="BV5" s="132" t="e">
        <f t="shared" si="14"/>
        <v>#DIV/0!</v>
      </c>
      <c r="BW5" s="127" t="e">
        <f t="shared" si="15"/>
        <v>#DIV/0!</v>
      </c>
      <c r="BX5" s="127" t="e">
        <f t="shared" si="16"/>
        <v>#DIV/0!</v>
      </c>
      <c r="BY5" s="127" t="e">
        <f t="shared" si="17"/>
        <v>#DIV/0!</v>
      </c>
      <c r="BZ5" s="127" t="e">
        <f t="shared" ref="BZ5:BZ36" si="28">IF(AN5&gt;0,(AJ5/AN5),"")</f>
        <v>#DIV/0!</v>
      </c>
      <c r="CA5" s="128" t="e">
        <f t="shared" ref="CA5:CA36" si="29">IF(AN5&gt;0,(AK5/AN5),"")</f>
        <v>#DIV/0!</v>
      </c>
      <c r="CB5" s="114"/>
      <c r="CC5" s="129" t="str">
        <f t="shared" si="18"/>
        <v>-</v>
      </c>
      <c r="CD5" s="130" t="str">
        <f t="shared" si="19"/>
        <v>-</v>
      </c>
      <c r="CE5" s="130" t="str">
        <f t="shared" si="20"/>
        <v>-</v>
      </c>
      <c r="CF5" s="130" t="str">
        <f t="shared" si="21"/>
        <v>-</v>
      </c>
      <c r="CG5" s="131" t="str">
        <f t="shared" si="22"/>
        <v>-</v>
      </c>
      <c r="CH5" s="114"/>
    </row>
    <row r="6" spans="1:86" s="115" customFormat="1" ht="12.4" customHeight="1" thickBot="1" x14ac:dyDescent="0.25">
      <c r="A6" s="96">
        <f t="shared" ref="A6:A34" si="30">A5+1</f>
        <v>46298</v>
      </c>
      <c r="B6" s="97" t="str">
        <f t="shared" si="0"/>
        <v>Sat</v>
      </c>
      <c r="C6" s="60">
        <f>+SUM(EL_DEL_CD2_PTP_!C6,EL_DEL_CD2_PTP_L_!C6)</f>
        <v>0</v>
      </c>
      <c r="D6" s="60">
        <f>+SUM(EL_DEL_CD2_PTP_!D6,EL_DEL_CD2_PTP_L_!D6)</f>
        <v>0</v>
      </c>
      <c r="E6" s="60">
        <f>+SUM(EL_DEL_CD2_PTP_!E6,EL_DEL_CD2_PTP_L_!E6)</f>
        <v>0</v>
      </c>
      <c r="F6" s="60">
        <f>+SUM(EL_DEL_CD2_PTP_!F6,EL_DEL_CD2_PTP_L_!F6)</f>
        <v>0</v>
      </c>
      <c r="G6" s="60">
        <f>+SUM(EL_DEL_CD2_PTP_!G6,EL_DEL_CD2_PTP_L_!G6)</f>
        <v>0</v>
      </c>
      <c r="H6" s="60">
        <f>+SUM(EL_DEL_CD2_PTP_!H6,EL_DEL_CD2_PTP_L_!H6)</f>
        <v>0</v>
      </c>
      <c r="I6" s="60">
        <f>+SUM(EL_DEL_CD2_PTP_!I6,EL_DEL_CD2_PTP_L_!I6)</f>
        <v>0</v>
      </c>
      <c r="J6" s="60">
        <f>+SUM(EL_DEL_CD2_PTP_!J6,EL_DEL_CD2_PTP_L_!J6)</f>
        <v>0</v>
      </c>
      <c r="K6" s="60">
        <f>+SUM(EL_DEL_CD2_PTP_!K6,EL_DEL_CD2_PTP_L_!K6)</f>
        <v>0</v>
      </c>
      <c r="L6" s="60">
        <f>+SUM(EL_DEL_CD2_PTP_!L6,EL_DEL_CD2_PTP_L_!L6)</f>
        <v>0</v>
      </c>
      <c r="M6" s="60">
        <f>+SUM(EL_DEL_CD2_PTP_!M6,EL_DEL_CD2_PTP_L_!M6)</f>
        <v>0</v>
      </c>
      <c r="N6" s="60">
        <f>+SUM(EL_DEL_CD2_PTP_!N6,EL_DEL_CD2_PTP_L_!N6)</f>
        <v>0</v>
      </c>
      <c r="O6" s="60">
        <f>+SUM(EL_DEL_CD2_PTP_!O6,EL_DEL_CD2_PTP_L_!O6)</f>
        <v>0</v>
      </c>
      <c r="P6" s="60">
        <f>+SUM(EL_DEL_CD2_PTP_!P6,EL_DEL_CD2_PTP_L_!P6)</f>
        <v>0</v>
      </c>
      <c r="Q6" s="60">
        <f>+SUM(EL_DEL_CD2_PTP_!Q6,EL_DEL_CD2_PTP_L_!Q6)</f>
        <v>0</v>
      </c>
      <c r="R6" s="60">
        <f>+SUM(EL_DEL_CD2_PTP_!R6,EL_DEL_CD2_PTP_L_!R6)</f>
        <v>0</v>
      </c>
      <c r="S6" s="60">
        <f>+SUM(EL_DEL_CD2_PTP_!S6,EL_DEL_CD2_PTP_L_!S6)</f>
        <v>0</v>
      </c>
      <c r="T6" s="60">
        <f>+SUM(EL_DEL_CD2_PTP_!T6,EL_DEL_CD2_PTP_L_!T6)</f>
        <v>0</v>
      </c>
      <c r="U6" s="98">
        <f>+SUM(EL_DEL_CD2_PTP_!U6,EL_DEL_CD2_PTP_L_!U6)</f>
        <v>0</v>
      </c>
      <c r="V6" s="60">
        <f>+SUM(EL_DEL_CD2_PTP_!V6,EL_DEL_CD2_PTP_L_!V6)</f>
        <v>0</v>
      </c>
      <c r="W6" s="60">
        <f>+SUM(EL_DEL_CD2_PTP_!W6,EL_DEL_CD2_PTP_L_!W6)</f>
        <v>0</v>
      </c>
      <c r="X6" s="60">
        <f>+SUM(EL_DEL_CD2_PTP_!X6,EL_DEL_CD2_PTP_L_!X6)</f>
        <v>0</v>
      </c>
      <c r="Y6" s="60">
        <f>+SUM(EL_DEL_CD2_PTP_!Y6,EL_DEL_CD2_PTP_L_!Y6)</f>
        <v>0</v>
      </c>
      <c r="Z6" s="60">
        <f>+SUM(EL_DEL_CD2_PTP_!Z6,EL_DEL_CD2_PTP_L_!Z6)</f>
        <v>0</v>
      </c>
      <c r="AA6" s="60">
        <f>+SUM(EL_DEL_CD2_PTP_!AA6,EL_DEL_CD2_PTP_L_!AA6)</f>
        <v>0</v>
      </c>
      <c r="AB6" s="60">
        <f>+SUM(EL_DEL_CD2_PTP_!AB6,EL_DEL_CD2_PTP_L_!AB6)</f>
        <v>0</v>
      </c>
      <c r="AC6" s="60">
        <f>+SUM(EL_DEL_CD2_PTP_!AC6,EL_DEL_CD2_PTP_L_!AC6)</f>
        <v>0</v>
      </c>
      <c r="AD6" s="60">
        <f>+SUM(EL_DEL_CD2_PTP_!AD6,EL_DEL_CD2_PTP_L_!AD6)</f>
        <v>0</v>
      </c>
      <c r="AE6" s="60">
        <f>+SUM(EL_DEL_CD2_PTP_!AE6,EL_DEL_CD2_PTP_L_!AE6)</f>
        <v>0</v>
      </c>
      <c r="AF6" s="60">
        <f>+SUM(EL_DEL_CD2_PTP_!AF6,EL_DEL_CD2_PTP_L_!AF6)</f>
        <v>0</v>
      </c>
      <c r="AG6" s="60">
        <f>+SUM(EL_DEL_CD2_PTP_!AG6,EL_DEL_CD2_PTP_L_!AG6)</f>
        <v>0</v>
      </c>
      <c r="AH6" s="60">
        <f>+SUM(EL_DEL_CD2_PTP_!AH6,EL_DEL_CD2_PTP_L_!AH6)</f>
        <v>0</v>
      </c>
      <c r="AI6" s="60">
        <f>+SUM(EL_DEL_CD2_PTP_!AI6,EL_DEL_CD2_PTP_L_!AI6)</f>
        <v>0</v>
      </c>
      <c r="AJ6" s="60">
        <f>+SUM(EL_DEL_CD2_PTP_!AJ6,EL_DEL_CD2_PTP_L_!AJ6)</f>
        <v>0</v>
      </c>
      <c r="AK6" s="60">
        <f>+SUM(EL_DEL_CD2_PTP_!AK6,EL_DEL_CD2_PTP_L_!AK6)</f>
        <v>0</v>
      </c>
      <c r="AL6" s="99" t="str">
        <f>+IFERROR(AVERAGE(EL_DEL_CD2_PTP_!AL6,EL_DEL_CD2_PTP_L_!AL6),"0")</f>
        <v>0</v>
      </c>
      <c r="AM6" s="99" t="str">
        <f>+IFERROR(AVERAGE(EL_DEL_CD2_PTP_!AM6,EL_DEL_CD2_PTP_L_!AM6),"0")</f>
        <v>0</v>
      </c>
      <c r="AN6" s="99" t="str">
        <f>+IFERROR(AVERAGE(EL_DEL_CD2_PTP_!AN6,EL_DEL_CD2_PTP_L_!AN6),"0")</f>
        <v>0</v>
      </c>
      <c r="AO6" s="99" t="str">
        <f>+IFERROR(AVERAGE(EL_DEL_CD2_PTP_!AO6,EL_DEL_CD2_PTP_L_!AO6),"0")</f>
        <v>0</v>
      </c>
      <c r="AP6" s="99" t="str">
        <f>+IFERROR(AVERAGE(EL_DEL_CD2_PTP_!AP6,EL_DEL_CD2_PTP_L_!AP6),"0")</f>
        <v>0</v>
      </c>
      <c r="AQ6" s="99" t="str">
        <f>+IFERROR(AVERAGE(EL_DEL_CD2_PTP_!AQ6,EL_DEL_CD2_PTP_L_!AQ6),"0")</f>
        <v>0</v>
      </c>
      <c r="AR6" s="99" t="str">
        <f>+IFERROR(AVERAGE(EL_DEL_CD2_PTP_!AR6,EL_DEL_CD2_PTP_L_!AR6),"0")</f>
        <v>0</v>
      </c>
      <c r="AS6" s="99" t="str">
        <f>+IFERROR(AVERAGE(EL_DEL_CD2_PTP_!AS6,EL_DEL_CD2_PTP_L_!AS6),"0")</f>
        <v>0</v>
      </c>
      <c r="AT6" s="100">
        <f>+SUM(EL_DEL_CD2_PTP_!AT6,EL_DEL_CD2_PTP_L_!AT6)</f>
        <v>0</v>
      </c>
      <c r="AU6" s="100">
        <f>+SUM(EL_DEL_CD2_PTP_!AU6,EL_DEL_CD2_PTP_L_!AU6)</f>
        <v>0</v>
      </c>
      <c r="AV6" s="101">
        <f>+SUM(EL_DEL_CD2_PTP_!AV6,EL_DEL_CD2_PTP_L_!AV6)</f>
        <v>0</v>
      </c>
      <c r="AW6" s="60">
        <f>+SUM(EL_DEL_CD2_PTP_!AW6,EL_DEL_CD2_PTP_L_!AW6)</f>
        <v>0</v>
      </c>
      <c r="AX6" s="102" t="str">
        <f t="shared" si="23"/>
        <v>-</v>
      </c>
      <c r="AY6" s="114"/>
      <c r="AZ6" s="116" t="str">
        <f t="shared" si="1"/>
        <v/>
      </c>
      <c r="BA6" s="117" t="str">
        <f t="shared" si="2"/>
        <v/>
      </c>
      <c r="BB6" s="116" t="str">
        <f t="shared" si="3"/>
        <v/>
      </c>
      <c r="BC6" s="114"/>
      <c r="BD6" s="118" t="str">
        <f t="shared" si="4"/>
        <v/>
      </c>
      <c r="BE6" s="119" t="str">
        <f t="shared" si="5"/>
        <v/>
      </c>
      <c r="BF6" s="119" t="str">
        <f t="shared" si="6"/>
        <v/>
      </c>
      <c r="BG6" s="119" t="str">
        <f t="shared" si="24"/>
        <v/>
      </c>
      <c r="BH6" s="119" t="str">
        <f t="shared" si="7"/>
        <v/>
      </c>
      <c r="BI6" s="120" t="str">
        <f t="shared" si="25"/>
        <v/>
      </c>
      <c r="BJ6" s="114"/>
      <c r="BK6" s="121" t="str">
        <f t="shared" si="8"/>
        <v/>
      </c>
      <c r="BL6" s="122" t="str">
        <f t="shared" si="9"/>
        <v/>
      </c>
      <c r="BM6" s="122" t="str">
        <f t="shared" si="10"/>
        <v/>
      </c>
      <c r="BN6" s="123" t="str">
        <f t="shared" si="11"/>
        <v/>
      </c>
      <c r="BO6" s="114"/>
      <c r="BP6" s="124" t="str">
        <f t="shared" si="12"/>
        <v/>
      </c>
      <c r="BQ6" s="125">
        <v>0</v>
      </c>
      <c r="BR6" s="125" t="str">
        <f t="shared" si="26"/>
        <v/>
      </c>
      <c r="BS6" s="125" t="str">
        <f t="shared" si="27"/>
        <v/>
      </c>
      <c r="BT6" s="126" t="str">
        <f t="shared" si="13"/>
        <v/>
      </c>
      <c r="BU6" s="114"/>
      <c r="BV6" s="132" t="e">
        <f t="shared" si="14"/>
        <v>#DIV/0!</v>
      </c>
      <c r="BW6" s="127" t="e">
        <f t="shared" si="15"/>
        <v>#DIV/0!</v>
      </c>
      <c r="BX6" s="127" t="e">
        <f t="shared" si="16"/>
        <v>#DIV/0!</v>
      </c>
      <c r="BY6" s="127" t="e">
        <f t="shared" si="17"/>
        <v>#DIV/0!</v>
      </c>
      <c r="BZ6" s="127" t="e">
        <f t="shared" si="28"/>
        <v>#DIV/0!</v>
      </c>
      <c r="CA6" s="128" t="e">
        <f t="shared" si="29"/>
        <v>#DIV/0!</v>
      </c>
      <c r="CB6" s="114"/>
      <c r="CC6" s="129" t="str">
        <f t="shared" si="18"/>
        <v>-</v>
      </c>
      <c r="CD6" s="130" t="str">
        <f t="shared" si="19"/>
        <v>-</v>
      </c>
      <c r="CE6" s="130" t="str">
        <f t="shared" si="20"/>
        <v>-</v>
      </c>
      <c r="CF6" s="130" t="str">
        <f t="shared" si="21"/>
        <v>-</v>
      </c>
      <c r="CG6" s="131" t="str">
        <f t="shared" si="22"/>
        <v>-</v>
      </c>
      <c r="CH6" s="114"/>
    </row>
    <row r="7" spans="1:86" s="115" customFormat="1" ht="12.4" customHeight="1" thickBot="1" x14ac:dyDescent="0.25">
      <c r="A7" s="96">
        <f t="shared" si="30"/>
        <v>46299</v>
      </c>
      <c r="B7" s="97" t="str">
        <f t="shared" si="0"/>
        <v>Sun</v>
      </c>
      <c r="C7" s="60">
        <f>+SUM(EL_DEL_CD2_PTP_!C7,EL_DEL_CD2_PTP_L_!C7)</f>
        <v>0</v>
      </c>
      <c r="D7" s="60">
        <f>+SUM(EL_DEL_CD2_PTP_!D7,EL_DEL_CD2_PTP_L_!D7)</f>
        <v>0</v>
      </c>
      <c r="E7" s="60">
        <f>+SUM(EL_DEL_CD2_PTP_!E7,EL_DEL_CD2_PTP_L_!E7)</f>
        <v>0</v>
      </c>
      <c r="F7" s="60">
        <f>+SUM(EL_DEL_CD2_PTP_!F7,EL_DEL_CD2_PTP_L_!F7)</f>
        <v>0</v>
      </c>
      <c r="G7" s="60">
        <f>+SUM(EL_DEL_CD2_PTP_!G7,EL_DEL_CD2_PTP_L_!G7)</f>
        <v>0</v>
      </c>
      <c r="H7" s="60">
        <f>+SUM(EL_DEL_CD2_PTP_!H7,EL_DEL_CD2_PTP_L_!H7)</f>
        <v>0</v>
      </c>
      <c r="I7" s="60">
        <f>+SUM(EL_DEL_CD2_PTP_!I7,EL_DEL_CD2_PTP_L_!I7)</f>
        <v>0</v>
      </c>
      <c r="J7" s="60">
        <f>+SUM(EL_DEL_CD2_PTP_!J7,EL_DEL_CD2_PTP_L_!J7)</f>
        <v>0</v>
      </c>
      <c r="K7" s="60">
        <f>+SUM(EL_DEL_CD2_PTP_!K7,EL_DEL_CD2_PTP_L_!K7)</f>
        <v>0</v>
      </c>
      <c r="L7" s="60">
        <f>+SUM(EL_DEL_CD2_PTP_!L7,EL_DEL_CD2_PTP_L_!L7)</f>
        <v>0</v>
      </c>
      <c r="M7" s="60">
        <f>+SUM(EL_DEL_CD2_PTP_!M7,EL_DEL_CD2_PTP_L_!M7)</f>
        <v>0</v>
      </c>
      <c r="N7" s="60">
        <f>+SUM(EL_DEL_CD2_PTP_!N7,EL_DEL_CD2_PTP_L_!N7)</f>
        <v>0</v>
      </c>
      <c r="O7" s="60">
        <f>+SUM(EL_DEL_CD2_PTP_!O7,EL_DEL_CD2_PTP_L_!O7)</f>
        <v>0</v>
      </c>
      <c r="P7" s="60">
        <f>+SUM(EL_DEL_CD2_PTP_!P7,EL_DEL_CD2_PTP_L_!P7)</f>
        <v>0</v>
      </c>
      <c r="Q7" s="60">
        <f>+SUM(EL_DEL_CD2_PTP_!Q7,EL_DEL_CD2_PTP_L_!Q7)</f>
        <v>0</v>
      </c>
      <c r="R7" s="60">
        <f>+SUM(EL_DEL_CD2_PTP_!R7,EL_DEL_CD2_PTP_L_!R7)</f>
        <v>0</v>
      </c>
      <c r="S7" s="60">
        <f>+SUM(EL_DEL_CD2_PTP_!S7,EL_DEL_CD2_PTP_L_!S7)</f>
        <v>0</v>
      </c>
      <c r="T7" s="60">
        <f>+SUM(EL_DEL_CD2_PTP_!T7,EL_DEL_CD2_PTP_L_!T7)</f>
        <v>0</v>
      </c>
      <c r="U7" s="98">
        <f>+SUM(EL_DEL_CD2_PTP_!U7,EL_DEL_CD2_PTP_L_!U7)</f>
        <v>0</v>
      </c>
      <c r="V7" s="60">
        <f>+SUM(EL_DEL_CD2_PTP_!V7,EL_DEL_CD2_PTP_L_!V7)</f>
        <v>0</v>
      </c>
      <c r="W7" s="60">
        <f>+SUM(EL_DEL_CD2_PTP_!W7,EL_DEL_CD2_PTP_L_!W7)</f>
        <v>0</v>
      </c>
      <c r="X7" s="60">
        <f>+SUM(EL_DEL_CD2_PTP_!X7,EL_DEL_CD2_PTP_L_!X7)</f>
        <v>0</v>
      </c>
      <c r="Y7" s="60">
        <f>+SUM(EL_DEL_CD2_PTP_!Y7,EL_DEL_CD2_PTP_L_!Y7)</f>
        <v>0</v>
      </c>
      <c r="Z7" s="60">
        <f>+SUM(EL_DEL_CD2_PTP_!Z7,EL_DEL_CD2_PTP_L_!Z7)</f>
        <v>0</v>
      </c>
      <c r="AA7" s="60">
        <f>+SUM(EL_DEL_CD2_PTP_!AA7,EL_DEL_CD2_PTP_L_!AA7)</f>
        <v>0</v>
      </c>
      <c r="AB7" s="60">
        <f>+SUM(EL_DEL_CD2_PTP_!AB7,EL_DEL_CD2_PTP_L_!AB7)</f>
        <v>0</v>
      </c>
      <c r="AC7" s="60">
        <f>+SUM(EL_DEL_CD2_PTP_!AC7,EL_DEL_CD2_PTP_L_!AC7)</f>
        <v>0</v>
      </c>
      <c r="AD7" s="60">
        <f>+SUM(EL_DEL_CD2_PTP_!AD7,EL_DEL_CD2_PTP_L_!AD7)</f>
        <v>0</v>
      </c>
      <c r="AE7" s="60">
        <f>+SUM(EL_DEL_CD2_PTP_!AE7,EL_DEL_CD2_PTP_L_!AE7)</f>
        <v>0</v>
      </c>
      <c r="AF7" s="60">
        <f>+SUM(EL_DEL_CD2_PTP_!AF7,EL_DEL_CD2_PTP_L_!AF7)</f>
        <v>0</v>
      </c>
      <c r="AG7" s="60">
        <f>+SUM(EL_DEL_CD2_PTP_!AG7,EL_DEL_CD2_PTP_L_!AG7)</f>
        <v>0</v>
      </c>
      <c r="AH7" s="60">
        <f>+SUM(EL_DEL_CD2_PTP_!AH7,EL_DEL_CD2_PTP_L_!AH7)</f>
        <v>0</v>
      </c>
      <c r="AI7" s="60">
        <f>+SUM(EL_DEL_CD2_PTP_!AI7,EL_DEL_CD2_PTP_L_!AI7)</f>
        <v>0</v>
      </c>
      <c r="AJ7" s="60">
        <f>+SUM(EL_DEL_CD2_PTP_!AJ7,EL_DEL_CD2_PTP_L_!AJ7)</f>
        <v>0</v>
      </c>
      <c r="AK7" s="60">
        <f>+SUM(EL_DEL_CD2_PTP_!AK7,EL_DEL_CD2_PTP_L_!AK7)</f>
        <v>0</v>
      </c>
      <c r="AL7" s="99" t="str">
        <f>+IFERROR(AVERAGE(EL_DEL_CD2_PTP_!AL7,EL_DEL_CD2_PTP_L_!AL7),"0")</f>
        <v>0</v>
      </c>
      <c r="AM7" s="99" t="str">
        <f>+IFERROR(AVERAGE(EL_DEL_CD2_PTP_!AM7,EL_DEL_CD2_PTP_L_!AM7),"0")</f>
        <v>0</v>
      </c>
      <c r="AN7" s="99" t="str">
        <f>+IFERROR(AVERAGE(EL_DEL_CD2_PTP_!AN7,EL_DEL_CD2_PTP_L_!AN7),"0")</f>
        <v>0</v>
      </c>
      <c r="AO7" s="99" t="str">
        <f>+IFERROR(AVERAGE(EL_DEL_CD2_PTP_!AO7,EL_DEL_CD2_PTP_L_!AO7),"0")</f>
        <v>0</v>
      </c>
      <c r="AP7" s="99" t="str">
        <f>+IFERROR(AVERAGE(EL_DEL_CD2_PTP_!AP7,EL_DEL_CD2_PTP_L_!AP7),"0")</f>
        <v>0</v>
      </c>
      <c r="AQ7" s="99" t="str">
        <f>+IFERROR(AVERAGE(EL_DEL_CD2_PTP_!AQ7,EL_DEL_CD2_PTP_L_!AQ7),"0")</f>
        <v>0</v>
      </c>
      <c r="AR7" s="99" t="str">
        <f>+IFERROR(AVERAGE(EL_DEL_CD2_PTP_!AR7,EL_DEL_CD2_PTP_L_!AR7),"0")</f>
        <v>0</v>
      </c>
      <c r="AS7" s="99" t="str">
        <f>+IFERROR(AVERAGE(EL_DEL_CD2_PTP_!AS7,EL_DEL_CD2_PTP_L_!AS7),"0")</f>
        <v>0</v>
      </c>
      <c r="AT7" s="100">
        <f>+SUM(EL_DEL_CD2_PTP_!AT7,EL_DEL_CD2_PTP_L_!AT7)</f>
        <v>0</v>
      </c>
      <c r="AU7" s="100">
        <f>+SUM(EL_DEL_CD2_PTP_!AU7,EL_DEL_CD2_PTP_L_!AU7)</f>
        <v>0</v>
      </c>
      <c r="AV7" s="101">
        <f>+SUM(EL_DEL_CD2_PTP_!AV7,EL_DEL_CD2_PTP_L_!AV7)</f>
        <v>0</v>
      </c>
      <c r="AW7" s="60">
        <f>+SUM(EL_DEL_CD2_PTP_!AW7,EL_DEL_CD2_PTP_L_!AW7)</f>
        <v>0</v>
      </c>
      <c r="AX7" s="102" t="str">
        <f t="shared" si="23"/>
        <v>-</v>
      </c>
      <c r="AY7" s="114"/>
      <c r="AZ7" s="116" t="str">
        <f t="shared" si="1"/>
        <v/>
      </c>
      <c r="BA7" s="117" t="str">
        <f t="shared" si="2"/>
        <v/>
      </c>
      <c r="BB7" s="116" t="str">
        <f t="shared" si="3"/>
        <v/>
      </c>
      <c r="BC7" s="114"/>
      <c r="BD7" s="118" t="str">
        <f t="shared" si="4"/>
        <v/>
      </c>
      <c r="BE7" s="119" t="str">
        <f t="shared" si="5"/>
        <v/>
      </c>
      <c r="BF7" s="119" t="str">
        <f t="shared" si="6"/>
        <v/>
      </c>
      <c r="BG7" s="119" t="str">
        <f t="shared" si="24"/>
        <v/>
      </c>
      <c r="BH7" s="119" t="str">
        <f t="shared" si="7"/>
        <v/>
      </c>
      <c r="BI7" s="120" t="str">
        <f t="shared" si="25"/>
        <v/>
      </c>
      <c r="BJ7" s="114"/>
      <c r="BK7" s="121" t="str">
        <f t="shared" si="8"/>
        <v/>
      </c>
      <c r="BL7" s="122" t="str">
        <f t="shared" si="9"/>
        <v/>
      </c>
      <c r="BM7" s="122" t="str">
        <f t="shared" si="10"/>
        <v/>
      </c>
      <c r="BN7" s="123" t="str">
        <f t="shared" si="11"/>
        <v/>
      </c>
      <c r="BO7" s="114"/>
      <c r="BP7" s="124" t="str">
        <f t="shared" si="12"/>
        <v/>
      </c>
      <c r="BQ7" s="125">
        <v>0</v>
      </c>
      <c r="BR7" s="125" t="str">
        <f t="shared" si="26"/>
        <v/>
      </c>
      <c r="BS7" s="125" t="str">
        <f t="shared" si="27"/>
        <v/>
      </c>
      <c r="BT7" s="126" t="str">
        <f t="shared" si="13"/>
        <v/>
      </c>
      <c r="BU7" s="114"/>
      <c r="BV7" s="132" t="e">
        <f t="shared" si="14"/>
        <v>#DIV/0!</v>
      </c>
      <c r="BW7" s="127" t="e">
        <f t="shared" si="15"/>
        <v>#DIV/0!</v>
      </c>
      <c r="BX7" s="127" t="e">
        <f t="shared" si="16"/>
        <v>#DIV/0!</v>
      </c>
      <c r="BY7" s="127" t="e">
        <f t="shared" si="17"/>
        <v>#DIV/0!</v>
      </c>
      <c r="BZ7" s="127" t="e">
        <f t="shared" si="28"/>
        <v>#DIV/0!</v>
      </c>
      <c r="CA7" s="128" t="e">
        <f t="shared" si="29"/>
        <v>#DIV/0!</v>
      </c>
      <c r="CB7" s="114"/>
      <c r="CC7" s="129" t="str">
        <f t="shared" si="18"/>
        <v>-</v>
      </c>
      <c r="CD7" s="130" t="str">
        <f t="shared" si="19"/>
        <v>-</v>
      </c>
      <c r="CE7" s="130" t="str">
        <f t="shared" si="20"/>
        <v>-</v>
      </c>
      <c r="CF7" s="130" t="str">
        <f t="shared" si="21"/>
        <v>-</v>
      </c>
      <c r="CG7" s="131" t="str">
        <f t="shared" si="22"/>
        <v>-</v>
      </c>
      <c r="CH7" s="114"/>
    </row>
    <row r="8" spans="1:86" s="115" customFormat="1" ht="12.4" customHeight="1" thickBot="1" x14ac:dyDescent="0.25">
      <c r="A8" s="96">
        <f t="shared" si="30"/>
        <v>46300</v>
      </c>
      <c r="B8" s="97" t="str">
        <f t="shared" si="0"/>
        <v>Mon</v>
      </c>
      <c r="C8" s="60">
        <f>+SUM(EL_DEL_CD2_PTP_!C8,EL_DEL_CD2_PTP_L_!C8)</f>
        <v>0</v>
      </c>
      <c r="D8" s="60">
        <f>+SUM(EL_DEL_CD2_PTP_!D8,EL_DEL_CD2_PTP_L_!D8)</f>
        <v>0</v>
      </c>
      <c r="E8" s="60">
        <f>+SUM(EL_DEL_CD2_PTP_!E8,EL_DEL_CD2_PTP_L_!E8)</f>
        <v>0</v>
      </c>
      <c r="F8" s="60">
        <f>+SUM(EL_DEL_CD2_PTP_!F8,EL_DEL_CD2_PTP_L_!F8)</f>
        <v>0</v>
      </c>
      <c r="G8" s="60">
        <f>+SUM(EL_DEL_CD2_PTP_!G8,EL_DEL_CD2_PTP_L_!G8)</f>
        <v>0</v>
      </c>
      <c r="H8" s="60">
        <f>+SUM(EL_DEL_CD2_PTP_!H8,EL_DEL_CD2_PTP_L_!H8)</f>
        <v>0</v>
      </c>
      <c r="I8" s="60">
        <f>+SUM(EL_DEL_CD2_PTP_!I8,EL_DEL_CD2_PTP_L_!I8)</f>
        <v>0</v>
      </c>
      <c r="J8" s="60">
        <f>+SUM(EL_DEL_CD2_PTP_!J8,EL_DEL_CD2_PTP_L_!J8)</f>
        <v>0</v>
      </c>
      <c r="K8" s="60">
        <f>+SUM(EL_DEL_CD2_PTP_!K8,EL_DEL_CD2_PTP_L_!K8)</f>
        <v>0</v>
      </c>
      <c r="L8" s="60">
        <f>+SUM(EL_DEL_CD2_PTP_!L8,EL_DEL_CD2_PTP_L_!L8)</f>
        <v>0</v>
      </c>
      <c r="M8" s="60">
        <f>+SUM(EL_DEL_CD2_PTP_!M8,EL_DEL_CD2_PTP_L_!M8)</f>
        <v>0</v>
      </c>
      <c r="N8" s="60">
        <f>+SUM(EL_DEL_CD2_PTP_!N8,EL_DEL_CD2_PTP_L_!N8)</f>
        <v>0</v>
      </c>
      <c r="O8" s="60">
        <f>+SUM(EL_DEL_CD2_PTP_!O8,EL_DEL_CD2_PTP_L_!O8)</f>
        <v>0</v>
      </c>
      <c r="P8" s="60">
        <f>+SUM(EL_DEL_CD2_PTP_!P8,EL_DEL_CD2_PTP_L_!P8)</f>
        <v>0</v>
      </c>
      <c r="Q8" s="60">
        <f>+SUM(EL_DEL_CD2_PTP_!Q8,EL_DEL_CD2_PTP_L_!Q8)</f>
        <v>0</v>
      </c>
      <c r="R8" s="60">
        <f>+SUM(EL_DEL_CD2_PTP_!R8,EL_DEL_CD2_PTP_L_!R8)</f>
        <v>0</v>
      </c>
      <c r="S8" s="60">
        <f>+SUM(EL_DEL_CD2_PTP_!S8,EL_DEL_CD2_PTP_L_!S8)</f>
        <v>0</v>
      </c>
      <c r="T8" s="60">
        <f>+SUM(EL_DEL_CD2_PTP_!T8,EL_DEL_CD2_PTP_L_!T8)</f>
        <v>0</v>
      </c>
      <c r="U8" s="98">
        <f>+SUM(EL_DEL_CD2_PTP_!U8,EL_DEL_CD2_PTP_L_!U8)</f>
        <v>0</v>
      </c>
      <c r="V8" s="60">
        <f>+SUM(EL_DEL_CD2_PTP_!V8,EL_DEL_CD2_PTP_L_!V8)</f>
        <v>0</v>
      </c>
      <c r="W8" s="60">
        <f>+SUM(EL_DEL_CD2_PTP_!W8,EL_DEL_CD2_PTP_L_!W8)</f>
        <v>0</v>
      </c>
      <c r="X8" s="60">
        <f>+SUM(EL_DEL_CD2_PTP_!X8,EL_DEL_CD2_PTP_L_!X8)</f>
        <v>0</v>
      </c>
      <c r="Y8" s="60">
        <f>+SUM(EL_DEL_CD2_PTP_!Y8,EL_DEL_CD2_PTP_L_!Y8)</f>
        <v>0</v>
      </c>
      <c r="Z8" s="60">
        <f>+SUM(EL_DEL_CD2_PTP_!Z8,EL_DEL_CD2_PTP_L_!Z8)</f>
        <v>0</v>
      </c>
      <c r="AA8" s="60">
        <f>+SUM(EL_DEL_CD2_PTP_!AA8,EL_DEL_CD2_PTP_L_!AA8)</f>
        <v>0</v>
      </c>
      <c r="AB8" s="60">
        <f>+SUM(EL_DEL_CD2_PTP_!AB8,EL_DEL_CD2_PTP_L_!AB8)</f>
        <v>0</v>
      </c>
      <c r="AC8" s="60">
        <f>+SUM(EL_DEL_CD2_PTP_!AC8,EL_DEL_CD2_PTP_L_!AC8)</f>
        <v>0</v>
      </c>
      <c r="AD8" s="60">
        <f>+SUM(EL_DEL_CD2_PTP_!AD8,EL_DEL_CD2_PTP_L_!AD8)</f>
        <v>0</v>
      </c>
      <c r="AE8" s="60">
        <f>+SUM(EL_DEL_CD2_PTP_!AE8,EL_DEL_CD2_PTP_L_!AE8)</f>
        <v>0</v>
      </c>
      <c r="AF8" s="60">
        <f>+SUM(EL_DEL_CD2_PTP_!AF8,EL_DEL_CD2_PTP_L_!AF8)</f>
        <v>0</v>
      </c>
      <c r="AG8" s="60">
        <f>+SUM(EL_DEL_CD2_PTP_!AG8,EL_DEL_CD2_PTP_L_!AG8)</f>
        <v>0</v>
      </c>
      <c r="AH8" s="60">
        <f>+SUM(EL_DEL_CD2_PTP_!AH8,EL_DEL_CD2_PTP_L_!AH8)</f>
        <v>0</v>
      </c>
      <c r="AI8" s="60">
        <f>+SUM(EL_DEL_CD2_PTP_!AI8,EL_DEL_CD2_PTP_L_!AI8)</f>
        <v>0</v>
      </c>
      <c r="AJ8" s="60">
        <f>+SUM(EL_DEL_CD2_PTP_!AJ8,EL_DEL_CD2_PTP_L_!AJ8)</f>
        <v>0</v>
      </c>
      <c r="AK8" s="60">
        <f>+SUM(EL_DEL_CD2_PTP_!AK8,EL_DEL_CD2_PTP_L_!AK8)</f>
        <v>0</v>
      </c>
      <c r="AL8" s="99" t="str">
        <f>+IFERROR(AVERAGE(EL_DEL_CD2_PTP_!AL8,EL_DEL_CD2_PTP_L_!AL8),"0")</f>
        <v>0</v>
      </c>
      <c r="AM8" s="99" t="str">
        <f>+IFERROR(AVERAGE(EL_DEL_CD2_PTP_!AM8,EL_DEL_CD2_PTP_L_!AM8),"0")</f>
        <v>0</v>
      </c>
      <c r="AN8" s="99" t="str">
        <f>+IFERROR(AVERAGE(EL_DEL_CD2_PTP_!AN8,EL_DEL_CD2_PTP_L_!AN8),"0")</f>
        <v>0</v>
      </c>
      <c r="AO8" s="99" t="str">
        <f>+IFERROR(AVERAGE(EL_DEL_CD2_PTP_!AO8,EL_DEL_CD2_PTP_L_!AO8),"0")</f>
        <v>0</v>
      </c>
      <c r="AP8" s="99" t="str">
        <f>+IFERROR(AVERAGE(EL_DEL_CD2_PTP_!AP8,EL_DEL_CD2_PTP_L_!AP8),"0")</f>
        <v>0</v>
      </c>
      <c r="AQ8" s="99" t="str">
        <f>+IFERROR(AVERAGE(EL_DEL_CD2_PTP_!AQ8,EL_DEL_CD2_PTP_L_!AQ8),"0")</f>
        <v>0</v>
      </c>
      <c r="AR8" s="99" t="str">
        <f>+IFERROR(AVERAGE(EL_DEL_CD2_PTP_!AR8,EL_DEL_CD2_PTP_L_!AR8),"0")</f>
        <v>0</v>
      </c>
      <c r="AS8" s="99" t="str">
        <f>+IFERROR(AVERAGE(EL_DEL_CD2_PTP_!AS8,EL_DEL_CD2_PTP_L_!AS8),"0")</f>
        <v>0</v>
      </c>
      <c r="AT8" s="100">
        <f>+SUM(EL_DEL_CD2_PTP_!AT8,EL_DEL_CD2_PTP_L_!AT8)</f>
        <v>0</v>
      </c>
      <c r="AU8" s="100">
        <f>+SUM(EL_DEL_CD2_PTP_!AU8,EL_DEL_CD2_PTP_L_!AU8)</f>
        <v>0</v>
      </c>
      <c r="AV8" s="101">
        <f>+SUM(EL_DEL_CD2_PTP_!AV8,EL_DEL_CD2_PTP_L_!AV8)</f>
        <v>0</v>
      </c>
      <c r="AW8" s="60">
        <f>+SUM(EL_DEL_CD2_PTP_!AW8,EL_DEL_CD2_PTP_L_!AW8)</f>
        <v>0</v>
      </c>
      <c r="AX8" s="102" t="str">
        <f t="shared" si="23"/>
        <v>-</v>
      </c>
      <c r="AY8" s="114"/>
      <c r="AZ8" s="116" t="str">
        <f t="shared" si="1"/>
        <v/>
      </c>
      <c r="BA8" s="117" t="str">
        <f t="shared" si="2"/>
        <v/>
      </c>
      <c r="BB8" s="116" t="str">
        <f t="shared" si="3"/>
        <v/>
      </c>
      <c r="BC8" s="114"/>
      <c r="BD8" s="118" t="str">
        <f t="shared" si="4"/>
        <v/>
      </c>
      <c r="BE8" s="119" t="str">
        <f t="shared" si="5"/>
        <v/>
      </c>
      <c r="BF8" s="119" t="str">
        <f t="shared" si="6"/>
        <v/>
      </c>
      <c r="BG8" s="119" t="str">
        <f t="shared" si="24"/>
        <v/>
      </c>
      <c r="BH8" s="119" t="str">
        <f t="shared" si="7"/>
        <v/>
      </c>
      <c r="BI8" s="120" t="str">
        <f t="shared" si="25"/>
        <v/>
      </c>
      <c r="BJ8" s="114"/>
      <c r="BK8" s="121" t="str">
        <f t="shared" si="8"/>
        <v/>
      </c>
      <c r="BL8" s="122" t="str">
        <f t="shared" si="9"/>
        <v/>
      </c>
      <c r="BM8" s="122" t="str">
        <f t="shared" si="10"/>
        <v/>
      </c>
      <c r="BN8" s="123" t="str">
        <f t="shared" si="11"/>
        <v/>
      </c>
      <c r="BO8" s="114"/>
      <c r="BP8" s="124" t="str">
        <f t="shared" si="12"/>
        <v/>
      </c>
      <c r="BQ8" s="125">
        <v>0</v>
      </c>
      <c r="BR8" s="125" t="str">
        <f t="shared" si="26"/>
        <v/>
      </c>
      <c r="BS8" s="125" t="str">
        <f t="shared" si="27"/>
        <v/>
      </c>
      <c r="BT8" s="126" t="str">
        <f t="shared" si="13"/>
        <v/>
      </c>
      <c r="BU8" s="114"/>
      <c r="BV8" s="132" t="e">
        <f t="shared" si="14"/>
        <v>#DIV/0!</v>
      </c>
      <c r="BW8" s="127" t="e">
        <f t="shared" si="15"/>
        <v>#DIV/0!</v>
      </c>
      <c r="BX8" s="127" t="e">
        <f t="shared" si="16"/>
        <v>#DIV/0!</v>
      </c>
      <c r="BY8" s="127" t="e">
        <f t="shared" si="17"/>
        <v>#DIV/0!</v>
      </c>
      <c r="BZ8" s="127" t="e">
        <f t="shared" si="28"/>
        <v>#DIV/0!</v>
      </c>
      <c r="CA8" s="128" t="e">
        <f t="shared" si="29"/>
        <v>#DIV/0!</v>
      </c>
      <c r="CB8" s="114"/>
      <c r="CC8" s="129" t="str">
        <f t="shared" si="18"/>
        <v>-</v>
      </c>
      <c r="CD8" s="130" t="str">
        <f t="shared" si="19"/>
        <v>-</v>
      </c>
      <c r="CE8" s="130" t="str">
        <f t="shared" si="20"/>
        <v>-</v>
      </c>
      <c r="CF8" s="130" t="str">
        <f t="shared" si="21"/>
        <v>-</v>
      </c>
      <c r="CG8" s="131" t="str">
        <f t="shared" si="22"/>
        <v>-</v>
      </c>
      <c r="CH8" s="114"/>
    </row>
    <row r="9" spans="1:86" s="115" customFormat="1" ht="12.4" customHeight="1" thickBot="1" x14ac:dyDescent="0.25">
      <c r="A9" s="96">
        <f t="shared" si="30"/>
        <v>46301</v>
      </c>
      <c r="B9" s="97" t="str">
        <f t="shared" si="0"/>
        <v>Tue</v>
      </c>
      <c r="C9" s="60">
        <f>+SUM(EL_DEL_CD2_PTP_!C9,EL_DEL_CD2_PTP_L_!C9)</f>
        <v>0</v>
      </c>
      <c r="D9" s="60">
        <f>+SUM(EL_DEL_CD2_PTP_!D9,EL_DEL_CD2_PTP_L_!D9)</f>
        <v>0</v>
      </c>
      <c r="E9" s="60">
        <f>+SUM(EL_DEL_CD2_PTP_!E9,EL_DEL_CD2_PTP_L_!E9)</f>
        <v>0</v>
      </c>
      <c r="F9" s="60">
        <f>+SUM(EL_DEL_CD2_PTP_!F9,EL_DEL_CD2_PTP_L_!F9)</f>
        <v>0</v>
      </c>
      <c r="G9" s="60">
        <f>+SUM(EL_DEL_CD2_PTP_!G9,EL_DEL_CD2_PTP_L_!G9)</f>
        <v>0</v>
      </c>
      <c r="H9" s="60">
        <f>+SUM(EL_DEL_CD2_PTP_!H9,EL_DEL_CD2_PTP_L_!H9)</f>
        <v>0</v>
      </c>
      <c r="I9" s="60">
        <f>+SUM(EL_DEL_CD2_PTP_!I9,EL_DEL_CD2_PTP_L_!I9)</f>
        <v>0</v>
      </c>
      <c r="J9" s="60">
        <f>+SUM(EL_DEL_CD2_PTP_!J9,EL_DEL_CD2_PTP_L_!J9)</f>
        <v>0</v>
      </c>
      <c r="K9" s="60">
        <f>+SUM(EL_DEL_CD2_PTP_!K9,EL_DEL_CD2_PTP_L_!K9)</f>
        <v>0</v>
      </c>
      <c r="L9" s="60">
        <f>+SUM(EL_DEL_CD2_PTP_!L9,EL_DEL_CD2_PTP_L_!L9)</f>
        <v>0</v>
      </c>
      <c r="M9" s="60">
        <f>+SUM(EL_DEL_CD2_PTP_!M9,EL_DEL_CD2_PTP_L_!M9)</f>
        <v>0</v>
      </c>
      <c r="N9" s="60">
        <f>+SUM(EL_DEL_CD2_PTP_!N9,EL_DEL_CD2_PTP_L_!N9)</f>
        <v>0</v>
      </c>
      <c r="O9" s="60">
        <f>+SUM(EL_DEL_CD2_PTP_!O9,EL_DEL_CD2_PTP_L_!O9)</f>
        <v>0</v>
      </c>
      <c r="P9" s="60">
        <f>+SUM(EL_DEL_CD2_PTP_!P9,EL_DEL_CD2_PTP_L_!P9)</f>
        <v>0</v>
      </c>
      <c r="Q9" s="60">
        <f>+SUM(EL_DEL_CD2_PTP_!Q9,EL_DEL_CD2_PTP_L_!Q9)</f>
        <v>0</v>
      </c>
      <c r="R9" s="60">
        <f>+SUM(EL_DEL_CD2_PTP_!R9,EL_DEL_CD2_PTP_L_!R9)</f>
        <v>0</v>
      </c>
      <c r="S9" s="60">
        <f>+SUM(EL_DEL_CD2_PTP_!S9,EL_DEL_CD2_PTP_L_!S9)</f>
        <v>0</v>
      </c>
      <c r="T9" s="60">
        <f>+SUM(EL_DEL_CD2_PTP_!T9,EL_DEL_CD2_PTP_L_!T9)</f>
        <v>0</v>
      </c>
      <c r="U9" s="98">
        <f>+SUM(EL_DEL_CD2_PTP_!U9,EL_DEL_CD2_PTP_L_!U9)</f>
        <v>0</v>
      </c>
      <c r="V9" s="60">
        <f>+SUM(EL_DEL_CD2_PTP_!V9,EL_DEL_CD2_PTP_L_!V9)</f>
        <v>0</v>
      </c>
      <c r="W9" s="60">
        <f>+SUM(EL_DEL_CD2_PTP_!W9,EL_DEL_CD2_PTP_L_!W9)</f>
        <v>0</v>
      </c>
      <c r="X9" s="60">
        <f>+SUM(EL_DEL_CD2_PTP_!X9,EL_DEL_CD2_PTP_L_!X9)</f>
        <v>0</v>
      </c>
      <c r="Y9" s="60">
        <f>+SUM(EL_DEL_CD2_PTP_!Y9,EL_DEL_CD2_PTP_L_!Y9)</f>
        <v>0</v>
      </c>
      <c r="Z9" s="60">
        <f>+SUM(EL_DEL_CD2_PTP_!Z9,EL_DEL_CD2_PTP_L_!Z9)</f>
        <v>0</v>
      </c>
      <c r="AA9" s="60">
        <f>+SUM(EL_DEL_CD2_PTP_!AA9,EL_DEL_CD2_PTP_L_!AA9)</f>
        <v>0</v>
      </c>
      <c r="AB9" s="60">
        <f>+SUM(EL_DEL_CD2_PTP_!AB9,EL_DEL_CD2_PTP_L_!AB9)</f>
        <v>0</v>
      </c>
      <c r="AC9" s="60">
        <f>+SUM(EL_DEL_CD2_PTP_!AC9,EL_DEL_CD2_PTP_L_!AC9)</f>
        <v>0</v>
      </c>
      <c r="AD9" s="60">
        <f>+SUM(EL_DEL_CD2_PTP_!AD9,EL_DEL_CD2_PTP_L_!AD9)</f>
        <v>0</v>
      </c>
      <c r="AE9" s="60">
        <f>+SUM(EL_DEL_CD2_PTP_!AE9,EL_DEL_CD2_PTP_L_!AE9)</f>
        <v>0</v>
      </c>
      <c r="AF9" s="60">
        <f>+SUM(EL_DEL_CD2_PTP_!AF9,EL_DEL_CD2_PTP_L_!AF9)</f>
        <v>0</v>
      </c>
      <c r="AG9" s="60">
        <f>+SUM(EL_DEL_CD2_PTP_!AG9,EL_DEL_CD2_PTP_L_!AG9)</f>
        <v>0</v>
      </c>
      <c r="AH9" s="60">
        <f>+SUM(EL_DEL_CD2_PTP_!AH9,EL_DEL_CD2_PTP_L_!AH9)</f>
        <v>0</v>
      </c>
      <c r="AI9" s="60">
        <f>+SUM(EL_DEL_CD2_PTP_!AI9,EL_DEL_CD2_PTP_L_!AI9)</f>
        <v>0</v>
      </c>
      <c r="AJ9" s="60">
        <f>+SUM(EL_DEL_CD2_PTP_!AJ9,EL_DEL_CD2_PTP_L_!AJ9)</f>
        <v>0</v>
      </c>
      <c r="AK9" s="60">
        <f>+SUM(EL_DEL_CD2_PTP_!AK9,EL_DEL_CD2_PTP_L_!AK9)</f>
        <v>0</v>
      </c>
      <c r="AL9" s="99" t="str">
        <f>+IFERROR(AVERAGE(EL_DEL_CD2_PTP_!AL9,EL_DEL_CD2_PTP_L_!AL9),"0")</f>
        <v>0</v>
      </c>
      <c r="AM9" s="99" t="str">
        <f>+IFERROR(AVERAGE(EL_DEL_CD2_PTP_!AM9,EL_DEL_CD2_PTP_L_!AM9),"0")</f>
        <v>0</v>
      </c>
      <c r="AN9" s="99" t="str">
        <f>+IFERROR(AVERAGE(EL_DEL_CD2_PTP_!AN9,EL_DEL_CD2_PTP_L_!AN9),"0")</f>
        <v>0</v>
      </c>
      <c r="AO9" s="99" t="str">
        <f>+IFERROR(AVERAGE(EL_DEL_CD2_PTP_!AO9,EL_DEL_CD2_PTP_L_!AO9),"0")</f>
        <v>0</v>
      </c>
      <c r="AP9" s="99" t="str">
        <f>+IFERROR(AVERAGE(EL_DEL_CD2_PTP_!AP9,EL_DEL_CD2_PTP_L_!AP9),"0")</f>
        <v>0</v>
      </c>
      <c r="AQ9" s="99" t="str">
        <f>+IFERROR(AVERAGE(EL_DEL_CD2_PTP_!AQ9,EL_DEL_CD2_PTP_L_!AQ9),"0")</f>
        <v>0</v>
      </c>
      <c r="AR9" s="99" t="str">
        <f>+IFERROR(AVERAGE(EL_DEL_CD2_PTP_!AR9,EL_DEL_CD2_PTP_L_!AR9),"0")</f>
        <v>0</v>
      </c>
      <c r="AS9" s="99" t="str">
        <f>+IFERROR(AVERAGE(EL_DEL_CD2_PTP_!AS9,EL_DEL_CD2_PTP_L_!AS9),"0")</f>
        <v>0</v>
      </c>
      <c r="AT9" s="100">
        <f>+SUM(EL_DEL_CD2_PTP_!AT9,EL_DEL_CD2_PTP_L_!AT9)</f>
        <v>0</v>
      </c>
      <c r="AU9" s="100">
        <f>+SUM(EL_DEL_CD2_PTP_!AU9,EL_DEL_CD2_PTP_L_!AU9)</f>
        <v>0</v>
      </c>
      <c r="AV9" s="101">
        <f>+SUM(EL_DEL_CD2_PTP_!AV9,EL_DEL_CD2_PTP_L_!AV9)</f>
        <v>0</v>
      </c>
      <c r="AW9" s="60">
        <f>+SUM(EL_DEL_CD2_PTP_!AW9,EL_DEL_CD2_PTP_L_!AW9)</f>
        <v>0</v>
      </c>
      <c r="AX9" s="102" t="str">
        <f t="shared" si="23"/>
        <v>-</v>
      </c>
      <c r="AY9" s="114"/>
      <c r="AZ9" s="116" t="str">
        <f t="shared" si="1"/>
        <v/>
      </c>
      <c r="BA9" s="117" t="str">
        <f t="shared" si="2"/>
        <v/>
      </c>
      <c r="BB9" s="116" t="str">
        <f t="shared" si="3"/>
        <v/>
      </c>
      <c r="BC9" s="114"/>
      <c r="BD9" s="118" t="str">
        <f t="shared" si="4"/>
        <v/>
      </c>
      <c r="BE9" s="119" t="str">
        <f t="shared" si="5"/>
        <v/>
      </c>
      <c r="BF9" s="119" t="str">
        <f t="shared" si="6"/>
        <v/>
      </c>
      <c r="BG9" s="119" t="str">
        <f t="shared" si="24"/>
        <v/>
      </c>
      <c r="BH9" s="119" t="str">
        <f t="shared" si="7"/>
        <v/>
      </c>
      <c r="BI9" s="120" t="str">
        <f t="shared" si="25"/>
        <v/>
      </c>
      <c r="BJ9" s="114"/>
      <c r="BK9" s="121" t="str">
        <f t="shared" si="8"/>
        <v/>
      </c>
      <c r="BL9" s="122" t="str">
        <f t="shared" si="9"/>
        <v/>
      </c>
      <c r="BM9" s="122" t="str">
        <f t="shared" si="10"/>
        <v/>
      </c>
      <c r="BN9" s="123" t="str">
        <f t="shared" si="11"/>
        <v/>
      </c>
      <c r="BO9" s="114"/>
      <c r="BP9" s="124" t="str">
        <f t="shared" si="12"/>
        <v/>
      </c>
      <c r="BQ9" s="125">
        <v>0</v>
      </c>
      <c r="BR9" s="125" t="str">
        <f t="shared" si="26"/>
        <v/>
      </c>
      <c r="BS9" s="125" t="str">
        <f t="shared" si="27"/>
        <v/>
      </c>
      <c r="BT9" s="126" t="str">
        <f t="shared" si="13"/>
        <v/>
      </c>
      <c r="BU9" s="114"/>
      <c r="BV9" s="132" t="e">
        <f t="shared" si="14"/>
        <v>#DIV/0!</v>
      </c>
      <c r="BW9" s="127" t="e">
        <f t="shared" si="15"/>
        <v>#DIV/0!</v>
      </c>
      <c r="BX9" s="127" t="e">
        <f t="shared" si="16"/>
        <v>#DIV/0!</v>
      </c>
      <c r="BY9" s="127" t="e">
        <f t="shared" si="17"/>
        <v>#DIV/0!</v>
      </c>
      <c r="BZ9" s="127" t="e">
        <f t="shared" si="28"/>
        <v>#DIV/0!</v>
      </c>
      <c r="CA9" s="128" t="e">
        <f t="shared" si="29"/>
        <v>#DIV/0!</v>
      </c>
      <c r="CB9" s="114"/>
      <c r="CC9" s="129" t="str">
        <f t="shared" si="18"/>
        <v>-</v>
      </c>
      <c r="CD9" s="130" t="str">
        <f t="shared" si="19"/>
        <v>-</v>
      </c>
      <c r="CE9" s="130" t="str">
        <f t="shared" si="20"/>
        <v>-</v>
      </c>
      <c r="CF9" s="130" t="str">
        <f t="shared" si="21"/>
        <v>-</v>
      </c>
      <c r="CG9" s="131" t="str">
        <f t="shared" si="22"/>
        <v>-</v>
      </c>
      <c r="CH9" s="114"/>
    </row>
    <row r="10" spans="1:86" s="115" customFormat="1" ht="12.4" customHeight="1" thickBot="1" x14ac:dyDescent="0.25">
      <c r="A10" s="96">
        <f t="shared" si="30"/>
        <v>46302</v>
      </c>
      <c r="B10" s="97" t="str">
        <f>+TEXT(A10,"DDD")</f>
        <v>Wed</v>
      </c>
      <c r="C10" s="60">
        <f>+SUM(EL_DEL_CD2_PTP_!C10,EL_DEL_CD2_PTP_L_!C10)</f>
        <v>0</v>
      </c>
      <c r="D10" s="60">
        <f>+SUM(EL_DEL_CD2_PTP_!D10,EL_DEL_CD2_PTP_L_!D10)</f>
        <v>0</v>
      </c>
      <c r="E10" s="60">
        <f>+SUM(EL_DEL_CD2_PTP_!E10,EL_DEL_CD2_PTP_L_!E10)</f>
        <v>0</v>
      </c>
      <c r="F10" s="60">
        <f>+SUM(EL_DEL_CD2_PTP_!F10,EL_DEL_CD2_PTP_L_!F10)</f>
        <v>0</v>
      </c>
      <c r="G10" s="60">
        <f>+SUM(EL_DEL_CD2_PTP_!G10,EL_DEL_CD2_PTP_L_!G10)</f>
        <v>0</v>
      </c>
      <c r="H10" s="60">
        <f>+SUM(EL_DEL_CD2_PTP_!H10,EL_DEL_CD2_PTP_L_!H10)</f>
        <v>0</v>
      </c>
      <c r="I10" s="60">
        <f>+SUM(EL_DEL_CD2_PTP_!I10,EL_DEL_CD2_PTP_L_!I10)</f>
        <v>0</v>
      </c>
      <c r="J10" s="60">
        <f>+SUM(EL_DEL_CD2_PTP_!J10,EL_DEL_CD2_PTP_L_!J10)</f>
        <v>0</v>
      </c>
      <c r="K10" s="60">
        <f>+SUM(EL_DEL_CD2_PTP_!K10,EL_DEL_CD2_PTP_L_!K10)</f>
        <v>0</v>
      </c>
      <c r="L10" s="60">
        <f>+SUM(EL_DEL_CD2_PTP_!L10,EL_DEL_CD2_PTP_L_!L10)</f>
        <v>0</v>
      </c>
      <c r="M10" s="60">
        <f>+SUM(EL_DEL_CD2_PTP_!M10,EL_DEL_CD2_PTP_L_!M10)</f>
        <v>0</v>
      </c>
      <c r="N10" s="60">
        <f>+SUM(EL_DEL_CD2_PTP_!N10,EL_DEL_CD2_PTP_L_!N10)</f>
        <v>0</v>
      </c>
      <c r="O10" s="60">
        <f>+SUM(EL_DEL_CD2_PTP_!O10,EL_DEL_CD2_PTP_L_!O10)</f>
        <v>0</v>
      </c>
      <c r="P10" s="60">
        <f>+SUM(EL_DEL_CD2_PTP_!P10,EL_DEL_CD2_PTP_L_!P10)</f>
        <v>0</v>
      </c>
      <c r="Q10" s="60">
        <f>+SUM(EL_DEL_CD2_PTP_!Q10,EL_DEL_CD2_PTP_L_!Q10)</f>
        <v>0</v>
      </c>
      <c r="R10" s="60">
        <f>+SUM(EL_DEL_CD2_PTP_!R10,EL_DEL_CD2_PTP_L_!R10)</f>
        <v>0</v>
      </c>
      <c r="S10" s="60">
        <f>+SUM(EL_DEL_CD2_PTP_!S10,EL_DEL_CD2_PTP_L_!S10)</f>
        <v>0</v>
      </c>
      <c r="T10" s="60">
        <f>+SUM(EL_DEL_CD2_PTP_!T10,EL_DEL_CD2_PTP_L_!T10)</f>
        <v>0</v>
      </c>
      <c r="U10" s="98">
        <f>+SUM(EL_DEL_CD2_PTP_!U10,EL_DEL_CD2_PTP_L_!U10)</f>
        <v>0</v>
      </c>
      <c r="V10" s="60">
        <f>+SUM(EL_DEL_CD2_PTP_!V10,EL_DEL_CD2_PTP_L_!V10)</f>
        <v>0</v>
      </c>
      <c r="W10" s="60">
        <f>+SUM(EL_DEL_CD2_PTP_!W10,EL_DEL_CD2_PTP_L_!W10)</f>
        <v>0</v>
      </c>
      <c r="X10" s="60">
        <f>+SUM(EL_DEL_CD2_PTP_!X10,EL_DEL_CD2_PTP_L_!X10)</f>
        <v>0</v>
      </c>
      <c r="Y10" s="60">
        <f>+SUM(EL_DEL_CD2_PTP_!Y10,EL_DEL_CD2_PTP_L_!Y10)</f>
        <v>0</v>
      </c>
      <c r="Z10" s="60">
        <f>+SUM(EL_DEL_CD2_PTP_!Z10,EL_DEL_CD2_PTP_L_!Z10)</f>
        <v>0</v>
      </c>
      <c r="AA10" s="60">
        <f>+SUM(EL_DEL_CD2_PTP_!AA10,EL_DEL_CD2_PTP_L_!AA10)</f>
        <v>0</v>
      </c>
      <c r="AB10" s="60">
        <f>+SUM(EL_DEL_CD2_PTP_!AB10,EL_DEL_CD2_PTP_L_!AB10)</f>
        <v>0</v>
      </c>
      <c r="AC10" s="60">
        <f>+SUM(EL_DEL_CD2_PTP_!AC10,EL_DEL_CD2_PTP_L_!AC10)</f>
        <v>0</v>
      </c>
      <c r="AD10" s="60">
        <f>+SUM(EL_DEL_CD2_PTP_!AD10,EL_DEL_CD2_PTP_L_!AD10)</f>
        <v>0</v>
      </c>
      <c r="AE10" s="60">
        <f>+SUM(EL_DEL_CD2_PTP_!AE10,EL_DEL_CD2_PTP_L_!AE10)</f>
        <v>0</v>
      </c>
      <c r="AF10" s="60">
        <f>+SUM(EL_DEL_CD2_PTP_!AF10,EL_DEL_CD2_PTP_L_!AF10)</f>
        <v>0</v>
      </c>
      <c r="AG10" s="60">
        <f>+SUM(EL_DEL_CD2_PTP_!AG10,EL_DEL_CD2_PTP_L_!AG10)</f>
        <v>0</v>
      </c>
      <c r="AH10" s="60">
        <f>+SUM(EL_DEL_CD2_PTP_!AH10,EL_DEL_CD2_PTP_L_!AH10)</f>
        <v>0</v>
      </c>
      <c r="AI10" s="60">
        <f>+SUM(EL_DEL_CD2_PTP_!AI10,EL_DEL_CD2_PTP_L_!AI10)</f>
        <v>0</v>
      </c>
      <c r="AJ10" s="60">
        <f>+SUM(EL_DEL_CD2_PTP_!AJ10,EL_DEL_CD2_PTP_L_!AJ10)</f>
        <v>0</v>
      </c>
      <c r="AK10" s="60">
        <f>+SUM(EL_DEL_CD2_PTP_!AK10,EL_DEL_CD2_PTP_L_!AK10)</f>
        <v>0</v>
      </c>
      <c r="AL10" s="99" t="str">
        <f>+IFERROR(AVERAGE(EL_DEL_CD2_PTP_!AL10,EL_DEL_CD2_PTP_L_!AL10),"0")</f>
        <v>0</v>
      </c>
      <c r="AM10" s="99" t="str">
        <f>+IFERROR(AVERAGE(EL_DEL_CD2_PTP_!AM10,EL_DEL_CD2_PTP_L_!AM10),"0")</f>
        <v>0</v>
      </c>
      <c r="AN10" s="99" t="str">
        <f>+IFERROR(AVERAGE(EL_DEL_CD2_PTP_!AN10,EL_DEL_CD2_PTP_L_!AN10),"0")</f>
        <v>0</v>
      </c>
      <c r="AO10" s="99" t="str">
        <f>+IFERROR(AVERAGE(EL_DEL_CD2_PTP_!AO10,EL_DEL_CD2_PTP_L_!AO10),"0")</f>
        <v>0</v>
      </c>
      <c r="AP10" s="99" t="str">
        <f>+IFERROR(AVERAGE(EL_DEL_CD2_PTP_!AP10,EL_DEL_CD2_PTP_L_!AP10),"0")</f>
        <v>0</v>
      </c>
      <c r="AQ10" s="99" t="str">
        <f>+IFERROR(AVERAGE(EL_DEL_CD2_PTP_!AQ10,EL_DEL_CD2_PTP_L_!AQ10),"0")</f>
        <v>0</v>
      </c>
      <c r="AR10" s="99" t="str">
        <f>+IFERROR(AVERAGE(EL_DEL_CD2_PTP_!AR10,EL_DEL_CD2_PTP_L_!AR10),"0")</f>
        <v>0</v>
      </c>
      <c r="AS10" s="99" t="str">
        <f>+IFERROR(AVERAGE(EL_DEL_CD2_PTP_!AS10,EL_DEL_CD2_PTP_L_!AS10),"0")</f>
        <v>0</v>
      </c>
      <c r="AT10" s="100">
        <f>+SUM(EL_DEL_CD2_PTP_!AT10,EL_DEL_CD2_PTP_L_!AT10)</f>
        <v>0</v>
      </c>
      <c r="AU10" s="100">
        <f>+SUM(EL_DEL_CD2_PTP_!AU10,EL_DEL_CD2_PTP_L_!AU10)</f>
        <v>0</v>
      </c>
      <c r="AV10" s="101">
        <f>+SUM(EL_DEL_CD2_PTP_!AV10,EL_DEL_CD2_PTP_L_!AV10)</f>
        <v>0</v>
      </c>
      <c r="AW10" s="60">
        <f>+SUM(EL_DEL_CD2_PTP_!AW10,EL_DEL_CD2_PTP_L_!AW10)</f>
        <v>0</v>
      </c>
      <c r="AX10" s="102" t="str">
        <f t="shared" si="23"/>
        <v>-</v>
      </c>
      <c r="AY10" s="114"/>
      <c r="AZ10" s="116" t="str">
        <f t="shared" si="1"/>
        <v/>
      </c>
      <c r="BA10" s="117" t="str">
        <f t="shared" si="2"/>
        <v/>
      </c>
      <c r="BB10" s="116" t="str">
        <f t="shared" si="3"/>
        <v/>
      </c>
      <c r="BC10" s="114"/>
      <c r="BD10" s="118" t="str">
        <f t="shared" si="4"/>
        <v/>
      </c>
      <c r="BE10" s="119" t="str">
        <f t="shared" si="5"/>
        <v/>
      </c>
      <c r="BF10" s="119" t="str">
        <f t="shared" si="6"/>
        <v/>
      </c>
      <c r="BG10" s="119" t="str">
        <f t="shared" si="24"/>
        <v/>
      </c>
      <c r="BH10" s="119" t="str">
        <f t="shared" si="7"/>
        <v/>
      </c>
      <c r="BI10" s="120" t="str">
        <f t="shared" si="25"/>
        <v/>
      </c>
      <c r="BJ10" s="114"/>
      <c r="BK10" s="121" t="str">
        <f t="shared" si="8"/>
        <v/>
      </c>
      <c r="BL10" s="122" t="str">
        <f t="shared" si="9"/>
        <v/>
      </c>
      <c r="BM10" s="122" t="str">
        <f t="shared" si="10"/>
        <v/>
      </c>
      <c r="BN10" s="123" t="str">
        <f t="shared" si="11"/>
        <v/>
      </c>
      <c r="BO10" s="114"/>
      <c r="BP10" s="124" t="str">
        <f t="shared" si="12"/>
        <v/>
      </c>
      <c r="BQ10" s="125">
        <v>0</v>
      </c>
      <c r="BR10" s="125" t="str">
        <f t="shared" si="26"/>
        <v/>
      </c>
      <c r="BS10" s="125" t="str">
        <f t="shared" si="27"/>
        <v/>
      </c>
      <c r="BT10" s="126" t="str">
        <f t="shared" si="13"/>
        <v/>
      </c>
      <c r="BU10" s="114"/>
      <c r="BV10" s="132" t="e">
        <f t="shared" si="14"/>
        <v>#DIV/0!</v>
      </c>
      <c r="BW10" s="127" t="e">
        <f t="shared" si="15"/>
        <v>#DIV/0!</v>
      </c>
      <c r="BX10" s="127" t="e">
        <f t="shared" si="16"/>
        <v>#DIV/0!</v>
      </c>
      <c r="BY10" s="127" t="e">
        <f t="shared" si="17"/>
        <v>#DIV/0!</v>
      </c>
      <c r="BZ10" s="127" t="e">
        <f t="shared" si="28"/>
        <v>#DIV/0!</v>
      </c>
      <c r="CA10" s="128" t="e">
        <f t="shared" si="29"/>
        <v>#DIV/0!</v>
      </c>
      <c r="CB10" s="114"/>
      <c r="CC10" s="129" t="str">
        <f t="shared" si="18"/>
        <v>-</v>
      </c>
      <c r="CD10" s="130" t="str">
        <f t="shared" si="19"/>
        <v>-</v>
      </c>
      <c r="CE10" s="130" t="str">
        <f t="shared" si="20"/>
        <v>-</v>
      </c>
      <c r="CF10" s="130" t="str">
        <f t="shared" si="21"/>
        <v>-</v>
      </c>
      <c r="CG10" s="131" t="str">
        <f t="shared" si="22"/>
        <v>-</v>
      </c>
      <c r="CH10" s="114"/>
    </row>
    <row r="11" spans="1:86" s="115" customFormat="1" ht="12.4" customHeight="1" thickBot="1" x14ac:dyDescent="0.25">
      <c r="A11" s="96">
        <f t="shared" si="30"/>
        <v>46303</v>
      </c>
      <c r="B11" s="97" t="str">
        <f>+TEXT(A11,"DDD")</f>
        <v>Thu</v>
      </c>
      <c r="C11" s="60">
        <f>+SUM(EL_DEL_CD2_PTP_!C11,EL_DEL_CD2_PTP_L_!C11)</f>
        <v>0</v>
      </c>
      <c r="D11" s="60">
        <f>+SUM(EL_DEL_CD2_PTP_!D11,EL_DEL_CD2_PTP_L_!D11)</f>
        <v>0</v>
      </c>
      <c r="E11" s="60">
        <f>+SUM(EL_DEL_CD2_PTP_!E11,EL_DEL_CD2_PTP_L_!E11)</f>
        <v>0</v>
      </c>
      <c r="F11" s="60">
        <f>+SUM(EL_DEL_CD2_PTP_!F11,EL_DEL_CD2_PTP_L_!F11)</f>
        <v>0</v>
      </c>
      <c r="G11" s="60">
        <f>+SUM(EL_DEL_CD2_PTP_!G11,EL_DEL_CD2_PTP_L_!G11)</f>
        <v>0</v>
      </c>
      <c r="H11" s="60">
        <f>+SUM(EL_DEL_CD2_PTP_!H11,EL_DEL_CD2_PTP_L_!H11)</f>
        <v>0</v>
      </c>
      <c r="I11" s="60">
        <f>+SUM(EL_DEL_CD2_PTP_!I11,EL_DEL_CD2_PTP_L_!I11)</f>
        <v>0</v>
      </c>
      <c r="J11" s="60">
        <f>+SUM(EL_DEL_CD2_PTP_!J11,EL_DEL_CD2_PTP_L_!J11)</f>
        <v>0</v>
      </c>
      <c r="K11" s="60">
        <f>+SUM(EL_DEL_CD2_PTP_!K11,EL_DEL_CD2_PTP_L_!K11)</f>
        <v>0</v>
      </c>
      <c r="L11" s="60">
        <f>+SUM(EL_DEL_CD2_PTP_!L11,EL_DEL_CD2_PTP_L_!L11)</f>
        <v>0</v>
      </c>
      <c r="M11" s="60">
        <f>+SUM(EL_DEL_CD2_PTP_!M11,EL_DEL_CD2_PTP_L_!M11)</f>
        <v>0</v>
      </c>
      <c r="N11" s="60">
        <f>+SUM(EL_DEL_CD2_PTP_!N11,EL_DEL_CD2_PTP_L_!N11)</f>
        <v>0</v>
      </c>
      <c r="O11" s="60">
        <f>+SUM(EL_DEL_CD2_PTP_!O11,EL_DEL_CD2_PTP_L_!O11)</f>
        <v>0</v>
      </c>
      <c r="P11" s="60">
        <f>+SUM(EL_DEL_CD2_PTP_!P11,EL_DEL_CD2_PTP_L_!P11)</f>
        <v>0</v>
      </c>
      <c r="Q11" s="60">
        <f>+SUM(EL_DEL_CD2_PTP_!Q11,EL_DEL_CD2_PTP_L_!Q11)</f>
        <v>0</v>
      </c>
      <c r="R11" s="60">
        <f>+SUM(EL_DEL_CD2_PTP_!R11,EL_DEL_CD2_PTP_L_!R11)</f>
        <v>0</v>
      </c>
      <c r="S11" s="60">
        <f>+SUM(EL_DEL_CD2_PTP_!S11,EL_DEL_CD2_PTP_L_!S11)</f>
        <v>0</v>
      </c>
      <c r="T11" s="60">
        <f>+SUM(EL_DEL_CD2_PTP_!T11,EL_DEL_CD2_PTP_L_!T11)</f>
        <v>0</v>
      </c>
      <c r="U11" s="98">
        <f>+SUM(EL_DEL_CD2_PTP_!U11,EL_DEL_CD2_PTP_L_!U11)</f>
        <v>0</v>
      </c>
      <c r="V11" s="60">
        <f>+SUM(EL_DEL_CD2_PTP_!V11,EL_DEL_CD2_PTP_L_!V11)</f>
        <v>0</v>
      </c>
      <c r="W11" s="60">
        <f>+SUM(EL_DEL_CD2_PTP_!W11,EL_DEL_CD2_PTP_L_!W11)</f>
        <v>0</v>
      </c>
      <c r="X11" s="60">
        <f>+SUM(EL_DEL_CD2_PTP_!X11,EL_DEL_CD2_PTP_L_!X11)</f>
        <v>0</v>
      </c>
      <c r="Y11" s="60">
        <f>+SUM(EL_DEL_CD2_PTP_!Y11,EL_DEL_CD2_PTP_L_!Y11)</f>
        <v>0</v>
      </c>
      <c r="Z11" s="60">
        <f>+SUM(EL_DEL_CD2_PTP_!Z11,EL_DEL_CD2_PTP_L_!Z11)</f>
        <v>0</v>
      </c>
      <c r="AA11" s="60">
        <f>+SUM(EL_DEL_CD2_PTP_!AA11,EL_DEL_CD2_PTP_L_!AA11)</f>
        <v>0</v>
      </c>
      <c r="AB11" s="60">
        <f>+SUM(EL_DEL_CD2_PTP_!AB11,EL_DEL_CD2_PTP_L_!AB11)</f>
        <v>0</v>
      </c>
      <c r="AC11" s="60">
        <f>+SUM(EL_DEL_CD2_PTP_!AC11,EL_DEL_CD2_PTP_L_!AC11)</f>
        <v>0</v>
      </c>
      <c r="AD11" s="60">
        <f>+SUM(EL_DEL_CD2_PTP_!AD11,EL_DEL_CD2_PTP_L_!AD11)</f>
        <v>0</v>
      </c>
      <c r="AE11" s="60">
        <f>+SUM(EL_DEL_CD2_PTP_!AE11,EL_DEL_CD2_PTP_L_!AE11)</f>
        <v>0</v>
      </c>
      <c r="AF11" s="60">
        <f>+SUM(EL_DEL_CD2_PTP_!AF11,EL_DEL_CD2_PTP_L_!AF11)</f>
        <v>0</v>
      </c>
      <c r="AG11" s="60">
        <f>+SUM(EL_DEL_CD2_PTP_!AG11,EL_DEL_CD2_PTP_L_!AG11)</f>
        <v>0</v>
      </c>
      <c r="AH11" s="60">
        <f>+SUM(EL_DEL_CD2_PTP_!AH11,EL_DEL_CD2_PTP_L_!AH11)</f>
        <v>0</v>
      </c>
      <c r="AI11" s="60">
        <f>+SUM(EL_DEL_CD2_PTP_!AI11,EL_DEL_CD2_PTP_L_!AI11)</f>
        <v>0</v>
      </c>
      <c r="AJ11" s="60">
        <f>+SUM(EL_DEL_CD2_PTP_!AJ11,EL_DEL_CD2_PTP_L_!AJ11)</f>
        <v>0</v>
      </c>
      <c r="AK11" s="60">
        <f>+SUM(EL_DEL_CD2_PTP_!AK11,EL_DEL_CD2_PTP_L_!AK11)</f>
        <v>0</v>
      </c>
      <c r="AL11" s="99" t="str">
        <f>+IFERROR(AVERAGE(EL_DEL_CD2_PTP_!AL11,EL_DEL_CD2_PTP_L_!AL11),"0")</f>
        <v>0</v>
      </c>
      <c r="AM11" s="99" t="str">
        <f>+IFERROR(AVERAGE(EL_DEL_CD2_PTP_!AM11,EL_DEL_CD2_PTP_L_!AM11),"0")</f>
        <v>0</v>
      </c>
      <c r="AN11" s="99" t="str">
        <f>+IFERROR(AVERAGE(EL_DEL_CD2_PTP_!AN11,EL_DEL_CD2_PTP_L_!AN11),"0")</f>
        <v>0</v>
      </c>
      <c r="AO11" s="99" t="str">
        <f>+IFERROR(AVERAGE(EL_DEL_CD2_PTP_!AO11,EL_DEL_CD2_PTP_L_!AO11),"0")</f>
        <v>0</v>
      </c>
      <c r="AP11" s="99" t="str">
        <f>+IFERROR(AVERAGE(EL_DEL_CD2_PTP_!AP11,EL_DEL_CD2_PTP_L_!AP11),"0")</f>
        <v>0</v>
      </c>
      <c r="AQ11" s="99" t="str">
        <f>+IFERROR(AVERAGE(EL_DEL_CD2_PTP_!AQ11,EL_DEL_CD2_PTP_L_!AQ11),"0")</f>
        <v>0</v>
      </c>
      <c r="AR11" s="99" t="str">
        <f>+IFERROR(AVERAGE(EL_DEL_CD2_PTP_!AR11,EL_DEL_CD2_PTP_L_!AR11),"0")</f>
        <v>0</v>
      </c>
      <c r="AS11" s="99" t="str">
        <f>+IFERROR(AVERAGE(EL_DEL_CD2_PTP_!AS11,EL_DEL_CD2_PTP_L_!AS11),"0")</f>
        <v>0</v>
      </c>
      <c r="AT11" s="100">
        <f>+SUM(EL_DEL_CD2_PTP_!AT11,EL_DEL_CD2_PTP_L_!AT11)</f>
        <v>0</v>
      </c>
      <c r="AU11" s="100">
        <f>+SUM(EL_DEL_CD2_PTP_!AU11,EL_DEL_CD2_PTP_L_!AU11)</f>
        <v>0</v>
      </c>
      <c r="AV11" s="101">
        <f>+SUM(EL_DEL_CD2_PTP_!AV11,EL_DEL_CD2_PTP_L_!AV11)</f>
        <v>0</v>
      </c>
      <c r="AW11" s="60">
        <f>+SUM(EL_DEL_CD2_PTP_!AW11,EL_DEL_CD2_PTP_L_!AW11)</f>
        <v>0</v>
      </c>
      <c r="AX11" s="102" t="str">
        <f t="shared" si="23"/>
        <v>-</v>
      </c>
      <c r="AY11" s="114"/>
      <c r="AZ11" s="116" t="str">
        <f t="shared" si="1"/>
        <v/>
      </c>
      <c r="BA11" s="117" t="str">
        <f t="shared" si="2"/>
        <v/>
      </c>
      <c r="BB11" s="116" t="str">
        <f t="shared" si="3"/>
        <v/>
      </c>
      <c r="BC11" s="114"/>
      <c r="BD11" s="118" t="str">
        <f t="shared" si="4"/>
        <v/>
      </c>
      <c r="BE11" s="119" t="str">
        <f t="shared" si="5"/>
        <v/>
      </c>
      <c r="BF11" s="119" t="str">
        <f t="shared" si="6"/>
        <v/>
      </c>
      <c r="BG11" s="119" t="str">
        <f t="shared" si="24"/>
        <v/>
      </c>
      <c r="BH11" s="119" t="str">
        <f t="shared" si="7"/>
        <v/>
      </c>
      <c r="BI11" s="120" t="str">
        <f t="shared" si="25"/>
        <v/>
      </c>
      <c r="BJ11" s="114"/>
      <c r="BK11" s="121" t="str">
        <f t="shared" si="8"/>
        <v/>
      </c>
      <c r="BL11" s="122" t="str">
        <f t="shared" si="9"/>
        <v/>
      </c>
      <c r="BM11" s="122" t="str">
        <f t="shared" si="10"/>
        <v/>
      </c>
      <c r="BN11" s="123" t="str">
        <f t="shared" si="11"/>
        <v/>
      </c>
      <c r="BO11" s="114"/>
      <c r="BP11" s="124" t="str">
        <f t="shared" si="12"/>
        <v/>
      </c>
      <c r="BQ11" s="125">
        <v>0</v>
      </c>
      <c r="BR11" s="125" t="str">
        <f t="shared" si="26"/>
        <v/>
      </c>
      <c r="BS11" s="125" t="str">
        <f t="shared" si="27"/>
        <v/>
      </c>
      <c r="BT11" s="126" t="str">
        <f t="shared" si="13"/>
        <v/>
      </c>
      <c r="BU11" s="114"/>
      <c r="BV11" s="132" t="e">
        <f t="shared" si="14"/>
        <v>#DIV/0!</v>
      </c>
      <c r="BW11" s="127" t="e">
        <f t="shared" si="15"/>
        <v>#DIV/0!</v>
      </c>
      <c r="BX11" s="127" t="e">
        <f t="shared" si="16"/>
        <v>#DIV/0!</v>
      </c>
      <c r="BY11" s="127" t="e">
        <f t="shared" si="17"/>
        <v>#DIV/0!</v>
      </c>
      <c r="BZ11" s="127" t="e">
        <f t="shared" si="28"/>
        <v>#DIV/0!</v>
      </c>
      <c r="CA11" s="128" t="e">
        <f t="shared" si="29"/>
        <v>#DIV/0!</v>
      </c>
      <c r="CB11" s="114"/>
      <c r="CC11" s="129" t="str">
        <f t="shared" si="18"/>
        <v>-</v>
      </c>
      <c r="CD11" s="130" t="str">
        <f t="shared" si="19"/>
        <v>-</v>
      </c>
      <c r="CE11" s="130" t="str">
        <f t="shared" si="20"/>
        <v>-</v>
      </c>
      <c r="CF11" s="130" t="str">
        <f t="shared" si="21"/>
        <v>-</v>
      </c>
      <c r="CG11" s="131" t="str">
        <f t="shared" si="22"/>
        <v>-</v>
      </c>
      <c r="CH11" s="114"/>
    </row>
    <row r="12" spans="1:86" s="115" customFormat="1" ht="12.4" customHeight="1" thickBot="1" x14ac:dyDescent="0.25">
      <c r="A12" s="96">
        <f t="shared" si="30"/>
        <v>46304</v>
      </c>
      <c r="B12" s="97" t="str">
        <f>+TEXT(A12,"DDD")</f>
        <v>Fri</v>
      </c>
      <c r="C12" s="60">
        <f>+SUM(EL_DEL_CD2_PTP_!C12,EL_DEL_CD2_PTP_L_!C12)</f>
        <v>0</v>
      </c>
      <c r="D12" s="60">
        <f>+SUM(EL_DEL_CD2_PTP_!D12,EL_DEL_CD2_PTP_L_!D12)</f>
        <v>0</v>
      </c>
      <c r="E12" s="60">
        <f>+SUM(EL_DEL_CD2_PTP_!E12,EL_DEL_CD2_PTP_L_!E12)</f>
        <v>0</v>
      </c>
      <c r="F12" s="60">
        <f>+SUM(EL_DEL_CD2_PTP_!F12,EL_DEL_CD2_PTP_L_!F12)</f>
        <v>0</v>
      </c>
      <c r="G12" s="60">
        <f>+SUM(EL_DEL_CD2_PTP_!G12,EL_DEL_CD2_PTP_L_!G12)</f>
        <v>0</v>
      </c>
      <c r="H12" s="60">
        <f>+SUM(EL_DEL_CD2_PTP_!H12,EL_DEL_CD2_PTP_L_!H12)</f>
        <v>0</v>
      </c>
      <c r="I12" s="60">
        <f>+SUM(EL_DEL_CD2_PTP_!I12,EL_DEL_CD2_PTP_L_!I12)</f>
        <v>0</v>
      </c>
      <c r="J12" s="60">
        <f>+SUM(EL_DEL_CD2_PTP_!J12,EL_DEL_CD2_PTP_L_!J12)</f>
        <v>0</v>
      </c>
      <c r="K12" s="60">
        <f>+SUM(EL_DEL_CD2_PTP_!K12,EL_DEL_CD2_PTP_L_!K12)</f>
        <v>0</v>
      </c>
      <c r="L12" s="60">
        <f>+SUM(EL_DEL_CD2_PTP_!L12,EL_DEL_CD2_PTP_L_!L12)</f>
        <v>0</v>
      </c>
      <c r="M12" s="60">
        <f>+SUM(EL_DEL_CD2_PTP_!M12,EL_DEL_CD2_PTP_L_!M12)</f>
        <v>0</v>
      </c>
      <c r="N12" s="60">
        <f>+SUM(EL_DEL_CD2_PTP_!N12,EL_DEL_CD2_PTP_L_!N12)</f>
        <v>0</v>
      </c>
      <c r="O12" s="60">
        <f>+SUM(EL_DEL_CD2_PTP_!O12,EL_DEL_CD2_PTP_L_!O12)</f>
        <v>0</v>
      </c>
      <c r="P12" s="60">
        <f>+SUM(EL_DEL_CD2_PTP_!P12,EL_DEL_CD2_PTP_L_!P12)</f>
        <v>0</v>
      </c>
      <c r="Q12" s="60">
        <f>+SUM(EL_DEL_CD2_PTP_!Q12,EL_DEL_CD2_PTP_L_!Q12)</f>
        <v>0</v>
      </c>
      <c r="R12" s="60">
        <f>+SUM(EL_DEL_CD2_PTP_!R12,EL_DEL_CD2_PTP_L_!R12)</f>
        <v>0</v>
      </c>
      <c r="S12" s="60">
        <f>+SUM(EL_DEL_CD2_PTP_!S12,EL_DEL_CD2_PTP_L_!S12)</f>
        <v>0</v>
      </c>
      <c r="T12" s="60">
        <f>+SUM(EL_DEL_CD2_PTP_!T12,EL_DEL_CD2_PTP_L_!T12)</f>
        <v>0</v>
      </c>
      <c r="U12" s="98">
        <f>+SUM(EL_DEL_CD2_PTP_!U12,EL_DEL_CD2_PTP_L_!U12)</f>
        <v>0</v>
      </c>
      <c r="V12" s="60">
        <f>+SUM(EL_DEL_CD2_PTP_!V12,EL_DEL_CD2_PTP_L_!V12)</f>
        <v>0</v>
      </c>
      <c r="W12" s="60">
        <f>+SUM(EL_DEL_CD2_PTP_!W12,EL_DEL_CD2_PTP_L_!W12)</f>
        <v>0</v>
      </c>
      <c r="X12" s="60">
        <f>+SUM(EL_DEL_CD2_PTP_!X12,EL_DEL_CD2_PTP_L_!X12)</f>
        <v>0</v>
      </c>
      <c r="Y12" s="60">
        <f>+SUM(EL_DEL_CD2_PTP_!Y12,EL_DEL_CD2_PTP_L_!Y12)</f>
        <v>0</v>
      </c>
      <c r="Z12" s="60">
        <f>+SUM(EL_DEL_CD2_PTP_!Z12,EL_DEL_CD2_PTP_L_!Z12)</f>
        <v>0</v>
      </c>
      <c r="AA12" s="60">
        <f>+SUM(EL_DEL_CD2_PTP_!AA12,EL_DEL_CD2_PTP_L_!AA12)</f>
        <v>0</v>
      </c>
      <c r="AB12" s="60">
        <f>+SUM(EL_DEL_CD2_PTP_!AB12,EL_DEL_CD2_PTP_L_!AB12)</f>
        <v>0</v>
      </c>
      <c r="AC12" s="60">
        <f>+SUM(EL_DEL_CD2_PTP_!AC12,EL_DEL_CD2_PTP_L_!AC12)</f>
        <v>0</v>
      </c>
      <c r="AD12" s="60">
        <f>+SUM(EL_DEL_CD2_PTP_!AD12,EL_DEL_CD2_PTP_L_!AD12)</f>
        <v>0</v>
      </c>
      <c r="AE12" s="60">
        <f>+SUM(EL_DEL_CD2_PTP_!AE12,EL_DEL_CD2_PTP_L_!AE12)</f>
        <v>0</v>
      </c>
      <c r="AF12" s="60">
        <f>+SUM(EL_DEL_CD2_PTP_!AF12,EL_DEL_CD2_PTP_L_!AF12)</f>
        <v>0</v>
      </c>
      <c r="AG12" s="60">
        <f>+SUM(EL_DEL_CD2_PTP_!AG12,EL_DEL_CD2_PTP_L_!AG12)</f>
        <v>0</v>
      </c>
      <c r="AH12" s="60">
        <f>+SUM(EL_DEL_CD2_PTP_!AH12,EL_DEL_CD2_PTP_L_!AH12)</f>
        <v>0</v>
      </c>
      <c r="AI12" s="60">
        <f>+SUM(EL_DEL_CD2_PTP_!AI12,EL_DEL_CD2_PTP_L_!AI12)</f>
        <v>0</v>
      </c>
      <c r="AJ12" s="60">
        <f>+SUM(EL_DEL_CD2_PTP_!AJ12,EL_DEL_CD2_PTP_L_!AJ12)</f>
        <v>0</v>
      </c>
      <c r="AK12" s="60">
        <f>+SUM(EL_DEL_CD2_PTP_!AK12,EL_DEL_CD2_PTP_L_!AK12)</f>
        <v>0</v>
      </c>
      <c r="AL12" s="99" t="str">
        <f>+IFERROR(AVERAGE(EL_DEL_CD2_PTP_!AL12,EL_DEL_CD2_PTP_L_!AL12),"0")</f>
        <v>0</v>
      </c>
      <c r="AM12" s="99" t="str">
        <f>+IFERROR(AVERAGE(EL_DEL_CD2_PTP_!AM12,EL_DEL_CD2_PTP_L_!AM12),"0")</f>
        <v>0</v>
      </c>
      <c r="AN12" s="99" t="str">
        <f>+IFERROR(AVERAGE(EL_DEL_CD2_PTP_!AN12,EL_DEL_CD2_PTP_L_!AN12),"0")</f>
        <v>0</v>
      </c>
      <c r="AO12" s="99" t="str">
        <f>+IFERROR(AVERAGE(EL_DEL_CD2_PTP_!AO12,EL_DEL_CD2_PTP_L_!AO12),"0")</f>
        <v>0</v>
      </c>
      <c r="AP12" s="99" t="str">
        <f>+IFERROR(AVERAGE(EL_DEL_CD2_PTP_!AP12,EL_DEL_CD2_PTP_L_!AP12),"0")</f>
        <v>0</v>
      </c>
      <c r="AQ12" s="99" t="str">
        <f>+IFERROR(AVERAGE(EL_DEL_CD2_PTP_!AQ12,EL_DEL_CD2_PTP_L_!AQ12),"0")</f>
        <v>0</v>
      </c>
      <c r="AR12" s="99" t="str">
        <f>+IFERROR(AVERAGE(EL_DEL_CD2_PTP_!AR12,EL_DEL_CD2_PTP_L_!AR12),"0")</f>
        <v>0</v>
      </c>
      <c r="AS12" s="99" t="str">
        <f>+IFERROR(AVERAGE(EL_DEL_CD2_PTP_!AS12,EL_DEL_CD2_PTP_L_!AS12),"0")</f>
        <v>0</v>
      </c>
      <c r="AT12" s="100">
        <f>+SUM(EL_DEL_CD2_PTP_!AT12,EL_DEL_CD2_PTP_L_!AT12)</f>
        <v>0</v>
      </c>
      <c r="AU12" s="100">
        <f>+SUM(EL_DEL_CD2_PTP_!AU12,EL_DEL_CD2_PTP_L_!AU12)</f>
        <v>0</v>
      </c>
      <c r="AV12" s="101">
        <f>+SUM(EL_DEL_CD2_PTP_!AV12,EL_DEL_CD2_PTP_L_!AV12)</f>
        <v>0</v>
      </c>
      <c r="AW12" s="60">
        <f>+SUM(EL_DEL_CD2_PTP_!AW12,EL_DEL_CD2_PTP_L_!AW12)</f>
        <v>0</v>
      </c>
      <c r="AX12" s="102" t="str">
        <f t="shared" si="23"/>
        <v>-</v>
      </c>
      <c r="AY12" s="114"/>
      <c r="AZ12" s="116" t="str">
        <f t="shared" si="1"/>
        <v/>
      </c>
      <c r="BA12" s="117" t="str">
        <f t="shared" si="2"/>
        <v/>
      </c>
      <c r="BB12" s="116" t="str">
        <f t="shared" si="3"/>
        <v/>
      </c>
      <c r="BC12" s="114"/>
      <c r="BD12" s="118" t="str">
        <f t="shared" si="4"/>
        <v/>
      </c>
      <c r="BE12" s="119" t="str">
        <f t="shared" si="5"/>
        <v/>
      </c>
      <c r="BF12" s="119" t="str">
        <f t="shared" si="6"/>
        <v/>
      </c>
      <c r="BG12" s="119" t="str">
        <f t="shared" si="24"/>
        <v/>
      </c>
      <c r="BH12" s="119" t="str">
        <f t="shared" si="7"/>
        <v/>
      </c>
      <c r="BI12" s="120" t="str">
        <f t="shared" si="25"/>
        <v/>
      </c>
      <c r="BJ12" s="114"/>
      <c r="BK12" s="121" t="str">
        <f t="shared" si="8"/>
        <v/>
      </c>
      <c r="BL12" s="122" t="str">
        <f t="shared" si="9"/>
        <v/>
      </c>
      <c r="BM12" s="122" t="str">
        <f t="shared" si="10"/>
        <v/>
      </c>
      <c r="BN12" s="123" t="str">
        <f t="shared" si="11"/>
        <v/>
      </c>
      <c r="BO12" s="114"/>
      <c r="BP12" s="124" t="str">
        <f t="shared" si="12"/>
        <v/>
      </c>
      <c r="BQ12" s="125">
        <v>0</v>
      </c>
      <c r="BR12" s="125" t="str">
        <f t="shared" si="26"/>
        <v/>
      </c>
      <c r="BS12" s="125" t="str">
        <f t="shared" si="27"/>
        <v/>
      </c>
      <c r="BT12" s="126" t="str">
        <f t="shared" si="13"/>
        <v/>
      </c>
      <c r="BU12" s="114"/>
      <c r="BV12" s="132" t="e">
        <f t="shared" si="14"/>
        <v>#DIV/0!</v>
      </c>
      <c r="BW12" s="127" t="e">
        <f t="shared" si="15"/>
        <v>#DIV/0!</v>
      </c>
      <c r="BX12" s="127" t="e">
        <f t="shared" si="16"/>
        <v>#DIV/0!</v>
      </c>
      <c r="BY12" s="127" t="e">
        <f t="shared" si="17"/>
        <v>#DIV/0!</v>
      </c>
      <c r="BZ12" s="127" t="e">
        <f t="shared" si="28"/>
        <v>#DIV/0!</v>
      </c>
      <c r="CA12" s="128" t="e">
        <f t="shared" si="29"/>
        <v>#DIV/0!</v>
      </c>
      <c r="CB12" s="114"/>
      <c r="CC12" s="129" t="str">
        <f t="shared" si="18"/>
        <v>-</v>
      </c>
      <c r="CD12" s="130" t="str">
        <f t="shared" si="19"/>
        <v>-</v>
      </c>
      <c r="CE12" s="130" t="str">
        <f t="shared" si="20"/>
        <v>-</v>
      </c>
      <c r="CF12" s="130" t="str">
        <f t="shared" si="21"/>
        <v>-</v>
      </c>
      <c r="CG12" s="131" t="str">
        <f t="shared" si="22"/>
        <v>-</v>
      </c>
      <c r="CH12" s="114"/>
    </row>
    <row r="13" spans="1:86" s="115" customFormat="1" ht="12.4" customHeight="1" thickBot="1" x14ac:dyDescent="0.25">
      <c r="A13" s="96">
        <f t="shared" si="30"/>
        <v>46305</v>
      </c>
      <c r="B13" s="97" t="str">
        <f>+TEXT(A13,"DDD")</f>
        <v>Sat</v>
      </c>
      <c r="C13" s="60">
        <f>+SUM(EL_DEL_CD2_PTP_!C13,EL_DEL_CD2_PTP_L_!C13)</f>
        <v>0</v>
      </c>
      <c r="D13" s="60">
        <f>+SUM(EL_DEL_CD2_PTP_!D13,EL_DEL_CD2_PTP_L_!D13)</f>
        <v>0</v>
      </c>
      <c r="E13" s="60">
        <f>+SUM(EL_DEL_CD2_PTP_!E13,EL_DEL_CD2_PTP_L_!E13)</f>
        <v>0</v>
      </c>
      <c r="F13" s="60">
        <f>+SUM(EL_DEL_CD2_PTP_!F13,EL_DEL_CD2_PTP_L_!F13)</f>
        <v>0</v>
      </c>
      <c r="G13" s="60">
        <f>+SUM(EL_DEL_CD2_PTP_!G13,EL_DEL_CD2_PTP_L_!G13)</f>
        <v>0</v>
      </c>
      <c r="H13" s="60">
        <f>+SUM(EL_DEL_CD2_PTP_!H13,EL_DEL_CD2_PTP_L_!H13)</f>
        <v>0</v>
      </c>
      <c r="I13" s="60">
        <f>+SUM(EL_DEL_CD2_PTP_!I13,EL_DEL_CD2_PTP_L_!I13)</f>
        <v>0</v>
      </c>
      <c r="J13" s="60">
        <f>+SUM(EL_DEL_CD2_PTP_!J13,EL_DEL_CD2_PTP_L_!J13)</f>
        <v>0</v>
      </c>
      <c r="K13" s="60">
        <f>+SUM(EL_DEL_CD2_PTP_!K13,EL_DEL_CD2_PTP_L_!K13)</f>
        <v>0</v>
      </c>
      <c r="L13" s="60">
        <f>+SUM(EL_DEL_CD2_PTP_!L13,EL_DEL_CD2_PTP_L_!L13)</f>
        <v>0</v>
      </c>
      <c r="M13" s="60">
        <f>+SUM(EL_DEL_CD2_PTP_!M13,EL_DEL_CD2_PTP_L_!M13)</f>
        <v>0</v>
      </c>
      <c r="N13" s="60">
        <f>+SUM(EL_DEL_CD2_PTP_!N13,EL_DEL_CD2_PTP_L_!N13)</f>
        <v>0</v>
      </c>
      <c r="O13" s="60">
        <f>+SUM(EL_DEL_CD2_PTP_!O13,EL_DEL_CD2_PTP_L_!O13)</f>
        <v>0</v>
      </c>
      <c r="P13" s="60">
        <f>+SUM(EL_DEL_CD2_PTP_!P13,EL_DEL_CD2_PTP_L_!P13)</f>
        <v>0</v>
      </c>
      <c r="Q13" s="60">
        <f>+SUM(EL_DEL_CD2_PTP_!Q13,EL_DEL_CD2_PTP_L_!Q13)</f>
        <v>0</v>
      </c>
      <c r="R13" s="60">
        <f>+SUM(EL_DEL_CD2_PTP_!R13,EL_DEL_CD2_PTP_L_!R13)</f>
        <v>0</v>
      </c>
      <c r="S13" s="60">
        <f>+SUM(EL_DEL_CD2_PTP_!S13,EL_DEL_CD2_PTP_L_!S13)</f>
        <v>0</v>
      </c>
      <c r="T13" s="60">
        <f>+SUM(EL_DEL_CD2_PTP_!T13,EL_DEL_CD2_PTP_L_!T13)</f>
        <v>0</v>
      </c>
      <c r="U13" s="98">
        <f>+SUM(EL_DEL_CD2_PTP_!U13,EL_DEL_CD2_PTP_L_!U13)</f>
        <v>0</v>
      </c>
      <c r="V13" s="60">
        <f>+SUM(EL_DEL_CD2_PTP_!V13,EL_DEL_CD2_PTP_L_!V13)</f>
        <v>0</v>
      </c>
      <c r="W13" s="60">
        <f>+SUM(EL_DEL_CD2_PTP_!W13,EL_DEL_CD2_PTP_L_!W13)</f>
        <v>0</v>
      </c>
      <c r="X13" s="60">
        <f>+SUM(EL_DEL_CD2_PTP_!X13,EL_DEL_CD2_PTP_L_!X13)</f>
        <v>0</v>
      </c>
      <c r="Y13" s="60">
        <f>+SUM(EL_DEL_CD2_PTP_!Y13,EL_DEL_CD2_PTP_L_!Y13)</f>
        <v>0</v>
      </c>
      <c r="Z13" s="60">
        <f>+SUM(EL_DEL_CD2_PTP_!Z13,EL_DEL_CD2_PTP_L_!Z13)</f>
        <v>0</v>
      </c>
      <c r="AA13" s="60">
        <f>+SUM(EL_DEL_CD2_PTP_!AA13,EL_DEL_CD2_PTP_L_!AA13)</f>
        <v>0</v>
      </c>
      <c r="AB13" s="60">
        <f>+SUM(EL_DEL_CD2_PTP_!AB13,EL_DEL_CD2_PTP_L_!AB13)</f>
        <v>0</v>
      </c>
      <c r="AC13" s="60">
        <f>+SUM(EL_DEL_CD2_PTP_!AC13,EL_DEL_CD2_PTP_L_!AC13)</f>
        <v>0</v>
      </c>
      <c r="AD13" s="60">
        <f>+SUM(EL_DEL_CD2_PTP_!AD13,EL_DEL_CD2_PTP_L_!AD13)</f>
        <v>0</v>
      </c>
      <c r="AE13" s="60">
        <f>+SUM(EL_DEL_CD2_PTP_!AE13,EL_DEL_CD2_PTP_L_!AE13)</f>
        <v>0</v>
      </c>
      <c r="AF13" s="60">
        <f>+SUM(EL_DEL_CD2_PTP_!AF13,EL_DEL_CD2_PTP_L_!AF13)</f>
        <v>0</v>
      </c>
      <c r="AG13" s="60">
        <f>+SUM(EL_DEL_CD2_PTP_!AG13,EL_DEL_CD2_PTP_L_!AG13)</f>
        <v>0</v>
      </c>
      <c r="AH13" s="60">
        <f>+SUM(EL_DEL_CD2_PTP_!AH13,EL_DEL_CD2_PTP_L_!AH13)</f>
        <v>0</v>
      </c>
      <c r="AI13" s="60">
        <f>+SUM(EL_DEL_CD2_PTP_!AI13,EL_DEL_CD2_PTP_L_!AI13)</f>
        <v>0</v>
      </c>
      <c r="AJ13" s="60">
        <f>+SUM(EL_DEL_CD2_PTP_!AJ13,EL_DEL_CD2_PTP_L_!AJ13)</f>
        <v>0</v>
      </c>
      <c r="AK13" s="60">
        <f>+SUM(EL_DEL_CD2_PTP_!AK13,EL_DEL_CD2_PTP_L_!AK13)</f>
        <v>0</v>
      </c>
      <c r="AL13" s="99" t="str">
        <f>+IFERROR(AVERAGE(EL_DEL_CD2_PTP_!AL13,EL_DEL_CD2_PTP_L_!AL13),"0")</f>
        <v>0</v>
      </c>
      <c r="AM13" s="99" t="str">
        <f>+IFERROR(AVERAGE(EL_DEL_CD2_PTP_!AM13,EL_DEL_CD2_PTP_L_!AM13),"0")</f>
        <v>0</v>
      </c>
      <c r="AN13" s="99" t="str">
        <f>+IFERROR(AVERAGE(EL_DEL_CD2_PTP_!AN13,EL_DEL_CD2_PTP_L_!AN13),"0")</f>
        <v>0</v>
      </c>
      <c r="AO13" s="99" t="str">
        <f>+IFERROR(AVERAGE(EL_DEL_CD2_PTP_!AO13,EL_DEL_CD2_PTP_L_!AO13),"0")</f>
        <v>0</v>
      </c>
      <c r="AP13" s="99" t="str">
        <f>+IFERROR(AVERAGE(EL_DEL_CD2_PTP_!AP13,EL_DEL_CD2_PTP_L_!AP13),"0")</f>
        <v>0</v>
      </c>
      <c r="AQ13" s="99" t="str">
        <f>+IFERROR(AVERAGE(EL_DEL_CD2_PTP_!AQ13,EL_DEL_CD2_PTP_L_!AQ13),"0")</f>
        <v>0</v>
      </c>
      <c r="AR13" s="99" t="str">
        <f>+IFERROR(AVERAGE(EL_DEL_CD2_PTP_!AR13,EL_DEL_CD2_PTP_L_!AR13),"0")</f>
        <v>0</v>
      </c>
      <c r="AS13" s="99" t="str">
        <f>+IFERROR(AVERAGE(EL_DEL_CD2_PTP_!AS13,EL_DEL_CD2_PTP_L_!AS13),"0")</f>
        <v>0</v>
      </c>
      <c r="AT13" s="100">
        <f>+SUM(EL_DEL_CD2_PTP_!AT13,EL_DEL_CD2_PTP_L_!AT13)</f>
        <v>0</v>
      </c>
      <c r="AU13" s="100">
        <f>+SUM(EL_DEL_CD2_PTP_!AU13,EL_DEL_CD2_PTP_L_!AU13)</f>
        <v>0</v>
      </c>
      <c r="AV13" s="101">
        <f>+SUM(EL_DEL_CD2_PTP_!AV13,EL_DEL_CD2_PTP_L_!AV13)</f>
        <v>0</v>
      </c>
      <c r="AW13" s="60">
        <f>+SUM(EL_DEL_CD2_PTP_!AW13,EL_DEL_CD2_PTP_L_!AW13)</f>
        <v>0</v>
      </c>
      <c r="AX13" s="102" t="str">
        <f t="shared" si="23"/>
        <v>-</v>
      </c>
      <c r="AY13" s="114"/>
      <c r="AZ13" s="116" t="str">
        <f t="shared" si="1"/>
        <v/>
      </c>
      <c r="BA13" s="117" t="str">
        <f t="shared" si="2"/>
        <v/>
      </c>
      <c r="BB13" s="116" t="str">
        <f t="shared" si="3"/>
        <v/>
      </c>
      <c r="BC13" s="114"/>
      <c r="BD13" s="118" t="str">
        <f t="shared" si="4"/>
        <v/>
      </c>
      <c r="BE13" s="119" t="str">
        <f t="shared" si="5"/>
        <v/>
      </c>
      <c r="BF13" s="119" t="str">
        <f t="shared" si="6"/>
        <v/>
      </c>
      <c r="BG13" s="119" t="str">
        <f t="shared" si="24"/>
        <v/>
      </c>
      <c r="BH13" s="119" t="str">
        <f t="shared" si="7"/>
        <v/>
      </c>
      <c r="BI13" s="120" t="str">
        <f t="shared" si="25"/>
        <v/>
      </c>
      <c r="BJ13" s="114"/>
      <c r="BK13" s="121" t="str">
        <f t="shared" si="8"/>
        <v/>
      </c>
      <c r="BL13" s="122" t="str">
        <f t="shared" si="9"/>
        <v/>
      </c>
      <c r="BM13" s="122" t="str">
        <f t="shared" si="10"/>
        <v/>
      </c>
      <c r="BN13" s="123" t="str">
        <f t="shared" si="11"/>
        <v/>
      </c>
      <c r="BO13" s="114"/>
      <c r="BP13" s="124" t="str">
        <f t="shared" si="12"/>
        <v/>
      </c>
      <c r="BQ13" s="125">
        <v>0</v>
      </c>
      <c r="BR13" s="125" t="str">
        <f t="shared" si="26"/>
        <v/>
      </c>
      <c r="BS13" s="125" t="str">
        <f t="shared" si="27"/>
        <v/>
      </c>
      <c r="BT13" s="126" t="str">
        <f t="shared" si="13"/>
        <v/>
      </c>
      <c r="BU13" s="114"/>
      <c r="BV13" s="132" t="e">
        <f t="shared" si="14"/>
        <v>#DIV/0!</v>
      </c>
      <c r="BW13" s="127" t="e">
        <f t="shared" si="15"/>
        <v>#DIV/0!</v>
      </c>
      <c r="BX13" s="127" t="e">
        <f t="shared" si="16"/>
        <v>#DIV/0!</v>
      </c>
      <c r="BY13" s="127" t="e">
        <f t="shared" si="17"/>
        <v>#DIV/0!</v>
      </c>
      <c r="BZ13" s="127" t="e">
        <f t="shared" si="28"/>
        <v>#DIV/0!</v>
      </c>
      <c r="CA13" s="128" t="e">
        <f t="shared" si="29"/>
        <v>#DIV/0!</v>
      </c>
      <c r="CB13" s="114"/>
      <c r="CC13" s="129" t="str">
        <f t="shared" si="18"/>
        <v>-</v>
      </c>
      <c r="CD13" s="130" t="str">
        <f t="shared" si="19"/>
        <v>-</v>
      </c>
      <c r="CE13" s="130" t="str">
        <f t="shared" si="20"/>
        <v>-</v>
      </c>
      <c r="CF13" s="130" t="str">
        <f t="shared" si="21"/>
        <v>-</v>
      </c>
      <c r="CG13" s="131" t="str">
        <f t="shared" si="22"/>
        <v>-</v>
      </c>
      <c r="CH13" s="114"/>
    </row>
    <row r="14" spans="1:86" s="115" customFormat="1" ht="12.4" customHeight="1" thickBot="1" x14ac:dyDescent="0.25">
      <c r="A14" s="96">
        <f t="shared" si="30"/>
        <v>46306</v>
      </c>
      <c r="B14" s="97" t="str">
        <f t="shared" si="0"/>
        <v>Sun</v>
      </c>
      <c r="C14" s="60">
        <f>+SUM(EL_DEL_CD2_PTP_!C14,EL_DEL_CD2_PTP_L_!C14)</f>
        <v>0</v>
      </c>
      <c r="D14" s="60">
        <f>+SUM(EL_DEL_CD2_PTP_!D14,EL_DEL_CD2_PTP_L_!D14)</f>
        <v>0</v>
      </c>
      <c r="E14" s="60">
        <f>+SUM(EL_DEL_CD2_PTP_!E14,EL_DEL_CD2_PTP_L_!E14)</f>
        <v>0</v>
      </c>
      <c r="F14" s="60">
        <f>+SUM(EL_DEL_CD2_PTP_!F14,EL_DEL_CD2_PTP_L_!F14)</f>
        <v>0</v>
      </c>
      <c r="G14" s="60">
        <f>+SUM(EL_DEL_CD2_PTP_!G14,EL_DEL_CD2_PTP_L_!G14)</f>
        <v>0</v>
      </c>
      <c r="H14" s="60">
        <f>+SUM(EL_DEL_CD2_PTP_!H14,EL_DEL_CD2_PTP_L_!H14)</f>
        <v>0</v>
      </c>
      <c r="I14" s="60">
        <f>+SUM(EL_DEL_CD2_PTP_!I14,EL_DEL_CD2_PTP_L_!I14)</f>
        <v>0</v>
      </c>
      <c r="J14" s="60">
        <f>+SUM(EL_DEL_CD2_PTP_!J14,EL_DEL_CD2_PTP_L_!J14)</f>
        <v>0</v>
      </c>
      <c r="K14" s="60">
        <f>+SUM(EL_DEL_CD2_PTP_!K14,EL_DEL_CD2_PTP_L_!K14)</f>
        <v>0</v>
      </c>
      <c r="L14" s="60">
        <f>+SUM(EL_DEL_CD2_PTP_!L14,EL_DEL_CD2_PTP_L_!L14)</f>
        <v>0</v>
      </c>
      <c r="M14" s="60">
        <f>+SUM(EL_DEL_CD2_PTP_!M14,EL_DEL_CD2_PTP_L_!M14)</f>
        <v>0</v>
      </c>
      <c r="N14" s="60">
        <f>+SUM(EL_DEL_CD2_PTP_!N14,EL_DEL_CD2_PTP_L_!N14)</f>
        <v>0</v>
      </c>
      <c r="O14" s="60">
        <f>+SUM(EL_DEL_CD2_PTP_!O14,EL_DEL_CD2_PTP_L_!O14)</f>
        <v>0</v>
      </c>
      <c r="P14" s="60">
        <f>+SUM(EL_DEL_CD2_PTP_!P14,EL_DEL_CD2_PTP_L_!P14)</f>
        <v>0</v>
      </c>
      <c r="Q14" s="60">
        <f>+SUM(EL_DEL_CD2_PTP_!Q14,EL_DEL_CD2_PTP_L_!Q14)</f>
        <v>0</v>
      </c>
      <c r="R14" s="60">
        <f>+SUM(EL_DEL_CD2_PTP_!R14,EL_DEL_CD2_PTP_L_!R14)</f>
        <v>0</v>
      </c>
      <c r="S14" s="60">
        <f>+SUM(EL_DEL_CD2_PTP_!S14,EL_DEL_CD2_PTP_L_!S14)</f>
        <v>0</v>
      </c>
      <c r="T14" s="60">
        <f>+SUM(EL_DEL_CD2_PTP_!T14,EL_DEL_CD2_PTP_L_!T14)</f>
        <v>0</v>
      </c>
      <c r="U14" s="98">
        <f>+SUM(EL_DEL_CD2_PTP_!U14,EL_DEL_CD2_PTP_L_!U14)</f>
        <v>0</v>
      </c>
      <c r="V14" s="60">
        <f>+SUM(EL_DEL_CD2_PTP_!V14,EL_DEL_CD2_PTP_L_!V14)</f>
        <v>0</v>
      </c>
      <c r="W14" s="60">
        <f>+SUM(EL_DEL_CD2_PTP_!W14,EL_DEL_CD2_PTP_L_!W14)</f>
        <v>0</v>
      </c>
      <c r="X14" s="60">
        <f>+SUM(EL_DEL_CD2_PTP_!X14,EL_DEL_CD2_PTP_L_!X14)</f>
        <v>0</v>
      </c>
      <c r="Y14" s="60">
        <f>+SUM(EL_DEL_CD2_PTP_!Y14,EL_DEL_CD2_PTP_L_!Y14)</f>
        <v>0</v>
      </c>
      <c r="Z14" s="60">
        <f>+SUM(EL_DEL_CD2_PTP_!Z14,EL_DEL_CD2_PTP_L_!Z14)</f>
        <v>0</v>
      </c>
      <c r="AA14" s="60">
        <f>+SUM(EL_DEL_CD2_PTP_!AA14,EL_DEL_CD2_PTP_L_!AA14)</f>
        <v>0</v>
      </c>
      <c r="AB14" s="60">
        <f>+SUM(EL_DEL_CD2_PTP_!AB14,EL_DEL_CD2_PTP_L_!AB14)</f>
        <v>0</v>
      </c>
      <c r="AC14" s="60">
        <f>+SUM(EL_DEL_CD2_PTP_!AC14,EL_DEL_CD2_PTP_L_!AC14)</f>
        <v>0</v>
      </c>
      <c r="AD14" s="60">
        <f>+SUM(EL_DEL_CD2_PTP_!AD14,EL_DEL_CD2_PTP_L_!AD14)</f>
        <v>0</v>
      </c>
      <c r="AE14" s="60">
        <f>+SUM(EL_DEL_CD2_PTP_!AE14,EL_DEL_CD2_PTP_L_!AE14)</f>
        <v>0</v>
      </c>
      <c r="AF14" s="60">
        <f>+SUM(EL_DEL_CD2_PTP_!AF14,EL_DEL_CD2_PTP_L_!AF14)</f>
        <v>0</v>
      </c>
      <c r="AG14" s="60">
        <f>+SUM(EL_DEL_CD2_PTP_!AG14,EL_DEL_CD2_PTP_L_!AG14)</f>
        <v>0</v>
      </c>
      <c r="AH14" s="60">
        <f>+SUM(EL_DEL_CD2_PTP_!AH14,EL_DEL_CD2_PTP_L_!AH14)</f>
        <v>0</v>
      </c>
      <c r="AI14" s="60">
        <f>+SUM(EL_DEL_CD2_PTP_!AI14,EL_DEL_CD2_PTP_L_!AI14)</f>
        <v>0</v>
      </c>
      <c r="AJ14" s="60">
        <f>+SUM(EL_DEL_CD2_PTP_!AJ14,EL_DEL_CD2_PTP_L_!AJ14)</f>
        <v>0</v>
      </c>
      <c r="AK14" s="60">
        <f>+SUM(EL_DEL_CD2_PTP_!AK14,EL_DEL_CD2_PTP_L_!AK14)</f>
        <v>0</v>
      </c>
      <c r="AL14" s="99" t="str">
        <f>+IFERROR(AVERAGE(EL_DEL_CD2_PTP_!AL14,EL_DEL_CD2_PTP_L_!AL14),"0")</f>
        <v>0</v>
      </c>
      <c r="AM14" s="99" t="str">
        <f>+IFERROR(AVERAGE(EL_DEL_CD2_PTP_!AM14,EL_DEL_CD2_PTP_L_!AM14),"0")</f>
        <v>0</v>
      </c>
      <c r="AN14" s="99" t="str">
        <f>+IFERROR(AVERAGE(EL_DEL_CD2_PTP_!AN14,EL_DEL_CD2_PTP_L_!AN14),"0")</f>
        <v>0</v>
      </c>
      <c r="AO14" s="99" t="str">
        <f>+IFERROR(AVERAGE(EL_DEL_CD2_PTP_!AO14,EL_DEL_CD2_PTP_L_!AO14),"0")</f>
        <v>0</v>
      </c>
      <c r="AP14" s="99" t="str">
        <f>+IFERROR(AVERAGE(EL_DEL_CD2_PTP_!AP14,EL_DEL_CD2_PTP_L_!AP14),"0")</f>
        <v>0</v>
      </c>
      <c r="AQ14" s="99" t="str">
        <f>+IFERROR(AVERAGE(EL_DEL_CD2_PTP_!AQ14,EL_DEL_CD2_PTP_L_!AQ14),"0")</f>
        <v>0</v>
      </c>
      <c r="AR14" s="99" t="str">
        <f>+IFERROR(AVERAGE(EL_DEL_CD2_PTP_!AR14,EL_DEL_CD2_PTP_L_!AR14),"0")</f>
        <v>0</v>
      </c>
      <c r="AS14" s="99" t="str">
        <f>+IFERROR(AVERAGE(EL_DEL_CD2_PTP_!AS14,EL_DEL_CD2_PTP_L_!AS14),"0")</f>
        <v>0</v>
      </c>
      <c r="AT14" s="100">
        <f>+SUM(EL_DEL_CD2_PTP_!AT14,EL_DEL_CD2_PTP_L_!AT14)</f>
        <v>0</v>
      </c>
      <c r="AU14" s="100">
        <f>+SUM(EL_DEL_CD2_PTP_!AU14,EL_DEL_CD2_PTP_L_!AU14)</f>
        <v>0</v>
      </c>
      <c r="AV14" s="101">
        <f>+SUM(EL_DEL_CD2_PTP_!AV14,EL_DEL_CD2_PTP_L_!AV14)</f>
        <v>0</v>
      </c>
      <c r="AW14" s="60">
        <f>+SUM(EL_DEL_CD2_PTP_!AW14,EL_DEL_CD2_PTP_L_!AW14)</f>
        <v>0</v>
      </c>
      <c r="AX14" s="102" t="str">
        <f t="shared" si="23"/>
        <v>-</v>
      </c>
      <c r="AY14" s="114"/>
      <c r="AZ14" s="116" t="str">
        <f t="shared" si="1"/>
        <v/>
      </c>
      <c r="BA14" s="117" t="str">
        <f t="shared" si="2"/>
        <v/>
      </c>
      <c r="BB14" s="116" t="str">
        <f t="shared" si="3"/>
        <v/>
      </c>
      <c r="BC14" s="114"/>
      <c r="BD14" s="118" t="str">
        <f t="shared" si="4"/>
        <v/>
      </c>
      <c r="BE14" s="119" t="str">
        <f t="shared" si="5"/>
        <v/>
      </c>
      <c r="BF14" s="119" t="str">
        <f t="shared" si="6"/>
        <v/>
      </c>
      <c r="BG14" s="119" t="str">
        <f t="shared" si="24"/>
        <v/>
      </c>
      <c r="BH14" s="119" t="str">
        <f t="shared" si="7"/>
        <v/>
      </c>
      <c r="BI14" s="120" t="str">
        <f t="shared" si="25"/>
        <v/>
      </c>
      <c r="BJ14" s="114"/>
      <c r="BK14" s="121" t="str">
        <f t="shared" si="8"/>
        <v/>
      </c>
      <c r="BL14" s="122" t="str">
        <f t="shared" si="9"/>
        <v/>
      </c>
      <c r="BM14" s="122" t="str">
        <f t="shared" si="10"/>
        <v/>
      </c>
      <c r="BN14" s="123" t="str">
        <f t="shared" si="11"/>
        <v/>
      </c>
      <c r="BO14" s="114"/>
      <c r="BP14" s="124" t="str">
        <f t="shared" si="12"/>
        <v/>
      </c>
      <c r="BQ14" s="125">
        <v>0</v>
      </c>
      <c r="BR14" s="125" t="str">
        <f t="shared" si="26"/>
        <v/>
      </c>
      <c r="BS14" s="125" t="str">
        <f t="shared" si="27"/>
        <v/>
      </c>
      <c r="BT14" s="126" t="str">
        <f t="shared" si="13"/>
        <v/>
      </c>
      <c r="BU14" s="114"/>
      <c r="BV14" s="132" t="e">
        <f t="shared" si="14"/>
        <v>#DIV/0!</v>
      </c>
      <c r="BW14" s="127" t="e">
        <f t="shared" si="15"/>
        <v>#DIV/0!</v>
      </c>
      <c r="BX14" s="127" t="e">
        <f t="shared" si="16"/>
        <v>#DIV/0!</v>
      </c>
      <c r="BY14" s="127" t="e">
        <f t="shared" si="17"/>
        <v>#DIV/0!</v>
      </c>
      <c r="BZ14" s="127" t="e">
        <f t="shared" si="28"/>
        <v>#DIV/0!</v>
      </c>
      <c r="CA14" s="128" t="e">
        <f t="shared" si="29"/>
        <v>#DIV/0!</v>
      </c>
      <c r="CB14" s="114"/>
      <c r="CC14" s="129" t="str">
        <f t="shared" si="18"/>
        <v>-</v>
      </c>
      <c r="CD14" s="130" t="str">
        <f t="shared" si="19"/>
        <v>-</v>
      </c>
      <c r="CE14" s="130" t="str">
        <f t="shared" si="20"/>
        <v>-</v>
      </c>
      <c r="CF14" s="130" t="str">
        <f t="shared" si="21"/>
        <v>-</v>
      </c>
      <c r="CG14" s="131" t="str">
        <f t="shared" si="22"/>
        <v>-</v>
      </c>
      <c r="CH14" s="114"/>
    </row>
    <row r="15" spans="1:86" s="115" customFormat="1" ht="12.4" customHeight="1" thickBot="1" x14ac:dyDescent="0.25">
      <c r="A15" s="96">
        <f t="shared" si="30"/>
        <v>46307</v>
      </c>
      <c r="B15" s="97" t="str">
        <f t="shared" si="0"/>
        <v>Mon</v>
      </c>
      <c r="C15" s="60">
        <f>+SUM(EL_DEL_CD2_PTP_!C15,EL_DEL_CD2_PTP_L_!C15)</f>
        <v>0</v>
      </c>
      <c r="D15" s="60">
        <f>+SUM(EL_DEL_CD2_PTP_!D15,EL_DEL_CD2_PTP_L_!D15)</f>
        <v>0</v>
      </c>
      <c r="E15" s="60">
        <f>+SUM(EL_DEL_CD2_PTP_!E15,EL_DEL_CD2_PTP_L_!E15)</f>
        <v>0</v>
      </c>
      <c r="F15" s="60">
        <f>+SUM(EL_DEL_CD2_PTP_!F15,EL_DEL_CD2_PTP_L_!F15)</f>
        <v>0</v>
      </c>
      <c r="G15" s="60">
        <f>+SUM(EL_DEL_CD2_PTP_!G15,EL_DEL_CD2_PTP_L_!G15)</f>
        <v>0</v>
      </c>
      <c r="H15" s="60">
        <f>+SUM(EL_DEL_CD2_PTP_!H15,EL_DEL_CD2_PTP_L_!H15)</f>
        <v>0</v>
      </c>
      <c r="I15" s="60">
        <f>+SUM(EL_DEL_CD2_PTP_!I15,EL_DEL_CD2_PTP_L_!I15)</f>
        <v>0</v>
      </c>
      <c r="J15" s="60">
        <f>+SUM(EL_DEL_CD2_PTP_!J15,EL_DEL_CD2_PTP_L_!J15)</f>
        <v>0</v>
      </c>
      <c r="K15" s="60">
        <f>+SUM(EL_DEL_CD2_PTP_!K15,EL_DEL_CD2_PTP_L_!K15)</f>
        <v>0</v>
      </c>
      <c r="L15" s="60">
        <f>+SUM(EL_DEL_CD2_PTP_!L15,EL_DEL_CD2_PTP_L_!L15)</f>
        <v>0</v>
      </c>
      <c r="M15" s="60">
        <f>+SUM(EL_DEL_CD2_PTP_!M15,EL_DEL_CD2_PTP_L_!M15)</f>
        <v>0</v>
      </c>
      <c r="N15" s="60">
        <f>+SUM(EL_DEL_CD2_PTP_!N15,EL_DEL_CD2_PTP_L_!N15)</f>
        <v>0</v>
      </c>
      <c r="O15" s="60">
        <f>+SUM(EL_DEL_CD2_PTP_!O15,EL_DEL_CD2_PTP_L_!O15)</f>
        <v>0</v>
      </c>
      <c r="P15" s="60">
        <f>+SUM(EL_DEL_CD2_PTP_!P15,EL_DEL_CD2_PTP_L_!P15)</f>
        <v>0</v>
      </c>
      <c r="Q15" s="60">
        <f>+SUM(EL_DEL_CD2_PTP_!Q15,EL_DEL_CD2_PTP_L_!Q15)</f>
        <v>0</v>
      </c>
      <c r="R15" s="60">
        <f>+SUM(EL_DEL_CD2_PTP_!R15,EL_DEL_CD2_PTP_L_!R15)</f>
        <v>0</v>
      </c>
      <c r="S15" s="60">
        <f>+SUM(EL_DEL_CD2_PTP_!S15,EL_DEL_CD2_PTP_L_!S15)</f>
        <v>0</v>
      </c>
      <c r="T15" s="60">
        <f>+SUM(EL_DEL_CD2_PTP_!T15,EL_DEL_CD2_PTP_L_!T15)</f>
        <v>0</v>
      </c>
      <c r="U15" s="98">
        <f>+SUM(EL_DEL_CD2_PTP_!U15,EL_DEL_CD2_PTP_L_!U15)</f>
        <v>0</v>
      </c>
      <c r="V15" s="60">
        <f>+SUM(EL_DEL_CD2_PTP_!V15,EL_DEL_CD2_PTP_L_!V15)</f>
        <v>0</v>
      </c>
      <c r="W15" s="60">
        <f>+SUM(EL_DEL_CD2_PTP_!W15,EL_DEL_CD2_PTP_L_!W15)</f>
        <v>0</v>
      </c>
      <c r="X15" s="60">
        <f>+SUM(EL_DEL_CD2_PTP_!X15,EL_DEL_CD2_PTP_L_!X15)</f>
        <v>0</v>
      </c>
      <c r="Y15" s="60">
        <f>+SUM(EL_DEL_CD2_PTP_!Y15,EL_DEL_CD2_PTP_L_!Y15)</f>
        <v>0</v>
      </c>
      <c r="Z15" s="60">
        <f>+SUM(EL_DEL_CD2_PTP_!Z15,EL_DEL_CD2_PTP_L_!Z15)</f>
        <v>0</v>
      </c>
      <c r="AA15" s="60">
        <f>+SUM(EL_DEL_CD2_PTP_!AA15,EL_DEL_CD2_PTP_L_!AA15)</f>
        <v>0</v>
      </c>
      <c r="AB15" s="60">
        <f>+SUM(EL_DEL_CD2_PTP_!AB15,EL_DEL_CD2_PTP_L_!AB15)</f>
        <v>0</v>
      </c>
      <c r="AC15" s="60">
        <f>+SUM(EL_DEL_CD2_PTP_!AC15,EL_DEL_CD2_PTP_L_!AC15)</f>
        <v>0</v>
      </c>
      <c r="AD15" s="60">
        <f>+SUM(EL_DEL_CD2_PTP_!AD15,EL_DEL_CD2_PTP_L_!AD15)</f>
        <v>0</v>
      </c>
      <c r="AE15" s="60">
        <f>+SUM(EL_DEL_CD2_PTP_!AE15,EL_DEL_CD2_PTP_L_!AE15)</f>
        <v>0</v>
      </c>
      <c r="AF15" s="60">
        <f>+SUM(EL_DEL_CD2_PTP_!AF15,EL_DEL_CD2_PTP_L_!AF15)</f>
        <v>0</v>
      </c>
      <c r="AG15" s="60">
        <f>+SUM(EL_DEL_CD2_PTP_!AG15,EL_DEL_CD2_PTP_L_!AG15)</f>
        <v>0</v>
      </c>
      <c r="AH15" s="60">
        <f>+SUM(EL_DEL_CD2_PTP_!AH15,EL_DEL_CD2_PTP_L_!AH15)</f>
        <v>0</v>
      </c>
      <c r="AI15" s="60">
        <f>+SUM(EL_DEL_CD2_PTP_!AI15,EL_DEL_CD2_PTP_L_!AI15)</f>
        <v>0</v>
      </c>
      <c r="AJ15" s="60">
        <f>+SUM(EL_DEL_CD2_PTP_!AJ15,EL_DEL_CD2_PTP_L_!AJ15)</f>
        <v>0</v>
      </c>
      <c r="AK15" s="60">
        <f>+SUM(EL_DEL_CD2_PTP_!AK15,EL_DEL_CD2_PTP_L_!AK15)</f>
        <v>0</v>
      </c>
      <c r="AL15" s="99" t="str">
        <f>+IFERROR(AVERAGE(EL_DEL_CD2_PTP_!AL15,EL_DEL_CD2_PTP_L_!AL15),"0")</f>
        <v>0</v>
      </c>
      <c r="AM15" s="99" t="str">
        <f>+IFERROR(AVERAGE(EL_DEL_CD2_PTP_!AM15,EL_DEL_CD2_PTP_L_!AM15),"0")</f>
        <v>0</v>
      </c>
      <c r="AN15" s="99" t="str">
        <f>+IFERROR(AVERAGE(EL_DEL_CD2_PTP_!AN15,EL_DEL_CD2_PTP_L_!AN15),"0")</f>
        <v>0</v>
      </c>
      <c r="AO15" s="99" t="str">
        <f>+IFERROR(AVERAGE(EL_DEL_CD2_PTP_!AO15,EL_DEL_CD2_PTP_L_!AO15),"0")</f>
        <v>0</v>
      </c>
      <c r="AP15" s="99" t="str">
        <f>+IFERROR(AVERAGE(EL_DEL_CD2_PTP_!AP15,EL_DEL_CD2_PTP_L_!AP15),"0")</f>
        <v>0</v>
      </c>
      <c r="AQ15" s="99" t="str">
        <f>+IFERROR(AVERAGE(EL_DEL_CD2_PTP_!AQ15,EL_DEL_CD2_PTP_L_!AQ15),"0")</f>
        <v>0</v>
      </c>
      <c r="AR15" s="99" t="str">
        <f>+IFERROR(AVERAGE(EL_DEL_CD2_PTP_!AR15,EL_DEL_CD2_PTP_L_!AR15),"0")</f>
        <v>0</v>
      </c>
      <c r="AS15" s="99" t="str">
        <f>+IFERROR(AVERAGE(EL_DEL_CD2_PTP_!AS15,EL_DEL_CD2_PTP_L_!AS15),"0")</f>
        <v>0</v>
      </c>
      <c r="AT15" s="100">
        <f>+SUM(EL_DEL_CD2_PTP_!AT15,EL_DEL_CD2_PTP_L_!AT15)</f>
        <v>0</v>
      </c>
      <c r="AU15" s="100">
        <f>+SUM(EL_DEL_CD2_PTP_!AU15,EL_DEL_CD2_PTP_L_!AU15)</f>
        <v>0</v>
      </c>
      <c r="AV15" s="101">
        <f>+SUM(EL_DEL_CD2_PTP_!AV15,EL_DEL_CD2_PTP_L_!AV15)</f>
        <v>0</v>
      </c>
      <c r="AW15" s="60">
        <f>+SUM(EL_DEL_CD2_PTP_!AW15,EL_DEL_CD2_PTP_L_!AW15)</f>
        <v>0</v>
      </c>
      <c r="AX15" s="102" t="str">
        <f t="shared" si="23"/>
        <v>-</v>
      </c>
      <c r="AY15" s="114"/>
      <c r="AZ15" s="116" t="str">
        <f t="shared" si="1"/>
        <v/>
      </c>
      <c r="BA15" s="117" t="str">
        <f t="shared" si="2"/>
        <v/>
      </c>
      <c r="BB15" s="116" t="str">
        <f t="shared" si="3"/>
        <v/>
      </c>
      <c r="BC15" s="114"/>
      <c r="BD15" s="118" t="str">
        <f t="shared" si="4"/>
        <v/>
      </c>
      <c r="BE15" s="119" t="str">
        <f t="shared" si="5"/>
        <v/>
      </c>
      <c r="BF15" s="119" t="str">
        <f t="shared" si="6"/>
        <v/>
      </c>
      <c r="BG15" s="119" t="str">
        <f t="shared" si="24"/>
        <v/>
      </c>
      <c r="BH15" s="119" t="str">
        <f t="shared" si="7"/>
        <v/>
      </c>
      <c r="BI15" s="120" t="str">
        <f t="shared" si="25"/>
        <v/>
      </c>
      <c r="BJ15" s="114"/>
      <c r="BK15" s="121" t="str">
        <f t="shared" si="8"/>
        <v/>
      </c>
      <c r="BL15" s="122" t="str">
        <f t="shared" si="9"/>
        <v/>
      </c>
      <c r="BM15" s="122" t="str">
        <f t="shared" si="10"/>
        <v/>
      </c>
      <c r="BN15" s="123" t="str">
        <f t="shared" si="11"/>
        <v/>
      </c>
      <c r="BO15" s="114"/>
      <c r="BP15" s="124" t="str">
        <f t="shared" si="12"/>
        <v/>
      </c>
      <c r="BQ15" s="125">
        <v>0</v>
      </c>
      <c r="BR15" s="125" t="str">
        <f t="shared" si="26"/>
        <v/>
      </c>
      <c r="BS15" s="125" t="str">
        <f t="shared" si="27"/>
        <v/>
      </c>
      <c r="BT15" s="126" t="str">
        <f t="shared" si="13"/>
        <v/>
      </c>
      <c r="BU15" s="114"/>
      <c r="BV15" s="132" t="e">
        <f t="shared" si="14"/>
        <v>#DIV/0!</v>
      </c>
      <c r="BW15" s="127" t="e">
        <f t="shared" si="15"/>
        <v>#DIV/0!</v>
      </c>
      <c r="BX15" s="127" t="e">
        <f t="shared" si="16"/>
        <v>#DIV/0!</v>
      </c>
      <c r="BY15" s="127" t="e">
        <f t="shared" si="17"/>
        <v>#DIV/0!</v>
      </c>
      <c r="BZ15" s="127" t="e">
        <f t="shared" si="28"/>
        <v>#DIV/0!</v>
      </c>
      <c r="CA15" s="128" t="e">
        <f t="shared" si="29"/>
        <v>#DIV/0!</v>
      </c>
      <c r="CB15" s="114"/>
      <c r="CC15" s="129" t="str">
        <f t="shared" si="18"/>
        <v>-</v>
      </c>
      <c r="CD15" s="130" t="str">
        <f t="shared" si="19"/>
        <v>-</v>
      </c>
      <c r="CE15" s="130" t="str">
        <f t="shared" si="20"/>
        <v>-</v>
      </c>
      <c r="CF15" s="130" t="str">
        <f t="shared" si="21"/>
        <v>-</v>
      </c>
      <c r="CG15" s="131" t="str">
        <f t="shared" si="22"/>
        <v>-</v>
      </c>
      <c r="CH15" s="114"/>
    </row>
    <row r="16" spans="1:86" s="115" customFormat="1" ht="12.4" customHeight="1" thickBot="1" x14ac:dyDescent="0.25">
      <c r="A16" s="96">
        <f t="shared" si="30"/>
        <v>46308</v>
      </c>
      <c r="B16" s="97" t="str">
        <f t="shared" si="0"/>
        <v>Tue</v>
      </c>
      <c r="C16" s="60">
        <f>+SUM(EL_DEL_CD2_PTP_!C16,EL_DEL_CD2_PTP_L_!C16)</f>
        <v>0</v>
      </c>
      <c r="D16" s="60">
        <f>+SUM(EL_DEL_CD2_PTP_!D16,EL_DEL_CD2_PTP_L_!D16)</f>
        <v>0</v>
      </c>
      <c r="E16" s="60">
        <f>+SUM(EL_DEL_CD2_PTP_!E16,EL_DEL_CD2_PTP_L_!E16)</f>
        <v>0</v>
      </c>
      <c r="F16" s="60">
        <f>+SUM(EL_DEL_CD2_PTP_!F16,EL_DEL_CD2_PTP_L_!F16)</f>
        <v>0</v>
      </c>
      <c r="G16" s="60">
        <f>+SUM(EL_DEL_CD2_PTP_!G16,EL_DEL_CD2_PTP_L_!G16)</f>
        <v>0</v>
      </c>
      <c r="H16" s="60">
        <f>+SUM(EL_DEL_CD2_PTP_!H16,EL_DEL_CD2_PTP_L_!H16)</f>
        <v>0</v>
      </c>
      <c r="I16" s="60">
        <f>+SUM(EL_DEL_CD2_PTP_!I16,EL_DEL_CD2_PTP_L_!I16)</f>
        <v>0</v>
      </c>
      <c r="J16" s="60">
        <f>+SUM(EL_DEL_CD2_PTP_!J16,EL_DEL_CD2_PTP_L_!J16)</f>
        <v>0</v>
      </c>
      <c r="K16" s="60">
        <f>+SUM(EL_DEL_CD2_PTP_!K16,EL_DEL_CD2_PTP_L_!K16)</f>
        <v>0</v>
      </c>
      <c r="L16" s="60">
        <f>+SUM(EL_DEL_CD2_PTP_!L16,EL_DEL_CD2_PTP_L_!L16)</f>
        <v>0</v>
      </c>
      <c r="M16" s="60">
        <f>+SUM(EL_DEL_CD2_PTP_!M16,EL_DEL_CD2_PTP_L_!M16)</f>
        <v>0</v>
      </c>
      <c r="N16" s="60">
        <f>+SUM(EL_DEL_CD2_PTP_!N16,EL_DEL_CD2_PTP_L_!N16)</f>
        <v>0</v>
      </c>
      <c r="O16" s="60">
        <f>+SUM(EL_DEL_CD2_PTP_!O16,EL_DEL_CD2_PTP_L_!O16)</f>
        <v>0</v>
      </c>
      <c r="P16" s="60">
        <f>+SUM(EL_DEL_CD2_PTP_!P16,EL_DEL_CD2_PTP_L_!P16)</f>
        <v>0</v>
      </c>
      <c r="Q16" s="60">
        <f>+SUM(EL_DEL_CD2_PTP_!Q16,EL_DEL_CD2_PTP_L_!Q16)</f>
        <v>0</v>
      </c>
      <c r="R16" s="60">
        <f>+SUM(EL_DEL_CD2_PTP_!R16,EL_DEL_CD2_PTP_L_!R16)</f>
        <v>0</v>
      </c>
      <c r="S16" s="60">
        <f>+SUM(EL_DEL_CD2_PTP_!S16,EL_DEL_CD2_PTP_L_!S16)</f>
        <v>0</v>
      </c>
      <c r="T16" s="60">
        <f>+SUM(EL_DEL_CD2_PTP_!T16,EL_DEL_CD2_PTP_L_!T16)</f>
        <v>0</v>
      </c>
      <c r="U16" s="98">
        <f>+SUM(EL_DEL_CD2_PTP_!U16,EL_DEL_CD2_PTP_L_!U16)</f>
        <v>0</v>
      </c>
      <c r="V16" s="60">
        <f>+SUM(EL_DEL_CD2_PTP_!V16,EL_DEL_CD2_PTP_L_!V16)</f>
        <v>0</v>
      </c>
      <c r="W16" s="60">
        <f>+SUM(EL_DEL_CD2_PTP_!W16,EL_DEL_CD2_PTP_L_!W16)</f>
        <v>0</v>
      </c>
      <c r="X16" s="60">
        <f>+SUM(EL_DEL_CD2_PTP_!X16,EL_DEL_CD2_PTP_L_!X16)</f>
        <v>0</v>
      </c>
      <c r="Y16" s="60">
        <f>+SUM(EL_DEL_CD2_PTP_!Y16,EL_DEL_CD2_PTP_L_!Y16)</f>
        <v>0</v>
      </c>
      <c r="Z16" s="60">
        <f>+SUM(EL_DEL_CD2_PTP_!Z16,EL_DEL_CD2_PTP_L_!Z16)</f>
        <v>0</v>
      </c>
      <c r="AA16" s="60">
        <f>+SUM(EL_DEL_CD2_PTP_!AA16,EL_DEL_CD2_PTP_L_!AA16)</f>
        <v>0</v>
      </c>
      <c r="AB16" s="60">
        <f>+SUM(EL_DEL_CD2_PTP_!AB16,EL_DEL_CD2_PTP_L_!AB16)</f>
        <v>0</v>
      </c>
      <c r="AC16" s="60">
        <f>+SUM(EL_DEL_CD2_PTP_!AC16,EL_DEL_CD2_PTP_L_!AC16)</f>
        <v>0</v>
      </c>
      <c r="AD16" s="60">
        <f>+SUM(EL_DEL_CD2_PTP_!AD16,EL_DEL_CD2_PTP_L_!AD16)</f>
        <v>0</v>
      </c>
      <c r="AE16" s="60">
        <f>+SUM(EL_DEL_CD2_PTP_!AE16,EL_DEL_CD2_PTP_L_!AE16)</f>
        <v>0</v>
      </c>
      <c r="AF16" s="60">
        <f>+SUM(EL_DEL_CD2_PTP_!AF16,EL_DEL_CD2_PTP_L_!AF16)</f>
        <v>0</v>
      </c>
      <c r="AG16" s="60">
        <f>+SUM(EL_DEL_CD2_PTP_!AG16,EL_DEL_CD2_PTP_L_!AG16)</f>
        <v>0</v>
      </c>
      <c r="AH16" s="60">
        <f>+SUM(EL_DEL_CD2_PTP_!AH16,EL_DEL_CD2_PTP_L_!AH16)</f>
        <v>0</v>
      </c>
      <c r="AI16" s="60">
        <f>+SUM(EL_DEL_CD2_PTP_!AI16,EL_DEL_CD2_PTP_L_!AI16)</f>
        <v>0</v>
      </c>
      <c r="AJ16" s="60">
        <f>+SUM(EL_DEL_CD2_PTP_!AJ16,EL_DEL_CD2_PTP_L_!AJ16)</f>
        <v>0</v>
      </c>
      <c r="AK16" s="60">
        <f>+SUM(EL_DEL_CD2_PTP_!AK16,EL_DEL_CD2_PTP_L_!AK16)</f>
        <v>0</v>
      </c>
      <c r="AL16" s="99" t="str">
        <f>+IFERROR(AVERAGE(EL_DEL_CD2_PTP_!AL16,EL_DEL_CD2_PTP_L_!AL16),"0")</f>
        <v>0</v>
      </c>
      <c r="AM16" s="99" t="str">
        <f>+IFERROR(AVERAGE(EL_DEL_CD2_PTP_!AM16,EL_DEL_CD2_PTP_L_!AM16),"0")</f>
        <v>0</v>
      </c>
      <c r="AN16" s="99" t="str">
        <f>+IFERROR(AVERAGE(EL_DEL_CD2_PTP_!AN16,EL_DEL_CD2_PTP_L_!AN16),"0")</f>
        <v>0</v>
      </c>
      <c r="AO16" s="99" t="str">
        <f>+IFERROR(AVERAGE(EL_DEL_CD2_PTP_!AO16,EL_DEL_CD2_PTP_L_!AO16),"0")</f>
        <v>0</v>
      </c>
      <c r="AP16" s="99" t="str">
        <f>+IFERROR(AVERAGE(EL_DEL_CD2_PTP_!AP16,EL_DEL_CD2_PTP_L_!AP16),"0")</f>
        <v>0</v>
      </c>
      <c r="AQ16" s="99" t="str">
        <f>+IFERROR(AVERAGE(EL_DEL_CD2_PTP_!AQ16,EL_DEL_CD2_PTP_L_!AQ16),"0")</f>
        <v>0</v>
      </c>
      <c r="AR16" s="99" t="str">
        <f>+IFERROR(AVERAGE(EL_DEL_CD2_PTP_!AR16,EL_DEL_CD2_PTP_L_!AR16),"0")</f>
        <v>0</v>
      </c>
      <c r="AS16" s="99" t="str">
        <f>+IFERROR(AVERAGE(EL_DEL_CD2_PTP_!AS16,EL_DEL_CD2_PTP_L_!AS16),"0")</f>
        <v>0</v>
      </c>
      <c r="AT16" s="100">
        <f>+SUM(EL_DEL_CD2_PTP_!AT16,EL_DEL_CD2_PTP_L_!AT16)</f>
        <v>0</v>
      </c>
      <c r="AU16" s="100">
        <f>+SUM(EL_DEL_CD2_PTP_!AU16,EL_DEL_CD2_PTP_L_!AU16)</f>
        <v>0</v>
      </c>
      <c r="AV16" s="101">
        <f>+SUM(EL_DEL_CD2_PTP_!AV16,EL_DEL_CD2_PTP_L_!AV16)</f>
        <v>0</v>
      </c>
      <c r="AW16" s="60">
        <f>+SUM(EL_DEL_CD2_PTP_!AW16,EL_DEL_CD2_PTP_L_!AW16)</f>
        <v>0</v>
      </c>
      <c r="AX16" s="102" t="str">
        <f t="shared" si="23"/>
        <v>-</v>
      </c>
      <c r="AY16" s="114"/>
      <c r="AZ16" s="116" t="str">
        <f t="shared" si="1"/>
        <v/>
      </c>
      <c r="BA16" s="117" t="str">
        <f t="shared" si="2"/>
        <v/>
      </c>
      <c r="BB16" s="116" t="str">
        <f t="shared" si="3"/>
        <v/>
      </c>
      <c r="BC16" s="114"/>
      <c r="BD16" s="118" t="str">
        <f t="shared" si="4"/>
        <v/>
      </c>
      <c r="BE16" s="119" t="str">
        <f t="shared" si="5"/>
        <v/>
      </c>
      <c r="BF16" s="119" t="str">
        <f t="shared" si="6"/>
        <v/>
      </c>
      <c r="BG16" s="119" t="str">
        <f t="shared" si="24"/>
        <v/>
      </c>
      <c r="BH16" s="119" t="str">
        <f t="shared" si="7"/>
        <v/>
      </c>
      <c r="BI16" s="120" t="str">
        <f t="shared" si="25"/>
        <v/>
      </c>
      <c r="BJ16" s="114"/>
      <c r="BK16" s="121" t="str">
        <f t="shared" si="8"/>
        <v/>
      </c>
      <c r="BL16" s="122" t="str">
        <f t="shared" si="9"/>
        <v/>
      </c>
      <c r="BM16" s="122" t="str">
        <f t="shared" si="10"/>
        <v/>
      </c>
      <c r="BN16" s="123" t="str">
        <f t="shared" si="11"/>
        <v/>
      </c>
      <c r="BO16" s="114"/>
      <c r="BP16" s="124" t="str">
        <f t="shared" si="12"/>
        <v/>
      </c>
      <c r="BQ16" s="125">
        <v>0</v>
      </c>
      <c r="BR16" s="125" t="str">
        <f t="shared" si="26"/>
        <v/>
      </c>
      <c r="BS16" s="125" t="str">
        <f t="shared" si="27"/>
        <v/>
      </c>
      <c r="BT16" s="126" t="str">
        <f t="shared" si="13"/>
        <v/>
      </c>
      <c r="BU16" s="114"/>
      <c r="BV16" s="132" t="e">
        <f t="shared" si="14"/>
        <v>#DIV/0!</v>
      </c>
      <c r="BW16" s="127" t="e">
        <f t="shared" si="15"/>
        <v>#DIV/0!</v>
      </c>
      <c r="BX16" s="127" t="e">
        <f t="shared" si="16"/>
        <v>#DIV/0!</v>
      </c>
      <c r="BY16" s="127" t="e">
        <f t="shared" si="17"/>
        <v>#DIV/0!</v>
      </c>
      <c r="BZ16" s="127" t="e">
        <f t="shared" si="28"/>
        <v>#DIV/0!</v>
      </c>
      <c r="CA16" s="128" t="e">
        <f t="shared" si="29"/>
        <v>#DIV/0!</v>
      </c>
      <c r="CB16" s="114"/>
      <c r="CC16" s="129" t="str">
        <f t="shared" si="18"/>
        <v>-</v>
      </c>
      <c r="CD16" s="130" t="str">
        <f t="shared" si="19"/>
        <v>-</v>
      </c>
      <c r="CE16" s="130" t="str">
        <f t="shared" si="20"/>
        <v>-</v>
      </c>
      <c r="CF16" s="130" t="str">
        <f t="shared" si="21"/>
        <v>-</v>
      </c>
      <c r="CG16" s="131" t="str">
        <f t="shared" si="22"/>
        <v>-</v>
      </c>
      <c r="CH16" s="114"/>
    </row>
    <row r="17" spans="1:86" s="115" customFormat="1" ht="12.4" customHeight="1" thickBot="1" x14ac:dyDescent="0.25">
      <c r="A17" s="96">
        <f t="shared" si="30"/>
        <v>46309</v>
      </c>
      <c r="B17" s="97" t="str">
        <f t="shared" si="0"/>
        <v>Wed</v>
      </c>
      <c r="C17" s="60">
        <f>+SUM(EL_DEL_CD2_PTP_!C17,EL_DEL_CD2_PTP_L_!C17)</f>
        <v>0</v>
      </c>
      <c r="D17" s="60">
        <f>+SUM(EL_DEL_CD2_PTP_!D17,EL_DEL_CD2_PTP_L_!D17)</f>
        <v>0</v>
      </c>
      <c r="E17" s="60">
        <f>+SUM(EL_DEL_CD2_PTP_!E17,EL_DEL_CD2_PTP_L_!E17)</f>
        <v>0</v>
      </c>
      <c r="F17" s="60">
        <f>+SUM(EL_DEL_CD2_PTP_!F17,EL_DEL_CD2_PTP_L_!F17)</f>
        <v>0</v>
      </c>
      <c r="G17" s="60">
        <f>+SUM(EL_DEL_CD2_PTP_!G17,EL_DEL_CD2_PTP_L_!G17)</f>
        <v>0</v>
      </c>
      <c r="H17" s="60">
        <f>+SUM(EL_DEL_CD2_PTP_!H17,EL_DEL_CD2_PTP_L_!H17)</f>
        <v>0</v>
      </c>
      <c r="I17" s="60">
        <f>+SUM(EL_DEL_CD2_PTP_!I17,EL_DEL_CD2_PTP_L_!I17)</f>
        <v>0</v>
      </c>
      <c r="J17" s="60">
        <f>+SUM(EL_DEL_CD2_PTP_!J17,EL_DEL_CD2_PTP_L_!J17)</f>
        <v>0</v>
      </c>
      <c r="K17" s="60">
        <f>+SUM(EL_DEL_CD2_PTP_!K17,EL_DEL_CD2_PTP_L_!K17)</f>
        <v>0</v>
      </c>
      <c r="L17" s="60">
        <f>+SUM(EL_DEL_CD2_PTP_!L17,EL_DEL_CD2_PTP_L_!L17)</f>
        <v>0</v>
      </c>
      <c r="M17" s="60">
        <f>+SUM(EL_DEL_CD2_PTP_!M17,EL_DEL_CD2_PTP_L_!M17)</f>
        <v>0</v>
      </c>
      <c r="N17" s="60">
        <f>+SUM(EL_DEL_CD2_PTP_!N17,EL_DEL_CD2_PTP_L_!N17)</f>
        <v>0</v>
      </c>
      <c r="O17" s="60">
        <f>+SUM(EL_DEL_CD2_PTP_!O17,EL_DEL_CD2_PTP_L_!O17)</f>
        <v>0</v>
      </c>
      <c r="P17" s="60">
        <f>+SUM(EL_DEL_CD2_PTP_!P17,EL_DEL_CD2_PTP_L_!P17)</f>
        <v>0</v>
      </c>
      <c r="Q17" s="60">
        <f>+SUM(EL_DEL_CD2_PTP_!Q17,EL_DEL_CD2_PTP_L_!Q17)</f>
        <v>0</v>
      </c>
      <c r="R17" s="60">
        <f>+SUM(EL_DEL_CD2_PTP_!R17,EL_DEL_CD2_PTP_L_!R17)</f>
        <v>0</v>
      </c>
      <c r="S17" s="60">
        <f>+SUM(EL_DEL_CD2_PTP_!S17,EL_DEL_CD2_PTP_L_!S17)</f>
        <v>0</v>
      </c>
      <c r="T17" s="60">
        <f>+SUM(EL_DEL_CD2_PTP_!T17,EL_DEL_CD2_PTP_L_!T17)</f>
        <v>0</v>
      </c>
      <c r="U17" s="98">
        <f>+SUM(EL_DEL_CD2_PTP_!U17,EL_DEL_CD2_PTP_L_!U17)</f>
        <v>0</v>
      </c>
      <c r="V17" s="60">
        <f>+SUM(EL_DEL_CD2_PTP_!V17,EL_DEL_CD2_PTP_L_!V17)</f>
        <v>0</v>
      </c>
      <c r="W17" s="60">
        <f>+SUM(EL_DEL_CD2_PTP_!W17,EL_DEL_CD2_PTP_L_!W17)</f>
        <v>0</v>
      </c>
      <c r="X17" s="60">
        <f>+SUM(EL_DEL_CD2_PTP_!X17,EL_DEL_CD2_PTP_L_!X17)</f>
        <v>0</v>
      </c>
      <c r="Y17" s="60">
        <f>+SUM(EL_DEL_CD2_PTP_!Y17,EL_DEL_CD2_PTP_L_!Y17)</f>
        <v>0</v>
      </c>
      <c r="Z17" s="60">
        <f>+SUM(EL_DEL_CD2_PTP_!Z17,EL_DEL_CD2_PTP_L_!Z17)</f>
        <v>0</v>
      </c>
      <c r="AA17" s="60">
        <f>+SUM(EL_DEL_CD2_PTP_!AA17,EL_DEL_CD2_PTP_L_!AA17)</f>
        <v>0</v>
      </c>
      <c r="AB17" s="60">
        <f>+SUM(EL_DEL_CD2_PTP_!AB17,EL_DEL_CD2_PTP_L_!AB17)</f>
        <v>0</v>
      </c>
      <c r="AC17" s="60">
        <f>+SUM(EL_DEL_CD2_PTP_!AC17,EL_DEL_CD2_PTP_L_!AC17)</f>
        <v>0</v>
      </c>
      <c r="AD17" s="60">
        <f>+SUM(EL_DEL_CD2_PTP_!AD17,EL_DEL_CD2_PTP_L_!AD17)</f>
        <v>0</v>
      </c>
      <c r="AE17" s="60">
        <f>+SUM(EL_DEL_CD2_PTP_!AE17,EL_DEL_CD2_PTP_L_!AE17)</f>
        <v>0</v>
      </c>
      <c r="AF17" s="60">
        <f>+SUM(EL_DEL_CD2_PTP_!AF17,EL_DEL_CD2_PTP_L_!AF17)</f>
        <v>0</v>
      </c>
      <c r="AG17" s="60">
        <f>+SUM(EL_DEL_CD2_PTP_!AG17,EL_DEL_CD2_PTP_L_!AG17)</f>
        <v>0</v>
      </c>
      <c r="AH17" s="60">
        <f>+SUM(EL_DEL_CD2_PTP_!AH17,EL_DEL_CD2_PTP_L_!AH17)</f>
        <v>0</v>
      </c>
      <c r="AI17" s="60">
        <f>+SUM(EL_DEL_CD2_PTP_!AI17,EL_DEL_CD2_PTP_L_!AI17)</f>
        <v>0</v>
      </c>
      <c r="AJ17" s="60">
        <f>+SUM(EL_DEL_CD2_PTP_!AJ17,EL_DEL_CD2_PTP_L_!AJ17)</f>
        <v>0</v>
      </c>
      <c r="AK17" s="60">
        <f>+SUM(EL_DEL_CD2_PTP_!AK17,EL_DEL_CD2_PTP_L_!AK17)</f>
        <v>0</v>
      </c>
      <c r="AL17" s="99" t="str">
        <f>+IFERROR(AVERAGE(EL_DEL_CD2_PTP_!AL17,EL_DEL_CD2_PTP_L_!AL17),"0")</f>
        <v>0</v>
      </c>
      <c r="AM17" s="99" t="str">
        <f>+IFERROR(AVERAGE(EL_DEL_CD2_PTP_!AM17,EL_DEL_CD2_PTP_L_!AM17),"0")</f>
        <v>0</v>
      </c>
      <c r="AN17" s="99" t="str">
        <f>+IFERROR(AVERAGE(EL_DEL_CD2_PTP_!AN17,EL_DEL_CD2_PTP_L_!AN17),"0")</f>
        <v>0</v>
      </c>
      <c r="AO17" s="99" t="str">
        <f>+IFERROR(AVERAGE(EL_DEL_CD2_PTP_!AO17,EL_DEL_CD2_PTP_L_!AO17),"0")</f>
        <v>0</v>
      </c>
      <c r="AP17" s="99" t="str">
        <f>+IFERROR(AVERAGE(EL_DEL_CD2_PTP_!AP17,EL_DEL_CD2_PTP_L_!AP17),"0")</f>
        <v>0</v>
      </c>
      <c r="AQ17" s="99" t="str">
        <f>+IFERROR(AVERAGE(EL_DEL_CD2_PTP_!AQ17,EL_DEL_CD2_PTP_L_!AQ17),"0")</f>
        <v>0</v>
      </c>
      <c r="AR17" s="99" t="str">
        <f>+IFERROR(AVERAGE(EL_DEL_CD2_PTP_!AR17,EL_DEL_CD2_PTP_L_!AR17),"0")</f>
        <v>0</v>
      </c>
      <c r="AS17" s="99" t="str">
        <f>+IFERROR(AVERAGE(EL_DEL_CD2_PTP_!AS17,EL_DEL_CD2_PTP_L_!AS17),"0")</f>
        <v>0</v>
      </c>
      <c r="AT17" s="100">
        <f>+SUM(EL_DEL_CD2_PTP_!AT17,EL_DEL_CD2_PTP_L_!AT17)</f>
        <v>0</v>
      </c>
      <c r="AU17" s="100">
        <f>+SUM(EL_DEL_CD2_PTP_!AU17,EL_DEL_CD2_PTP_L_!AU17)</f>
        <v>0</v>
      </c>
      <c r="AV17" s="101">
        <f>+SUM(EL_DEL_CD2_PTP_!AV17,EL_DEL_CD2_PTP_L_!AV17)</f>
        <v>0</v>
      </c>
      <c r="AW17" s="60">
        <f>+SUM(EL_DEL_CD2_PTP_!AW17,EL_DEL_CD2_PTP_L_!AW17)</f>
        <v>0</v>
      </c>
      <c r="AX17" s="102" t="str">
        <f t="shared" si="23"/>
        <v>-</v>
      </c>
      <c r="AY17" s="114"/>
      <c r="AZ17" s="116" t="str">
        <f t="shared" si="1"/>
        <v/>
      </c>
      <c r="BA17" s="117" t="str">
        <f t="shared" si="2"/>
        <v/>
      </c>
      <c r="BB17" s="116" t="str">
        <f t="shared" si="3"/>
        <v/>
      </c>
      <c r="BC17" s="114"/>
      <c r="BD17" s="118" t="str">
        <f t="shared" si="4"/>
        <v/>
      </c>
      <c r="BE17" s="119" t="str">
        <f t="shared" si="5"/>
        <v/>
      </c>
      <c r="BF17" s="119" t="str">
        <f t="shared" si="6"/>
        <v/>
      </c>
      <c r="BG17" s="119" t="str">
        <f t="shared" si="24"/>
        <v/>
      </c>
      <c r="BH17" s="119" t="str">
        <f t="shared" si="7"/>
        <v/>
      </c>
      <c r="BI17" s="120" t="str">
        <f t="shared" si="25"/>
        <v/>
      </c>
      <c r="BJ17" s="114"/>
      <c r="BK17" s="121" t="str">
        <f t="shared" si="8"/>
        <v/>
      </c>
      <c r="BL17" s="122" t="str">
        <f t="shared" si="9"/>
        <v/>
      </c>
      <c r="BM17" s="122" t="str">
        <f t="shared" si="10"/>
        <v/>
      </c>
      <c r="BN17" s="123" t="str">
        <f t="shared" si="11"/>
        <v/>
      </c>
      <c r="BO17" s="114"/>
      <c r="BP17" s="124" t="str">
        <f t="shared" si="12"/>
        <v/>
      </c>
      <c r="BQ17" s="125">
        <v>0</v>
      </c>
      <c r="BR17" s="125" t="str">
        <f t="shared" si="26"/>
        <v/>
      </c>
      <c r="BS17" s="125" t="str">
        <f t="shared" si="27"/>
        <v/>
      </c>
      <c r="BT17" s="126" t="str">
        <f t="shared" si="13"/>
        <v/>
      </c>
      <c r="BU17" s="114"/>
      <c r="BV17" s="132" t="e">
        <f t="shared" si="14"/>
        <v>#DIV/0!</v>
      </c>
      <c r="BW17" s="127" t="e">
        <f t="shared" si="15"/>
        <v>#DIV/0!</v>
      </c>
      <c r="BX17" s="127" t="e">
        <f t="shared" si="16"/>
        <v>#DIV/0!</v>
      </c>
      <c r="BY17" s="127" t="e">
        <f t="shared" si="17"/>
        <v>#DIV/0!</v>
      </c>
      <c r="BZ17" s="127" t="e">
        <f t="shared" si="28"/>
        <v>#DIV/0!</v>
      </c>
      <c r="CA17" s="128" t="e">
        <f t="shared" si="29"/>
        <v>#DIV/0!</v>
      </c>
      <c r="CB17" s="114"/>
      <c r="CC17" s="129" t="str">
        <f t="shared" si="18"/>
        <v>-</v>
      </c>
      <c r="CD17" s="130" t="str">
        <f t="shared" si="19"/>
        <v>-</v>
      </c>
      <c r="CE17" s="130" t="str">
        <f t="shared" si="20"/>
        <v>-</v>
      </c>
      <c r="CF17" s="130" t="str">
        <f t="shared" si="21"/>
        <v>-</v>
      </c>
      <c r="CG17" s="131" t="str">
        <f t="shared" si="22"/>
        <v>-</v>
      </c>
      <c r="CH17" s="114"/>
    </row>
    <row r="18" spans="1:86" s="115" customFormat="1" ht="12.4" customHeight="1" thickBot="1" x14ac:dyDescent="0.25">
      <c r="A18" s="96">
        <f t="shared" si="30"/>
        <v>46310</v>
      </c>
      <c r="B18" s="97" t="str">
        <f t="shared" si="0"/>
        <v>Thu</v>
      </c>
      <c r="C18" s="60">
        <f>+SUM(EL_DEL_CD2_PTP_!C18,EL_DEL_CD2_PTP_L_!C18)</f>
        <v>0</v>
      </c>
      <c r="D18" s="60">
        <f>+SUM(EL_DEL_CD2_PTP_!D18,EL_DEL_CD2_PTP_L_!D18)</f>
        <v>0</v>
      </c>
      <c r="E18" s="60">
        <f>+SUM(EL_DEL_CD2_PTP_!E18,EL_DEL_CD2_PTP_L_!E18)</f>
        <v>0</v>
      </c>
      <c r="F18" s="60">
        <f>+SUM(EL_DEL_CD2_PTP_!F18,EL_DEL_CD2_PTP_L_!F18)</f>
        <v>0</v>
      </c>
      <c r="G18" s="60">
        <f>+SUM(EL_DEL_CD2_PTP_!G18,EL_DEL_CD2_PTP_L_!G18)</f>
        <v>0</v>
      </c>
      <c r="H18" s="60">
        <f>+SUM(EL_DEL_CD2_PTP_!H18,EL_DEL_CD2_PTP_L_!H18)</f>
        <v>0</v>
      </c>
      <c r="I18" s="60">
        <f>+SUM(EL_DEL_CD2_PTP_!I18,EL_DEL_CD2_PTP_L_!I18)</f>
        <v>0</v>
      </c>
      <c r="J18" s="60">
        <f>+SUM(EL_DEL_CD2_PTP_!J18,EL_DEL_CD2_PTP_L_!J18)</f>
        <v>0</v>
      </c>
      <c r="K18" s="60">
        <f>+SUM(EL_DEL_CD2_PTP_!K18,EL_DEL_CD2_PTP_L_!K18)</f>
        <v>0</v>
      </c>
      <c r="L18" s="60">
        <f>+SUM(EL_DEL_CD2_PTP_!L18,EL_DEL_CD2_PTP_L_!L18)</f>
        <v>0</v>
      </c>
      <c r="M18" s="60">
        <f>+SUM(EL_DEL_CD2_PTP_!M18,EL_DEL_CD2_PTP_L_!M18)</f>
        <v>0</v>
      </c>
      <c r="N18" s="60">
        <f>+SUM(EL_DEL_CD2_PTP_!N18,EL_DEL_CD2_PTP_L_!N18)</f>
        <v>0</v>
      </c>
      <c r="O18" s="60">
        <f>+SUM(EL_DEL_CD2_PTP_!O18,EL_DEL_CD2_PTP_L_!O18)</f>
        <v>0</v>
      </c>
      <c r="P18" s="60">
        <f>+SUM(EL_DEL_CD2_PTP_!P18,EL_DEL_CD2_PTP_L_!P18)</f>
        <v>0</v>
      </c>
      <c r="Q18" s="60">
        <f>+SUM(EL_DEL_CD2_PTP_!Q18,EL_DEL_CD2_PTP_L_!Q18)</f>
        <v>0</v>
      </c>
      <c r="R18" s="60">
        <f>+SUM(EL_DEL_CD2_PTP_!R18,EL_DEL_CD2_PTP_L_!R18)</f>
        <v>0</v>
      </c>
      <c r="S18" s="60">
        <f>+SUM(EL_DEL_CD2_PTP_!S18,EL_DEL_CD2_PTP_L_!S18)</f>
        <v>0</v>
      </c>
      <c r="T18" s="60">
        <f>+SUM(EL_DEL_CD2_PTP_!T18,EL_DEL_CD2_PTP_L_!T18)</f>
        <v>0</v>
      </c>
      <c r="U18" s="98">
        <f>+SUM(EL_DEL_CD2_PTP_!U18,EL_DEL_CD2_PTP_L_!U18)</f>
        <v>0</v>
      </c>
      <c r="V18" s="60">
        <f>+SUM(EL_DEL_CD2_PTP_!V18,EL_DEL_CD2_PTP_L_!V18)</f>
        <v>0</v>
      </c>
      <c r="W18" s="60">
        <f>+SUM(EL_DEL_CD2_PTP_!W18,EL_DEL_CD2_PTP_L_!W18)</f>
        <v>0</v>
      </c>
      <c r="X18" s="60">
        <f>+SUM(EL_DEL_CD2_PTP_!X18,EL_DEL_CD2_PTP_L_!X18)</f>
        <v>0</v>
      </c>
      <c r="Y18" s="60">
        <f>+SUM(EL_DEL_CD2_PTP_!Y18,EL_DEL_CD2_PTP_L_!Y18)</f>
        <v>0</v>
      </c>
      <c r="Z18" s="60">
        <f>+SUM(EL_DEL_CD2_PTP_!Z18,EL_DEL_CD2_PTP_L_!Z18)</f>
        <v>0</v>
      </c>
      <c r="AA18" s="60">
        <f>+SUM(EL_DEL_CD2_PTP_!AA18,EL_DEL_CD2_PTP_L_!AA18)</f>
        <v>0</v>
      </c>
      <c r="AB18" s="60">
        <f>+SUM(EL_DEL_CD2_PTP_!AB18,EL_DEL_CD2_PTP_L_!AB18)</f>
        <v>0</v>
      </c>
      <c r="AC18" s="60">
        <f>+SUM(EL_DEL_CD2_PTP_!AC18,EL_DEL_CD2_PTP_L_!AC18)</f>
        <v>0</v>
      </c>
      <c r="AD18" s="60">
        <f>+SUM(EL_DEL_CD2_PTP_!AD18,EL_DEL_CD2_PTP_L_!AD18)</f>
        <v>0</v>
      </c>
      <c r="AE18" s="60">
        <f>+SUM(EL_DEL_CD2_PTP_!AE18,EL_DEL_CD2_PTP_L_!AE18)</f>
        <v>0</v>
      </c>
      <c r="AF18" s="60">
        <f>+SUM(EL_DEL_CD2_PTP_!AF18,EL_DEL_CD2_PTP_L_!AF18)</f>
        <v>0</v>
      </c>
      <c r="AG18" s="60">
        <f>+SUM(EL_DEL_CD2_PTP_!AG18,EL_DEL_CD2_PTP_L_!AG18)</f>
        <v>0</v>
      </c>
      <c r="AH18" s="60">
        <f>+SUM(EL_DEL_CD2_PTP_!AH18,EL_DEL_CD2_PTP_L_!AH18)</f>
        <v>0</v>
      </c>
      <c r="AI18" s="60">
        <f>+SUM(EL_DEL_CD2_PTP_!AI18,EL_DEL_CD2_PTP_L_!AI18)</f>
        <v>0</v>
      </c>
      <c r="AJ18" s="60">
        <f>+SUM(EL_DEL_CD2_PTP_!AJ18,EL_DEL_CD2_PTP_L_!AJ18)</f>
        <v>0</v>
      </c>
      <c r="AK18" s="60">
        <f>+SUM(EL_DEL_CD2_PTP_!AK18,EL_DEL_CD2_PTP_L_!AK18)</f>
        <v>0</v>
      </c>
      <c r="AL18" s="99" t="str">
        <f>+IFERROR(AVERAGE(EL_DEL_CD2_PTP_!AL18,EL_DEL_CD2_PTP_L_!AL18),"0")</f>
        <v>0</v>
      </c>
      <c r="AM18" s="99" t="str">
        <f>+IFERROR(AVERAGE(EL_DEL_CD2_PTP_!AM18,EL_DEL_CD2_PTP_L_!AM18),"0")</f>
        <v>0</v>
      </c>
      <c r="AN18" s="99" t="str">
        <f>+IFERROR(AVERAGE(EL_DEL_CD2_PTP_!AN18,EL_DEL_CD2_PTP_L_!AN18),"0")</f>
        <v>0</v>
      </c>
      <c r="AO18" s="99" t="str">
        <f>+IFERROR(AVERAGE(EL_DEL_CD2_PTP_!AO18,EL_DEL_CD2_PTP_L_!AO18),"0")</f>
        <v>0</v>
      </c>
      <c r="AP18" s="99" t="str">
        <f>+IFERROR(AVERAGE(EL_DEL_CD2_PTP_!AP18,EL_DEL_CD2_PTP_L_!AP18),"0")</f>
        <v>0</v>
      </c>
      <c r="AQ18" s="99" t="str">
        <f>+IFERROR(AVERAGE(EL_DEL_CD2_PTP_!AQ18,EL_DEL_CD2_PTP_L_!AQ18),"0")</f>
        <v>0</v>
      </c>
      <c r="AR18" s="99" t="str">
        <f>+IFERROR(AVERAGE(EL_DEL_CD2_PTP_!AR18,EL_DEL_CD2_PTP_L_!AR18),"0")</f>
        <v>0</v>
      </c>
      <c r="AS18" s="99" t="str">
        <f>+IFERROR(AVERAGE(EL_DEL_CD2_PTP_!AS18,EL_DEL_CD2_PTP_L_!AS18),"0")</f>
        <v>0</v>
      </c>
      <c r="AT18" s="100">
        <f>+SUM(EL_DEL_CD2_PTP_!AT18,EL_DEL_CD2_PTP_L_!AT18)</f>
        <v>0</v>
      </c>
      <c r="AU18" s="100">
        <f>+SUM(EL_DEL_CD2_PTP_!AU18,EL_DEL_CD2_PTP_L_!AU18)</f>
        <v>0</v>
      </c>
      <c r="AV18" s="101">
        <f>+SUM(EL_DEL_CD2_PTP_!AV18,EL_DEL_CD2_PTP_L_!AV18)</f>
        <v>0</v>
      </c>
      <c r="AW18" s="60">
        <f>+SUM(EL_DEL_CD2_PTP_!AW18,EL_DEL_CD2_PTP_L_!AW18)</f>
        <v>0</v>
      </c>
      <c r="AX18" s="102" t="str">
        <f t="shared" si="23"/>
        <v>-</v>
      </c>
      <c r="AY18" s="114"/>
      <c r="AZ18" s="116" t="str">
        <f t="shared" si="1"/>
        <v/>
      </c>
      <c r="BA18" s="117" t="str">
        <f t="shared" si="2"/>
        <v/>
      </c>
      <c r="BB18" s="116" t="str">
        <f t="shared" si="3"/>
        <v/>
      </c>
      <c r="BC18" s="114"/>
      <c r="BD18" s="118" t="str">
        <f t="shared" si="4"/>
        <v/>
      </c>
      <c r="BE18" s="119" t="str">
        <f t="shared" si="5"/>
        <v/>
      </c>
      <c r="BF18" s="119" t="str">
        <f t="shared" si="6"/>
        <v/>
      </c>
      <c r="BG18" s="119" t="str">
        <f t="shared" si="24"/>
        <v/>
      </c>
      <c r="BH18" s="119" t="str">
        <f t="shared" si="7"/>
        <v/>
      </c>
      <c r="BI18" s="120" t="str">
        <f t="shared" si="25"/>
        <v/>
      </c>
      <c r="BJ18" s="114"/>
      <c r="BK18" s="121" t="str">
        <f t="shared" si="8"/>
        <v/>
      </c>
      <c r="BL18" s="122" t="str">
        <f t="shared" si="9"/>
        <v/>
      </c>
      <c r="BM18" s="122" t="str">
        <f t="shared" si="10"/>
        <v/>
      </c>
      <c r="BN18" s="123" t="str">
        <f t="shared" si="11"/>
        <v/>
      </c>
      <c r="BO18" s="114"/>
      <c r="BP18" s="124" t="str">
        <f t="shared" si="12"/>
        <v/>
      </c>
      <c r="BQ18" s="125">
        <v>0</v>
      </c>
      <c r="BR18" s="125" t="str">
        <f t="shared" si="26"/>
        <v/>
      </c>
      <c r="BS18" s="125" t="str">
        <f t="shared" si="27"/>
        <v/>
      </c>
      <c r="BT18" s="126" t="str">
        <f t="shared" si="13"/>
        <v/>
      </c>
      <c r="BU18" s="114"/>
      <c r="BV18" s="132" t="e">
        <f t="shared" si="14"/>
        <v>#DIV/0!</v>
      </c>
      <c r="BW18" s="127" t="e">
        <f t="shared" si="15"/>
        <v>#DIV/0!</v>
      </c>
      <c r="BX18" s="127" t="e">
        <f t="shared" si="16"/>
        <v>#DIV/0!</v>
      </c>
      <c r="BY18" s="127" t="e">
        <f t="shared" si="17"/>
        <v>#DIV/0!</v>
      </c>
      <c r="BZ18" s="127" t="e">
        <f t="shared" si="28"/>
        <v>#DIV/0!</v>
      </c>
      <c r="CA18" s="128" t="e">
        <f t="shared" si="29"/>
        <v>#DIV/0!</v>
      </c>
      <c r="CB18" s="114"/>
      <c r="CC18" s="129" t="str">
        <f t="shared" si="18"/>
        <v>-</v>
      </c>
      <c r="CD18" s="130" t="str">
        <f t="shared" si="19"/>
        <v>-</v>
      </c>
      <c r="CE18" s="130" t="str">
        <f t="shared" si="20"/>
        <v>-</v>
      </c>
      <c r="CF18" s="130" t="str">
        <f t="shared" si="21"/>
        <v>-</v>
      </c>
      <c r="CG18" s="131" t="str">
        <f t="shared" si="22"/>
        <v>-</v>
      </c>
      <c r="CH18" s="114"/>
    </row>
    <row r="19" spans="1:86" s="115" customFormat="1" ht="12.4" customHeight="1" thickBot="1" x14ac:dyDescent="0.25">
      <c r="A19" s="96">
        <f t="shared" si="30"/>
        <v>46311</v>
      </c>
      <c r="B19" s="97" t="str">
        <f t="shared" si="0"/>
        <v>Fri</v>
      </c>
      <c r="C19" s="60">
        <f>+SUM(EL_DEL_CD2_PTP_!C19,EL_DEL_CD2_PTP_L_!C19)</f>
        <v>0</v>
      </c>
      <c r="D19" s="60">
        <f>+SUM(EL_DEL_CD2_PTP_!D19,EL_DEL_CD2_PTP_L_!D19)</f>
        <v>0</v>
      </c>
      <c r="E19" s="60">
        <f>+SUM(EL_DEL_CD2_PTP_!E19,EL_DEL_CD2_PTP_L_!E19)</f>
        <v>0</v>
      </c>
      <c r="F19" s="60">
        <f>+SUM(EL_DEL_CD2_PTP_!F19,EL_DEL_CD2_PTP_L_!F19)</f>
        <v>0</v>
      </c>
      <c r="G19" s="60">
        <f>+SUM(EL_DEL_CD2_PTP_!G19,EL_DEL_CD2_PTP_L_!G19)</f>
        <v>0</v>
      </c>
      <c r="H19" s="60">
        <f>+SUM(EL_DEL_CD2_PTP_!H19,EL_DEL_CD2_PTP_L_!H19)</f>
        <v>0</v>
      </c>
      <c r="I19" s="60">
        <f>+SUM(EL_DEL_CD2_PTP_!I19,EL_DEL_CD2_PTP_L_!I19)</f>
        <v>0</v>
      </c>
      <c r="J19" s="60">
        <f>+SUM(EL_DEL_CD2_PTP_!J19,EL_DEL_CD2_PTP_L_!J19)</f>
        <v>0</v>
      </c>
      <c r="K19" s="60">
        <f>+SUM(EL_DEL_CD2_PTP_!K19,EL_DEL_CD2_PTP_L_!K19)</f>
        <v>0</v>
      </c>
      <c r="L19" s="60">
        <f>+SUM(EL_DEL_CD2_PTP_!L19,EL_DEL_CD2_PTP_L_!L19)</f>
        <v>0</v>
      </c>
      <c r="M19" s="60">
        <f>+SUM(EL_DEL_CD2_PTP_!M19,EL_DEL_CD2_PTP_L_!M19)</f>
        <v>0</v>
      </c>
      <c r="N19" s="60">
        <f>+SUM(EL_DEL_CD2_PTP_!N19,EL_DEL_CD2_PTP_L_!N19)</f>
        <v>0</v>
      </c>
      <c r="O19" s="60">
        <f>+SUM(EL_DEL_CD2_PTP_!O19,EL_DEL_CD2_PTP_L_!O19)</f>
        <v>0</v>
      </c>
      <c r="P19" s="60">
        <f>+SUM(EL_DEL_CD2_PTP_!P19,EL_DEL_CD2_PTP_L_!P19)</f>
        <v>0</v>
      </c>
      <c r="Q19" s="60">
        <f>+SUM(EL_DEL_CD2_PTP_!Q19,EL_DEL_CD2_PTP_L_!Q19)</f>
        <v>0</v>
      </c>
      <c r="R19" s="60">
        <f>+SUM(EL_DEL_CD2_PTP_!R19,EL_DEL_CD2_PTP_L_!R19)</f>
        <v>0</v>
      </c>
      <c r="S19" s="60">
        <f>+SUM(EL_DEL_CD2_PTP_!S19,EL_DEL_CD2_PTP_L_!S19)</f>
        <v>0</v>
      </c>
      <c r="T19" s="60">
        <f>+SUM(EL_DEL_CD2_PTP_!T19,EL_DEL_CD2_PTP_L_!T19)</f>
        <v>0</v>
      </c>
      <c r="U19" s="98">
        <f>+SUM(EL_DEL_CD2_PTP_!U19,EL_DEL_CD2_PTP_L_!U19)</f>
        <v>0</v>
      </c>
      <c r="V19" s="60">
        <f>+SUM(EL_DEL_CD2_PTP_!V19,EL_DEL_CD2_PTP_L_!V19)</f>
        <v>0</v>
      </c>
      <c r="W19" s="60">
        <f>+SUM(EL_DEL_CD2_PTP_!W19,EL_DEL_CD2_PTP_L_!W19)</f>
        <v>0</v>
      </c>
      <c r="X19" s="60">
        <f>+SUM(EL_DEL_CD2_PTP_!X19,EL_DEL_CD2_PTP_L_!X19)</f>
        <v>0</v>
      </c>
      <c r="Y19" s="60">
        <f>+SUM(EL_DEL_CD2_PTP_!Y19,EL_DEL_CD2_PTP_L_!Y19)</f>
        <v>0</v>
      </c>
      <c r="Z19" s="60">
        <f>+SUM(EL_DEL_CD2_PTP_!Z19,EL_DEL_CD2_PTP_L_!Z19)</f>
        <v>0</v>
      </c>
      <c r="AA19" s="60">
        <f>+SUM(EL_DEL_CD2_PTP_!AA19,EL_DEL_CD2_PTP_L_!AA19)</f>
        <v>0</v>
      </c>
      <c r="AB19" s="60">
        <f>+SUM(EL_DEL_CD2_PTP_!AB19,EL_DEL_CD2_PTP_L_!AB19)</f>
        <v>0</v>
      </c>
      <c r="AC19" s="60">
        <f>+SUM(EL_DEL_CD2_PTP_!AC19,EL_DEL_CD2_PTP_L_!AC19)</f>
        <v>0</v>
      </c>
      <c r="AD19" s="60">
        <f>+SUM(EL_DEL_CD2_PTP_!AD19,EL_DEL_CD2_PTP_L_!AD19)</f>
        <v>0</v>
      </c>
      <c r="AE19" s="60">
        <f>+SUM(EL_DEL_CD2_PTP_!AE19,EL_DEL_CD2_PTP_L_!AE19)</f>
        <v>0</v>
      </c>
      <c r="AF19" s="60">
        <f>+SUM(EL_DEL_CD2_PTP_!AF19,EL_DEL_CD2_PTP_L_!AF19)</f>
        <v>0</v>
      </c>
      <c r="AG19" s="60">
        <f>+SUM(EL_DEL_CD2_PTP_!AG19,EL_DEL_CD2_PTP_L_!AG19)</f>
        <v>0</v>
      </c>
      <c r="AH19" s="60">
        <f>+SUM(EL_DEL_CD2_PTP_!AH19,EL_DEL_CD2_PTP_L_!AH19)</f>
        <v>0</v>
      </c>
      <c r="AI19" s="60">
        <f>+SUM(EL_DEL_CD2_PTP_!AI19,EL_DEL_CD2_PTP_L_!AI19)</f>
        <v>0</v>
      </c>
      <c r="AJ19" s="60">
        <f>+SUM(EL_DEL_CD2_PTP_!AJ19,EL_DEL_CD2_PTP_L_!AJ19)</f>
        <v>0</v>
      </c>
      <c r="AK19" s="60">
        <f>+SUM(EL_DEL_CD2_PTP_!AK19,EL_DEL_CD2_PTP_L_!AK19)</f>
        <v>0</v>
      </c>
      <c r="AL19" s="99" t="str">
        <f>+IFERROR(AVERAGE(EL_DEL_CD2_PTP_!AL19,EL_DEL_CD2_PTP_L_!AL19),"0")</f>
        <v>0</v>
      </c>
      <c r="AM19" s="99" t="str">
        <f>+IFERROR(AVERAGE(EL_DEL_CD2_PTP_!AM19,EL_DEL_CD2_PTP_L_!AM19),"0")</f>
        <v>0</v>
      </c>
      <c r="AN19" s="99" t="str">
        <f>+IFERROR(AVERAGE(EL_DEL_CD2_PTP_!AN19,EL_DEL_CD2_PTP_L_!AN19),"0")</f>
        <v>0</v>
      </c>
      <c r="AO19" s="99" t="str">
        <f>+IFERROR(AVERAGE(EL_DEL_CD2_PTP_!AO19,EL_DEL_CD2_PTP_L_!AO19),"0")</f>
        <v>0</v>
      </c>
      <c r="AP19" s="99" t="str">
        <f>+IFERROR(AVERAGE(EL_DEL_CD2_PTP_!AP19,EL_DEL_CD2_PTP_L_!AP19),"0")</f>
        <v>0</v>
      </c>
      <c r="AQ19" s="99" t="str">
        <f>+IFERROR(AVERAGE(EL_DEL_CD2_PTP_!AQ19,EL_DEL_CD2_PTP_L_!AQ19),"0")</f>
        <v>0</v>
      </c>
      <c r="AR19" s="99" t="str">
        <f>+IFERROR(AVERAGE(EL_DEL_CD2_PTP_!AR19,EL_DEL_CD2_PTP_L_!AR19),"0")</f>
        <v>0</v>
      </c>
      <c r="AS19" s="99" t="str">
        <f>+IFERROR(AVERAGE(EL_DEL_CD2_PTP_!AS19,EL_DEL_CD2_PTP_L_!AS19),"0")</f>
        <v>0</v>
      </c>
      <c r="AT19" s="100">
        <f>+SUM(EL_DEL_CD2_PTP_!AT19,EL_DEL_CD2_PTP_L_!AT19)</f>
        <v>0</v>
      </c>
      <c r="AU19" s="100">
        <f>+SUM(EL_DEL_CD2_PTP_!AU19,EL_DEL_CD2_PTP_L_!AU19)</f>
        <v>0</v>
      </c>
      <c r="AV19" s="101">
        <f>+SUM(EL_DEL_CD2_PTP_!AV19,EL_DEL_CD2_PTP_L_!AV19)</f>
        <v>0</v>
      </c>
      <c r="AW19" s="60">
        <f>+SUM(EL_DEL_CD2_PTP_!AW19,EL_DEL_CD2_PTP_L_!AW19)</f>
        <v>0</v>
      </c>
      <c r="AX19" s="102" t="str">
        <f t="shared" si="23"/>
        <v>-</v>
      </c>
      <c r="AY19" s="114"/>
      <c r="AZ19" s="116" t="str">
        <f t="shared" si="1"/>
        <v/>
      </c>
      <c r="BA19" s="117" t="str">
        <f t="shared" si="2"/>
        <v/>
      </c>
      <c r="BB19" s="116" t="str">
        <f t="shared" si="3"/>
        <v/>
      </c>
      <c r="BC19" s="114"/>
      <c r="BD19" s="118" t="str">
        <f t="shared" si="4"/>
        <v/>
      </c>
      <c r="BE19" s="119" t="str">
        <f t="shared" si="5"/>
        <v/>
      </c>
      <c r="BF19" s="119" t="str">
        <f t="shared" si="6"/>
        <v/>
      </c>
      <c r="BG19" s="119" t="str">
        <f t="shared" si="24"/>
        <v/>
      </c>
      <c r="BH19" s="119" t="str">
        <f t="shared" si="7"/>
        <v/>
      </c>
      <c r="BI19" s="120" t="str">
        <f t="shared" si="25"/>
        <v/>
      </c>
      <c r="BJ19" s="114"/>
      <c r="BK19" s="121" t="str">
        <f t="shared" si="8"/>
        <v/>
      </c>
      <c r="BL19" s="122" t="str">
        <f t="shared" si="9"/>
        <v/>
      </c>
      <c r="BM19" s="122" t="str">
        <f t="shared" si="10"/>
        <v/>
      </c>
      <c r="BN19" s="123" t="str">
        <f t="shared" si="11"/>
        <v/>
      </c>
      <c r="BO19" s="114"/>
      <c r="BP19" s="124" t="str">
        <f t="shared" si="12"/>
        <v/>
      </c>
      <c r="BQ19" s="125">
        <v>0</v>
      </c>
      <c r="BR19" s="125" t="str">
        <f t="shared" si="26"/>
        <v/>
      </c>
      <c r="BS19" s="125" t="str">
        <f t="shared" si="27"/>
        <v/>
      </c>
      <c r="BT19" s="126" t="str">
        <f t="shared" si="13"/>
        <v/>
      </c>
      <c r="BU19" s="114"/>
      <c r="BV19" s="132" t="e">
        <f t="shared" si="14"/>
        <v>#DIV/0!</v>
      </c>
      <c r="BW19" s="127" t="e">
        <f t="shared" si="15"/>
        <v>#DIV/0!</v>
      </c>
      <c r="BX19" s="127" t="e">
        <f t="shared" si="16"/>
        <v>#DIV/0!</v>
      </c>
      <c r="BY19" s="127" t="e">
        <f t="shared" si="17"/>
        <v>#DIV/0!</v>
      </c>
      <c r="BZ19" s="127" t="e">
        <f t="shared" si="28"/>
        <v>#DIV/0!</v>
      </c>
      <c r="CA19" s="128" t="e">
        <f t="shared" si="29"/>
        <v>#DIV/0!</v>
      </c>
      <c r="CB19" s="114"/>
      <c r="CC19" s="129" t="str">
        <f t="shared" si="18"/>
        <v>-</v>
      </c>
      <c r="CD19" s="130" t="str">
        <f t="shared" si="19"/>
        <v>-</v>
      </c>
      <c r="CE19" s="130" t="str">
        <f t="shared" si="20"/>
        <v>-</v>
      </c>
      <c r="CF19" s="130" t="str">
        <f t="shared" si="21"/>
        <v>-</v>
      </c>
      <c r="CG19" s="131" t="str">
        <f t="shared" si="22"/>
        <v>-</v>
      </c>
      <c r="CH19" s="114"/>
    </row>
    <row r="20" spans="1:86" s="115" customFormat="1" ht="12.4" customHeight="1" thickBot="1" x14ac:dyDescent="0.25">
      <c r="A20" s="96">
        <f t="shared" si="30"/>
        <v>46312</v>
      </c>
      <c r="B20" s="97" t="str">
        <f t="shared" si="0"/>
        <v>Sat</v>
      </c>
      <c r="C20" s="60">
        <f>+SUM(EL_DEL_CD2_PTP_!C20,EL_DEL_CD2_PTP_L_!C20)</f>
        <v>0</v>
      </c>
      <c r="D20" s="60">
        <f>+SUM(EL_DEL_CD2_PTP_!D20,EL_DEL_CD2_PTP_L_!D20)</f>
        <v>0</v>
      </c>
      <c r="E20" s="60">
        <f>+SUM(EL_DEL_CD2_PTP_!E20,EL_DEL_CD2_PTP_L_!E20)</f>
        <v>0</v>
      </c>
      <c r="F20" s="60">
        <f>+SUM(EL_DEL_CD2_PTP_!F20,EL_DEL_CD2_PTP_L_!F20)</f>
        <v>0</v>
      </c>
      <c r="G20" s="60">
        <f>+SUM(EL_DEL_CD2_PTP_!G20,EL_DEL_CD2_PTP_L_!G20)</f>
        <v>0</v>
      </c>
      <c r="H20" s="60">
        <f>+SUM(EL_DEL_CD2_PTP_!H20,EL_DEL_CD2_PTP_L_!H20)</f>
        <v>0</v>
      </c>
      <c r="I20" s="60">
        <f>+SUM(EL_DEL_CD2_PTP_!I20,EL_DEL_CD2_PTP_L_!I20)</f>
        <v>0</v>
      </c>
      <c r="J20" s="60">
        <f>+SUM(EL_DEL_CD2_PTP_!J20,EL_DEL_CD2_PTP_L_!J20)</f>
        <v>0</v>
      </c>
      <c r="K20" s="60">
        <f>+SUM(EL_DEL_CD2_PTP_!K20,EL_DEL_CD2_PTP_L_!K20)</f>
        <v>0</v>
      </c>
      <c r="L20" s="60">
        <f>+SUM(EL_DEL_CD2_PTP_!L20,EL_DEL_CD2_PTP_L_!L20)</f>
        <v>0</v>
      </c>
      <c r="M20" s="60">
        <f>+SUM(EL_DEL_CD2_PTP_!M20,EL_DEL_CD2_PTP_L_!M20)</f>
        <v>0</v>
      </c>
      <c r="N20" s="60">
        <f>+SUM(EL_DEL_CD2_PTP_!N20,EL_DEL_CD2_PTP_L_!N20)</f>
        <v>0</v>
      </c>
      <c r="O20" s="60">
        <f>+SUM(EL_DEL_CD2_PTP_!O20,EL_DEL_CD2_PTP_L_!O20)</f>
        <v>0</v>
      </c>
      <c r="P20" s="60">
        <f>+SUM(EL_DEL_CD2_PTP_!P20,EL_DEL_CD2_PTP_L_!P20)</f>
        <v>0</v>
      </c>
      <c r="Q20" s="60">
        <f>+SUM(EL_DEL_CD2_PTP_!Q20,EL_DEL_CD2_PTP_L_!Q20)</f>
        <v>0</v>
      </c>
      <c r="R20" s="60">
        <f>+SUM(EL_DEL_CD2_PTP_!R20,EL_DEL_CD2_PTP_L_!R20)</f>
        <v>0</v>
      </c>
      <c r="S20" s="60">
        <f>+SUM(EL_DEL_CD2_PTP_!S20,EL_DEL_CD2_PTP_L_!S20)</f>
        <v>0</v>
      </c>
      <c r="T20" s="60">
        <f>+SUM(EL_DEL_CD2_PTP_!T20,EL_DEL_CD2_PTP_L_!T20)</f>
        <v>0</v>
      </c>
      <c r="U20" s="98">
        <f>+SUM(EL_DEL_CD2_PTP_!U20,EL_DEL_CD2_PTP_L_!U20)</f>
        <v>0</v>
      </c>
      <c r="V20" s="60">
        <f>+SUM(EL_DEL_CD2_PTP_!V20,EL_DEL_CD2_PTP_L_!V20)</f>
        <v>0</v>
      </c>
      <c r="W20" s="60">
        <f>+SUM(EL_DEL_CD2_PTP_!W20,EL_DEL_CD2_PTP_L_!W20)</f>
        <v>0</v>
      </c>
      <c r="X20" s="60">
        <f>+SUM(EL_DEL_CD2_PTP_!X20,EL_DEL_CD2_PTP_L_!X20)</f>
        <v>0</v>
      </c>
      <c r="Y20" s="60">
        <f>+SUM(EL_DEL_CD2_PTP_!Y20,EL_DEL_CD2_PTP_L_!Y20)</f>
        <v>0</v>
      </c>
      <c r="Z20" s="60">
        <f>+SUM(EL_DEL_CD2_PTP_!Z20,EL_DEL_CD2_PTP_L_!Z20)</f>
        <v>0</v>
      </c>
      <c r="AA20" s="60">
        <f>+SUM(EL_DEL_CD2_PTP_!AA20,EL_DEL_CD2_PTP_L_!AA20)</f>
        <v>0</v>
      </c>
      <c r="AB20" s="60">
        <f>+SUM(EL_DEL_CD2_PTP_!AB20,EL_DEL_CD2_PTP_L_!AB20)</f>
        <v>0</v>
      </c>
      <c r="AC20" s="60">
        <f>+SUM(EL_DEL_CD2_PTP_!AC20,EL_DEL_CD2_PTP_L_!AC20)</f>
        <v>0</v>
      </c>
      <c r="AD20" s="60">
        <f>+SUM(EL_DEL_CD2_PTP_!AD20,EL_DEL_CD2_PTP_L_!AD20)</f>
        <v>0</v>
      </c>
      <c r="AE20" s="60">
        <f>+SUM(EL_DEL_CD2_PTP_!AE20,EL_DEL_CD2_PTP_L_!AE20)</f>
        <v>0</v>
      </c>
      <c r="AF20" s="60">
        <f>+SUM(EL_DEL_CD2_PTP_!AF20,EL_DEL_CD2_PTP_L_!AF20)</f>
        <v>0</v>
      </c>
      <c r="AG20" s="60">
        <f>+SUM(EL_DEL_CD2_PTP_!AG20,EL_DEL_CD2_PTP_L_!AG20)</f>
        <v>0</v>
      </c>
      <c r="AH20" s="60">
        <f>+SUM(EL_DEL_CD2_PTP_!AH20,EL_DEL_CD2_PTP_L_!AH20)</f>
        <v>0</v>
      </c>
      <c r="AI20" s="60">
        <f>+SUM(EL_DEL_CD2_PTP_!AI20,EL_DEL_CD2_PTP_L_!AI20)</f>
        <v>0</v>
      </c>
      <c r="AJ20" s="60">
        <f>+SUM(EL_DEL_CD2_PTP_!AJ20,EL_DEL_CD2_PTP_L_!AJ20)</f>
        <v>0</v>
      </c>
      <c r="AK20" s="60">
        <f>+SUM(EL_DEL_CD2_PTP_!AK20,EL_DEL_CD2_PTP_L_!AK20)</f>
        <v>0</v>
      </c>
      <c r="AL20" s="99" t="str">
        <f>+IFERROR(AVERAGE(EL_DEL_CD2_PTP_!AL20,EL_DEL_CD2_PTP_L_!AL20),"0")</f>
        <v>0</v>
      </c>
      <c r="AM20" s="99" t="str">
        <f>+IFERROR(AVERAGE(EL_DEL_CD2_PTP_!AM20,EL_DEL_CD2_PTP_L_!AM20),"0")</f>
        <v>0</v>
      </c>
      <c r="AN20" s="99" t="str">
        <f>+IFERROR(AVERAGE(EL_DEL_CD2_PTP_!AN20,EL_DEL_CD2_PTP_L_!AN20),"0")</f>
        <v>0</v>
      </c>
      <c r="AO20" s="99" t="str">
        <f>+IFERROR(AVERAGE(EL_DEL_CD2_PTP_!AO20,EL_DEL_CD2_PTP_L_!AO20),"0")</f>
        <v>0</v>
      </c>
      <c r="AP20" s="99" t="str">
        <f>+IFERROR(AVERAGE(EL_DEL_CD2_PTP_!AP20,EL_DEL_CD2_PTP_L_!AP20),"0")</f>
        <v>0</v>
      </c>
      <c r="AQ20" s="99" t="str">
        <f>+IFERROR(AVERAGE(EL_DEL_CD2_PTP_!AQ20,EL_DEL_CD2_PTP_L_!AQ20),"0")</f>
        <v>0</v>
      </c>
      <c r="AR20" s="99" t="str">
        <f>+IFERROR(AVERAGE(EL_DEL_CD2_PTP_!AR20,EL_DEL_CD2_PTP_L_!AR20),"0")</f>
        <v>0</v>
      </c>
      <c r="AS20" s="99" t="str">
        <f>+IFERROR(AVERAGE(EL_DEL_CD2_PTP_!AS20,EL_DEL_CD2_PTP_L_!AS20),"0")</f>
        <v>0</v>
      </c>
      <c r="AT20" s="100">
        <f>+SUM(EL_DEL_CD2_PTP_!AT20,EL_DEL_CD2_PTP_L_!AT20)</f>
        <v>0</v>
      </c>
      <c r="AU20" s="100">
        <f>+SUM(EL_DEL_CD2_PTP_!AU20,EL_DEL_CD2_PTP_L_!AU20)</f>
        <v>0</v>
      </c>
      <c r="AV20" s="101">
        <f>+SUM(EL_DEL_CD2_PTP_!AV20,EL_DEL_CD2_PTP_L_!AV20)</f>
        <v>0</v>
      </c>
      <c r="AW20" s="60">
        <f>+SUM(EL_DEL_CD2_PTP_!AW20,EL_DEL_CD2_PTP_L_!AW20)</f>
        <v>0</v>
      </c>
      <c r="AX20" s="102" t="str">
        <f t="shared" si="23"/>
        <v>-</v>
      </c>
      <c r="AY20" s="114"/>
      <c r="AZ20" s="116" t="str">
        <f t="shared" si="1"/>
        <v/>
      </c>
      <c r="BA20" s="117" t="str">
        <f t="shared" si="2"/>
        <v/>
      </c>
      <c r="BB20" s="116" t="str">
        <f t="shared" si="3"/>
        <v/>
      </c>
      <c r="BC20" s="114"/>
      <c r="BD20" s="118" t="str">
        <f t="shared" si="4"/>
        <v/>
      </c>
      <c r="BE20" s="119" t="str">
        <f t="shared" si="5"/>
        <v/>
      </c>
      <c r="BF20" s="119" t="str">
        <f t="shared" si="6"/>
        <v/>
      </c>
      <c r="BG20" s="119" t="str">
        <f t="shared" si="24"/>
        <v/>
      </c>
      <c r="BH20" s="119" t="str">
        <f t="shared" si="7"/>
        <v/>
      </c>
      <c r="BI20" s="120" t="str">
        <f t="shared" si="25"/>
        <v/>
      </c>
      <c r="BJ20" s="114"/>
      <c r="BK20" s="121" t="str">
        <f t="shared" si="8"/>
        <v/>
      </c>
      <c r="BL20" s="122" t="str">
        <f t="shared" si="9"/>
        <v/>
      </c>
      <c r="BM20" s="122" t="str">
        <f t="shared" si="10"/>
        <v/>
      </c>
      <c r="BN20" s="123" t="str">
        <f t="shared" si="11"/>
        <v/>
      </c>
      <c r="BO20" s="114"/>
      <c r="BP20" s="124" t="str">
        <f t="shared" si="12"/>
        <v/>
      </c>
      <c r="BQ20" s="125">
        <v>0</v>
      </c>
      <c r="BR20" s="125" t="str">
        <f t="shared" si="26"/>
        <v/>
      </c>
      <c r="BS20" s="125" t="str">
        <f t="shared" si="27"/>
        <v/>
      </c>
      <c r="BT20" s="126" t="str">
        <f t="shared" si="13"/>
        <v/>
      </c>
      <c r="BU20" s="114"/>
      <c r="BV20" s="132" t="e">
        <f t="shared" si="14"/>
        <v>#DIV/0!</v>
      </c>
      <c r="BW20" s="127" t="e">
        <f t="shared" si="15"/>
        <v>#DIV/0!</v>
      </c>
      <c r="BX20" s="127" t="e">
        <f t="shared" si="16"/>
        <v>#DIV/0!</v>
      </c>
      <c r="BY20" s="127" t="e">
        <f t="shared" si="17"/>
        <v>#DIV/0!</v>
      </c>
      <c r="BZ20" s="127" t="e">
        <f t="shared" si="28"/>
        <v>#DIV/0!</v>
      </c>
      <c r="CA20" s="128" t="e">
        <f t="shared" si="29"/>
        <v>#DIV/0!</v>
      </c>
      <c r="CB20" s="114"/>
      <c r="CC20" s="129" t="str">
        <f t="shared" si="18"/>
        <v>-</v>
      </c>
      <c r="CD20" s="130" t="str">
        <f t="shared" si="19"/>
        <v>-</v>
      </c>
      <c r="CE20" s="130" t="str">
        <f t="shared" si="20"/>
        <v>-</v>
      </c>
      <c r="CF20" s="130" t="str">
        <f t="shared" si="21"/>
        <v>-</v>
      </c>
      <c r="CG20" s="131" t="str">
        <f t="shared" si="22"/>
        <v>-</v>
      </c>
      <c r="CH20" s="114"/>
    </row>
    <row r="21" spans="1:86" s="115" customFormat="1" ht="12.4" customHeight="1" thickBot="1" x14ac:dyDescent="0.25">
      <c r="A21" s="96">
        <f t="shared" si="30"/>
        <v>46313</v>
      </c>
      <c r="B21" s="97" t="str">
        <f t="shared" si="0"/>
        <v>Sun</v>
      </c>
      <c r="C21" s="60">
        <f>+SUM(EL_DEL_CD2_PTP_!C21,EL_DEL_CD2_PTP_L_!C21)</f>
        <v>0</v>
      </c>
      <c r="D21" s="60">
        <f>+SUM(EL_DEL_CD2_PTP_!D21,EL_DEL_CD2_PTP_L_!D21)</f>
        <v>0</v>
      </c>
      <c r="E21" s="60">
        <f>+SUM(EL_DEL_CD2_PTP_!E21,EL_DEL_CD2_PTP_L_!E21)</f>
        <v>0</v>
      </c>
      <c r="F21" s="60">
        <f>+SUM(EL_DEL_CD2_PTP_!F21,EL_DEL_CD2_PTP_L_!F21)</f>
        <v>0</v>
      </c>
      <c r="G21" s="60">
        <f>+SUM(EL_DEL_CD2_PTP_!G21,EL_DEL_CD2_PTP_L_!G21)</f>
        <v>0</v>
      </c>
      <c r="H21" s="60">
        <f>+SUM(EL_DEL_CD2_PTP_!H21,EL_DEL_CD2_PTP_L_!H21)</f>
        <v>0</v>
      </c>
      <c r="I21" s="60">
        <f>+SUM(EL_DEL_CD2_PTP_!I21,EL_DEL_CD2_PTP_L_!I21)</f>
        <v>0</v>
      </c>
      <c r="J21" s="60">
        <f>+SUM(EL_DEL_CD2_PTP_!J21,EL_DEL_CD2_PTP_L_!J21)</f>
        <v>0</v>
      </c>
      <c r="K21" s="60">
        <f>+SUM(EL_DEL_CD2_PTP_!K21,EL_DEL_CD2_PTP_L_!K21)</f>
        <v>0</v>
      </c>
      <c r="L21" s="60">
        <f>+SUM(EL_DEL_CD2_PTP_!L21,EL_DEL_CD2_PTP_L_!L21)</f>
        <v>0</v>
      </c>
      <c r="M21" s="60">
        <f>+SUM(EL_DEL_CD2_PTP_!M21,EL_DEL_CD2_PTP_L_!M21)</f>
        <v>0</v>
      </c>
      <c r="N21" s="60">
        <f>+SUM(EL_DEL_CD2_PTP_!N21,EL_DEL_CD2_PTP_L_!N21)</f>
        <v>0</v>
      </c>
      <c r="O21" s="60">
        <f>+SUM(EL_DEL_CD2_PTP_!O21,EL_DEL_CD2_PTP_L_!O21)</f>
        <v>0</v>
      </c>
      <c r="P21" s="60">
        <f>+SUM(EL_DEL_CD2_PTP_!P21,EL_DEL_CD2_PTP_L_!P21)</f>
        <v>0</v>
      </c>
      <c r="Q21" s="60">
        <f>+SUM(EL_DEL_CD2_PTP_!Q21,EL_DEL_CD2_PTP_L_!Q21)</f>
        <v>0</v>
      </c>
      <c r="R21" s="60">
        <f>+SUM(EL_DEL_CD2_PTP_!R21,EL_DEL_CD2_PTP_L_!R21)</f>
        <v>0</v>
      </c>
      <c r="S21" s="60">
        <f>+SUM(EL_DEL_CD2_PTP_!S21,EL_DEL_CD2_PTP_L_!S21)</f>
        <v>0</v>
      </c>
      <c r="T21" s="60">
        <f>+SUM(EL_DEL_CD2_PTP_!T21,EL_DEL_CD2_PTP_L_!T21)</f>
        <v>0</v>
      </c>
      <c r="U21" s="98">
        <f>+SUM(EL_DEL_CD2_PTP_!U21,EL_DEL_CD2_PTP_L_!U21)</f>
        <v>0</v>
      </c>
      <c r="V21" s="60">
        <f>+SUM(EL_DEL_CD2_PTP_!V21,EL_DEL_CD2_PTP_L_!V21)</f>
        <v>0</v>
      </c>
      <c r="W21" s="60">
        <f>+SUM(EL_DEL_CD2_PTP_!W21,EL_DEL_CD2_PTP_L_!W21)</f>
        <v>0</v>
      </c>
      <c r="X21" s="60">
        <f>+SUM(EL_DEL_CD2_PTP_!X21,EL_DEL_CD2_PTP_L_!X21)</f>
        <v>0</v>
      </c>
      <c r="Y21" s="60">
        <f>+SUM(EL_DEL_CD2_PTP_!Y21,EL_DEL_CD2_PTP_L_!Y21)</f>
        <v>0</v>
      </c>
      <c r="Z21" s="60">
        <f>+SUM(EL_DEL_CD2_PTP_!Z21,EL_DEL_CD2_PTP_L_!Z21)</f>
        <v>0</v>
      </c>
      <c r="AA21" s="60">
        <f>+SUM(EL_DEL_CD2_PTP_!AA21,EL_DEL_CD2_PTP_L_!AA21)</f>
        <v>0</v>
      </c>
      <c r="AB21" s="60">
        <f>+SUM(EL_DEL_CD2_PTP_!AB21,EL_DEL_CD2_PTP_L_!AB21)</f>
        <v>0</v>
      </c>
      <c r="AC21" s="60">
        <f>+SUM(EL_DEL_CD2_PTP_!AC21,EL_DEL_CD2_PTP_L_!AC21)</f>
        <v>0</v>
      </c>
      <c r="AD21" s="60">
        <f>+SUM(EL_DEL_CD2_PTP_!AD21,EL_DEL_CD2_PTP_L_!AD21)</f>
        <v>0</v>
      </c>
      <c r="AE21" s="60">
        <f>+SUM(EL_DEL_CD2_PTP_!AE21,EL_DEL_CD2_PTP_L_!AE21)</f>
        <v>0</v>
      </c>
      <c r="AF21" s="60">
        <f>+SUM(EL_DEL_CD2_PTP_!AF21,EL_DEL_CD2_PTP_L_!AF21)</f>
        <v>0</v>
      </c>
      <c r="AG21" s="60">
        <f>+SUM(EL_DEL_CD2_PTP_!AG21,EL_DEL_CD2_PTP_L_!AG21)</f>
        <v>0</v>
      </c>
      <c r="AH21" s="60">
        <f>+SUM(EL_DEL_CD2_PTP_!AH21,EL_DEL_CD2_PTP_L_!AH21)</f>
        <v>0</v>
      </c>
      <c r="AI21" s="60">
        <f>+SUM(EL_DEL_CD2_PTP_!AI21,EL_DEL_CD2_PTP_L_!AI21)</f>
        <v>0</v>
      </c>
      <c r="AJ21" s="60">
        <f>+SUM(EL_DEL_CD2_PTP_!AJ21,EL_DEL_CD2_PTP_L_!AJ21)</f>
        <v>0</v>
      </c>
      <c r="AK21" s="60">
        <f>+SUM(EL_DEL_CD2_PTP_!AK21,EL_DEL_CD2_PTP_L_!AK21)</f>
        <v>0</v>
      </c>
      <c r="AL21" s="99" t="str">
        <f>+IFERROR(AVERAGE(EL_DEL_CD2_PTP_!AL21,EL_DEL_CD2_PTP_L_!AL21),"0")</f>
        <v>0</v>
      </c>
      <c r="AM21" s="99" t="str">
        <f>+IFERROR(AVERAGE(EL_DEL_CD2_PTP_!AM21,EL_DEL_CD2_PTP_L_!AM21),"0")</f>
        <v>0</v>
      </c>
      <c r="AN21" s="99" t="str">
        <f>+IFERROR(AVERAGE(EL_DEL_CD2_PTP_!AN21,EL_DEL_CD2_PTP_L_!AN21),"0")</f>
        <v>0</v>
      </c>
      <c r="AO21" s="99" t="str">
        <f>+IFERROR(AVERAGE(EL_DEL_CD2_PTP_!AO21,EL_DEL_CD2_PTP_L_!AO21),"0")</f>
        <v>0</v>
      </c>
      <c r="AP21" s="99" t="str">
        <f>+IFERROR(AVERAGE(EL_DEL_CD2_PTP_!AP21,EL_DEL_CD2_PTP_L_!AP21),"0")</f>
        <v>0</v>
      </c>
      <c r="AQ21" s="99" t="str">
        <f>+IFERROR(AVERAGE(EL_DEL_CD2_PTP_!AQ21,EL_DEL_CD2_PTP_L_!AQ21),"0")</f>
        <v>0</v>
      </c>
      <c r="AR21" s="99" t="str">
        <f>+IFERROR(AVERAGE(EL_DEL_CD2_PTP_!AR21,EL_DEL_CD2_PTP_L_!AR21),"0")</f>
        <v>0</v>
      </c>
      <c r="AS21" s="99" t="str">
        <f>+IFERROR(AVERAGE(EL_DEL_CD2_PTP_!AS21,EL_DEL_CD2_PTP_L_!AS21),"0")</f>
        <v>0</v>
      </c>
      <c r="AT21" s="100">
        <f>+SUM(EL_DEL_CD2_PTP_!AT21,EL_DEL_CD2_PTP_L_!AT21)</f>
        <v>0</v>
      </c>
      <c r="AU21" s="100">
        <f>+SUM(EL_DEL_CD2_PTP_!AU21,EL_DEL_CD2_PTP_L_!AU21)</f>
        <v>0</v>
      </c>
      <c r="AV21" s="101">
        <f>+SUM(EL_DEL_CD2_PTP_!AV21,EL_DEL_CD2_PTP_L_!AV21)</f>
        <v>0</v>
      </c>
      <c r="AW21" s="60">
        <f>+SUM(EL_DEL_CD2_PTP_!AW21,EL_DEL_CD2_PTP_L_!AW21)</f>
        <v>0</v>
      </c>
      <c r="AX21" s="102" t="str">
        <f t="shared" si="23"/>
        <v>-</v>
      </c>
      <c r="AY21" s="114"/>
      <c r="AZ21" s="116" t="str">
        <f t="shared" si="1"/>
        <v/>
      </c>
      <c r="BA21" s="117" t="str">
        <f t="shared" si="2"/>
        <v/>
      </c>
      <c r="BB21" s="116" t="str">
        <f t="shared" si="3"/>
        <v/>
      </c>
      <c r="BC21" s="114"/>
      <c r="BD21" s="118" t="str">
        <f t="shared" si="4"/>
        <v/>
      </c>
      <c r="BE21" s="119" t="str">
        <f t="shared" si="5"/>
        <v/>
      </c>
      <c r="BF21" s="119" t="str">
        <f t="shared" si="6"/>
        <v/>
      </c>
      <c r="BG21" s="119" t="str">
        <f t="shared" si="24"/>
        <v/>
      </c>
      <c r="BH21" s="119" t="str">
        <f t="shared" si="7"/>
        <v/>
      </c>
      <c r="BI21" s="120" t="str">
        <f t="shared" si="25"/>
        <v/>
      </c>
      <c r="BJ21" s="114"/>
      <c r="BK21" s="121" t="str">
        <f t="shared" si="8"/>
        <v/>
      </c>
      <c r="BL21" s="122" t="str">
        <f t="shared" si="9"/>
        <v/>
      </c>
      <c r="BM21" s="122" t="str">
        <f t="shared" si="10"/>
        <v/>
      </c>
      <c r="BN21" s="123" t="str">
        <f t="shared" si="11"/>
        <v/>
      </c>
      <c r="BO21" s="114"/>
      <c r="BP21" s="124" t="str">
        <f t="shared" si="12"/>
        <v/>
      </c>
      <c r="BQ21" s="125">
        <v>0</v>
      </c>
      <c r="BR21" s="125" t="str">
        <f t="shared" si="26"/>
        <v/>
      </c>
      <c r="BS21" s="125" t="str">
        <f t="shared" si="27"/>
        <v/>
      </c>
      <c r="BT21" s="126" t="str">
        <f t="shared" si="13"/>
        <v/>
      </c>
      <c r="BU21" s="114"/>
      <c r="BV21" s="132" t="e">
        <f t="shared" si="14"/>
        <v>#DIV/0!</v>
      </c>
      <c r="BW21" s="127" t="e">
        <f t="shared" si="15"/>
        <v>#DIV/0!</v>
      </c>
      <c r="BX21" s="127" t="e">
        <f t="shared" si="16"/>
        <v>#DIV/0!</v>
      </c>
      <c r="BY21" s="127" t="e">
        <f t="shared" si="17"/>
        <v>#DIV/0!</v>
      </c>
      <c r="BZ21" s="127" t="e">
        <f t="shared" si="28"/>
        <v>#DIV/0!</v>
      </c>
      <c r="CA21" s="128" t="e">
        <f t="shared" si="29"/>
        <v>#DIV/0!</v>
      </c>
      <c r="CB21" s="114"/>
      <c r="CC21" s="129" t="str">
        <f t="shared" si="18"/>
        <v>-</v>
      </c>
      <c r="CD21" s="130" t="str">
        <f t="shared" si="19"/>
        <v>-</v>
      </c>
      <c r="CE21" s="130" t="str">
        <f t="shared" si="20"/>
        <v>-</v>
      </c>
      <c r="CF21" s="130" t="str">
        <f t="shared" si="21"/>
        <v>-</v>
      </c>
      <c r="CG21" s="131" t="str">
        <f t="shared" si="22"/>
        <v>-</v>
      </c>
      <c r="CH21" s="114"/>
    </row>
    <row r="22" spans="1:86" s="115" customFormat="1" ht="12.4" customHeight="1" thickBot="1" x14ac:dyDescent="0.25">
      <c r="A22" s="96">
        <f t="shared" si="30"/>
        <v>46314</v>
      </c>
      <c r="B22" s="97" t="str">
        <f t="shared" si="0"/>
        <v>Mon</v>
      </c>
      <c r="C22" s="60">
        <f>+SUM(EL_DEL_CD2_PTP_!C22,EL_DEL_CD2_PTP_L_!C22)</f>
        <v>0</v>
      </c>
      <c r="D22" s="60">
        <f>+SUM(EL_DEL_CD2_PTP_!D22,EL_DEL_CD2_PTP_L_!D22)</f>
        <v>0</v>
      </c>
      <c r="E22" s="60">
        <f>+SUM(EL_DEL_CD2_PTP_!E22,EL_DEL_CD2_PTP_L_!E22)</f>
        <v>0</v>
      </c>
      <c r="F22" s="60">
        <f>+SUM(EL_DEL_CD2_PTP_!F22,EL_DEL_CD2_PTP_L_!F22)</f>
        <v>0</v>
      </c>
      <c r="G22" s="60">
        <f>+SUM(EL_DEL_CD2_PTP_!G22,EL_DEL_CD2_PTP_L_!G22)</f>
        <v>0</v>
      </c>
      <c r="H22" s="60">
        <f>+SUM(EL_DEL_CD2_PTP_!H22,EL_DEL_CD2_PTP_L_!H22)</f>
        <v>0</v>
      </c>
      <c r="I22" s="60">
        <f>+SUM(EL_DEL_CD2_PTP_!I22,EL_DEL_CD2_PTP_L_!I22)</f>
        <v>0</v>
      </c>
      <c r="J22" s="60">
        <f>+SUM(EL_DEL_CD2_PTP_!J22,EL_DEL_CD2_PTP_L_!J22)</f>
        <v>0</v>
      </c>
      <c r="K22" s="60">
        <f>+SUM(EL_DEL_CD2_PTP_!K22,EL_DEL_CD2_PTP_L_!K22)</f>
        <v>0</v>
      </c>
      <c r="L22" s="60">
        <f>+SUM(EL_DEL_CD2_PTP_!L22,EL_DEL_CD2_PTP_L_!L22)</f>
        <v>0</v>
      </c>
      <c r="M22" s="60">
        <f>+SUM(EL_DEL_CD2_PTP_!M22,EL_DEL_CD2_PTP_L_!M22)</f>
        <v>0</v>
      </c>
      <c r="N22" s="60">
        <f>+SUM(EL_DEL_CD2_PTP_!N22,EL_DEL_CD2_PTP_L_!N22)</f>
        <v>0</v>
      </c>
      <c r="O22" s="60">
        <f>+SUM(EL_DEL_CD2_PTP_!O22,EL_DEL_CD2_PTP_L_!O22)</f>
        <v>0</v>
      </c>
      <c r="P22" s="60">
        <f>+SUM(EL_DEL_CD2_PTP_!P22,EL_DEL_CD2_PTP_L_!P22)</f>
        <v>0</v>
      </c>
      <c r="Q22" s="60">
        <f>+SUM(EL_DEL_CD2_PTP_!Q22,EL_DEL_CD2_PTP_L_!Q22)</f>
        <v>0</v>
      </c>
      <c r="R22" s="60">
        <f>+SUM(EL_DEL_CD2_PTP_!R22,EL_DEL_CD2_PTP_L_!R22)</f>
        <v>0</v>
      </c>
      <c r="S22" s="60">
        <f>+SUM(EL_DEL_CD2_PTP_!S22,EL_DEL_CD2_PTP_L_!S22)</f>
        <v>0</v>
      </c>
      <c r="T22" s="60">
        <f>+SUM(EL_DEL_CD2_PTP_!T22,EL_DEL_CD2_PTP_L_!T22)</f>
        <v>0</v>
      </c>
      <c r="U22" s="98">
        <f>+SUM(EL_DEL_CD2_PTP_!U22,EL_DEL_CD2_PTP_L_!U22)</f>
        <v>0</v>
      </c>
      <c r="V22" s="60">
        <f>+SUM(EL_DEL_CD2_PTP_!V22,EL_DEL_CD2_PTP_L_!V22)</f>
        <v>0</v>
      </c>
      <c r="W22" s="60">
        <f>+SUM(EL_DEL_CD2_PTP_!W22,EL_DEL_CD2_PTP_L_!W22)</f>
        <v>0</v>
      </c>
      <c r="X22" s="60">
        <f>+SUM(EL_DEL_CD2_PTP_!X22,EL_DEL_CD2_PTP_L_!X22)</f>
        <v>0</v>
      </c>
      <c r="Y22" s="60">
        <f>+SUM(EL_DEL_CD2_PTP_!Y22,EL_DEL_CD2_PTP_L_!Y22)</f>
        <v>0</v>
      </c>
      <c r="Z22" s="60">
        <f>+SUM(EL_DEL_CD2_PTP_!Z22,EL_DEL_CD2_PTP_L_!Z22)</f>
        <v>0</v>
      </c>
      <c r="AA22" s="60">
        <f>+SUM(EL_DEL_CD2_PTP_!AA22,EL_DEL_CD2_PTP_L_!AA22)</f>
        <v>0</v>
      </c>
      <c r="AB22" s="60">
        <f>+SUM(EL_DEL_CD2_PTP_!AB22,EL_DEL_CD2_PTP_L_!AB22)</f>
        <v>0</v>
      </c>
      <c r="AC22" s="60">
        <f>+SUM(EL_DEL_CD2_PTP_!AC22,EL_DEL_CD2_PTP_L_!AC22)</f>
        <v>0</v>
      </c>
      <c r="AD22" s="60">
        <f>+SUM(EL_DEL_CD2_PTP_!AD22,EL_DEL_CD2_PTP_L_!AD22)</f>
        <v>0</v>
      </c>
      <c r="AE22" s="60">
        <f>+SUM(EL_DEL_CD2_PTP_!AE22,EL_DEL_CD2_PTP_L_!AE22)</f>
        <v>0</v>
      </c>
      <c r="AF22" s="60">
        <f>+SUM(EL_DEL_CD2_PTP_!AF22,EL_DEL_CD2_PTP_L_!AF22)</f>
        <v>0</v>
      </c>
      <c r="AG22" s="60">
        <f>+SUM(EL_DEL_CD2_PTP_!AG22,EL_DEL_CD2_PTP_L_!AG22)</f>
        <v>0</v>
      </c>
      <c r="AH22" s="60">
        <f>+SUM(EL_DEL_CD2_PTP_!AH22,EL_DEL_CD2_PTP_L_!AH22)</f>
        <v>0</v>
      </c>
      <c r="AI22" s="60">
        <f>+SUM(EL_DEL_CD2_PTP_!AI22,EL_DEL_CD2_PTP_L_!AI22)</f>
        <v>0</v>
      </c>
      <c r="AJ22" s="60">
        <f>+SUM(EL_DEL_CD2_PTP_!AJ22,EL_DEL_CD2_PTP_L_!AJ22)</f>
        <v>0</v>
      </c>
      <c r="AK22" s="60">
        <f>+SUM(EL_DEL_CD2_PTP_!AK22,EL_DEL_CD2_PTP_L_!AK22)</f>
        <v>0</v>
      </c>
      <c r="AL22" s="99" t="str">
        <f>+IFERROR(AVERAGE(EL_DEL_CD2_PTP_!AL22,EL_DEL_CD2_PTP_L_!AL22),"0")</f>
        <v>0</v>
      </c>
      <c r="AM22" s="99" t="str">
        <f>+IFERROR(AVERAGE(EL_DEL_CD2_PTP_!AM22,EL_DEL_CD2_PTP_L_!AM22),"0")</f>
        <v>0</v>
      </c>
      <c r="AN22" s="99" t="str">
        <f>+IFERROR(AVERAGE(EL_DEL_CD2_PTP_!AN22,EL_DEL_CD2_PTP_L_!AN22),"0")</f>
        <v>0</v>
      </c>
      <c r="AO22" s="99" t="str">
        <f>+IFERROR(AVERAGE(EL_DEL_CD2_PTP_!AO22,EL_DEL_CD2_PTP_L_!AO22),"0")</f>
        <v>0</v>
      </c>
      <c r="AP22" s="99" t="str">
        <f>+IFERROR(AVERAGE(EL_DEL_CD2_PTP_!AP22,EL_DEL_CD2_PTP_L_!AP22),"0")</f>
        <v>0</v>
      </c>
      <c r="AQ22" s="99" t="str">
        <f>+IFERROR(AVERAGE(EL_DEL_CD2_PTP_!AQ22,EL_DEL_CD2_PTP_L_!AQ22),"0")</f>
        <v>0</v>
      </c>
      <c r="AR22" s="99" t="str">
        <f>+IFERROR(AVERAGE(EL_DEL_CD2_PTP_!AR22,EL_DEL_CD2_PTP_L_!AR22),"0")</f>
        <v>0</v>
      </c>
      <c r="AS22" s="99" t="str">
        <f>+IFERROR(AVERAGE(EL_DEL_CD2_PTP_!AS22,EL_DEL_CD2_PTP_L_!AS22),"0")</f>
        <v>0</v>
      </c>
      <c r="AT22" s="100">
        <f>+SUM(EL_DEL_CD2_PTP_!AT22,EL_DEL_CD2_PTP_L_!AT22)</f>
        <v>0</v>
      </c>
      <c r="AU22" s="100">
        <f>+SUM(EL_DEL_CD2_PTP_!AU22,EL_DEL_CD2_PTP_L_!AU22)</f>
        <v>0</v>
      </c>
      <c r="AV22" s="101">
        <f>+SUM(EL_DEL_CD2_PTP_!AV22,EL_DEL_CD2_PTP_L_!AV22)</f>
        <v>0</v>
      </c>
      <c r="AW22" s="60">
        <f>+SUM(EL_DEL_CD2_PTP_!AW22,EL_DEL_CD2_PTP_L_!AW22)</f>
        <v>0</v>
      </c>
      <c r="AX22" s="102" t="str">
        <f t="shared" si="23"/>
        <v>-</v>
      </c>
      <c r="AY22" s="114"/>
      <c r="AZ22" s="116" t="str">
        <f t="shared" si="1"/>
        <v/>
      </c>
      <c r="BA22" s="117" t="str">
        <f t="shared" si="2"/>
        <v/>
      </c>
      <c r="BB22" s="116" t="str">
        <f t="shared" si="3"/>
        <v/>
      </c>
      <c r="BC22" s="114"/>
      <c r="BD22" s="118" t="str">
        <f t="shared" si="4"/>
        <v/>
      </c>
      <c r="BE22" s="119" t="str">
        <f t="shared" si="5"/>
        <v/>
      </c>
      <c r="BF22" s="119" t="str">
        <f t="shared" si="6"/>
        <v/>
      </c>
      <c r="BG22" s="119" t="str">
        <f t="shared" si="24"/>
        <v/>
      </c>
      <c r="BH22" s="119" t="str">
        <f t="shared" si="7"/>
        <v/>
      </c>
      <c r="BI22" s="120" t="str">
        <f t="shared" si="25"/>
        <v/>
      </c>
      <c r="BJ22" s="114"/>
      <c r="BK22" s="121" t="str">
        <f t="shared" si="8"/>
        <v/>
      </c>
      <c r="BL22" s="122" t="str">
        <f t="shared" si="9"/>
        <v/>
      </c>
      <c r="BM22" s="122" t="str">
        <f t="shared" si="10"/>
        <v/>
      </c>
      <c r="BN22" s="123" t="str">
        <f t="shared" si="11"/>
        <v/>
      </c>
      <c r="BO22" s="114"/>
      <c r="BP22" s="124" t="str">
        <f t="shared" si="12"/>
        <v/>
      </c>
      <c r="BQ22" s="125">
        <v>0</v>
      </c>
      <c r="BR22" s="125" t="str">
        <f t="shared" si="26"/>
        <v/>
      </c>
      <c r="BS22" s="125" t="str">
        <f t="shared" si="27"/>
        <v/>
      </c>
      <c r="BT22" s="126" t="str">
        <f t="shared" si="13"/>
        <v/>
      </c>
      <c r="BU22" s="114"/>
      <c r="BV22" s="132" t="e">
        <f t="shared" si="14"/>
        <v>#DIV/0!</v>
      </c>
      <c r="BW22" s="127" t="e">
        <f t="shared" si="15"/>
        <v>#DIV/0!</v>
      </c>
      <c r="BX22" s="127" t="e">
        <f t="shared" si="16"/>
        <v>#DIV/0!</v>
      </c>
      <c r="BY22" s="127" t="e">
        <f t="shared" si="17"/>
        <v>#DIV/0!</v>
      </c>
      <c r="BZ22" s="127" t="e">
        <f t="shared" si="28"/>
        <v>#DIV/0!</v>
      </c>
      <c r="CA22" s="128" t="e">
        <f t="shared" si="29"/>
        <v>#DIV/0!</v>
      </c>
      <c r="CB22" s="114"/>
      <c r="CC22" s="129" t="str">
        <f t="shared" si="18"/>
        <v>-</v>
      </c>
      <c r="CD22" s="130" t="str">
        <f t="shared" si="19"/>
        <v>-</v>
      </c>
      <c r="CE22" s="130" t="str">
        <f t="shared" si="20"/>
        <v>-</v>
      </c>
      <c r="CF22" s="130" t="str">
        <f t="shared" si="21"/>
        <v>-</v>
      </c>
      <c r="CG22" s="131" t="str">
        <f t="shared" si="22"/>
        <v>-</v>
      </c>
      <c r="CH22" s="114"/>
    </row>
    <row r="23" spans="1:86" s="115" customFormat="1" ht="12.4" customHeight="1" thickBot="1" x14ac:dyDescent="0.25">
      <c r="A23" s="96">
        <f t="shared" si="30"/>
        <v>46315</v>
      </c>
      <c r="B23" s="97" t="str">
        <f t="shared" si="0"/>
        <v>Tue</v>
      </c>
      <c r="C23" s="60">
        <f>+SUM(EL_DEL_CD2_PTP_!C23,EL_DEL_CD2_PTP_L_!C23)</f>
        <v>0</v>
      </c>
      <c r="D23" s="60">
        <f>+SUM(EL_DEL_CD2_PTP_!D23,EL_DEL_CD2_PTP_L_!D23)</f>
        <v>0</v>
      </c>
      <c r="E23" s="60">
        <f>+SUM(EL_DEL_CD2_PTP_!E23,EL_DEL_CD2_PTP_L_!E23)</f>
        <v>0</v>
      </c>
      <c r="F23" s="60">
        <f>+SUM(EL_DEL_CD2_PTP_!F23,EL_DEL_CD2_PTP_L_!F23)</f>
        <v>0</v>
      </c>
      <c r="G23" s="60">
        <f>+SUM(EL_DEL_CD2_PTP_!G23,EL_DEL_CD2_PTP_L_!G23)</f>
        <v>0</v>
      </c>
      <c r="H23" s="60">
        <f>+SUM(EL_DEL_CD2_PTP_!H23,EL_DEL_CD2_PTP_L_!H23)</f>
        <v>0</v>
      </c>
      <c r="I23" s="60">
        <f>+SUM(EL_DEL_CD2_PTP_!I23,EL_DEL_CD2_PTP_L_!I23)</f>
        <v>0</v>
      </c>
      <c r="J23" s="60">
        <f>+SUM(EL_DEL_CD2_PTP_!J23,EL_DEL_CD2_PTP_L_!J23)</f>
        <v>0</v>
      </c>
      <c r="K23" s="60">
        <f>+SUM(EL_DEL_CD2_PTP_!K23,EL_DEL_CD2_PTP_L_!K23)</f>
        <v>0</v>
      </c>
      <c r="L23" s="60">
        <f>+SUM(EL_DEL_CD2_PTP_!L23,EL_DEL_CD2_PTP_L_!L23)</f>
        <v>0</v>
      </c>
      <c r="M23" s="60">
        <f>+SUM(EL_DEL_CD2_PTP_!M23,EL_DEL_CD2_PTP_L_!M23)</f>
        <v>0</v>
      </c>
      <c r="N23" s="60">
        <f>+SUM(EL_DEL_CD2_PTP_!N23,EL_DEL_CD2_PTP_L_!N23)</f>
        <v>0</v>
      </c>
      <c r="O23" s="60">
        <f>+SUM(EL_DEL_CD2_PTP_!O23,EL_DEL_CD2_PTP_L_!O23)</f>
        <v>0</v>
      </c>
      <c r="P23" s="60">
        <f>+SUM(EL_DEL_CD2_PTP_!P23,EL_DEL_CD2_PTP_L_!P23)</f>
        <v>0</v>
      </c>
      <c r="Q23" s="60">
        <f>+SUM(EL_DEL_CD2_PTP_!Q23,EL_DEL_CD2_PTP_L_!Q23)</f>
        <v>0</v>
      </c>
      <c r="R23" s="60">
        <f>+SUM(EL_DEL_CD2_PTP_!R23,EL_DEL_CD2_PTP_L_!R23)</f>
        <v>0</v>
      </c>
      <c r="S23" s="60">
        <f>+SUM(EL_DEL_CD2_PTP_!S23,EL_DEL_CD2_PTP_L_!S23)</f>
        <v>0</v>
      </c>
      <c r="T23" s="60">
        <f>+SUM(EL_DEL_CD2_PTP_!T23,EL_DEL_CD2_PTP_L_!T23)</f>
        <v>0</v>
      </c>
      <c r="U23" s="98">
        <f>+SUM(EL_DEL_CD2_PTP_!U23,EL_DEL_CD2_PTP_L_!U23)</f>
        <v>0</v>
      </c>
      <c r="V23" s="60">
        <f>+SUM(EL_DEL_CD2_PTP_!V23,EL_DEL_CD2_PTP_L_!V23)</f>
        <v>0</v>
      </c>
      <c r="W23" s="60">
        <f>+SUM(EL_DEL_CD2_PTP_!W23,EL_DEL_CD2_PTP_L_!W23)</f>
        <v>0</v>
      </c>
      <c r="X23" s="60">
        <f>+SUM(EL_DEL_CD2_PTP_!X23,EL_DEL_CD2_PTP_L_!X23)</f>
        <v>0</v>
      </c>
      <c r="Y23" s="60">
        <f>+SUM(EL_DEL_CD2_PTP_!Y23,EL_DEL_CD2_PTP_L_!Y23)</f>
        <v>0</v>
      </c>
      <c r="Z23" s="60">
        <f>+SUM(EL_DEL_CD2_PTP_!Z23,EL_DEL_CD2_PTP_L_!Z23)</f>
        <v>0</v>
      </c>
      <c r="AA23" s="60">
        <f>+SUM(EL_DEL_CD2_PTP_!AA23,EL_DEL_CD2_PTP_L_!AA23)</f>
        <v>0</v>
      </c>
      <c r="AB23" s="60">
        <f>+SUM(EL_DEL_CD2_PTP_!AB23,EL_DEL_CD2_PTP_L_!AB23)</f>
        <v>0</v>
      </c>
      <c r="AC23" s="60">
        <f>+SUM(EL_DEL_CD2_PTP_!AC23,EL_DEL_CD2_PTP_L_!AC23)</f>
        <v>0</v>
      </c>
      <c r="AD23" s="60">
        <f>+SUM(EL_DEL_CD2_PTP_!AD23,EL_DEL_CD2_PTP_L_!AD23)</f>
        <v>0</v>
      </c>
      <c r="AE23" s="60">
        <f>+SUM(EL_DEL_CD2_PTP_!AE23,EL_DEL_CD2_PTP_L_!AE23)</f>
        <v>0</v>
      </c>
      <c r="AF23" s="60">
        <f>+SUM(EL_DEL_CD2_PTP_!AF23,EL_DEL_CD2_PTP_L_!AF23)</f>
        <v>0</v>
      </c>
      <c r="AG23" s="60">
        <f>+SUM(EL_DEL_CD2_PTP_!AG23,EL_DEL_CD2_PTP_L_!AG23)</f>
        <v>0</v>
      </c>
      <c r="AH23" s="60">
        <f>+SUM(EL_DEL_CD2_PTP_!AH23,EL_DEL_CD2_PTP_L_!AH23)</f>
        <v>0</v>
      </c>
      <c r="AI23" s="60">
        <f>+SUM(EL_DEL_CD2_PTP_!AI23,EL_DEL_CD2_PTP_L_!AI23)</f>
        <v>0</v>
      </c>
      <c r="AJ23" s="60">
        <f>+SUM(EL_DEL_CD2_PTP_!AJ23,EL_DEL_CD2_PTP_L_!AJ23)</f>
        <v>0</v>
      </c>
      <c r="AK23" s="60">
        <f>+SUM(EL_DEL_CD2_PTP_!AK23,EL_DEL_CD2_PTP_L_!AK23)</f>
        <v>0</v>
      </c>
      <c r="AL23" s="99" t="str">
        <f>+IFERROR(AVERAGE(EL_DEL_CD2_PTP_!AL23,EL_DEL_CD2_PTP_L_!AL23),"0")</f>
        <v>0</v>
      </c>
      <c r="AM23" s="99" t="str">
        <f>+IFERROR(AVERAGE(EL_DEL_CD2_PTP_!AM23,EL_DEL_CD2_PTP_L_!AM23),"0")</f>
        <v>0</v>
      </c>
      <c r="AN23" s="99" t="str">
        <f>+IFERROR(AVERAGE(EL_DEL_CD2_PTP_!AN23,EL_DEL_CD2_PTP_L_!AN23),"0")</f>
        <v>0</v>
      </c>
      <c r="AO23" s="99" t="str">
        <f>+IFERROR(AVERAGE(EL_DEL_CD2_PTP_!AO23,EL_DEL_CD2_PTP_L_!AO23),"0")</f>
        <v>0</v>
      </c>
      <c r="AP23" s="99" t="str">
        <f>+IFERROR(AVERAGE(EL_DEL_CD2_PTP_!AP23,EL_DEL_CD2_PTP_L_!AP23),"0")</f>
        <v>0</v>
      </c>
      <c r="AQ23" s="99" t="str">
        <f>+IFERROR(AVERAGE(EL_DEL_CD2_PTP_!AQ23,EL_DEL_CD2_PTP_L_!AQ23),"0")</f>
        <v>0</v>
      </c>
      <c r="AR23" s="99" t="str">
        <f>+IFERROR(AVERAGE(EL_DEL_CD2_PTP_!AR23,EL_DEL_CD2_PTP_L_!AR23),"0")</f>
        <v>0</v>
      </c>
      <c r="AS23" s="99" t="str">
        <f>+IFERROR(AVERAGE(EL_DEL_CD2_PTP_!AS23,EL_DEL_CD2_PTP_L_!AS23),"0")</f>
        <v>0</v>
      </c>
      <c r="AT23" s="100">
        <f>+SUM(EL_DEL_CD2_PTP_!AT23,EL_DEL_CD2_PTP_L_!AT23)</f>
        <v>0</v>
      </c>
      <c r="AU23" s="100">
        <f>+SUM(EL_DEL_CD2_PTP_!AU23,EL_DEL_CD2_PTP_L_!AU23)</f>
        <v>0</v>
      </c>
      <c r="AV23" s="101">
        <f>+SUM(EL_DEL_CD2_PTP_!AV23,EL_DEL_CD2_PTP_L_!AV23)</f>
        <v>0</v>
      </c>
      <c r="AW23" s="60">
        <f>+SUM(EL_DEL_CD2_PTP_!AW23,EL_DEL_CD2_PTP_L_!AW23)</f>
        <v>0</v>
      </c>
      <c r="AX23" s="102" t="str">
        <f t="shared" si="23"/>
        <v>-</v>
      </c>
      <c r="AY23" s="114"/>
      <c r="AZ23" s="116" t="str">
        <f t="shared" si="1"/>
        <v/>
      </c>
      <c r="BA23" s="117" t="str">
        <f t="shared" si="2"/>
        <v/>
      </c>
      <c r="BB23" s="116" t="str">
        <f t="shared" si="3"/>
        <v/>
      </c>
      <c r="BC23" s="114"/>
      <c r="BD23" s="118" t="str">
        <f t="shared" si="4"/>
        <v/>
      </c>
      <c r="BE23" s="119" t="str">
        <f t="shared" si="5"/>
        <v/>
      </c>
      <c r="BF23" s="119" t="str">
        <f t="shared" si="6"/>
        <v/>
      </c>
      <c r="BG23" s="119" t="str">
        <f t="shared" si="24"/>
        <v/>
      </c>
      <c r="BH23" s="119" t="str">
        <f t="shared" si="7"/>
        <v/>
      </c>
      <c r="BI23" s="120" t="str">
        <f t="shared" si="25"/>
        <v/>
      </c>
      <c r="BJ23" s="114"/>
      <c r="BK23" s="121" t="str">
        <f t="shared" si="8"/>
        <v/>
      </c>
      <c r="BL23" s="122" t="str">
        <f t="shared" si="9"/>
        <v/>
      </c>
      <c r="BM23" s="122" t="str">
        <f t="shared" si="10"/>
        <v/>
      </c>
      <c r="BN23" s="123" t="str">
        <f t="shared" si="11"/>
        <v/>
      </c>
      <c r="BO23" s="114"/>
      <c r="BP23" s="124" t="str">
        <f t="shared" si="12"/>
        <v/>
      </c>
      <c r="BQ23" s="125">
        <v>0</v>
      </c>
      <c r="BR23" s="125" t="str">
        <f t="shared" si="26"/>
        <v/>
      </c>
      <c r="BS23" s="125" t="str">
        <f t="shared" si="27"/>
        <v/>
      </c>
      <c r="BT23" s="126" t="str">
        <f t="shared" si="13"/>
        <v/>
      </c>
      <c r="BU23" s="114"/>
      <c r="BV23" s="132" t="e">
        <f t="shared" si="14"/>
        <v>#DIV/0!</v>
      </c>
      <c r="BW23" s="127" t="e">
        <f t="shared" si="15"/>
        <v>#DIV/0!</v>
      </c>
      <c r="BX23" s="127" t="e">
        <f t="shared" si="16"/>
        <v>#DIV/0!</v>
      </c>
      <c r="BY23" s="127" t="e">
        <f t="shared" si="17"/>
        <v>#DIV/0!</v>
      </c>
      <c r="BZ23" s="127" t="e">
        <f t="shared" si="28"/>
        <v>#DIV/0!</v>
      </c>
      <c r="CA23" s="128" t="e">
        <f t="shared" si="29"/>
        <v>#DIV/0!</v>
      </c>
      <c r="CB23" s="114"/>
      <c r="CC23" s="129" t="str">
        <f t="shared" si="18"/>
        <v>-</v>
      </c>
      <c r="CD23" s="130" t="str">
        <f t="shared" si="19"/>
        <v>-</v>
      </c>
      <c r="CE23" s="130" t="str">
        <f t="shared" si="20"/>
        <v>-</v>
      </c>
      <c r="CF23" s="130" t="str">
        <f t="shared" si="21"/>
        <v>-</v>
      </c>
      <c r="CG23" s="131" t="str">
        <f t="shared" si="22"/>
        <v>-</v>
      </c>
      <c r="CH23" s="114"/>
    </row>
    <row r="24" spans="1:86" s="115" customFormat="1" ht="12.4" customHeight="1" thickBot="1" x14ac:dyDescent="0.25">
      <c r="A24" s="96">
        <f t="shared" si="30"/>
        <v>46316</v>
      </c>
      <c r="B24" s="97" t="str">
        <f t="shared" si="0"/>
        <v>Wed</v>
      </c>
      <c r="C24" s="60">
        <f>+SUM(EL_DEL_CD2_PTP_!C24,EL_DEL_CD2_PTP_L_!C24)</f>
        <v>0</v>
      </c>
      <c r="D24" s="60">
        <f>+SUM(EL_DEL_CD2_PTP_!D24,EL_DEL_CD2_PTP_L_!D24)</f>
        <v>0</v>
      </c>
      <c r="E24" s="60">
        <f>+SUM(EL_DEL_CD2_PTP_!E24,EL_DEL_CD2_PTP_L_!E24)</f>
        <v>0</v>
      </c>
      <c r="F24" s="60">
        <f>+SUM(EL_DEL_CD2_PTP_!F24,EL_DEL_CD2_PTP_L_!F24)</f>
        <v>0</v>
      </c>
      <c r="G24" s="60">
        <f>+SUM(EL_DEL_CD2_PTP_!G24,EL_DEL_CD2_PTP_L_!G24)</f>
        <v>0</v>
      </c>
      <c r="H24" s="60">
        <f>+SUM(EL_DEL_CD2_PTP_!H24,EL_DEL_CD2_PTP_L_!H24)</f>
        <v>0</v>
      </c>
      <c r="I24" s="60">
        <f>+SUM(EL_DEL_CD2_PTP_!I24,EL_DEL_CD2_PTP_L_!I24)</f>
        <v>0</v>
      </c>
      <c r="J24" s="60">
        <f>+SUM(EL_DEL_CD2_PTP_!J24,EL_DEL_CD2_PTP_L_!J24)</f>
        <v>0</v>
      </c>
      <c r="K24" s="60">
        <f>+SUM(EL_DEL_CD2_PTP_!K24,EL_DEL_CD2_PTP_L_!K24)</f>
        <v>0</v>
      </c>
      <c r="L24" s="60">
        <f>+SUM(EL_DEL_CD2_PTP_!L24,EL_DEL_CD2_PTP_L_!L24)</f>
        <v>0</v>
      </c>
      <c r="M24" s="60">
        <f>+SUM(EL_DEL_CD2_PTP_!M24,EL_DEL_CD2_PTP_L_!M24)</f>
        <v>0</v>
      </c>
      <c r="N24" s="60">
        <f>+SUM(EL_DEL_CD2_PTP_!N24,EL_DEL_CD2_PTP_L_!N24)</f>
        <v>0</v>
      </c>
      <c r="O24" s="60">
        <f>+SUM(EL_DEL_CD2_PTP_!O24,EL_DEL_CD2_PTP_L_!O24)</f>
        <v>0</v>
      </c>
      <c r="P24" s="60">
        <f>+SUM(EL_DEL_CD2_PTP_!P24,EL_DEL_CD2_PTP_L_!P24)</f>
        <v>0</v>
      </c>
      <c r="Q24" s="60">
        <f>+SUM(EL_DEL_CD2_PTP_!Q24,EL_DEL_CD2_PTP_L_!Q24)</f>
        <v>0</v>
      </c>
      <c r="R24" s="60">
        <f>+SUM(EL_DEL_CD2_PTP_!R24,EL_DEL_CD2_PTP_L_!R24)</f>
        <v>0</v>
      </c>
      <c r="S24" s="60">
        <f>+SUM(EL_DEL_CD2_PTP_!S24,EL_DEL_CD2_PTP_L_!S24)</f>
        <v>0</v>
      </c>
      <c r="T24" s="60">
        <f>+SUM(EL_DEL_CD2_PTP_!T24,EL_DEL_CD2_PTP_L_!T24)</f>
        <v>0</v>
      </c>
      <c r="U24" s="98">
        <f>+SUM(EL_DEL_CD2_PTP_!U24,EL_DEL_CD2_PTP_L_!U24)</f>
        <v>0</v>
      </c>
      <c r="V24" s="60">
        <f>+SUM(EL_DEL_CD2_PTP_!V24,EL_DEL_CD2_PTP_L_!V24)</f>
        <v>0</v>
      </c>
      <c r="W24" s="60">
        <f>+SUM(EL_DEL_CD2_PTP_!W24,EL_DEL_CD2_PTP_L_!W24)</f>
        <v>0</v>
      </c>
      <c r="X24" s="60">
        <f>+SUM(EL_DEL_CD2_PTP_!X24,EL_DEL_CD2_PTP_L_!X24)</f>
        <v>0</v>
      </c>
      <c r="Y24" s="60">
        <f>+SUM(EL_DEL_CD2_PTP_!Y24,EL_DEL_CD2_PTP_L_!Y24)</f>
        <v>0</v>
      </c>
      <c r="Z24" s="60">
        <f>+SUM(EL_DEL_CD2_PTP_!Z24,EL_DEL_CD2_PTP_L_!Z24)</f>
        <v>0</v>
      </c>
      <c r="AA24" s="60">
        <f>+SUM(EL_DEL_CD2_PTP_!AA24,EL_DEL_CD2_PTP_L_!AA24)</f>
        <v>0</v>
      </c>
      <c r="AB24" s="60">
        <f>+SUM(EL_DEL_CD2_PTP_!AB24,EL_DEL_CD2_PTP_L_!AB24)</f>
        <v>0</v>
      </c>
      <c r="AC24" s="60">
        <f>+SUM(EL_DEL_CD2_PTP_!AC24,EL_DEL_CD2_PTP_L_!AC24)</f>
        <v>0</v>
      </c>
      <c r="AD24" s="60">
        <f>+SUM(EL_DEL_CD2_PTP_!AD24,EL_DEL_CD2_PTP_L_!AD24)</f>
        <v>0</v>
      </c>
      <c r="AE24" s="60">
        <f>+SUM(EL_DEL_CD2_PTP_!AE24,EL_DEL_CD2_PTP_L_!AE24)</f>
        <v>0</v>
      </c>
      <c r="AF24" s="60">
        <f>+SUM(EL_DEL_CD2_PTP_!AF24,EL_DEL_CD2_PTP_L_!AF24)</f>
        <v>0</v>
      </c>
      <c r="AG24" s="60">
        <f>+SUM(EL_DEL_CD2_PTP_!AG24,EL_DEL_CD2_PTP_L_!AG24)</f>
        <v>0</v>
      </c>
      <c r="AH24" s="60">
        <f>+SUM(EL_DEL_CD2_PTP_!AH24,EL_DEL_CD2_PTP_L_!AH24)</f>
        <v>0</v>
      </c>
      <c r="AI24" s="60">
        <f>+SUM(EL_DEL_CD2_PTP_!AI24,EL_DEL_CD2_PTP_L_!AI24)</f>
        <v>0</v>
      </c>
      <c r="AJ24" s="60">
        <f>+SUM(EL_DEL_CD2_PTP_!AJ24,EL_DEL_CD2_PTP_L_!AJ24)</f>
        <v>0</v>
      </c>
      <c r="AK24" s="60">
        <f>+SUM(EL_DEL_CD2_PTP_!AK24,EL_DEL_CD2_PTP_L_!AK24)</f>
        <v>0</v>
      </c>
      <c r="AL24" s="99" t="str">
        <f>+IFERROR(AVERAGE(EL_DEL_CD2_PTP_!AL24,EL_DEL_CD2_PTP_L_!AL24),"0")</f>
        <v>0</v>
      </c>
      <c r="AM24" s="99" t="str">
        <f>+IFERROR(AVERAGE(EL_DEL_CD2_PTP_!AM24,EL_DEL_CD2_PTP_L_!AM24),"0")</f>
        <v>0</v>
      </c>
      <c r="AN24" s="99" t="str">
        <f>+IFERROR(AVERAGE(EL_DEL_CD2_PTP_!AN24,EL_DEL_CD2_PTP_L_!AN24),"0")</f>
        <v>0</v>
      </c>
      <c r="AO24" s="99" t="str">
        <f>+IFERROR(AVERAGE(EL_DEL_CD2_PTP_!AO24,EL_DEL_CD2_PTP_L_!AO24),"0")</f>
        <v>0</v>
      </c>
      <c r="AP24" s="99" t="str">
        <f>+IFERROR(AVERAGE(EL_DEL_CD2_PTP_!AP24,EL_DEL_CD2_PTP_L_!AP24),"0")</f>
        <v>0</v>
      </c>
      <c r="AQ24" s="99" t="str">
        <f>+IFERROR(AVERAGE(EL_DEL_CD2_PTP_!AQ24,EL_DEL_CD2_PTP_L_!AQ24),"0")</f>
        <v>0</v>
      </c>
      <c r="AR24" s="99" t="str">
        <f>+IFERROR(AVERAGE(EL_DEL_CD2_PTP_!AR24,EL_DEL_CD2_PTP_L_!AR24),"0")</f>
        <v>0</v>
      </c>
      <c r="AS24" s="99" t="str">
        <f>+IFERROR(AVERAGE(EL_DEL_CD2_PTP_!AS24,EL_DEL_CD2_PTP_L_!AS24),"0")</f>
        <v>0</v>
      </c>
      <c r="AT24" s="100">
        <f>+SUM(EL_DEL_CD2_PTP_!AT24,EL_DEL_CD2_PTP_L_!AT24)</f>
        <v>0</v>
      </c>
      <c r="AU24" s="100">
        <f>+SUM(EL_DEL_CD2_PTP_!AU24,EL_DEL_CD2_PTP_L_!AU24)</f>
        <v>0</v>
      </c>
      <c r="AV24" s="101">
        <f>+SUM(EL_DEL_CD2_PTP_!AV24,EL_DEL_CD2_PTP_L_!AV24)</f>
        <v>0</v>
      </c>
      <c r="AW24" s="60">
        <f>+SUM(EL_DEL_CD2_PTP_!AW24,EL_DEL_CD2_PTP_L_!AW24)</f>
        <v>0</v>
      </c>
      <c r="AX24" s="102" t="str">
        <f t="shared" si="23"/>
        <v>-</v>
      </c>
      <c r="AY24" s="114"/>
      <c r="AZ24" s="116" t="str">
        <f t="shared" si="1"/>
        <v/>
      </c>
      <c r="BA24" s="117" t="str">
        <f t="shared" si="2"/>
        <v/>
      </c>
      <c r="BB24" s="116" t="str">
        <f t="shared" si="3"/>
        <v/>
      </c>
      <c r="BC24" s="114"/>
      <c r="BD24" s="118" t="str">
        <f t="shared" si="4"/>
        <v/>
      </c>
      <c r="BE24" s="119" t="str">
        <f t="shared" si="5"/>
        <v/>
      </c>
      <c r="BF24" s="119" t="str">
        <f t="shared" si="6"/>
        <v/>
      </c>
      <c r="BG24" s="119" t="str">
        <f t="shared" si="24"/>
        <v/>
      </c>
      <c r="BH24" s="119" t="str">
        <f t="shared" si="7"/>
        <v/>
      </c>
      <c r="BI24" s="120" t="str">
        <f t="shared" si="25"/>
        <v/>
      </c>
      <c r="BJ24" s="114"/>
      <c r="BK24" s="121" t="str">
        <f t="shared" si="8"/>
        <v/>
      </c>
      <c r="BL24" s="122" t="str">
        <f t="shared" si="9"/>
        <v/>
      </c>
      <c r="BM24" s="122" t="str">
        <f t="shared" si="10"/>
        <v/>
      </c>
      <c r="BN24" s="123" t="str">
        <f t="shared" si="11"/>
        <v/>
      </c>
      <c r="BO24" s="114"/>
      <c r="BP24" s="124" t="str">
        <f t="shared" si="12"/>
        <v/>
      </c>
      <c r="BQ24" s="125">
        <v>0</v>
      </c>
      <c r="BR24" s="125" t="str">
        <f t="shared" si="26"/>
        <v/>
      </c>
      <c r="BS24" s="125" t="str">
        <f t="shared" si="27"/>
        <v/>
      </c>
      <c r="BT24" s="126" t="str">
        <f t="shared" si="13"/>
        <v/>
      </c>
      <c r="BU24" s="114"/>
      <c r="BV24" s="132" t="e">
        <f t="shared" si="14"/>
        <v>#DIV/0!</v>
      </c>
      <c r="BW24" s="127" t="e">
        <f t="shared" si="15"/>
        <v>#DIV/0!</v>
      </c>
      <c r="BX24" s="127" t="e">
        <f t="shared" si="16"/>
        <v>#DIV/0!</v>
      </c>
      <c r="BY24" s="127" t="e">
        <f t="shared" si="17"/>
        <v>#DIV/0!</v>
      </c>
      <c r="BZ24" s="127" t="e">
        <f t="shared" si="28"/>
        <v>#DIV/0!</v>
      </c>
      <c r="CA24" s="128" t="e">
        <f t="shared" si="29"/>
        <v>#DIV/0!</v>
      </c>
      <c r="CB24" s="114"/>
      <c r="CC24" s="129" t="str">
        <f t="shared" si="18"/>
        <v>-</v>
      </c>
      <c r="CD24" s="130" t="str">
        <f t="shared" si="19"/>
        <v>-</v>
      </c>
      <c r="CE24" s="130" t="str">
        <f t="shared" si="20"/>
        <v>-</v>
      </c>
      <c r="CF24" s="130" t="str">
        <f t="shared" si="21"/>
        <v>-</v>
      </c>
      <c r="CG24" s="131" t="str">
        <f t="shared" si="22"/>
        <v>-</v>
      </c>
      <c r="CH24" s="114"/>
    </row>
    <row r="25" spans="1:86" s="115" customFormat="1" ht="12.4" customHeight="1" thickBot="1" x14ac:dyDescent="0.25">
      <c r="A25" s="96">
        <f t="shared" si="30"/>
        <v>46317</v>
      </c>
      <c r="B25" s="97" t="str">
        <f t="shared" si="0"/>
        <v>Thu</v>
      </c>
      <c r="C25" s="60">
        <f>+SUM(EL_DEL_CD2_PTP_!C25,EL_DEL_CD2_PTP_L_!C25)</f>
        <v>0</v>
      </c>
      <c r="D25" s="60">
        <f>+SUM(EL_DEL_CD2_PTP_!D25,EL_DEL_CD2_PTP_L_!D25)</f>
        <v>0</v>
      </c>
      <c r="E25" s="60">
        <f>+SUM(EL_DEL_CD2_PTP_!E25,EL_DEL_CD2_PTP_L_!E25)</f>
        <v>0</v>
      </c>
      <c r="F25" s="60">
        <f>+SUM(EL_DEL_CD2_PTP_!F25,EL_DEL_CD2_PTP_L_!F25)</f>
        <v>0</v>
      </c>
      <c r="G25" s="60">
        <f>+SUM(EL_DEL_CD2_PTP_!G25,EL_DEL_CD2_PTP_L_!G25)</f>
        <v>0</v>
      </c>
      <c r="H25" s="60">
        <f>+SUM(EL_DEL_CD2_PTP_!H25,EL_DEL_CD2_PTP_L_!H25)</f>
        <v>0</v>
      </c>
      <c r="I25" s="60">
        <f>+SUM(EL_DEL_CD2_PTP_!I25,EL_DEL_CD2_PTP_L_!I25)</f>
        <v>0</v>
      </c>
      <c r="J25" s="60">
        <f>+SUM(EL_DEL_CD2_PTP_!J25,EL_DEL_CD2_PTP_L_!J25)</f>
        <v>0</v>
      </c>
      <c r="K25" s="60">
        <f>+SUM(EL_DEL_CD2_PTP_!K25,EL_DEL_CD2_PTP_L_!K25)</f>
        <v>0</v>
      </c>
      <c r="L25" s="60">
        <f>+SUM(EL_DEL_CD2_PTP_!L25,EL_DEL_CD2_PTP_L_!L25)</f>
        <v>0</v>
      </c>
      <c r="M25" s="60">
        <f>+SUM(EL_DEL_CD2_PTP_!M25,EL_DEL_CD2_PTP_L_!M25)</f>
        <v>0</v>
      </c>
      <c r="N25" s="60">
        <f>+SUM(EL_DEL_CD2_PTP_!N25,EL_DEL_CD2_PTP_L_!N25)</f>
        <v>0</v>
      </c>
      <c r="O25" s="60">
        <f>+SUM(EL_DEL_CD2_PTP_!O25,EL_DEL_CD2_PTP_L_!O25)</f>
        <v>0</v>
      </c>
      <c r="P25" s="60">
        <f>+SUM(EL_DEL_CD2_PTP_!P25,EL_DEL_CD2_PTP_L_!P25)</f>
        <v>0</v>
      </c>
      <c r="Q25" s="60">
        <f>+SUM(EL_DEL_CD2_PTP_!Q25,EL_DEL_CD2_PTP_L_!Q25)</f>
        <v>0</v>
      </c>
      <c r="R25" s="60">
        <f>+SUM(EL_DEL_CD2_PTP_!R25,EL_DEL_CD2_PTP_L_!R25)</f>
        <v>0</v>
      </c>
      <c r="S25" s="60">
        <f>+SUM(EL_DEL_CD2_PTP_!S25,EL_DEL_CD2_PTP_L_!S25)</f>
        <v>0</v>
      </c>
      <c r="T25" s="60">
        <f>+SUM(EL_DEL_CD2_PTP_!T25,EL_DEL_CD2_PTP_L_!T25)</f>
        <v>0</v>
      </c>
      <c r="U25" s="98">
        <f>+SUM(EL_DEL_CD2_PTP_!U25,EL_DEL_CD2_PTP_L_!U25)</f>
        <v>0</v>
      </c>
      <c r="V25" s="60">
        <f>+SUM(EL_DEL_CD2_PTP_!V25,EL_DEL_CD2_PTP_L_!V25)</f>
        <v>0</v>
      </c>
      <c r="W25" s="60">
        <f>+SUM(EL_DEL_CD2_PTP_!W25,EL_DEL_CD2_PTP_L_!W25)</f>
        <v>0</v>
      </c>
      <c r="X25" s="60">
        <f>+SUM(EL_DEL_CD2_PTP_!X25,EL_DEL_CD2_PTP_L_!X25)</f>
        <v>0</v>
      </c>
      <c r="Y25" s="60">
        <f>+SUM(EL_DEL_CD2_PTP_!Y25,EL_DEL_CD2_PTP_L_!Y25)</f>
        <v>0</v>
      </c>
      <c r="Z25" s="60">
        <f>+SUM(EL_DEL_CD2_PTP_!Z25,EL_DEL_CD2_PTP_L_!Z25)</f>
        <v>0</v>
      </c>
      <c r="AA25" s="60">
        <f>+SUM(EL_DEL_CD2_PTP_!AA25,EL_DEL_CD2_PTP_L_!AA25)</f>
        <v>0</v>
      </c>
      <c r="AB25" s="60">
        <f>+SUM(EL_DEL_CD2_PTP_!AB25,EL_DEL_CD2_PTP_L_!AB25)</f>
        <v>0</v>
      </c>
      <c r="AC25" s="60">
        <f>+SUM(EL_DEL_CD2_PTP_!AC25,EL_DEL_CD2_PTP_L_!AC25)</f>
        <v>0</v>
      </c>
      <c r="AD25" s="60">
        <f>+SUM(EL_DEL_CD2_PTP_!AD25,EL_DEL_CD2_PTP_L_!AD25)</f>
        <v>0</v>
      </c>
      <c r="AE25" s="60">
        <f>+SUM(EL_DEL_CD2_PTP_!AE25,EL_DEL_CD2_PTP_L_!AE25)</f>
        <v>0</v>
      </c>
      <c r="AF25" s="60">
        <f>+SUM(EL_DEL_CD2_PTP_!AF25,EL_DEL_CD2_PTP_L_!AF25)</f>
        <v>0</v>
      </c>
      <c r="AG25" s="60">
        <f>+SUM(EL_DEL_CD2_PTP_!AG25,EL_DEL_CD2_PTP_L_!AG25)</f>
        <v>0</v>
      </c>
      <c r="AH25" s="60">
        <f>+SUM(EL_DEL_CD2_PTP_!AH25,EL_DEL_CD2_PTP_L_!AH25)</f>
        <v>0</v>
      </c>
      <c r="AI25" s="60">
        <f>+SUM(EL_DEL_CD2_PTP_!AI25,EL_DEL_CD2_PTP_L_!AI25)</f>
        <v>0</v>
      </c>
      <c r="AJ25" s="60">
        <f>+SUM(EL_DEL_CD2_PTP_!AJ25,EL_DEL_CD2_PTP_L_!AJ25)</f>
        <v>0</v>
      </c>
      <c r="AK25" s="60">
        <f>+SUM(EL_DEL_CD2_PTP_!AK25,EL_DEL_CD2_PTP_L_!AK25)</f>
        <v>0</v>
      </c>
      <c r="AL25" s="99" t="str">
        <f>+IFERROR(AVERAGE(EL_DEL_CD2_PTP_!AL25,EL_DEL_CD2_PTP_L_!AL25),"0")</f>
        <v>0</v>
      </c>
      <c r="AM25" s="99" t="str">
        <f>+IFERROR(AVERAGE(EL_DEL_CD2_PTP_!AM25,EL_DEL_CD2_PTP_L_!AM25),"0")</f>
        <v>0</v>
      </c>
      <c r="AN25" s="99" t="str">
        <f>+IFERROR(AVERAGE(EL_DEL_CD2_PTP_!AN25,EL_DEL_CD2_PTP_L_!AN25),"0")</f>
        <v>0</v>
      </c>
      <c r="AO25" s="99" t="str">
        <f>+IFERROR(AVERAGE(EL_DEL_CD2_PTP_!AO25,EL_DEL_CD2_PTP_L_!AO25),"0")</f>
        <v>0</v>
      </c>
      <c r="AP25" s="99" t="str">
        <f>+IFERROR(AVERAGE(EL_DEL_CD2_PTP_!AP25,EL_DEL_CD2_PTP_L_!AP25),"0")</f>
        <v>0</v>
      </c>
      <c r="AQ25" s="99" t="str">
        <f>+IFERROR(AVERAGE(EL_DEL_CD2_PTP_!AQ25,EL_DEL_CD2_PTP_L_!AQ25),"0")</f>
        <v>0</v>
      </c>
      <c r="AR25" s="99" t="str">
        <f>+IFERROR(AVERAGE(EL_DEL_CD2_PTP_!AR25,EL_DEL_CD2_PTP_L_!AR25),"0")</f>
        <v>0</v>
      </c>
      <c r="AS25" s="99" t="str">
        <f>+IFERROR(AVERAGE(EL_DEL_CD2_PTP_!AS25,EL_DEL_CD2_PTP_L_!AS25),"0")</f>
        <v>0</v>
      </c>
      <c r="AT25" s="100">
        <f>+SUM(EL_DEL_CD2_PTP_!AT25,EL_DEL_CD2_PTP_L_!AT25)</f>
        <v>0</v>
      </c>
      <c r="AU25" s="100">
        <f>+SUM(EL_DEL_CD2_PTP_!AU25,EL_DEL_CD2_PTP_L_!AU25)</f>
        <v>0</v>
      </c>
      <c r="AV25" s="101">
        <f>+SUM(EL_DEL_CD2_PTP_!AV25,EL_DEL_CD2_PTP_L_!AV25)</f>
        <v>0</v>
      </c>
      <c r="AW25" s="60">
        <f>+SUM(EL_DEL_CD2_PTP_!AW25,EL_DEL_CD2_PTP_L_!AW25)</f>
        <v>0</v>
      </c>
      <c r="AX25" s="102" t="str">
        <f t="shared" si="23"/>
        <v>-</v>
      </c>
      <c r="AY25" s="114"/>
      <c r="AZ25" s="116" t="str">
        <f t="shared" si="1"/>
        <v/>
      </c>
      <c r="BA25" s="117" t="str">
        <f t="shared" si="2"/>
        <v/>
      </c>
      <c r="BB25" s="116" t="str">
        <f t="shared" si="3"/>
        <v/>
      </c>
      <c r="BC25" s="114"/>
      <c r="BD25" s="118" t="str">
        <f t="shared" si="4"/>
        <v/>
      </c>
      <c r="BE25" s="119" t="str">
        <f t="shared" si="5"/>
        <v/>
      </c>
      <c r="BF25" s="119" t="str">
        <f t="shared" si="6"/>
        <v/>
      </c>
      <c r="BG25" s="119" t="str">
        <f t="shared" si="24"/>
        <v/>
      </c>
      <c r="BH25" s="119" t="str">
        <f t="shared" si="7"/>
        <v/>
      </c>
      <c r="BI25" s="120" t="str">
        <f t="shared" si="25"/>
        <v/>
      </c>
      <c r="BJ25" s="114"/>
      <c r="BK25" s="121" t="str">
        <f t="shared" si="8"/>
        <v/>
      </c>
      <c r="BL25" s="122" t="str">
        <f t="shared" si="9"/>
        <v/>
      </c>
      <c r="BM25" s="122" t="str">
        <f t="shared" si="10"/>
        <v/>
      </c>
      <c r="BN25" s="123" t="str">
        <f t="shared" si="11"/>
        <v/>
      </c>
      <c r="BO25" s="114"/>
      <c r="BP25" s="124" t="str">
        <f t="shared" si="12"/>
        <v/>
      </c>
      <c r="BQ25" s="125">
        <v>0</v>
      </c>
      <c r="BR25" s="125" t="str">
        <f t="shared" si="26"/>
        <v/>
      </c>
      <c r="BS25" s="125" t="str">
        <f t="shared" si="27"/>
        <v/>
      </c>
      <c r="BT25" s="126" t="str">
        <f t="shared" si="13"/>
        <v/>
      </c>
      <c r="BU25" s="114"/>
      <c r="BV25" s="132" t="e">
        <f t="shared" si="14"/>
        <v>#DIV/0!</v>
      </c>
      <c r="BW25" s="127" t="e">
        <f t="shared" si="15"/>
        <v>#DIV/0!</v>
      </c>
      <c r="BX25" s="127" t="e">
        <f t="shared" si="16"/>
        <v>#DIV/0!</v>
      </c>
      <c r="BY25" s="127" t="e">
        <f t="shared" si="17"/>
        <v>#DIV/0!</v>
      </c>
      <c r="BZ25" s="127" t="e">
        <f t="shared" si="28"/>
        <v>#DIV/0!</v>
      </c>
      <c r="CA25" s="128" t="e">
        <f t="shared" si="29"/>
        <v>#DIV/0!</v>
      </c>
      <c r="CB25" s="114"/>
      <c r="CC25" s="129" t="str">
        <f t="shared" si="18"/>
        <v>-</v>
      </c>
      <c r="CD25" s="130" t="str">
        <f t="shared" si="19"/>
        <v>-</v>
      </c>
      <c r="CE25" s="130" t="str">
        <f t="shared" si="20"/>
        <v>-</v>
      </c>
      <c r="CF25" s="130" t="str">
        <f t="shared" si="21"/>
        <v>-</v>
      </c>
      <c r="CG25" s="131" t="str">
        <f t="shared" si="22"/>
        <v>-</v>
      </c>
      <c r="CH25" s="114"/>
    </row>
    <row r="26" spans="1:86" s="115" customFormat="1" ht="12.4" customHeight="1" thickBot="1" x14ac:dyDescent="0.25">
      <c r="A26" s="96">
        <f t="shared" si="30"/>
        <v>46318</v>
      </c>
      <c r="B26" s="97" t="str">
        <f>+TEXT(A26,"DDD")</f>
        <v>Fri</v>
      </c>
      <c r="C26" s="60">
        <f>+SUM(EL_DEL_CD2_PTP_!C26,EL_DEL_CD2_PTP_L_!C26)</f>
        <v>0</v>
      </c>
      <c r="D26" s="60">
        <f>+SUM(EL_DEL_CD2_PTP_!D26,EL_DEL_CD2_PTP_L_!D26)</f>
        <v>0</v>
      </c>
      <c r="E26" s="60">
        <f>+SUM(EL_DEL_CD2_PTP_!E26,EL_DEL_CD2_PTP_L_!E26)</f>
        <v>0</v>
      </c>
      <c r="F26" s="60">
        <f>+SUM(EL_DEL_CD2_PTP_!F26,EL_DEL_CD2_PTP_L_!F26)</f>
        <v>0</v>
      </c>
      <c r="G26" s="60">
        <f>+SUM(EL_DEL_CD2_PTP_!G26,EL_DEL_CD2_PTP_L_!G26)</f>
        <v>0</v>
      </c>
      <c r="H26" s="60">
        <f>+SUM(EL_DEL_CD2_PTP_!H26,EL_DEL_CD2_PTP_L_!H26)</f>
        <v>0</v>
      </c>
      <c r="I26" s="60">
        <f>+SUM(EL_DEL_CD2_PTP_!I26,EL_DEL_CD2_PTP_L_!I26)</f>
        <v>0</v>
      </c>
      <c r="J26" s="60">
        <f>+SUM(EL_DEL_CD2_PTP_!J26,EL_DEL_CD2_PTP_L_!J26)</f>
        <v>0</v>
      </c>
      <c r="K26" s="60">
        <f>+SUM(EL_DEL_CD2_PTP_!K26,EL_DEL_CD2_PTP_L_!K26)</f>
        <v>0</v>
      </c>
      <c r="L26" s="60">
        <f>+SUM(EL_DEL_CD2_PTP_!L26,EL_DEL_CD2_PTP_L_!L26)</f>
        <v>0</v>
      </c>
      <c r="M26" s="60">
        <f>+SUM(EL_DEL_CD2_PTP_!M26,EL_DEL_CD2_PTP_L_!M26)</f>
        <v>0</v>
      </c>
      <c r="N26" s="60">
        <f>+SUM(EL_DEL_CD2_PTP_!N26,EL_DEL_CD2_PTP_L_!N26)</f>
        <v>0</v>
      </c>
      <c r="O26" s="60">
        <f>+SUM(EL_DEL_CD2_PTP_!O26,EL_DEL_CD2_PTP_L_!O26)</f>
        <v>0</v>
      </c>
      <c r="P26" s="60">
        <f>+SUM(EL_DEL_CD2_PTP_!P26,EL_DEL_CD2_PTP_L_!P26)</f>
        <v>0</v>
      </c>
      <c r="Q26" s="60">
        <f>+SUM(EL_DEL_CD2_PTP_!Q26,EL_DEL_CD2_PTP_L_!Q26)</f>
        <v>0</v>
      </c>
      <c r="R26" s="60">
        <f>+SUM(EL_DEL_CD2_PTP_!R26,EL_DEL_CD2_PTP_L_!R26)</f>
        <v>0</v>
      </c>
      <c r="S26" s="60">
        <f>+SUM(EL_DEL_CD2_PTP_!S26,EL_DEL_CD2_PTP_L_!S26)</f>
        <v>0</v>
      </c>
      <c r="T26" s="60">
        <f>+SUM(EL_DEL_CD2_PTP_!T26,EL_DEL_CD2_PTP_L_!T26)</f>
        <v>0</v>
      </c>
      <c r="U26" s="98">
        <f>+SUM(EL_DEL_CD2_PTP_!U26,EL_DEL_CD2_PTP_L_!U26)</f>
        <v>0</v>
      </c>
      <c r="V26" s="60">
        <f>+SUM(EL_DEL_CD2_PTP_!V26,EL_DEL_CD2_PTP_L_!V26)</f>
        <v>0</v>
      </c>
      <c r="W26" s="60">
        <f>+SUM(EL_DEL_CD2_PTP_!W26,EL_DEL_CD2_PTP_L_!W26)</f>
        <v>0</v>
      </c>
      <c r="X26" s="60">
        <f>+SUM(EL_DEL_CD2_PTP_!X26,EL_DEL_CD2_PTP_L_!X26)</f>
        <v>0</v>
      </c>
      <c r="Y26" s="60">
        <f>+SUM(EL_DEL_CD2_PTP_!Y26,EL_DEL_CD2_PTP_L_!Y26)</f>
        <v>0</v>
      </c>
      <c r="Z26" s="60">
        <f>+SUM(EL_DEL_CD2_PTP_!Z26,EL_DEL_CD2_PTP_L_!Z26)</f>
        <v>0</v>
      </c>
      <c r="AA26" s="60">
        <f>+SUM(EL_DEL_CD2_PTP_!AA26,EL_DEL_CD2_PTP_L_!AA26)</f>
        <v>0</v>
      </c>
      <c r="AB26" s="60">
        <f>+SUM(EL_DEL_CD2_PTP_!AB26,EL_DEL_CD2_PTP_L_!AB26)</f>
        <v>0</v>
      </c>
      <c r="AC26" s="60">
        <f>+SUM(EL_DEL_CD2_PTP_!AC26,EL_DEL_CD2_PTP_L_!AC26)</f>
        <v>0</v>
      </c>
      <c r="AD26" s="60">
        <f>+SUM(EL_DEL_CD2_PTP_!AD26,EL_DEL_CD2_PTP_L_!AD26)</f>
        <v>0</v>
      </c>
      <c r="AE26" s="60">
        <f>+SUM(EL_DEL_CD2_PTP_!AE26,EL_DEL_CD2_PTP_L_!AE26)</f>
        <v>0</v>
      </c>
      <c r="AF26" s="60">
        <f>+SUM(EL_DEL_CD2_PTP_!AF26,EL_DEL_CD2_PTP_L_!AF26)</f>
        <v>0</v>
      </c>
      <c r="AG26" s="60">
        <f>+SUM(EL_DEL_CD2_PTP_!AG26,EL_DEL_CD2_PTP_L_!AG26)</f>
        <v>0</v>
      </c>
      <c r="AH26" s="60">
        <f>+SUM(EL_DEL_CD2_PTP_!AH26,EL_DEL_CD2_PTP_L_!AH26)</f>
        <v>0</v>
      </c>
      <c r="AI26" s="60">
        <f>+SUM(EL_DEL_CD2_PTP_!AI26,EL_DEL_CD2_PTP_L_!AI26)</f>
        <v>0</v>
      </c>
      <c r="AJ26" s="60">
        <f>+SUM(EL_DEL_CD2_PTP_!AJ26,EL_DEL_CD2_PTP_L_!AJ26)</f>
        <v>0</v>
      </c>
      <c r="AK26" s="60">
        <f>+SUM(EL_DEL_CD2_PTP_!AK26,EL_DEL_CD2_PTP_L_!AK26)</f>
        <v>0</v>
      </c>
      <c r="AL26" s="99" t="str">
        <f>+IFERROR(AVERAGE(EL_DEL_CD2_PTP_!AL26,EL_DEL_CD2_PTP_L_!AL26),"0")</f>
        <v>0</v>
      </c>
      <c r="AM26" s="99" t="str">
        <f>+IFERROR(AVERAGE(EL_DEL_CD2_PTP_!AM26,EL_DEL_CD2_PTP_L_!AM26),"0")</f>
        <v>0</v>
      </c>
      <c r="AN26" s="99" t="str">
        <f>+IFERROR(AVERAGE(EL_DEL_CD2_PTP_!AN26,EL_DEL_CD2_PTP_L_!AN26),"0")</f>
        <v>0</v>
      </c>
      <c r="AO26" s="99" t="str">
        <f>+IFERROR(AVERAGE(EL_DEL_CD2_PTP_!AO26,EL_DEL_CD2_PTP_L_!AO26),"0")</f>
        <v>0</v>
      </c>
      <c r="AP26" s="99" t="str">
        <f>+IFERROR(AVERAGE(EL_DEL_CD2_PTP_!AP26,EL_DEL_CD2_PTP_L_!AP26),"0")</f>
        <v>0</v>
      </c>
      <c r="AQ26" s="99" t="str">
        <f>+IFERROR(AVERAGE(EL_DEL_CD2_PTP_!AQ26,EL_DEL_CD2_PTP_L_!AQ26),"0")</f>
        <v>0</v>
      </c>
      <c r="AR26" s="99" t="str">
        <f>+IFERROR(AVERAGE(EL_DEL_CD2_PTP_!AR26,EL_DEL_CD2_PTP_L_!AR26),"0")</f>
        <v>0</v>
      </c>
      <c r="AS26" s="99" t="str">
        <f>+IFERROR(AVERAGE(EL_DEL_CD2_PTP_!AS26,EL_DEL_CD2_PTP_L_!AS26),"0")</f>
        <v>0</v>
      </c>
      <c r="AT26" s="100">
        <f>+SUM(EL_DEL_CD2_PTP_!AT26,EL_DEL_CD2_PTP_L_!AT26)</f>
        <v>0</v>
      </c>
      <c r="AU26" s="100">
        <f>+SUM(EL_DEL_CD2_PTP_!AU26,EL_DEL_CD2_PTP_L_!AU26)</f>
        <v>0</v>
      </c>
      <c r="AV26" s="101">
        <f>+SUM(EL_DEL_CD2_PTP_!AV26,EL_DEL_CD2_PTP_L_!AV26)</f>
        <v>0</v>
      </c>
      <c r="AW26" s="60">
        <f>+SUM(EL_DEL_CD2_PTP_!AW26,EL_DEL_CD2_PTP_L_!AW26)</f>
        <v>0</v>
      </c>
      <c r="AX26" s="102" t="str">
        <f t="shared" si="23"/>
        <v>-</v>
      </c>
      <c r="AY26" s="114"/>
      <c r="AZ26" s="116" t="str">
        <f t="shared" si="1"/>
        <v/>
      </c>
      <c r="BA26" s="117" t="str">
        <f t="shared" si="2"/>
        <v/>
      </c>
      <c r="BB26" s="116" t="str">
        <f t="shared" si="3"/>
        <v/>
      </c>
      <c r="BC26" s="114"/>
      <c r="BD26" s="118" t="str">
        <f t="shared" si="4"/>
        <v/>
      </c>
      <c r="BE26" s="119" t="str">
        <f t="shared" si="5"/>
        <v/>
      </c>
      <c r="BF26" s="119" t="str">
        <f t="shared" si="6"/>
        <v/>
      </c>
      <c r="BG26" s="119" t="str">
        <f t="shared" si="24"/>
        <v/>
      </c>
      <c r="BH26" s="119" t="str">
        <f t="shared" si="7"/>
        <v/>
      </c>
      <c r="BI26" s="120" t="str">
        <f t="shared" si="25"/>
        <v/>
      </c>
      <c r="BJ26" s="114"/>
      <c r="BK26" s="121" t="str">
        <f t="shared" si="8"/>
        <v/>
      </c>
      <c r="BL26" s="122" t="str">
        <f t="shared" si="9"/>
        <v/>
      </c>
      <c r="BM26" s="122" t="str">
        <f t="shared" si="10"/>
        <v/>
      </c>
      <c r="BN26" s="123" t="str">
        <f t="shared" si="11"/>
        <v/>
      </c>
      <c r="BO26" s="114"/>
      <c r="BP26" s="124" t="str">
        <f t="shared" si="12"/>
        <v/>
      </c>
      <c r="BQ26" s="125">
        <v>0</v>
      </c>
      <c r="BR26" s="125" t="str">
        <f t="shared" si="26"/>
        <v/>
      </c>
      <c r="BS26" s="125" t="str">
        <f t="shared" si="27"/>
        <v/>
      </c>
      <c r="BT26" s="126" t="str">
        <f t="shared" si="13"/>
        <v/>
      </c>
      <c r="BU26" s="114"/>
      <c r="BV26" s="132" t="e">
        <f t="shared" si="14"/>
        <v>#DIV/0!</v>
      </c>
      <c r="BW26" s="127" t="e">
        <f t="shared" si="15"/>
        <v>#DIV/0!</v>
      </c>
      <c r="BX26" s="127" t="e">
        <f t="shared" si="16"/>
        <v>#DIV/0!</v>
      </c>
      <c r="BY26" s="127" t="e">
        <f t="shared" si="17"/>
        <v>#DIV/0!</v>
      </c>
      <c r="BZ26" s="127" t="e">
        <f t="shared" si="28"/>
        <v>#DIV/0!</v>
      </c>
      <c r="CA26" s="128" t="e">
        <f t="shared" si="29"/>
        <v>#DIV/0!</v>
      </c>
      <c r="CB26" s="114"/>
      <c r="CC26" s="129" t="str">
        <f t="shared" si="18"/>
        <v>-</v>
      </c>
      <c r="CD26" s="130" t="str">
        <f t="shared" si="19"/>
        <v>-</v>
      </c>
      <c r="CE26" s="130" t="str">
        <f t="shared" si="20"/>
        <v>-</v>
      </c>
      <c r="CF26" s="130" t="str">
        <f t="shared" si="21"/>
        <v>-</v>
      </c>
      <c r="CG26" s="131" t="str">
        <f t="shared" si="22"/>
        <v>-</v>
      </c>
      <c r="CH26" s="114"/>
    </row>
    <row r="27" spans="1:86" s="115" customFormat="1" ht="12.4" customHeight="1" thickBot="1" x14ac:dyDescent="0.25">
      <c r="A27" s="96">
        <f t="shared" si="30"/>
        <v>46319</v>
      </c>
      <c r="B27" s="97" t="str">
        <f t="shared" si="0"/>
        <v>Sat</v>
      </c>
      <c r="C27" s="60">
        <f>+SUM(EL_DEL_CD2_PTP_!C27,EL_DEL_CD2_PTP_L_!C27)</f>
        <v>0</v>
      </c>
      <c r="D27" s="60">
        <f>+SUM(EL_DEL_CD2_PTP_!D27,EL_DEL_CD2_PTP_L_!D27)</f>
        <v>0</v>
      </c>
      <c r="E27" s="60">
        <f>+SUM(EL_DEL_CD2_PTP_!E27,EL_DEL_CD2_PTP_L_!E27)</f>
        <v>0</v>
      </c>
      <c r="F27" s="60">
        <f>+SUM(EL_DEL_CD2_PTP_!F27,EL_DEL_CD2_PTP_L_!F27)</f>
        <v>0</v>
      </c>
      <c r="G27" s="60">
        <f>+SUM(EL_DEL_CD2_PTP_!G27,EL_DEL_CD2_PTP_L_!G27)</f>
        <v>0</v>
      </c>
      <c r="H27" s="60">
        <f>+SUM(EL_DEL_CD2_PTP_!H27,EL_DEL_CD2_PTP_L_!H27)</f>
        <v>0</v>
      </c>
      <c r="I27" s="60">
        <f>+SUM(EL_DEL_CD2_PTP_!I27,EL_DEL_CD2_PTP_L_!I27)</f>
        <v>0</v>
      </c>
      <c r="J27" s="60">
        <f>+SUM(EL_DEL_CD2_PTP_!J27,EL_DEL_CD2_PTP_L_!J27)</f>
        <v>0</v>
      </c>
      <c r="K27" s="60">
        <f>+SUM(EL_DEL_CD2_PTP_!K27,EL_DEL_CD2_PTP_L_!K27)</f>
        <v>0</v>
      </c>
      <c r="L27" s="60">
        <f>+SUM(EL_DEL_CD2_PTP_!L27,EL_DEL_CD2_PTP_L_!L27)</f>
        <v>0</v>
      </c>
      <c r="M27" s="60">
        <f>+SUM(EL_DEL_CD2_PTP_!M27,EL_DEL_CD2_PTP_L_!M27)</f>
        <v>0</v>
      </c>
      <c r="N27" s="60">
        <f>+SUM(EL_DEL_CD2_PTP_!N27,EL_DEL_CD2_PTP_L_!N27)</f>
        <v>0</v>
      </c>
      <c r="O27" s="60">
        <f>+SUM(EL_DEL_CD2_PTP_!O27,EL_DEL_CD2_PTP_L_!O27)</f>
        <v>0</v>
      </c>
      <c r="P27" s="60">
        <f>+SUM(EL_DEL_CD2_PTP_!P27,EL_DEL_CD2_PTP_L_!P27)</f>
        <v>0</v>
      </c>
      <c r="Q27" s="60">
        <f>+SUM(EL_DEL_CD2_PTP_!Q27,EL_DEL_CD2_PTP_L_!Q27)</f>
        <v>0</v>
      </c>
      <c r="R27" s="60">
        <f>+SUM(EL_DEL_CD2_PTP_!R27,EL_DEL_CD2_PTP_L_!R27)</f>
        <v>0</v>
      </c>
      <c r="S27" s="60">
        <f>+SUM(EL_DEL_CD2_PTP_!S27,EL_DEL_CD2_PTP_L_!S27)</f>
        <v>0</v>
      </c>
      <c r="T27" s="60">
        <f>+SUM(EL_DEL_CD2_PTP_!T27,EL_DEL_CD2_PTP_L_!T27)</f>
        <v>0</v>
      </c>
      <c r="U27" s="98">
        <f>+SUM(EL_DEL_CD2_PTP_!U27,EL_DEL_CD2_PTP_L_!U27)</f>
        <v>0</v>
      </c>
      <c r="V27" s="60">
        <f>+SUM(EL_DEL_CD2_PTP_!V27,EL_DEL_CD2_PTP_L_!V27)</f>
        <v>0</v>
      </c>
      <c r="W27" s="60">
        <f>+SUM(EL_DEL_CD2_PTP_!W27,EL_DEL_CD2_PTP_L_!W27)</f>
        <v>0</v>
      </c>
      <c r="X27" s="60">
        <f>+SUM(EL_DEL_CD2_PTP_!X27,EL_DEL_CD2_PTP_L_!X27)</f>
        <v>0</v>
      </c>
      <c r="Y27" s="60">
        <f>+SUM(EL_DEL_CD2_PTP_!Y27,EL_DEL_CD2_PTP_L_!Y27)</f>
        <v>0</v>
      </c>
      <c r="Z27" s="60">
        <f>+SUM(EL_DEL_CD2_PTP_!Z27,EL_DEL_CD2_PTP_L_!Z27)</f>
        <v>0</v>
      </c>
      <c r="AA27" s="60">
        <f>+SUM(EL_DEL_CD2_PTP_!AA27,EL_DEL_CD2_PTP_L_!AA27)</f>
        <v>0</v>
      </c>
      <c r="AB27" s="60">
        <f>+SUM(EL_DEL_CD2_PTP_!AB27,EL_DEL_CD2_PTP_L_!AB27)</f>
        <v>0</v>
      </c>
      <c r="AC27" s="60">
        <f>+SUM(EL_DEL_CD2_PTP_!AC27,EL_DEL_CD2_PTP_L_!AC27)</f>
        <v>0</v>
      </c>
      <c r="AD27" s="60">
        <f>+SUM(EL_DEL_CD2_PTP_!AD27,EL_DEL_CD2_PTP_L_!AD27)</f>
        <v>0</v>
      </c>
      <c r="AE27" s="60">
        <f>+SUM(EL_DEL_CD2_PTP_!AE27,EL_DEL_CD2_PTP_L_!AE27)</f>
        <v>0</v>
      </c>
      <c r="AF27" s="60">
        <f>+SUM(EL_DEL_CD2_PTP_!AF27,EL_DEL_CD2_PTP_L_!AF27)</f>
        <v>0</v>
      </c>
      <c r="AG27" s="60">
        <f>+SUM(EL_DEL_CD2_PTP_!AG27,EL_DEL_CD2_PTP_L_!AG27)</f>
        <v>0</v>
      </c>
      <c r="AH27" s="60">
        <f>+SUM(EL_DEL_CD2_PTP_!AH27,EL_DEL_CD2_PTP_L_!AH27)</f>
        <v>0</v>
      </c>
      <c r="AI27" s="60">
        <f>+SUM(EL_DEL_CD2_PTP_!AI27,EL_DEL_CD2_PTP_L_!AI27)</f>
        <v>0</v>
      </c>
      <c r="AJ27" s="60">
        <f>+SUM(EL_DEL_CD2_PTP_!AJ27,EL_DEL_CD2_PTP_L_!AJ27)</f>
        <v>0</v>
      </c>
      <c r="AK27" s="60">
        <f>+SUM(EL_DEL_CD2_PTP_!AK27,EL_DEL_CD2_PTP_L_!AK27)</f>
        <v>0</v>
      </c>
      <c r="AL27" s="99" t="str">
        <f>+IFERROR(AVERAGE(EL_DEL_CD2_PTP_!AL27,EL_DEL_CD2_PTP_L_!AL27),"0")</f>
        <v>0</v>
      </c>
      <c r="AM27" s="99" t="str">
        <f>+IFERROR(AVERAGE(EL_DEL_CD2_PTP_!AM27,EL_DEL_CD2_PTP_L_!AM27),"0")</f>
        <v>0</v>
      </c>
      <c r="AN27" s="99" t="str">
        <f>+IFERROR(AVERAGE(EL_DEL_CD2_PTP_!AN27,EL_DEL_CD2_PTP_L_!AN27),"0")</f>
        <v>0</v>
      </c>
      <c r="AO27" s="99" t="str">
        <f>+IFERROR(AVERAGE(EL_DEL_CD2_PTP_!AO27,EL_DEL_CD2_PTP_L_!AO27),"0")</f>
        <v>0</v>
      </c>
      <c r="AP27" s="99" t="str">
        <f>+IFERROR(AVERAGE(EL_DEL_CD2_PTP_!AP27,EL_DEL_CD2_PTP_L_!AP27),"0")</f>
        <v>0</v>
      </c>
      <c r="AQ27" s="99" t="str">
        <f>+IFERROR(AVERAGE(EL_DEL_CD2_PTP_!AQ27,EL_DEL_CD2_PTP_L_!AQ27),"0")</f>
        <v>0</v>
      </c>
      <c r="AR27" s="99" t="str">
        <f>+IFERROR(AVERAGE(EL_DEL_CD2_PTP_!AR27,EL_DEL_CD2_PTP_L_!AR27),"0")</f>
        <v>0</v>
      </c>
      <c r="AS27" s="99" t="str">
        <f>+IFERROR(AVERAGE(EL_DEL_CD2_PTP_!AS27,EL_DEL_CD2_PTP_L_!AS27),"0")</f>
        <v>0</v>
      </c>
      <c r="AT27" s="100">
        <f>+SUM(EL_DEL_CD2_PTP_!AT27,EL_DEL_CD2_PTP_L_!AT27)</f>
        <v>0</v>
      </c>
      <c r="AU27" s="100">
        <f>+SUM(EL_DEL_CD2_PTP_!AU27,EL_DEL_CD2_PTP_L_!AU27)</f>
        <v>0</v>
      </c>
      <c r="AV27" s="101">
        <f>+SUM(EL_DEL_CD2_PTP_!AV27,EL_DEL_CD2_PTP_L_!AV27)</f>
        <v>0</v>
      </c>
      <c r="AW27" s="60">
        <f>+SUM(EL_DEL_CD2_PTP_!AW27,EL_DEL_CD2_PTP_L_!AW27)</f>
        <v>0</v>
      </c>
      <c r="AX27" s="102" t="str">
        <f t="shared" si="23"/>
        <v>-</v>
      </c>
      <c r="AY27" s="114"/>
      <c r="AZ27" s="116" t="str">
        <f t="shared" si="1"/>
        <v/>
      </c>
      <c r="BA27" s="117" t="str">
        <f t="shared" si="2"/>
        <v/>
      </c>
      <c r="BB27" s="116" t="str">
        <f t="shared" si="3"/>
        <v/>
      </c>
      <c r="BC27" s="114"/>
      <c r="BD27" s="118" t="str">
        <f t="shared" si="4"/>
        <v/>
      </c>
      <c r="BE27" s="119" t="str">
        <f t="shared" si="5"/>
        <v/>
      </c>
      <c r="BF27" s="119" t="str">
        <f t="shared" si="6"/>
        <v/>
      </c>
      <c r="BG27" s="119" t="str">
        <f t="shared" si="24"/>
        <v/>
      </c>
      <c r="BH27" s="119" t="str">
        <f t="shared" si="7"/>
        <v/>
      </c>
      <c r="BI27" s="120" t="str">
        <f t="shared" si="25"/>
        <v/>
      </c>
      <c r="BJ27" s="114"/>
      <c r="BK27" s="121" t="str">
        <f t="shared" si="8"/>
        <v/>
      </c>
      <c r="BL27" s="122" t="str">
        <f t="shared" si="9"/>
        <v/>
      </c>
      <c r="BM27" s="122" t="str">
        <f t="shared" si="10"/>
        <v/>
      </c>
      <c r="BN27" s="123" t="str">
        <f t="shared" si="11"/>
        <v/>
      </c>
      <c r="BO27" s="114"/>
      <c r="BP27" s="124" t="str">
        <f t="shared" si="12"/>
        <v/>
      </c>
      <c r="BQ27" s="125">
        <v>0</v>
      </c>
      <c r="BR27" s="125" t="str">
        <f t="shared" si="26"/>
        <v/>
      </c>
      <c r="BS27" s="125" t="str">
        <f t="shared" si="27"/>
        <v/>
      </c>
      <c r="BT27" s="126" t="str">
        <f t="shared" si="13"/>
        <v/>
      </c>
      <c r="BU27" s="114"/>
      <c r="BV27" s="132" t="e">
        <f t="shared" si="14"/>
        <v>#DIV/0!</v>
      </c>
      <c r="BW27" s="127" t="e">
        <f t="shared" si="15"/>
        <v>#DIV/0!</v>
      </c>
      <c r="BX27" s="127" t="e">
        <f t="shared" si="16"/>
        <v>#DIV/0!</v>
      </c>
      <c r="BY27" s="127" t="e">
        <f t="shared" si="17"/>
        <v>#DIV/0!</v>
      </c>
      <c r="BZ27" s="127" t="e">
        <f t="shared" si="28"/>
        <v>#DIV/0!</v>
      </c>
      <c r="CA27" s="128" t="e">
        <f t="shared" si="29"/>
        <v>#DIV/0!</v>
      </c>
      <c r="CB27" s="114"/>
      <c r="CC27" s="129" t="str">
        <f t="shared" si="18"/>
        <v>-</v>
      </c>
      <c r="CD27" s="130" t="str">
        <f t="shared" si="19"/>
        <v>-</v>
      </c>
      <c r="CE27" s="130" t="str">
        <f t="shared" si="20"/>
        <v>-</v>
      </c>
      <c r="CF27" s="130" t="str">
        <f t="shared" si="21"/>
        <v>-</v>
      </c>
      <c r="CG27" s="131" t="str">
        <f t="shared" si="22"/>
        <v>-</v>
      </c>
      <c r="CH27" s="114"/>
    </row>
    <row r="28" spans="1:86" s="115" customFormat="1" ht="12.4" customHeight="1" thickBot="1" x14ac:dyDescent="0.25">
      <c r="A28" s="96">
        <f t="shared" si="30"/>
        <v>46320</v>
      </c>
      <c r="B28" s="97" t="str">
        <f t="shared" si="0"/>
        <v>Sun</v>
      </c>
      <c r="C28" s="60">
        <f>+SUM(EL_DEL_CD2_PTP_!C28,EL_DEL_CD2_PTP_L_!C28)</f>
        <v>0</v>
      </c>
      <c r="D28" s="60">
        <f>+SUM(EL_DEL_CD2_PTP_!D28,EL_DEL_CD2_PTP_L_!D28)</f>
        <v>0</v>
      </c>
      <c r="E28" s="60">
        <f>+SUM(EL_DEL_CD2_PTP_!E28,EL_DEL_CD2_PTP_L_!E28)</f>
        <v>0</v>
      </c>
      <c r="F28" s="60">
        <f>+SUM(EL_DEL_CD2_PTP_!F28,EL_DEL_CD2_PTP_L_!F28)</f>
        <v>0</v>
      </c>
      <c r="G28" s="60">
        <f>+SUM(EL_DEL_CD2_PTP_!G28,EL_DEL_CD2_PTP_L_!G28)</f>
        <v>0</v>
      </c>
      <c r="H28" s="60">
        <f>+SUM(EL_DEL_CD2_PTP_!H28,EL_DEL_CD2_PTP_L_!H28)</f>
        <v>0</v>
      </c>
      <c r="I28" s="60">
        <f>+SUM(EL_DEL_CD2_PTP_!I28,EL_DEL_CD2_PTP_L_!I28)</f>
        <v>0</v>
      </c>
      <c r="J28" s="60">
        <f>+SUM(EL_DEL_CD2_PTP_!J28,EL_DEL_CD2_PTP_L_!J28)</f>
        <v>0</v>
      </c>
      <c r="K28" s="60">
        <f>+SUM(EL_DEL_CD2_PTP_!K28,EL_DEL_CD2_PTP_L_!K28)</f>
        <v>0</v>
      </c>
      <c r="L28" s="60">
        <f>+SUM(EL_DEL_CD2_PTP_!L28,EL_DEL_CD2_PTP_L_!L28)</f>
        <v>0</v>
      </c>
      <c r="M28" s="60">
        <f>+SUM(EL_DEL_CD2_PTP_!M28,EL_DEL_CD2_PTP_L_!M28)</f>
        <v>0</v>
      </c>
      <c r="N28" s="60">
        <f>+SUM(EL_DEL_CD2_PTP_!N28,EL_DEL_CD2_PTP_L_!N28)</f>
        <v>0</v>
      </c>
      <c r="O28" s="60">
        <f>+SUM(EL_DEL_CD2_PTP_!O28,EL_DEL_CD2_PTP_L_!O28)</f>
        <v>0</v>
      </c>
      <c r="P28" s="60">
        <f>+SUM(EL_DEL_CD2_PTP_!P28,EL_DEL_CD2_PTP_L_!P28)</f>
        <v>0</v>
      </c>
      <c r="Q28" s="60">
        <f>+SUM(EL_DEL_CD2_PTP_!Q28,EL_DEL_CD2_PTP_L_!Q28)</f>
        <v>0</v>
      </c>
      <c r="R28" s="60">
        <f>+SUM(EL_DEL_CD2_PTP_!R28,EL_DEL_CD2_PTP_L_!R28)</f>
        <v>0</v>
      </c>
      <c r="S28" s="60">
        <f>+SUM(EL_DEL_CD2_PTP_!S28,EL_DEL_CD2_PTP_L_!S28)</f>
        <v>0</v>
      </c>
      <c r="T28" s="60">
        <f>+SUM(EL_DEL_CD2_PTP_!T28,EL_DEL_CD2_PTP_L_!T28)</f>
        <v>0</v>
      </c>
      <c r="U28" s="98">
        <f>+SUM(EL_DEL_CD2_PTP_!U28,EL_DEL_CD2_PTP_L_!U28)</f>
        <v>0</v>
      </c>
      <c r="V28" s="60">
        <f>+SUM(EL_DEL_CD2_PTP_!V28,EL_DEL_CD2_PTP_L_!V28)</f>
        <v>0</v>
      </c>
      <c r="W28" s="60">
        <f>+SUM(EL_DEL_CD2_PTP_!W28,EL_DEL_CD2_PTP_L_!W28)</f>
        <v>0</v>
      </c>
      <c r="X28" s="60">
        <f>+SUM(EL_DEL_CD2_PTP_!X28,EL_DEL_CD2_PTP_L_!X28)</f>
        <v>0</v>
      </c>
      <c r="Y28" s="60">
        <f>+SUM(EL_DEL_CD2_PTP_!Y28,EL_DEL_CD2_PTP_L_!Y28)</f>
        <v>0</v>
      </c>
      <c r="Z28" s="60">
        <f>+SUM(EL_DEL_CD2_PTP_!Z28,EL_DEL_CD2_PTP_L_!Z28)</f>
        <v>0</v>
      </c>
      <c r="AA28" s="60">
        <f>+SUM(EL_DEL_CD2_PTP_!AA28,EL_DEL_CD2_PTP_L_!AA28)</f>
        <v>0</v>
      </c>
      <c r="AB28" s="60">
        <f>+SUM(EL_DEL_CD2_PTP_!AB28,EL_DEL_CD2_PTP_L_!AB28)</f>
        <v>0</v>
      </c>
      <c r="AC28" s="60">
        <f>+SUM(EL_DEL_CD2_PTP_!AC28,EL_DEL_CD2_PTP_L_!AC28)</f>
        <v>0</v>
      </c>
      <c r="AD28" s="60">
        <f>+SUM(EL_DEL_CD2_PTP_!AD28,EL_DEL_CD2_PTP_L_!AD28)</f>
        <v>0</v>
      </c>
      <c r="AE28" s="60">
        <f>+SUM(EL_DEL_CD2_PTP_!AE28,EL_DEL_CD2_PTP_L_!AE28)</f>
        <v>0</v>
      </c>
      <c r="AF28" s="60">
        <f>+SUM(EL_DEL_CD2_PTP_!AF28,EL_DEL_CD2_PTP_L_!AF28)</f>
        <v>0</v>
      </c>
      <c r="AG28" s="60">
        <f>+SUM(EL_DEL_CD2_PTP_!AG28,EL_DEL_CD2_PTP_L_!AG28)</f>
        <v>0</v>
      </c>
      <c r="AH28" s="60">
        <f>+SUM(EL_DEL_CD2_PTP_!AH28,EL_DEL_CD2_PTP_L_!AH28)</f>
        <v>0</v>
      </c>
      <c r="AI28" s="60">
        <f>+SUM(EL_DEL_CD2_PTP_!AI28,EL_DEL_CD2_PTP_L_!AI28)</f>
        <v>0</v>
      </c>
      <c r="AJ28" s="60">
        <f>+SUM(EL_DEL_CD2_PTP_!AJ28,EL_DEL_CD2_PTP_L_!AJ28)</f>
        <v>0</v>
      </c>
      <c r="AK28" s="60">
        <f>+SUM(EL_DEL_CD2_PTP_!AK28,EL_DEL_CD2_PTP_L_!AK28)</f>
        <v>0</v>
      </c>
      <c r="AL28" s="99" t="str">
        <f>+IFERROR(AVERAGE(EL_DEL_CD2_PTP_!AL28,EL_DEL_CD2_PTP_L_!AL28),"0")</f>
        <v>0</v>
      </c>
      <c r="AM28" s="99" t="str">
        <f>+IFERROR(AVERAGE(EL_DEL_CD2_PTP_!AM28,EL_DEL_CD2_PTP_L_!AM28),"0")</f>
        <v>0</v>
      </c>
      <c r="AN28" s="99" t="str">
        <f>+IFERROR(AVERAGE(EL_DEL_CD2_PTP_!AN28,EL_DEL_CD2_PTP_L_!AN28),"0")</f>
        <v>0</v>
      </c>
      <c r="AO28" s="99" t="str">
        <f>+IFERROR(AVERAGE(EL_DEL_CD2_PTP_!AO28,EL_DEL_CD2_PTP_L_!AO28),"0")</f>
        <v>0</v>
      </c>
      <c r="AP28" s="99" t="str">
        <f>+IFERROR(AVERAGE(EL_DEL_CD2_PTP_!AP28,EL_DEL_CD2_PTP_L_!AP28),"0")</f>
        <v>0</v>
      </c>
      <c r="AQ28" s="99" t="str">
        <f>+IFERROR(AVERAGE(EL_DEL_CD2_PTP_!AQ28,EL_DEL_CD2_PTP_L_!AQ28),"0")</f>
        <v>0</v>
      </c>
      <c r="AR28" s="99" t="str">
        <f>+IFERROR(AVERAGE(EL_DEL_CD2_PTP_!AR28,EL_DEL_CD2_PTP_L_!AR28),"0")</f>
        <v>0</v>
      </c>
      <c r="AS28" s="99" t="str">
        <f>+IFERROR(AVERAGE(EL_DEL_CD2_PTP_!AS28,EL_DEL_CD2_PTP_L_!AS28),"0")</f>
        <v>0</v>
      </c>
      <c r="AT28" s="100">
        <f>+SUM(EL_DEL_CD2_PTP_!AT28,EL_DEL_CD2_PTP_L_!AT28)</f>
        <v>0</v>
      </c>
      <c r="AU28" s="100">
        <f>+SUM(EL_DEL_CD2_PTP_!AU28,EL_DEL_CD2_PTP_L_!AU28)</f>
        <v>0</v>
      </c>
      <c r="AV28" s="101">
        <f>+SUM(EL_DEL_CD2_PTP_!AV28,EL_DEL_CD2_PTP_L_!AV28)</f>
        <v>0</v>
      </c>
      <c r="AW28" s="60">
        <f>+SUM(EL_DEL_CD2_PTP_!AW28,EL_DEL_CD2_PTP_L_!AW28)</f>
        <v>0</v>
      </c>
      <c r="AX28" s="102" t="str">
        <f t="shared" si="23"/>
        <v>-</v>
      </c>
      <c r="AY28" s="114"/>
      <c r="AZ28" s="116" t="str">
        <f t="shared" si="1"/>
        <v/>
      </c>
      <c r="BA28" s="117" t="str">
        <f t="shared" si="2"/>
        <v/>
      </c>
      <c r="BB28" s="116" t="str">
        <f t="shared" si="3"/>
        <v/>
      </c>
      <c r="BC28" s="114"/>
      <c r="BD28" s="118" t="str">
        <f t="shared" si="4"/>
        <v/>
      </c>
      <c r="BE28" s="119" t="str">
        <f t="shared" si="5"/>
        <v/>
      </c>
      <c r="BF28" s="119" t="str">
        <f t="shared" si="6"/>
        <v/>
      </c>
      <c r="BG28" s="119" t="str">
        <f t="shared" si="24"/>
        <v/>
      </c>
      <c r="BH28" s="119" t="str">
        <f t="shared" si="7"/>
        <v/>
      </c>
      <c r="BI28" s="120" t="str">
        <f t="shared" si="25"/>
        <v/>
      </c>
      <c r="BJ28" s="114"/>
      <c r="BK28" s="121" t="str">
        <f t="shared" si="8"/>
        <v/>
      </c>
      <c r="BL28" s="122" t="str">
        <f t="shared" si="9"/>
        <v/>
      </c>
      <c r="BM28" s="122" t="str">
        <f t="shared" si="10"/>
        <v/>
      </c>
      <c r="BN28" s="123" t="str">
        <f t="shared" si="11"/>
        <v/>
      </c>
      <c r="BO28" s="114"/>
      <c r="BP28" s="124" t="str">
        <f t="shared" si="12"/>
        <v/>
      </c>
      <c r="BQ28" s="125">
        <v>0</v>
      </c>
      <c r="BR28" s="125" t="str">
        <f t="shared" si="26"/>
        <v/>
      </c>
      <c r="BS28" s="125" t="str">
        <f t="shared" si="27"/>
        <v/>
      </c>
      <c r="BT28" s="126" t="str">
        <f t="shared" si="13"/>
        <v/>
      </c>
      <c r="BU28" s="114"/>
      <c r="BV28" s="132" t="e">
        <f t="shared" si="14"/>
        <v>#DIV/0!</v>
      </c>
      <c r="BW28" s="127" t="e">
        <f t="shared" si="15"/>
        <v>#DIV/0!</v>
      </c>
      <c r="BX28" s="127" t="e">
        <f t="shared" si="16"/>
        <v>#DIV/0!</v>
      </c>
      <c r="BY28" s="127" t="e">
        <f t="shared" si="17"/>
        <v>#DIV/0!</v>
      </c>
      <c r="BZ28" s="127" t="e">
        <f t="shared" si="28"/>
        <v>#DIV/0!</v>
      </c>
      <c r="CA28" s="128" t="e">
        <f t="shared" si="29"/>
        <v>#DIV/0!</v>
      </c>
      <c r="CB28" s="114"/>
      <c r="CC28" s="129" t="str">
        <f t="shared" si="18"/>
        <v>-</v>
      </c>
      <c r="CD28" s="130" t="str">
        <f t="shared" si="19"/>
        <v>-</v>
      </c>
      <c r="CE28" s="130" t="str">
        <f t="shared" si="20"/>
        <v>-</v>
      </c>
      <c r="CF28" s="130" t="str">
        <f t="shared" si="21"/>
        <v>-</v>
      </c>
      <c r="CG28" s="131" t="str">
        <f t="shared" si="22"/>
        <v>-</v>
      </c>
      <c r="CH28" s="114"/>
    </row>
    <row r="29" spans="1:86" s="115" customFormat="1" ht="12.4" customHeight="1" thickBot="1" x14ac:dyDescent="0.25">
      <c r="A29" s="96">
        <f t="shared" si="30"/>
        <v>46321</v>
      </c>
      <c r="B29" s="97" t="str">
        <f t="shared" si="0"/>
        <v>Mon</v>
      </c>
      <c r="C29" s="60">
        <f>+SUM(EL_DEL_CD2_PTP_!C29,EL_DEL_CD2_PTP_L_!C29)</f>
        <v>0</v>
      </c>
      <c r="D29" s="60">
        <f>+SUM(EL_DEL_CD2_PTP_!D29,EL_DEL_CD2_PTP_L_!D29)</f>
        <v>0</v>
      </c>
      <c r="E29" s="60">
        <f>+SUM(EL_DEL_CD2_PTP_!E29,EL_DEL_CD2_PTP_L_!E29)</f>
        <v>0</v>
      </c>
      <c r="F29" s="60">
        <f>+SUM(EL_DEL_CD2_PTP_!F29,EL_DEL_CD2_PTP_L_!F29)</f>
        <v>0</v>
      </c>
      <c r="G29" s="60">
        <f>+SUM(EL_DEL_CD2_PTP_!G29,EL_DEL_CD2_PTP_L_!G29)</f>
        <v>0</v>
      </c>
      <c r="H29" s="60">
        <f>+SUM(EL_DEL_CD2_PTP_!H29,EL_DEL_CD2_PTP_L_!H29)</f>
        <v>0</v>
      </c>
      <c r="I29" s="60">
        <f>+SUM(EL_DEL_CD2_PTP_!I29,EL_DEL_CD2_PTP_L_!I29)</f>
        <v>0</v>
      </c>
      <c r="J29" s="60">
        <f>+SUM(EL_DEL_CD2_PTP_!J29,EL_DEL_CD2_PTP_L_!J29)</f>
        <v>0</v>
      </c>
      <c r="K29" s="60">
        <f>+SUM(EL_DEL_CD2_PTP_!K29,EL_DEL_CD2_PTP_L_!K29)</f>
        <v>0</v>
      </c>
      <c r="L29" s="60">
        <f>+SUM(EL_DEL_CD2_PTP_!L29,EL_DEL_CD2_PTP_L_!L29)</f>
        <v>0</v>
      </c>
      <c r="M29" s="60">
        <f>+SUM(EL_DEL_CD2_PTP_!M29,EL_DEL_CD2_PTP_L_!M29)</f>
        <v>0</v>
      </c>
      <c r="N29" s="60">
        <f>+SUM(EL_DEL_CD2_PTP_!N29,EL_DEL_CD2_PTP_L_!N29)</f>
        <v>0</v>
      </c>
      <c r="O29" s="60">
        <f>+SUM(EL_DEL_CD2_PTP_!O29,EL_DEL_CD2_PTP_L_!O29)</f>
        <v>0</v>
      </c>
      <c r="P29" s="60">
        <f>+SUM(EL_DEL_CD2_PTP_!P29,EL_DEL_CD2_PTP_L_!P29)</f>
        <v>0</v>
      </c>
      <c r="Q29" s="60">
        <f>+SUM(EL_DEL_CD2_PTP_!Q29,EL_DEL_CD2_PTP_L_!Q29)</f>
        <v>0</v>
      </c>
      <c r="R29" s="60">
        <f>+SUM(EL_DEL_CD2_PTP_!R29,EL_DEL_CD2_PTP_L_!R29)</f>
        <v>0</v>
      </c>
      <c r="S29" s="60">
        <f>+SUM(EL_DEL_CD2_PTP_!S29,EL_DEL_CD2_PTP_L_!S29)</f>
        <v>0</v>
      </c>
      <c r="T29" s="60">
        <f>+SUM(EL_DEL_CD2_PTP_!T29,EL_DEL_CD2_PTP_L_!T29)</f>
        <v>0</v>
      </c>
      <c r="U29" s="98">
        <f>+SUM(EL_DEL_CD2_PTP_!U29,EL_DEL_CD2_PTP_L_!U29)</f>
        <v>0</v>
      </c>
      <c r="V29" s="60">
        <f>+SUM(EL_DEL_CD2_PTP_!V29,EL_DEL_CD2_PTP_L_!V29)</f>
        <v>0</v>
      </c>
      <c r="W29" s="60">
        <f>+SUM(EL_DEL_CD2_PTP_!W29,EL_DEL_CD2_PTP_L_!W29)</f>
        <v>0</v>
      </c>
      <c r="X29" s="60">
        <f>+SUM(EL_DEL_CD2_PTP_!X29,EL_DEL_CD2_PTP_L_!X29)</f>
        <v>0</v>
      </c>
      <c r="Y29" s="60">
        <f>+SUM(EL_DEL_CD2_PTP_!Y29,EL_DEL_CD2_PTP_L_!Y29)</f>
        <v>0</v>
      </c>
      <c r="Z29" s="60">
        <f>+SUM(EL_DEL_CD2_PTP_!Z29,EL_DEL_CD2_PTP_L_!Z29)</f>
        <v>0</v>
      </c>
      <c r="AA29" s="60">
        <f>+SUM(EL_DEL_CD2_PTP_!AA29,EL_DEL_CD2_PTP_L_!AA29)</f>
        <v>0</v>
      </c>
      <c r="AB29" s="60">
        <f>+SUM(EL_DEL_CD2_PTP_!AB29,EL_DEL_CD2_PTP_L_!AB29)</f>
        <v>0</v>
      </c>
      <c r="AC29" s="60">
        <f>+SUM(EL_DEL_CD2_PTP_!AC29,EL_DEL_CD2_PTP_L_!AC29)</f>
        <v>0</v>
      </c>
      <c r="AD29" s="60">
        <f>+SUM(EL_DEL_CD2_PTP_!AD29,EL_DEL_CD2_PTP_L_!AD29)</f>
        <v>0</v>
      </c>
      <c r="AE29" s="60">
        <f>+SUM(EL_DEL_CD2_PTP_!AE29,EL_DEL_CD2_PTP_L_!AE29)</f>
        <v>0</v>
      </c>
      <c r="AF29" s="60">
        <f>+SUM(EL_DEL_CD2_PTP_!AF29,EL_DEL_CD2_PTP_L_!AF29)</f>
        <v>0</v>
      </c>
      <c r="AG29" s="60">
        <f>+SUM(EL_DEL_CD2_PTP_!AG29,EL_DEL_CD2_PTP_L_!AG29)</f>
        <v>0</v>
      </c>
      <c r="AH29" s="60">
        <f>+SUM(EL_DEL_CD2_PTP_!AH29,EL_DEL_CD2_PTP_L_!AH29)</f>
        <v>0</v>
      </c>
      <c r="AI29" s="60">
        <f>+SUM(EL_DEL_CD2_PTP_!AI29,EL_DEL_CD2_PTP_L_!AI29)</f>
        <v>0</v>
      </c>
      <c r="AJ29" s="60">
        <f>+SUM(EL_DEL_CD2_PTP_!AJ29,EL_DEL_CD2_PTP_L_!AJ29)</f>
        <v>0</v>
      </c>
      <c r="AK29" s="60">
        <f>+SUM(EL_DEL_CD2_PTP_!AK29,EL_DEL_CD2_PTP_L_!AK29)</f>
        <v>0</v>
      </c>
      <c r="AL29" s="99" t="str">
        <f>+IFERROR(AVERAGE(EL_DEL_CD2_PTP_!AL29,EL_DEL_CD2_PTP_L_!AL29),"0")</f>
        <v>0</v>
      </c>
      <c r="AM29" s="99" t="str">
        <f>+IFERROR(AVERAGE(EL_DEL_CD2_PTP_!AM29,EL_DEL_CD2_PTP_L_!AM29),"0")</f>
        <v>0</v>
      </c>
      <c r="AN29" s="99" t="str">
        <f>+IFERROR(AVERAGE(EL_DEL_CD2_PTP_!AN29,EL_DEL_CD2_PTP_L_!AN29),"0")</f>
        <v>0</v>
      </c>
      <c r="AO29" s="99" t="str">
        <f>+IFERROR(AVERAGE(EL_DEL_CD2_PTP_!AO29,EL_DEL_CD2_PTP_L_!AO29),"0")</f>
        <v>0</v>
      </c>
      <c r="AP29" s="99" t="str">
        <f>+IFERROR(AVERAGE(EL_DEL_CD2_PTP_!AP29,EL_DEL_CD2_PTP_L_!AP29),"0")</f>
        <v>0</v>
      </c>
      <c r="AQ29" s="99" t="str">
        <f>+IFERROR(AVERAGE(EL_DEL_CD2_PTP_!AQ29,EL_DEL_CD2_PTP_L_!AQ29),"0")</f>
        <v>0</v>
      </c>
      <c r="AR29" s="99" t="str">
        <f>+IFERROR(AVERAGE(EL_DEL_CD2_PTP_!AR29,EL_DEL_CD2_PTP_L_!AR29),"0")</f>
        <v>0</v>
      </c>
      <c r="AS29" s="99" t="str">
        <f>+IFERROR(AVERAGE(EL_DEL_CD2_PTP_!AS29,EL_DEL_CD2_PTP_L_!AS29),"0")</f>
        <v>0</v>
      </c>
      <c r="AT29" s="100">
        <f>+SUM(EL_DEL_CD2_PTP_!AT29,EL_DEL_CD2_PTP_L_!AT29)</f>
        <v>0</v>
      </c>
      <c r="AU29" s="100">
        <f>+SUM(EL_DEL_CD2_PTP_!AU29,EL_DEL_CD2_PTP_L_!AU29)</f>
        <v>0</v>
      </c>
      <c r="AV29" s="101">
        <f>+SUM(EL_DEL_CD2_PTP_!AV29,EL_DEL_CD2_PTP_L_!AV29)</f>
        <v>0</v>
      </c>
      <c r="AW29" s="60">
        <f>+SUM(EL_DEL_CD2_PTP_!AW29,EL_DEL_CD2_PTP_L_!AW29)</f>
        <v>0</v>
      </c>
      <c r="AX29" s="102" t="str">
        <f t="shared" si="23"/>
        <v>-</v>
      </c>
      <c r="AY29" s="114"/>
      <c r="AZ29" s="116" t="str">
        <f t="shared" si="1"/>
        <v/>
      </c>
      <c r="BA29" s="117" t="str">
        <f t="shared" si="2"/>
        <v/>
      </c>
      <c r="BB29" s="116" t="str">
        <f t="shared" si="3"/>
        <v/>
      </c>
      <c r="BC29" s="114"/>
      <c r="BD29" s="118" t="str">
        <f t="shared" si="4"/>
        <v/>
      </c>
      <c r="BE29" s="119" t="str">
        <f t="shared" si="5"/>
        <v/>
      </c>
      <c r="BF29" s="119" t="str">
        <f t="shared" si="6"/>
        <v/>
      </c>
      <c r="BG29" s="119" t="str">
        <f t="shared" si="24"/>
        <v/>
      </c>
      <c r="BH29" s="119" t="str">
        <f t="shared" si="7"/>
        <v/>
      </c>
      <c r="BI29" s="120" t="str">
        <f t="shared" si="25"/>
        <v/>
      </c>
      <c r="BJ29" s="114"/>
      <c r="BK29" s="121" t="str">
        <f t="shared" si="8"/>
        <v/>
      </c>
      <c r="BL29" s="122" t="str">
        <f t="shared" si="9"/>
        <v/>
      </c>
      <c r="BM29" s="122" t="str">
        <f t="shared" si="10"/>
        <v/>
      </c>
      <c r="BN29" s="123" t="str">
        <f t="shared" si="11"/>
        <v/>
      </c>
      <c r="BO29" s="114"/>
      <c r="BP29" s="124" t="str">
        <f t="shared" si="12"/>
        <v/>
      </c>
      <c r="BQ29" s="125">
        <v>0</v>
      </c>
      <c r="BR29" s="125" t="str">
        <f t="shared" si="26"/>
        <v/>
      </c>
      <c r="BS29" s="125" t="str">
        <f t="shared" si="27"/>
        <v/>
      </c>
      <c r="BT29" s="126" t="str">
        <f t="shared" si="13"/>
        <v/>
      </c>
      <c r="BU29" s="114"/>
      <c r="BV29" s="132" t="e">
        <f t="shared" si="14"/>
        <v>#DIV/0!</v>
      </c>
      <c r="BW29" s="127" t="e">
        <f t="shared" si="15"/>
        <v>#DIV/0!</v>
      </c>
      <c r="BX29" s="127" t="e">
        <f t="shared" si="16"/>
        <v>#DIV/0!</v>
      </c>
      <c r="BY29" s="127" t="e">
        <f t="shared" si="17"/>
        <v>#DIV/0!</v>
      </c>
      <c r="BZ29" s="127" t="e">
        <f t="shared" si="28"/>
        <v>#DIV/0!</v>
      </c>
      <c r="CA29" s="128" t="e">
        <f t="shared" si="29"/>
        <v>#DIV/0!</v>
      </c>
      <c r="CB29" s="114"/>
      <c r="CC29" s="129" t="str">
        <f t="shared" si="18"/>
        <v>-</v>
      </c>
      <c r="CD29" s="130" t="str">
        <f t="shared" si="19"/>
        <v>-</v>
      </c>
      <c r="CE29" s="130" t="str">
        <f t="shared" si="20"/>
        <v>-</v>
      </c>
      <c r="CF29" s="130" t="str">
        <f t="shared" si="21"/>
        <v>-</v>
      </c>
      <c r="CG29" s="131" t="str">
        <f t="shared" si="22"/>
        <v>-</v>
      </c>
      <c r="CH29" s="114"/>
    </row>
    <row r="30" spans="1:86" s="115" customFormat="1" ht="12.4" customHeight="1" thickBot="1" x14ac:dyDescent="0.25">
      <c r="A30" s="96">
        <f t="shared" si="30"/>
        <v>46322</v>
      </c>
      <c r="B30" s="97" t="str">
        <f t="shared" si="0"/>
        <v>Tue</v>
      </c>
      <c r="C30" s="60">
        <f>+SUM(EL_DEL_CD2_PTP_!C30,EL_DEL_CD2_PTP_L_!C30)</f>
        <v>0</v>
      </c>
      <c r="D30" s="60">
        <f>+SUM(EL_DEL_CD2_PTP_!D30,EL_DEL_CD2_PTP_L_!D30)</f>
        <v>0</v>
      </c>
      <c r="E30" s="60">
        <f>+SUM(EL_DEL_CD2_PTP_!E30,EL_DEL_CD2_PTP_L_!E30)</f>
        <v>0</v>
      </c>
      <c r="F30" s="60">
        <f>+SUM(EL_DEL_CD2_PTP_!F30,EL_DEL_CD2_PTP_L_!F30)</f>
        <v>0</v>
      </c>
      <c r="G30" s="60">
        <f>+SUM(EL_DEL_CD2_PTP_!G30,EL_DEL_CD2_PTP_L_!G30)</f>
        <v>0</v>
      </c>
      <c r="H30" s="60">
        <f>+SUM(EL_DEL_CD2_PTP_!H30,EL_DEL_CD2_PTP_L_!H30)</f>
        <v>0</v>
      </c>
      <c r="I30" s="60">
        <f>+SUM(EL_DEL_CD2_PTP_!I30,EL_DEL_CD2_PTP_L_!I30)</f>
        <v>0</v>
      </c>
      <c r="J30" s="60">
        <f>+SUM(EL_DEL_CD2_PTP_!J30,EL_DEL_CD2_PTP_L_!J30)</f>
        <v>0</v>
      </c>
      <c r="K30" s="60">
        <f>+SUM(EL_DEL_CD2_PTP_!K30,EL_DEL_CD2_PTP_L_!K30)</f>
        <v>0</v>
      </c>
      <c r="L30" s="60">
        <f>+SUM(EL_DEL_CD2_PTP_!L30,EL_DEL_CD2_PTP_L_!L30)</f>
        <v>0</v>
      </c>
      <c r="M30" s="60">
        <f>+SUM(EL_DEL_CD2_PTP_!M30,EL_DEL_CD2_PTP_L_!M30)</f>
        <v>0</v>
      </c>
      <c r="N30" s="60">
        <f>+SUM(EL_DEL_CD2_PTP_!N30,EL_DEL_CD2_PTP_L_!N30)</f>
        <v>0</v>
      </c>
      <c r="O30" s="60">
        <f>+SUM(EL_DEL_CD2_PTP_!O30,EL_DEL_CD2_PTP_L_!O30)</f>
        <v>0</v>
      </c>
      <c r="P30" s="60">
        <f>+SUM(EL_DEL_CD2_PTP_!P30,EL_DEL_CD2_PTP_L_!P30)</f>
        <v>0</v>
      </c>
      <c r="Q30" s="60">
        <f>+SUM(EL_DEL_CD2_PTP_!Q30,EL_DEL_CD2_PTP_L_!Q30)</f>
        <v>0</v>
      </c>
      <c r="R30" s="60">
        <f>+SUM(EL_DEL_CD2_PTP_!R30,EL_DEL_CD2_PTP_L_!R30)</f>
        <v>0</v>
      </c>
      <c r="S30" s="60">
        <f>+SUM(EL_DEL_CD2_PTP_!S30,EL_DEL_CD2_PTP_L_!S30)</f>
        <v>0</v>
      </c>
      <c r="T30" s="60">
        <f>+SUM(EL_DEL_CD2_PTP_!T30,EL_DEL_CD2_PTP_L_!T30)</f>
        <v>0</v>
      </c>
      <c r="U30" s="98">
        <f>+SUM(EL_DEL_CD2_PTP_!U30,EL_DEL_CD2_PTP_L_!U30)</f>
        <v>0</v>
      </c>
      <c r="V30" s="60">
        <f>+SUM(EL_DEL_CD2_PTP_!V30,EL_DEL_CD2_PTP_L_!V30)</f>
        <v>0</v>
      </c>
      <c r="W30" s="60">
        <f>+SUM(EL_DEL_CD2_PTP_!W30,EL_DEL_CD2_PTP_L_!W30)</f>
        <v>0</v>
      </c>
      <c r="X30" s="60">
        <f>+SUM(EL_DEL_CD2_PTP_!X30,EL_DEL_CD2_PTP_L_!X30)</f>
        <v>0</v>
      </c>
      <c r="Y30" s="60">
        <f>+SUM(EL_DEL_CD2_PTP_!Y30,EL_DEL_CD2_PTP_L_!Y30)</f>
        <v>0</v>
      </c>
      <c r="Z30" s="60">
        <f>+SUM(EL_DEL_CD2_PTP_!Z30,EL_DEL_CD2_PTP_L_!Z30)</f>
        <v>0</v>
      </c>
      <c r="AA30" s="60">
        <f>+SUM(EL_DEL_CD2_PTP_!AA30,EL_DEL_CD2_PTP_L_!AA30)</f>
        <v>0</v>
      </c>
      <c r="AB30" s="60">
        <f>+SUM(EL_DEL_CD2_PTP_!AB30,EL_DEL_CD2_PTP_L_!AB30)</f>
        <v>0</v>
      </c>
      <c r="AC30" s="60">
        <f>+SUM(EL_DEL_CD2_PTP_!AC30,EL_DEL_CD2_PTP_L_!AC30)</f>
        <v>0</v>
      </c>
      <c r="AD30" s="60">
        <f>+SUM(EL_DEL_CD2_PTP_!AD30,EL_DEL_CD2_PTP_L_!AD30)</f>
        <v>0</v>
      </c>
      <c r="AE30" s="60">
        <f>+SUM(EL_DEL_CD2_PTP_!AE30,EL_DEL_CD2_PTP_L_!AE30)</f>
        <v>0</v>
      </c>
      <c r="AF30" s="60">
        <f>+SUM(EL_DEL_CD2_PTP_!AF30,EL_DEL_CD2_PTP_L_!AF30)</f>
        <v>0</v>
      </c>
      <c r="AG30" s="60">
        <f>+SUM(EL_DEL_CD2_PTP_!AG30,EL_DEL_CD2_PTP_L_!AG30)</f>
        <v>0</v>
      </c>
      <c r="AH30" s="60">
        <f>+SUM(EL_DEL_CD2_PTP_!AH30,EL_DEL_CD2_PTP_L_!AH30)</f>
        <v>0</v>
      </c>
      <c r="AI30" s="60">
        <f>+SUM(EL_DEL_CD2_PTP_!AI30,EL_DEL_CD2_PTP_L_!AI30)</f>
        <v>0</v>
      </c>
      <c r="AJ30" s="60">
        <f>+SUM(EL_DEL_CD2_PTP_!AJ30,EL_DEL_CD2_PTP_L_!AJ30)</f>
        <v>0</v>
      </c>
      <c r="AK30" s="60">
        <f>+SUM(EL_DEL_CD2_PTP_!AK30,EL_DEL_CD2_PTP_L_!AK30)</f>
        <v>0</v>
      </c>
      <c r="AL30" s="99" t="str">
        <f>+IFERROR(AVERAGE(EL_DEL_CD2_PTP_!AL30,EL_DEL_CD2_PTP_L_!AL30),"0")</f>
        <v>0</v>
      </c>
      <c r="AM30" s="99" t="str">
        <f>+IFERROR(AVERAGE(EL_DEL_CD2_PTP_!AM30,EL_DEL_CD2_PTP_L_!AM30),"0")</f>
        <v>0</v>
      </c>
      <c r="AN30" s="99" t="str">
        <f>+IFERROR(AVERAGE(EL_DEL_CD2_PTP_!AN30,EL_DEL_CD2_PTP_L_!AN30),"0")</f>
        <v>0</v>
      </c>
      <c r="AO30" s="99" t="str">
        <f>+IFERROR(AVERAGE(EL_DEL_CD2_PTP_!AO30,EL_DEL_CD2_PTP_L_!AO30),"0")</f>
        <v>0</v>
      </c>
      <c r="AP30" s="99" t="str">
        <f>+IFERROR(AVERAGE(EL_DEL_CD2_PTP_!AP30,EL_DEL_CD2_PTP_L_!AP30),"0")</f>
        <v>0</v>
      </c>
      <c r="AQ30" s="99" t="str">
        <f>+IFERROR(AVERAGE(EL_DEL_CD2_PTP_!AQ30,EL_DEL_CD2_PTP_L_!AQ30),"0")</f>
        <v>0</v>
      </c>
      <c r="AR30" s="99" t="str">
        <f>+IFERROR(AVERAGE(EL_DEL_CD2_PTP_!AR30,EL_DEL_CD2_PTP_L_!AR30),"0")</f>
        <v>0</v>
      </c>
      <c r="AS30" s="99" t="str">
        <f>+IFERROR(AVERAGE(EL_DEL_CD2_PTP_!AS30,EL_DEL_CD2_PTP_L_!AS30),"0")</f>
        <v>0</v>
      </c>
      <c r="AT30" s="100">
        <f>+SUM(EL_DEL_CD2_PTP_!AT30,EL_DEL_CD2_PTP_L_!AT30)</f>
        <v>0</v>
      </c>
      <c r="AU30" s="100">
        <f>+SUM(EL_DEL_CD2_PTP_!AU30,EL_DEL_CD2_PTP_L_!AU30)</f>
        <v>0</v>
      </c>
      <c r="AV30" s="101">
        <f>+SUM(EL_DEL_CD2_PTP_!AV30,EL_DEL_CD2_PTP_L_!AV30)</f>
        <v>0</v>
      </c>
      <c r="AW30" s="60">
        <f>+SUM(EL_DEL_CD2_PTP_!AW30,EL_DEL_CD2_PTP_L_!AW30)</f>
        <v>0</v>
      </c>
      <c r="AX30" s="102" t="str">
        <f t="shared" si="23"/>
        <v>-</v>
      </c>
      <c r="AY30" s="114"/>
      <c r="AZ30" s="116" t="str">
        <f t="shared" si="1"/>
        <v/>
      </c>
      <c r="BA30" s="117" t="str">
        <f t="shared" si="2"/>
        <v/>
      </c>
      <c r="BB30" s="116" t="str">
        <f t="shared" si="3"/>
        <v/>
      </c>
      <c r="BC30" s="114"/>
      <c r="BD30" s="118" t="str">
        <f t="shared" si="4"/>
        <v/>
      </c>
      <c r="BE30" s="119" t="str">
        <f t="shared" si="5"/>
        <v/>
      </c>
      <c r="BF30" s="119" t="str">
        <f t="shared" si="6"/>
        <v/>
      </c>
      <c r="BG30" s="119" t="str">
        <f t="shared" si="24"/>
        <v/>
      </c>
      <c r="BH30" s="119" t="str">
        <f t="shared" si="7"/>
        <v/>
      </c>
      <c r="BI30" s="120" t="str">
        <f t="shared" si="25"/>
        <v/>
      </c>
      <c r="BJ30" s="114"/>
      <c r="BK30" s="121" t="str">
        <f t="shared" si="8"/>
        <v/>
      </c>
      <c r="BL30" s="122" t="str">
        <f t="shared" si="9"/>
        <v/>
      </c>
      <c r="BM30" s="122" t="str">
        <f t="shared" si="10"/>
        <v/>
      </c>
      <c r="BN30" s="123" t="str">
        <f t="shared" si="11"/>
        <v/>
      </c>
      <c r="BO30" s="114"/>
      <c r="BP30" s="124" t="str">
        <f t="shared" si="12"/>
        <v/>
      </c>
      <c r="BQ30" s="125">
        <v>0</v>
      </c>
      <c r="BR30" s="125" t="str">
        <f t="shared" si="26"/>
        <v/>
      </c>
      <c r="BS30" s="125" t="str">
        <f t="shared" si="27"/>
        <v/>
      </c>
      <c r="BT30" s="126" t="str">
        <f t="shared" si="13"/>
        <v/>
      </c>
      <c r="BU30" s="114"/>
      <c r="BV30" s="132" t="e">
        <f t="shared" si="14"/>
        <v>#DIV/0!</v>
      </c>
      <c r="BW30" s="127" t="e">
        <f t="shared" si="15"/>
        <v>#DIV/0!</v>
      </c>
      <c r="BX30" s="127" t="e">
        <f t="shared" si="16"/>
        <v>#DIV/0!</v>
      </c>
      <c r="BY30" s="127" t="e">
        <f t="shared" si="17"/>
        <v>#DIV/0!</v>
      </c>
      <c r="BZ30" s="127" t="e">
        <f t="shared" si="28"/>
        <v>#DIV/0!</v>
      </c>
      <c r="CA30" s="128" t="e">
        <f t="shared" si="29"/>
        <v>#DIV/0!</v>
      </c>
      <c r="CB30" s="114"/>
      <c r="CC30" s="129" t="str">
        <f t="shared" si="18"/>
        <v>-</v>
      </c>
      <c r="CD30" s="130" t="str">
        <f t="shared" si="19"/>
        <v>-</v>
      </c>
      <c r="CE30" s="130" t="str">
        <f t="shared" si="20"/>
        <v>-</v>
      </c>
      <c r="CF30" s="130" t="str">
        <f t="shared" si="21"/>
        <v>-</v>
      </c>
      <c r="CG30" s="131" t="str">
        <f t="shared" si="22"/>
        <v>-</v>
      </c>
      <c r="CH30" s="114"/>
    </row>
    <row r="31" spans="1:86" s="115" customFormat="1" ht="12.4" customHeight="1" thickBot="1" x14ac:dyDescent="0.25">
      <c r="A31" s="96">
        <f t="shared" si="30"/>
        <v>46323</v>
      </c>
      <c r="B31" s="97" t="str">
        <f>+TEXT(A31,"DDD")</f>
        <v>Wed</v>
      </c>
      <c r="C31" s="60">
        <f>+SUM(EL_DEL_CD2_PTP_!C31,EL_DEL_CD2_PTP_L_!C31)</f>
        <v>0</v>
      </c>
      <c r="D31" s="60">
        <f>+SUM(EL_DEL_CD2_PTP_!D31,EL_DEL_CD2_PTP_L_!D31)</f>
        <v>0</v>
      </c>
      <c r="E31" s="60">
        <f>+SUM(EL_DEL_CD2_PTP_!E31,EL_DEL_CD2_PTP_L_!E31)</f>
        <v>0</v>
      </c>
      <c r="F31" s="60">
        <f>+SUM(EL_DEL_CD2_PTP_!F31,EL_DEL_CD2_PTP_L_!F31)</f>
        <v>0</v>
      </c>
      <c r="G31" s="60">
        <f>+SUM(EL_DEL_CD2_PTP_!G31,EL_DEL_CD2_PTP_L_!G31)</f>
        <v>0</v>
      </c>
      <c r="H31" s="60">
        <f>+SUM(EL_DEL_CD2_PTP_!H31,EL_DEL_CD2_PTP_L_!H31)</f>
        <v>0</v>
      </c>
      <c r="I31" s="60">
        <f>+SUM(EL_DEL_CD2_PTP_!I31,EL_DEL_CD2_PTP_L_!I31)</f>
        <v>0</v>
      </c>
      <c r="J31" s="60">
        <f>+SUM(EL_DEL_CD2_PTP_!J31,EL_DEL_CD2_PTP_L_!J31)</f>
        <v>0</v>
      </c>
      <c r="K31" s="60">
        <f>+SUM(EL_DEL_CD2_PTP_!K31,EL_DEL_CD2_PTP_L_!K31)</f>
        <v>0</v>
      </c>
      <c r="L31" s="60">
        <f>+SUM(EL_DEL_CD2_PTP_!L31,EL_DEL_CD2_PTP_L_!L31)</f>
        <v>0</v>
      </c>
      <c r="M31" s="60">
        <f>+SUM(EL_DEL_CD2_PTP_!M31,EL_DEL_CD2_PTP_L_!M31)</f>
        <v>0</v>
      </c>
      <c r="N31" s="60">
        <f>+SUM(EL_DEL_CD2_PTP_!N31,EL_DEL_CD2_PTP_L_!N31)</f>
        <v>0</v>
      </c>
      <c r="O31" s="60">
        <f>+SUM(EL_DEL_CD2_PTP_!O31,EL_DEL_CD2_PTP_L_!O31)</f>
        <v>0</v>
      </c>
      <c r="P31" s="60">
        <f>+SUM(EL_DEL_CD2_PTP_!P31,EL_DEL_CD2_PTP_L_!P31)</f>
        <v>0</v>
      </c>
      <c r="Q31" s="60">
        <f>+SUM(EL_DEL_CD2_PTP_!Q31,EL_DEL_CD2_PTP_L_!Q31)</f>
        <v>0</v>
      </c>
      <c r="R31" s="60">
        <f>+SUM(EL_DEL_CD2_PTP_!R31,EL_DEL_CD2_PTP_L_!R31)</f>
        <v>0</v>
      </c>
      <c r="S31" s="60">
        <f>+SUM(EL_DEL_CD2_PTP_!S31,EL_DEL_CD2_PTP_L_!S31)</f>
        <v>0</v>
      </c>
      <c r="T31" s="60">
        <f>+SUM(EL_DEL_CD2_PTP_!T31,EL_DEL_CD2_PTP_L_!T31)</f>
        <v>0</v>
      </c>
      <c r="U31" s="98">
        <f>+SUM(EL_DEL_CD2_PTP_!U31,EL_DEL_CD2_PTP_L_!U31)</f>
        <v>0</v>
      </c>
      <c r="V31" s="60">
        <f>+SUM(EL_DEL_CD2_PTP_!V31,EL_DEL_CD2_PTP_L_!V31)</f>
        <v>0</v>
      </c>
      <c r="W31" s="60">
        <f>+SUM(EL_DEL_CD2_PTP_!W31,EL_DEL_CD2_PTP_L_!W31)</f>
        <v>0</v>
      </c>
      <c r="X31" s="60">
        <f>+SUM(EL_DEL_CD2_PTP_!X31,EL_DEL_CD2_PTP_L_!X31)</f>
        <v>0</v>
      </c>
      <c r="Y31" s="60">
        <f>+SUM(EL_DEL_CD2_PTP_!Y31,EL_DEL_CD2_PTP_L_!Y31)</f>
        <v>0</v>
      </c>
      <c r="Z31" s="60">
        <f>+SUM(EL_DEL_CD2_PTP_!Z31,EL_DEL_CD2_PTP_L_!Z31)</f>
        <v>0</v>
      </c>
      <c r="AA31" s="60">
        <f>+SUM(EL_DEL_CD2_PTP_!AA31,EL_DEL_CD2_PTP_L_!AA31)</f>
        <v>0</v>
      </c>
      <c r="AB31" s="60">
        <f>+SUM(EL_DEL_CD2_PTP_!AB31,EL_DEL_CD2_PTP_L_!AB31)</f>
        <v>0</v>
      </c>
      <c r="AC31" s="60">
        <f>+SUM(EL_DEL_CD2_PTP_!AC31,EL_DEL_CD2_PTP_L_!AC31)</f>
        <v>0</v>
      </c>
      <c r="AD31" s="60">
        <f>+SUM(EL_DEL_CD2_PTP_!AD31,EL_DEL_CD2_PTP_L_!AD31)</f>
        <v>0</v>
      </c>
      <c r="AE31" s="60">
        <f>+SUM(EL_DEL_CD2_PTP_!AE31,EL_DEL_CD2_PTP_L_!AE31)</f>
        <v>0</v>
      </c>
      <c r="AF31" s="60">
        <f>+SUM(EL_DEL_CD2_PTP_!AF31,EL_DEL_CD2_PTP_L_!AF31)</f>
        <v>0</v>
      </c>
      <c r="AG31" s="60">
        <f>+SUM(EL_DEL_CD2_PTP_!AG31,EL_DEL_CD2_PTP_L_!AG31)</f>
        <v>0</v>
      </c>
      <c r="AH31" s="60">
        <f>+SUM(EL_DEL_CD2_PTP_!AH31,EL_DEL_CD2_PTP_L_!AH31)</f>
        <v>0</v>
      </c>
      <c r="AI31" s="60">
        <f>+SUM(EL_DEL_CD2_PTP_!AI31,EL_DEL_CD2_PTP_L_!AI31)</f>
        <v>0</v>
      </c>
      <c r="AJ31" s="60">
        <f>+SUM(EL_DEL_CD2_PTP_!AJ31,EL_DEL_CD2_PTP_L_!AJ31)</f>
        <v>0</v>
      </c>
      <c r="AK31" s="60">
        <f>+SUM(EL_DEL_CD2_PTP_!AK31,EL_DEL_CD2_PTP_L_!AK31)</f>
        <v>0</v>
      </c>
      <c r="AL31" s="99" t="str">
        <f>+IFERROR(AVERAGE(EL_DEL_CD2_PTP_!AL31,EL_DEL_CD2_PTP_L_!AL31),"0")</f>
        <v>0</v>
      </c>
      <c r="AM31" s="99" t="str">
        <f>+IFERROR(AVERAGE(EL_DEL_CD2_PTP_!AM31,EL_DEL_CD2_PTP_L_!AM31),"0")</f>
        <v>0</v>
      </c>
      <c r="AN31" s="99" t="str">
        <f>+IFERROR(AVERAGE(EL_DEL_CD2_PTP_!AN31,EL_DEL_CD2_PTP_L_!AN31),"0")</f>
        <v>0</v>
      </c>
      <c r="AO31" s="99" t="str">
        <f>+IFERROR(AVERAGE(EL_DEL_CD2_PTP_!AO31,EL_DEL_CD2_PTP_L_!AO31),"0")</f>
        <v>0</v>
      </c>
      <c r="AP31" s="99" t="str">
        <f>+IFERROR(AVERAGE(EL_DEL_CD2_PTP_!AP31,EL_DEL_CD2_PTP_L_!AP31),"0")</f>
        <v>0</v>
      </c>
      <c r="AQ31" s="99" t="str">
        <f>+IFERROR(AVERAGE(EL_DEL_CD2_PTP_!AQ31,EL_DEL_CD2_PTP_L_!AQ31),"0")</f>
        <v>0</v>
      </c>
      <c r="AR31" s="99" t="str">
        <f>+IFERROR(AVERAGE(EL_DEL_CD2_PTP_!AR31,EL_DEL_CD2_PTP_L_!AR31),"0")</f>
        <v>0</v>
      </c>
      <c r="AS31" s="99" t="str">
        <f>+IFERROR(AVERAGE(EL_DEL_CD2_PTP_!AS31,EL_DEL_CD2_PTP_L_!AS31),"0")</f>
        <v>0</v>
      </c>
      <c r="AT31" s="100">
        <f>+SUM(EL_DEL_CD2_PTP_!AT31,EL_DEL_CD2_PTP_L_!AT31)</f>
        <v>0</v>
      </c>
      <c r="AU31" s="100">
        <f>+SUM(EL_DEL_CD2_PTP_!AU31,EL_DEL_CD2_PTP_L_!AU31)</f>
        <v>0</v>
      </c>
      <c r="AV31" s="101">
        <f>+SUM(EL_DEL_CD2_PTP_!AV31,EL_DEL_CD2_PTP_L_!AV31)</f>
        <v>0</v>
      </c>
      <c r="AW31" s="60">
        <f>+SUM(EL_DEL_CD2_PTP_!AW31,EL_DEL_CD2_PTP_L_!AW31)</f>
        <v>0</v>
      </c>
      <c r="AX31" s="102" t="str">
        <f t="shared" si="23"/>
        <v>-</v>
      </c>
      <c r="AY31" s="114"/>
      <c r="AZ31" s="116" t="str">
        <f t="shared" si="1"/>
        <v/>
      </c>
      <c r="BA31" s="117" t="str">
        <f t="shared" si="2"/>
        <v/>
      </c>
      <c r="BB31" s="116" t="str">
        <f t="shared" si="3"/>
        <v/>
      </c>
      <c r="BC31" s="114"/>
      <c r="BD31" s="118" t="str">
        <f t="shared" si="4"/>
        <v/>
      </c>
      <c r="BE31" s="119" t="str">
        <f t="shared" si="5"/>
        <v/>
      </c>
      <c r="BF31" s="119" t="str">
        <f t="shared" si="6"/>
        <v/>
      </c>
      <c r="BG31" s="119" t="str">
        <f t="shared" si="24"/>
        <v/>
      </c>
      <c r="BH31" s="119" t="str">
        <f t="shared" si="7"/>
        <v/>
      </c>
      <c r="BI31" s="120" t="str">
        <f t="shared" si="25"/>
        <v/>
      </c>
      <c r="BJ31" s="114"/>
      <c r="BK31" s="121" t="str">
        <f t="shared" si="8"/>
        <v/>
      </c>
      <c r="BL31" s="122" t="str">
        <f t="shared" si="9"/>
        <v/>
      </c>
      <c r="BM31" s="122" t="str">
        <f t="shared" si="10"/>
        <v/>
      </c>
      <c r="BN31" s="123" t="str">
        <f t="shared" si="11"/>
        <v/>
      </c>
      <c r="BO31" s="114"/>
      <c r="BP31" s="124" t="str">
        <f t="shared" si="12"/>
        <v/>
      </c>
      <c r="BQ31" s="125">
        <v>0</v>
      </c>
      <c r="BR31" s="125" t="str">
        <f t="shared" si="26"/>
        <v/>
      </c>
      <c r="BS31" s="125" t="str">
        <f t="shared" si="27"/>
        <v/>
      </c>
      <c r="BT31" s="126" t="str">
        <f t="shared" si="13"/>
        <v/>
      </c>
      <c r="BU31" s="114"/>
      <c r="BV31" s="132" t="e">
        <f t="shared" si="14"/>
        <v>#DIV/0!</v>
      </c>
      <c r="BW31" s="127" t="e">
        <f t="shared" si="15"/>
        <v>#DIV/0!</v>
      </c>
      <c r="BX31" s="127" t="e">
        <f t="shared" si="16"/>
        <v>#DIV/0!</v>
      </c>
      <c r="BY31" s="127" t="e">
        <f t="shared" si="17"/>
        <v>#DIV/0!</v>
      </c>
      <c r="BZ31" s="127" t="e">
        <f t="shared" si="28"/>
        <v>#DIV/0!</v>
      </c>
      <c r="CA31" s="128" t="e">
        <f t="shared" si="29"/>
        <v>#DIV/0!</v>
      </c>
      <c r="CB31" s="114"/>
      <c r="CC31" s="129" t="str">
        <f t="shared" si="18"/>
        <v>-</v>
      </c>
      <c r="CD31" s="130" t="str">
        <f t="shared" si="19"/>
        <v>-</v>
      </c>
      <c r="CE31" s="130" t="str">
        <f t="shared" si="20"/>
        <v>-</v>
      </c>
      <c r="CF31" s="130" t="str">
        <f t="shared" si="21"/>
        <v>-</v>
      </c>
      <c r="CG31" s="131" t="str">
        <f t="shared" si="22"/>
        <v>-</v>
      </c>
      <c r="CH31" s="114"/>
    </row>
    <row r="32" spans="1:86" s="115" customFormat="1" ht="12.4" customHeight="1" thickBot="1" x14ac:dyDescent="0.25">
      <c r="A32" s="96">
        <f t="shared" si="30"/>
        <v>46324</v>
      </c>
      <c r="B32" s="97" t="str">
        <f>+TEXT(A32,"DDD")</f>
        <v>Thu</v>
      </c>
      <c r="C32" s="60">
        <f>+SUM(EL_DEL_CD2_PTP_!C32,EL_DEL_CD2_PTP_L_!C32)</f>
        <v>0</v>
      </c>
      <c r="D32" s="60">
        <f>+SUM(EL_DEL_CD2_PTP_!D32,EL_DEL_CD2_PTP_L_!D32)</f>
        <v>0</v>
      </c>
      <c r="E32" s="60">
        <f>+SUM(EL_DEL_CD2_PTP_!E32,EL_DEL_CD2_PTP_L_!E32)</f>
        <v>0</v>
      </c>
      <c r="F32" s="60">
        <f>+SUM(EL_DEL_CD2_PTP_!F32,EL_DEL_CD2_PTP_L_!F32)</f>
        <v>0</v>
      </c>
      <c r="G32" s="60">
        <f>+SUM(EL_DEL_CD2_PTP_!G32,EL_DEL_CD2_PTP_L_!G32)</f>
        <v>0</v>
      </c>
      <c r="H32" s="60">
        <f>+SUM(EL_DEL_CD2_PTP_!H32,EL_DEL_CD2_PTP_L_!H32)</f>
        <v>0</v>
      </c>
      <c r="I32" s="60">
        <f>+SUM(EL_DEL_CD2_PTP_!I32,EL_DEL_CD2_PTP_L_!I32)</f>
        <v>0</v>
      </c>
      <c r="J32" s="60">
        <f>+SUM(EL_DEL_CD2_PTP_!J32,EL_DEL_CD2_PTP_L_!J32)</f>
        <v>0</v>
      </c>
      <c r="K32" s="60">
        <f>+SUM(EL_DEL_CD2_PTP_!K32,EL_DEL_CD2_PTP_L_!K32)</f>
        <v>0</v>
      </c>
      <c r="L32" s="60">
        <f>+SUM(EL_DEL_CD2_PTP_!L32,EL_DEL_CD2_PTP_L_!L32)</f>
        <v>0</v>
      </c>
      <c r="M32" s="60">
        <f>+SUM(EL_DEL_CD2_PTP_!M32,EL_DEL_CD2_PTP_L_!M32)</f>
        <v>0</v>
      </c>
      <c r="N32" s="60">
        <f>+SUM(EL_DEL_CD2_PTP_!N32,EL_DEL_CD2_PTP_L_!N32)</f>
        <v>0</v>
      </c>
      <c r="O32" s="60">
        <f>+SUM(EL_DEL_CD2_PTP_!O32,EL_DEL_CD2_PTP_L_!O32)</f>
        <v>0</v>
      </c>
      <c r="P32" s="60">
        <f>+SUM(EL_DEL_CD2_PTP_!P32,EL_DEL_CD2_PTP_L_!P32)</f>
        <v>0</v>
      </c>
      <c r="Q32" s="60">
        <f>+SUM(EL_DEL_CD2_PTP_!Q32,EL_DEL_CD2_PTP_L_!Q32)</f>
        <v>0</v>
      </c>
      <c r="R32" s="60">
        <f>+SUM(EL_DEL_CD2_PTP_!R32,EL_DEL_CD2_PTP_L_!R32)</f>
        <v>0</v>
      </c>
      <c r="S32" s="60">
        <f>+SUM(EL_DEL_CD2_PTP_!S32,EL_DEL_CD2_PTP_L_!S32)</f>
        <v>0</v>
      </c>
      <c r="T32" s="60">
        <f>+SUM(EL_DEL_CD2_PTP_!T32,EL_DEL_CD2_PTP_L_!T32)</f>
        <v>0</v>
      </c>
      <c r="U32" s="98">
        <f>+SUM(EL_DEL_CD2_PTP_!U32,EL_DEL_CD2_PTP_L_!U32)</f>
        <v>0</v>
      </c>
      <c r="V32" s="60">
        <f>+SUM(EL_DEL_CD2_PTP_!V32,EL_DEL_CD2_PTP_L_!V32)</f>
        <v>0</v>
      </c>
      <c r="W32" s="60">
        <f>+SUM(EL_DEL_CD2_PTP_!W32,EL_DEL_CD2_PTP_L_!W32)</f>
        <v>0</v>
      </c>
      <c r="X32" s="60">
        <f>+SUM(EL_DEL_CD2_PTP_!X32,EL_DEL_CD2_PTP_L_!X32)</f>
        <v>0</v>
      </c>
      <c r="Y32" s="60">
        <f>+SUM(EL_DEL_CD2_PTP_!Y32,EL_DEL_CD2_PTP_L_!Y32)</f>
        <v>0</v>
      </c>
      <c r="Z32" s="60">
        <f>+SUM(EL_DEL_CD2_PTP_!Z32,EL_DEL_CD2_PTP_L_!Z32)</f>
        <v>0</v>
      </c>
      <c r="AA32" s="60">
        <f>+SUM(EL_DEL_CD2_PTP_!AA32,EL_DEL_CD2_PTP_L_!AA32)</f>
        <v>0</v>
      </c>
      <c r="AB32" s="60">
        <f>+SUM(EL_DEL_CD2_PTP_!AB32,EL_DEL_CD2_PTP_L_!AB32)</f>
        <v>0</v>
      </c>
      <c r="AC32" s="60">
        <f>+SUM(EL_DEL_CD2_PTP_!AC32,EL_DEL_CD2_PTP_L_!AC32)</f>
        <v>0</v>
      </c>
      <c r="AD32" s="60">
        <f>+SUM(EL_DEL_CD2_PTP_!AD32,EL_DEL_CD2_PTP_L_!AD32)</f>
        <v>0</v>
      </c>
      <c r="AE32" s="60">
        <f>+SUM(EL_DEL_CD2_PTP_!AE32,EL_DEL_CD2_PTP_L_!AE32)</f>
        <v>0</v>
      </c>
      <c r="AF32" s="60">
        <f>+SUM(EL_DEL_CD2_PTP_!AF32,EL_DEL_CD2_PTP_L_!AF32)</f>
        <v>0</v>
      </c>
      <c r="AG32" s="60">
        <f>+SUM(EL_DEL_CD2_PTP_!AG32,EL_DEL_CD2_PTP_L_!AG32)</f>
        <v>0</v>
      </c>
      <c r="AH32" s="60">
        <f>+SUM(EL_DEL_CD2_PTP_!AH32,EL_DEL_CD2_PTP_L_!AH32)</f>
        <v>0</v>
      </c>
      <c r="AI32" s="60">
        <f>+SUM(EL_DEL_CD2_PTP_!AI32,EL_DEL_CD2_PTP_L_!AI32)</f>
        <v>0</v>
      </c>
      <c r="AJ32" s="60">
        <f>+SUM(EL_DEL_CD2_PTP_!AJ32,EL_DEL_CD2_PTP_L_!AJ32)</f>
        <v>0</v>
      </c>
      <c r="AK32" s="60">
        <f>+SUM(EL_DEL_CD2_PTP_!AK32,EL_DEL_CD2_PTP_L_!AK32)</f>
        <v>0</v>
      </c>
      <c r="AL32" s="99" t="str">
        <f>+IFERROR(AVERAGE(EL_DEL_CD2_PTP_!AL32,EL_DEL_CD2_PTP_L_!AL32),"0")</f>
        <v>0</v>
      </c>
      <c r="AM32" s="99" t="str">
        <f>+IFERROR(AVERAGE(EL_DEL_CD2_PTP_!AM32,EL_DEL_CD2_PTP_L_!AM32),"0")</f>
        <v>0</v>
      </c>
      <c r="AN32" s="99" t="str">
        <f>+IFERROR(AVERAGE(EL_DEL_CD2_PTP_!AN32,EL_DEL_CD2_PTP_L_!AN32),"0")</f>
        <v>0</v>
      </c>
      <c r="AO32" s="99" t="str">
        <f>+IFERROR(AVERAGE(EL_DEL_CD2_PTP_!AO32,EL_DEL_CD2_PTP_L_!AO32),"0")</f>
        <v>0</v>
      </c>
      <c r="AP32" s="99" t="str">
        <f>+IFERROR(AVERAGE(EL_DEL_CD2_PTP_!AP32,EL_DEL_CD2_PTP_L_!AP32),"0")</f>
        <v>0</v>
      </c>
      <c r="AQ32" s="99" t="str">
        <f>+IFERROR(AVERAGE(EL_DEL_CD2_PTP_!AQ32,EL_DEL_CD2_PTP_L_!AQ32),"0")</f>
        <v>0</v>
      </c>
      <c r="AR32" s="99" t="str">
        <f>+IFERROR(AVERAGE(EL_DEL_CD2_PTP_!AR32,EL_DEL_CD2_PTP_L_!AR32),"0")</f>
        <v>0</v>
      </c>
      <c r="AS32" s="99" t="str">
        <f>+IFERROR(AVERAGE(EL_DEL_CD2_PTP_!AS32,EL_DEL_CD2_PTP_L_!AS32),"0")</f>
        <v>0</v>
      </c>
      <c r="AT32" s="100">
        <f>+SUM(EL_DEL_CD2_PTP_!AT32,EL_DEL_CD2_PTP_L_!AT32)</f>
        <v>0</v>
      </c>
      <c r="AU32" s="100">
        <f>+SUM(EL_DEL_CD2_PTP_!AU32,EL_DEL_CD2_PTP_L_!AU32)</f>
        <v>0</v>
      </c>
      <c r="AV32" s="101">
        <f>+SUM(EL_DEL_CD2_PTP_!AV32,EL_DEL_CD2_PTP_L_!AV32)</f>
        <v>0</v>
      </c>
      <c r="AW32" s="60">
        <f>+SUM(EL_DEL_CD2_PTP_!AW32,EL_DEL_CD2_PTP_L_!AW32)</f>
        <v>0</v>
      </c>
      <c r="AX32" s="102" t="str">
        <f t="shared" si="23"/>
        <v>-</v>
      </c>
      <c r="AY32" s="114"/>
      <c r="AZ32" s="116" t="str">
        <f t="shared" si="1"/>
        <v/>
      </c>
      <c r="BA32" s="117" t="str">
        <f t="shared" si="2"/>
        <v/>
      </c>
      <c r="BB32" s="116" t="str">
        <f t="shared" si="3"/>
        <v/>
      </c>
      <c r="BC32" s="114"/>
      <c r="BD32" s="118" t="str">
        <f t="shared" si="4"/>
        <v/>
      </c>
      <c r="BE32" s="119" t="str">
        <f t="shared" si="5"/>
        <v/>
      </c>
      <c r="BF32" s="119" t="str">
        <f t="shared" si="6"/>
        <v/>
      </c>
      <c r="BG32" s="119" t="str">
        <f t="shared" si="24"/>
        <v/>
      </c>
      <c r="BH32" s="119" t="str">
        <f t="shared" si="7"/>
        <v/>
      </c>
      <c r="BI32" s="120" t="str">
        <f t="shared" si="25"/>
        <v/>
      </c>
      <c r="BJ32" s="114"/>
      <c r="BK32" s="121" t="str">
        <f t="shared" si="8"/>
        <v/>
      </c>
      <c r="BL32" s="122" t="str">
        <f t="shared" si="9"/>
        <v/>
      </c>
      <c r="BM32" s="122" t="str">
        <f t="shared" si="10"/>
        <v/>
      </c>
      <c r="BN32" s="123" t="str">
        <f t="shared" si="11"/>
        <v/>
      </c>
      <c r="BO32" s="114"/>
      <c r="BP32" s="124" t="str">
        <f t="shared" si="12"/>
        <v/>
      </c>
      <c r="BQ32" s="125">
        <v>0</v>
      </c>
      <c r="BR32" s="125" t="str">
        <f t="shared" si="26"/>
        <v/>
      </c>
      <c r="BS32" s="125" t="str">
        <f t="shared" si="27"/>
        <v/>
      </c>
      <c r="BT32" s="126" t="str">
        <f t="shared" si="13"/>
        <v/>
      </c>
      <c r="BU32" s="114"/>
      <c r="BV32" s="132" t="e">
        <f t="shared" si="14"/>
        <v>#DIV/0!</v>
      </c>
      <c r="BW32" s="127" t="e">
        <f t="shared" si="15"/>
        <v>#DIV/0!</v>
      </c>
      <c r="BX32" s="127" t="e">
        <f t="shared" si="16"/>
        <v>#DIV/0!</v>
      </c>
      <c r="BY32" s="127" t="e">
        <f t="shared" si="17"/>
        <v>#DIV/0!</v>
      </c>
      <c r="BZ32" s="127" t="e">
        <f t="shared" si="28"/>
        <v>#DIV/0!</v>
      </c>
      <c r="CA32" s="128" t="e">
        <f t="shared" si="29"/>
        <v>#DIV/0!</v>
      </c>
      <c r="CB32" s="114"/>
      <c r="CC32" s="129" t="str">
        <f t="shared" si="18"/>
        <v>-</v>
      </c>
      <c r="CD32" s="130" t="str">
        <f t="shared" si="19"/>
        <v>-</v>
      </c>
      <c r="CE32" s="130" t="str">
        <f t="shared" si="20"/>
        <v>-</v>
      </c>
      <c r="CF32" s="130" t="str">
        <f t="shared" si="21"/>
        <v>-</v>
      </c>
      <c r="CG32" s="131" t="str">
        <f t="shared" si="22"/>
        <v>-</v>
      </c>
      <c r="CH32" s="114"/>
    </row>
    <row r="33" spans="1:86" s="115" customFormat="1" ht="12.4" customHeight="1" thickBot="1" x14ac:dyDescent="0.25">
      <c r="A33" s="96">
        <f t="shared" si="30"/>
        <v>46325</v>
      </c>
      <c r="B33" s="97" t="str">
        <f>+TEXT(A33,"DDD")</f>
        <v>Fri</v>
      </c>
      <c r="C33" s="60">
        <f>+SUM(EL_DEL_CD2_PTP_!C33,EL_DEL_CD2_PTP_L_!C33)</f>
        <v>0</v>
      </c>
      <c r="D33" s="60">
        <f>+SUM(EL_DEL_CD2_PTP_!D33,EL_DEL_CD2_PTP_L_!D33)</f>
        <v>0</v>
      </c>
      <c r="E33" s="60">
        <f>+SUM(EL_DEL_CD2_PTP_!E33,EL_DEL_CD2_PTP_L_!E33)</f>
        <v>0</v>
      </c>
      <c r="F33" s="60">
        <f>+SUM(EL_DEL_CD2_PTP_!F33,EL_DEL_CD2_PTP_L_!F33)</f>
        <v>0</v>
      </c>
      <c r="G33" s="60">
        <f>+SUM(EL_DEL_CD2_PTP_!G33,EL_DEL_CD2_PTP_L_!G33)</f>
        <v>0</v>
      </c>
      <c r="H33" s="60">
        <f>+SUM(EL_DEL_CD2_PTP_!H33,EL_DEL_CD2_PTP_L_!H33)</f>
        <v>0</v>
      </c>
      <c r="I33" s="60">
        <f>+SUM(EL_DEL_CD2_PTP_!I33,EL_DEL_CD2_PTP_L_!I33)</f>
        <v>0</v>
      </c>
      <c r="J33" s="60">
        <f>+SUM(EL_DEL_CD2_PTP_!J33,EL_DEL_CD2_PTP_L_!J33)</f>
        <v>0</v>
      </c>
      <c r="K33" s="60">
        <f>+SUM(EL_DEL_CD2_PTP_!K33,EL_DEL_CD2_PTP_L_!K33)</f>
        <v>0</v>
      </c>
      <c r="L33" s="60">
        <f>+SUM(EL_DEL_CD2_PTP_!L33,EL_DEL_CD2_PTP_L_!L33)</f>
        <v>0</v>
      </c>
      <c r="M33" s="60">
        <f>+SUM(EL_DEL_CD2_PTP_!M33,EL_DEL_CD2_PTP_L_!M33)</f>
        <v>0</v>
      </c>
      <c r="N33" s="60">
        <f>+SUM(EL_DEL_CD2_PTP_!N33,EL_DEL_CD2_PTP_L_!N33)</f>
        <v>0</v>
      </c>
      <c r="O33" s="60">
        <f>+SUM(EL_DEL_CD2_PTP_!O33,EL_DEL_CD2_PTP_L_!O33)</f>
        <v>0</v>
      </c>
      <c r="P33" s="60">
        <f>+SUM(EL_DEL_CD2_PTP_!P33,EL_DEL_CD2_PTP_L_!P33)</f>
        <v>0</v>
      </c>
      <c r="Q33" s="60">
        <f>+SUM(EL_DEL_CD2_PTP_!Q33,EL_DEL_CD2_PTP_L_!Q33)</f>
        <v>0</v>
      </c>
      <c r="R33" s="60">
        <f>+SUM(EL_DEL_CD2_PTP_!R33,EL_DEL_CD2_PTP_L_!R33)</f>
        <v>0</v>
      </c>
      <c r="S33" s="60">
        <f>+SUM(EL_DEL_CD2_PTP_!S33,EL_DEL_CD2_PTP_L_!S33)</f>
        <v>0</v>
      </c>
      <c r="T33" s="60">
        <f>+SUM(EL_DEL_CD2_PTP_!T33,EL_DEL_CD2_PTP_L_!T33)</f>
        <v>0</v>
      </c>
      <c r="U33" s="98">
        <f>+SUM(EL_DEL_CD2_PTP_!U33,EL_DEL_CD2_PTP_L_!U33)</f>
        <v>0</v>
      </c>
      <c r="V33" s="60">
        <f>+SUM(EL_DEL_CD2_PTP_!V33,EL_DEL_CD2_PTP_L_!V33)</f>
        <v>0</v>
      </c>
      <c r="W33" s="60">
        <f>+SUM(EL_DEL_CD2_PTP_!W33,EL_DEL_CD2_PTP_L_!W33)</f>
        <v>0</v>
      </c>
      <c r="X33" s="60">
        <f>+SUM(EL_DEL_CD2_PTP_!X33,EL_DEL_CD2_PTP_L_!X33)</f>
        <v>0</v>
      </c>
      <c r="Y33" s="60">
        <f>+SUM(EL_DEL_CD2_PTP_!Y33,EL_DEL_CD2_PTP_L_!Y33)</f>
        <v>0</v>
      </c>
      <c r="Z33" s="60">
        <f>+SUM(EL_DEL_CD2_PTP_!Z33,EL_DEL_CD2_PTP_L_!Z33)</f>
        <v>0</v>
      </c>
      <c r="AA33" s="60">
        <f>+SUM(EL_DEL_CD2_PTP_!AA33,EL_DEL_CD2_PTP_L_!AA33)</f>
        <v>0</v>
      </c>
      <c r="AB33" s="60">
        <f>+SUM(EL_DEL_CD2_PTP_!AB33,EL_DEL_CD2_PTP_L_!AB33)</f>
        <v>0</v>
      </c>
      <c r="AC33" s="60">
        <f>+SUM(EL_DEL_CD2_PTP_!AC33,EL_DEL_CD2_PTP_L_!AC33)</f>
        <v>0</v>
      </c>
      <c r="AD33" s="60">
        <f>+SUM(EL_DEL_CD2_PTP_!AD33,EL_DEL_CD2_PTP_L_!AD33)</f>
        <v>0</v>
      </c>
      <c r="AE33" s="60">
        <f>+SUM(EL_DEL_CD2_PTP_!AE33,EL_DEL_CD2_PTP_L_!AE33)</f>
        <v>0</v>
      </c>
      <c r="AF33" s="60">
        <f>+SUM(EL_DEL_CD2_PTP_!AF33,EL_DEL_CD2_PTP_L_!AF33)</f>
        <v>0</v>
      </c>
      <c r="AG33" s="60">
        <f>+SUM(EL_DEL_CD2_PTP_!AG33,EL_DEL_CD2_PTP_L_!AG33)</f>
        <v>0</v>
      </c>
      <c r="AH33" s="60">
        <f>+SUM(EL_DEL_CD2_PTP_!AH33,EL_DEL_CD2_PTP_L_!AH33)</f>
        <v>0</v>
      </c>
      <c r="AI33" s="60">
        <f>+SUM(EL_DEL_CD2_PTP_!AI33,EL_DEL_CD2_PTP_L_!AI33)</f>
        <v>0</v>
      </c>
      <c r="AJ33" s="60">
        <f>+SUM(EL_DEL_CD2_PTP_!AJ33,EL_DEL_CD2_PTP_L_!AJ33)</f>
        <v>0</v>
      </c>
      <c r="AK33" s="60">
        <f>+SUM(EL_DEL_CD2_PTP_!AK33,EL_DEL_CD2_PTP_L_!AK33)</f>
        <v>0</v>
      </c>
      <c r="AL33" s="99" t="str">
        <f>+IFERROR(AVERAGE(EL_DEL_CD2_PTP_!AL33,EL_DEL_CD2_PTP_L_!AL33),"0")</f>
        <v>0</v>
      </c>
      <c r="AM33" s="99" t="str">
        <f>+IFERROR(AVERAGE(EL_DEL_CD2_PTP_!AM33,EL_DEL_CD2_PTP_L_!AM33),"0")</f>
        <v>0</v>
      </c>
      <c r="AN33" s="99" t="str">
        <f>+IFERROR(AVERAGE(EL_DEL_CD2_PTP_!AN33,EL_DEL_CD2_PTP_L_!AN33),"0")</f>
        <v>0</v>
      </c>
      <c r="AO33" s="99" t="str">
        <f>+IFERROR(AVERAGE(EL_DEL_CD2_PTP_!AO33,EL_DEL_CD2_PTP_L_!AO33),"0")</f>
        <v>0</v>
      </c>
      <c r="AP33" s="99" t="str">
        <f>+IFERROR(AVERAGE(EL_DEL_CD2_PTP_!AP33,EL_DEL_CD2_PTP_L_!AP33),"0")</f>
        <v>0</v>
      </c>
      <c r="AQ33" s="99" t="str">
        <f>+IFERROR(AVERAGE(EL_DEL_CD2_PTP_!AQ33,EL_DEL_CD2_PTP_L_!AQ33),"0")</f>
        <v>0</v>
      </c>
      <c r="AR33" s="99" t="str">
        <f>+IFERROR(AVERAGE(EL_DEL_CD2_PTP_!AR33,EL_DEL_CD2_PTP_L_!AR33),"0")</f>
        <v>0</v>
      </c>
      <c r="AS33" s="99" t="str">
        <f>+IFERROR(AVERAGE(EL_DEL_CD2_PTP_!AS33,EL_DEL_CD2_PTP_L_!AS33),"0")</f>
        <v>0</v>
      </c>
      <c r="AT33" s="100">
        <f>+SUM(EL_DEL_CD2_PTP_!AT33,EL_DEL_CD2_PTP_L_!AT33)</f>
        <v>0</v>
      </c>
      <c r="AU33" s="100">
        <f>+SUM(EL_DEL_CD2_PTP_!AU33,EL_DEL_CD2_PTP_L_!AU33)</f>
        <v>0</v>
      </c>
      <c r="AV33" s="101">
        <f>+SUM(EL_DEL_CD2_PTP_!AV33,EL_DEL_CD2_PTP_L_!AV33)</f>
        <v>0</v>
      </c>
      <c r="AW33" s="60">
        <f>+SUM(EL_DEL_CD2_PTP_!AW33,EL_DEL_CD2_PTP_L_!AW33)</f>
        <v>0</v>
      </c>
      <c r="AX33" s="102" t="str">
        <f t="shared" ref="AX33" si="31">IFERROR(AN33/AW33,"-")</f>
        <v>-</v>
      </c>
      <c r="AY33" s="114"/>
      <c r="AZ33" s="116" t="str">
        <f t="shared" si="1"/>
        <v/>
      </c>
      <c r="BA33" s="117" t="str">
        <f t="shared" si="2"/>
        <v/>
      </c>
      <c r="BB33" s="116" t="str">
        <f t="shared" si="3"/>
        <v/>
      </c>
      <c r="BC33" s="114"/>
      <c r="BD33" s="118" t="str">
        <f t="shared" si="4"/>
        <v/>
      </c>
      <c r="BE33" s="119" t="str">
        <f t="shared" si="5"/>
        <v/>
      </c>
      <c r="BF33" s="119" t="str">
        <f t="shared" si="6"/>
        <v/>
      </c>
      <c r="BG33" s="119" t="str">
        <f t="shared" si="24"/>
        <v/>
      </c>
      <c r="BH33" s="119" t="str">
        <f t="shared" si="7"/>
        <v/>
      </c>
      <c r="BI33" s="120" t="str">
        <f t="shared" si="25"/>
        <v/>
      </c>
      <c r="BJ33" s="114"/>
      <c r="BK33" s="121" t="str">
        <f t="shared" si="8"/>
        <v/>
      </c>
      <c r="BL33" s="122" t="str">
        <f t="shared" si="9"/>
        <v/>
      </c>
      <c r="BM33" s="122" t="str">
        <f t="shared" si="10"/>
        <v/>
      </c>
      <c r="BN33" s="123" t="str">
        <f t="shared" si="11"/>
        <v/>
      </c>
      <c r="BO33" s="114"/>
      <c r="BP33" s="124" t="str">
        <f t="shared" si="12"/>
        <v/>
      </c>
      <c r="BQ33" s="125">
        <v>0</v>
      </c>
      <c r="BR33" s="125" t="str">
        <f t="shared" si="26"/>
        <v/>
      </c>
      <c r="BS33" s="125" t="str">
        <f t="shared" si="27"/>
        <v/>
      </c>
      <c r="BT33" s="126" t="str">
        <f t="shared" si="13"/>
        <v/>
      </c>
      <c r="BU33" s="114"/>
      <c r="BV33" s="132" t="e">
        <f t="shared" si="14"/>
        <v>#DIV/0!</v>
      </c>
      <c r="BW33" s="127" t="e">
        <f t="shared" si="15"/>
        <v>#DIV/0!</v>
      </c>
      <c r="BX33" s="127" t="e">
        <f t="shared" si="16"/>
        <v>#DIV/0!</v>
      </c>
      <c r="BY33" s="127" t="e">
        <f t="shared" si="17"/>
        <v>#DIV/0!</v>
      </c>
      <c r="BZ33" s="127" t="e">
        <f t="shared" si="28"/>
        <v>#DIV/0!</v>
      </c>
      <c r="CA33" s="128" t="e">
        <f t="shared" si="29"/>
        <v>#DIV/0!</v>
      </c>
      <c r="CB33" s="114"/>
      <c r="CC33" s="129" t="str">
        <f t="shared" si="18"/>
        <v>-</v>
      </c>
      <c r="CD33" s="130" t="str">
        <f t="shared" si="19"/>
        <v>-</v>
      </c>
      <c r="CE33" s="130" t="str">
        <f t="shared" si="20"/>
        <v>-</v>
      </c>
      <c r="CF33" s="130" t="str">
        <f t="shared" si="21"/>
        <v>-</v>
      </c>
      <c r="CG33" s="131" t="str">
        <f t="shared" si="22"/>
        <v>-</v>
      </c>
      <c r="CH33" s="114"/>
    </row>
    <row r="34" spans="1:86" s="115" customFormat="1" ht="12.4" customHeight="1" thickBot="1" x14ac:dyDescent="0.25">
      <c r="A34" s="96">
        <f t="shared" si="30"/>
        <v>46326</v>
      </c>
      <c r="B34" s="97" t="str">
        <f>+TEXT(A34,"DDD")</f>
        <v>Sat</v>
      </c>
      <c r="C34" s="60">
        <f>+SUM(EL_DEL_CD2_PTP_!C34,EL_DEL_CD2_PTP_L_!C34)</f>
        <v>0</v>
      </c>
      <c r="D34" s="60">
        <f>+SUM(EL_DEL_CD2_PTP_!D34,EL_DEL_CD2_PTP_L_!D34)</f>
        <v>0</v>
      </c>
      <c r="E34" s="60">
        <f>+SUM(EL_DEL_CD2_PTP_!E34,EL_DEL_CD2_PTP_L_!E34)</f>
        <v>0</v>
      </c>
      <c r="F34" s="60">
        <f>+SUM(EL_DEL_CD2_PTP_!F34,EL_DEL_CD2_PTP_L_!F34)</f>
        <v>0</v>
      </c>
      <c r="G34" s="60">
        <f>+SUM(EL_DEL_CD2_PTP_!G34,EL_DEL_CD2_PTP_L_!G34)</f>
        <v>0</v>
      </c>
      <c r="H34" s="60">
        <f>+SUM(EL_DEL_CD2_PTP_!H34,EL_DEL_CD2_PTP_L_!H34)</f>
        <v>0</v>
      </c>
      <c r="I34" s="60">
        <f>+SUM(EL_DEL_CD2_PTP_!I34,EL_DEL_CD2_PTP_L_!I34)</f>
        <v>0</v>
      </c>
      <c r="J34" s="60">
        <f>+SUM(EL_DEL_CD2_PTP_!J34,EL_DEL_CD2_PTP_L_!J34)</f>
        <v>0</v>
      </c>
      <c r="K34" s="60">
        <f>+SUM(EL_DEL_CD2_PTP_!K34,EL_DEL_CD2_PTP_L_!K34)</f>
        <v>0</v>
      </c>
      <c r="L34" s="60">
        <f>+SUM(EL_DEL_CD2_PTP_!L34,EL_DEL_CD2_PTP_L_!L34)</f>
        <v>0</v>
      </c>
      <c r="M34" s="60">
        <f>+SUM(EL_DEL_CD2_PTP_!M34,EL_DEL_CD2_PTP_L_!M34)</f>
        <v>0</v>
      </c>
      <c r="N34" s="60">
        <f>+SUM(EL_DEL_CD2_PTP_!N34,EL_DEL_CD2_PTP_L_!N34)</f>
        <v>0</v>
      </c>
      <c r="O34" s="60">
        <f>+SUM(EL_DEL_CD2_PTP_!O34,EL_DEL_CD2_PTP_L_!O34)</f>
        <v>0</v>
      </c>
      <c r="P34" s="60">
        <f>+SUM(EL_DEL_CD2_PTP_!P34,EL_DEL_CD2_PTP_L_!P34)</f>
        <v>0</v>
      </c>
      <c r="Q34" s="60">
        <f>+SUM(EL_DEL_CD2_PTP_!Q34,EL_DEL_CD2_PTP_L_!Q34)</f>
        <v>0</v>
      </c>
      <c r="R34" s="60">
        <f>+SUM(EL_DEL_CD2_PTP_!R34,EL_DEL_CD2_PTP_L_!R34)</f>
        <v>0</v>
      </c>
      <c r="S34" s="60">
        <f>+SUM(EL_DEL_CD2_PTP_!S34,EL_DEL_CD2_PTP_L_!S34)</f>
        <v>0</v>
      </c>
      <c r="T34" s="60">
        <f>+SUM(EL_DEL_CD2_PTP_!T34,EL_DEL_CD2_PTP_L_!T34)</f>
        <v>0</v>
      </c>
      <c r="U34" s="98">
        <f>+SUM(EL_DEL_CD2_PTP_!U34,EL_DEL_CD2_PTP_L_!U34)</f>
        <v>0</v>
      </c>
      <c r="V34" s="60">
        <f>+SUM(EL_DEL_CD2_PTP_!V34,EL_DEL_CD2_PTP_L_!V34)</f>
        <v>0</v>
      </c>
      <c r="W34" s="60">
        <f>+SUM(EL_DEL_CD2_PTP_!W34,EL_DEL_CD2_PTP_L_!W34)</f>
        <v>0</v>
      </c>
      <c r="X34" s="60">
        <f>+SUM(EL_DEL_CD2_PTP_!X34,EL_DEL_CD2_PTP_L_!X34)</f>
        <v>0</v>
      </c>
      <c r="Y34" s="60">
        <f>+SUM(EL_DEL_CD2_PTP_!Y34,EL_DEL_CD2_PTP_L_!Y34)</f>
        <v>0</v>
      </c>
      <c r="Z34" s="60">
        <f>+SUM(EL_DEL_CD2_PTP_!Z34,EL_DEL_CD2_PTP_L_!Z34)</f>
        <v>0</v>
      </c>
      <c r="AA34" s="60">
        <f>+SUM(EL_DEL_CD2_PTP_!AA34,EL_DEL_CD2_PTP_L_!AA34)</f>
        <v>0</v>
      </c>
      <c r="AB34" s="60">
        <f>+SUM(EL_DEL_CD2_PTP_!AB34,EL_DEL_CD2_PTP_L_!AB34)</f>
        <v>0</v>
      </c>
      <c r="AC34" s="60">
        <f>+SUM(EL_DEL_CD2_PTP_!AC34,EL_DEL_CD2_PTP_L_!AC34)</f>
        <v>0</v>
      </c>
      <c r="AD34" s="60">
        <f>+SUM(EL_DEL_CD2_PTP_!AD34,EL_DEL_CD2_PTP_L_!AD34)</f>
        <v>0</v>
      </c>
      <c r="AE34" s="60">
        <f>+SUM(EL_DEL_CD2_PTP_!AE34,EL_DEL_CD2_PTP_L_!AE34)</f>
        <v>0</v>
      </c>
      <c r="AF34" s="60">
        <f>+SUM(EL_DEL_CD2_PTP_!AF34,EL_DEL_CD2_PTP_L_!AF34)</f>
        <v>0</v>
      </c>
      <c r="AG34" s="60">
        <f>+SUM(EL_DEL_CD2_PTP_!AG34,EL_DEL_CD2_PTP_L_!AG34)</f>
        <v>0</v>
      </c>
      <c r="AH34" s="60">
        <f>+SUM(EL_DEL_CD2_PTP_!AH34,EL_DEL_CD2_PTP_L_!AH34)</f>
        <v>0</v>
      </c>
      <c r="AI34" s="60">
        <f>+SUM(EL_DEL_CD2_PTP_!AI34,EL_DEL_CD2_PTP_L_!AI34)</f>
        <v>0</v>
      </c>
      <c r="AJ34" s="60">
        <f>+SUM(EL_DEL_CD2_PTP_!AJ34,EL_DEL_CD2_PTP_L_!AJ34)</f>
        <v>0</v>
      </c>
      <c r="AK34" s="60">
        <f>+SUM(EL_DEL_CD2_PTP_!AK34,EL_DEL_CD2_PTP_L_!AK34)</f>
        <v>0</v>
      </c>
      <c r="AL34" s="99" t="str">
        <f>+IFERROR(AVERAGE(EL_DEL_CD2_PTP_!AL34,EL_DEL_CD2_PTP_L_!AL34),"0")</f>
        <v>0</v>
      </c>
      <c r="AM34" s="99" t="str">
        <f>+IFERROR(AVERAGE(EL_DEL_CD2_PTP_!AM34,EL_DEL_CD2_PTP_L_!AM34),"0")</f>
        <v>0</v>
      </c>
      <c r="AN34" s="99" t="str">
        <f>+IFERROR(AVERAGE(EL_DEL_CD2_PTP_!AN34,EL_DEL_CD2_PTP_L_!AN34),"0")</f>
        <v>0</v>
      </c>
      <c r="AO34" s="99" t="str">
        <f>+IFERROR(AVERAGE(EL_DEL_CD2_PTP_!AO34,EL_DEL_CD2_PTP_L_!AO34),"0")</f>
        <v>0</v>
      </c>
      <c r="AP34" s="99" t="str">
        <f>+IFERROR(AVERAGE(EL_DEL_CD2_PTP_!AP34,EL_DEL_CD2_PTP_L_!AP34),"0")</f>
        <v>0</v>
      </c>
      <c r="AQ34" s="99" t="str">
        <f>+IFERROR(AVERAGE(EL_DEL_CD2_PTP_!AQ34,EL_DEL_CD2_PTP_L_!AQ34),"0")</f>
        <v>0</v>
      </c>
      <c r="AR34" s="99" t="str">
        <f>+IFERROR(AVERAGE(EL_DEL_CD2_PTP_!AR34,EL_DEL_CD2_PTP_L_!AR34),"0")</f>
        <v>0</v>
      </c>
      <c r="AS34" s="99" t="str">
        <f>+IFERROR(AVERAGE(EL_DEL_CD2_PTP_!AS34,EL_DEL_CD2_PTP_L_!AS34),"0")</f>
        <v>0</v>
      </c>
      <c r="AT34" s="100">
        <f>+SUM(EL_DEL_CD2_PTP_!AT34,EL_DEL_CD2_PTP_L_!AT34)</f>
        <v>0</v>
      </c>
      <c r="AU34" s="100">
        <f>+SUM(EL_DEL_CD2_PTP_!AU34,EL_DEL_CD2_PTP_L_!AU34)</f>
        <v>0</v>
      </c>
      <c r="AV34" s="101">
        <f>+SUM(EL_DEL_CD2_PTP_!AV34,EL_DEL_CD2_PTP_L_!AV34)</f>
        <v>0</v>
      </c>
      <c r="AW34" s="60">
        <f>+SUM(EL_DEL_CD2_PTP_!AW34,EL_DEL_CD2_PTP_L_!AW34)</f>
        <v>0</v>
      </c>
      <c r="AX34" s="102" t="str">
        <f t="shared" si="23"/>
        <v>-</v>
      </c>
      <c r="AY34" s="114"/>
      <c r="AZ34" s="116" t="str">
        <f t="shared" si="1"/>
        <v/>
      </c>
      <c r="BA34" s="117" t="str">
        <f t="shared" si="2"/>
        <v/>
      </c>
      <c r="BB34" s="116" t="str">
        <f t="shared" si="3"/>
        <v/>
      </c>
      <c r="BC34" s="114"/>
      <c r="BD34" s="118" t="str">
        <f t="shared" si="4"/>
        <v/>
      </c>
      <c r="BE34" s="119" t="str">
        <f t="shared" si="5"/>
        <v/>
      </c>
      <c r="BF34" s="119" t="str">
        <f t="shared" si="6"/>
        <v/>
      </c>
      <c r="BG34" s="119" t="str">
        <f t="shared" si="24"/>
        <v/>
      </c>
      <c r="BH34" s="119" t="str">
        <f t="shared" si="7"/>
        <v/>
      </c>
      <c r="BI34" s="120" t="str">
        <f t="shared" si="25"/>
        <v/>
      </c>
      <c r="BJ34" s="114"/>
      <c r="BK34" s="121" t="str">
        <f t="shared" si="8"/>
        <v/>
      </c>
      <c r="BL34" s="122" t="str">
        <f t="shared" si="9"/>
        <v/>
      </c>
      <c r="BM34" s="122" t="str">
        <f t="shared" si="10"/>
        <v/>
      </c>
      <c r="BN34" s="123" t="str">
        <f t="shared" si="11"/>
        <v/>
      </c>
      <c r="BO34" s="114"/>
      <c r="BP34" s="124" t="str">
        <f t="shared" si="12"/>
        <v/>
      </c>
      <c r="BQ34" s="125">
        <v>0</v>
      </c>
      <c r="BR34" s="125" t="str">
        <f t="shared" si="26"/>
        <v/>
      </c>
      <c r="BS34" s="125" t="str">
        <f t="shared" si="27"/>
        <v/>
      </c>
      <c r="BT34" s="126" t="str">
        <f t="shared" si="13"/>
        <v/>
      </c>
      <c r="BU34" s="114"/>
      <c r="BV34" s="132" t="e">
        <f t="shared" si="14"/>
        <v>#DIV/0!</v>
      </c>
      <c r="BW34" s="127" t="e">
        <f t="shared" si="15"/>
        <v>#DIV/0!</v>
      </c>
      <c r="BX34" s="127" t="e">
        <f t="shared" si="16"/>
        <v>#DIV/0!</v>
      </c>
      <c r="BY34" s="127" t="e">
        <f t="shared" si="17"/>
        <v>#DIV/0!</v>
      </c>
      <c r="BZ34" s="127" t="e">
        <f t="shared" si="28"/>
        <v>#DIV/0!</v>
      </c>
      <c r="CA34" s="128" t="e">
        <f t="shared" si="29"/>
        <v>#DIV/0!</v>
      </c>
      <c r="CB34" s="114"/>
      <c r="CC34" s="129" t="str">
        <f t="shared" si="18"/>
        <v>-</v>
      </c>
      <c r="CD34" s="130" t="str">
        <f t="shared" si="19"/>
        <v>-</v>
      </c>
      <c r="CE34" s="130" t="str">
        <f t="shared" si="20"/>
        <v>-</v>
      </c>
      <c r="CF34" s="130" t="str">
        <f t="shared" si="21"/>
        <v>-</v>
      </c>
      <c r="CG34" s="131" t="str">
        <f t="shared" si="22"/>
        <v>-</v>
      </c>
      <c r="CH34" s="114"/>
    </row>
    <row r="35" spans="1:86" s="115" customFormat="1" ht="13.15" customHeight="1" thickBot="1" x14ac:dyDescent="0.25">
      <c r="A35" s="235" t="s">
        <v>68</v>
      </c>
      <c r="B35" s="236"/>
      <c r="C35" s="109">
        <f>AVERAGE(C4:C34)</f>
        <v>0</v>
      </c>
      <c r="D35" s="109">
        <f t="shared" ref="D35:AW35" si="32">AVERAGE(D4:D34)</f>
        <v>0</v>
      </c>
      <c r="E35" s="109">
        <f t="shared" si="32"/>
        <v>0</v>
      </c>
      <c r="F35" s="109">
        <f t="shared" si="32"/>
        <v>0</v>
      </c>
      <c r="G35" s="109">
        <f t="shared" si="32"/>
        <v>0</v>
      </c>
      <c r="H35" s="109">
        <f t="shared" si="32"/>
        <v>0</v>
      </c>
      <c r="I35" s="109">
        <f t="shared" si="32"/>
        <v>0</v>
      </c>
      <c r="J35" s="109">
        <f t="shared" si="32"/>
        <v>0</v>
      </c>
      <c r="K35" s="109">
        <f t="shared" si="32"/>
        <v>0</v>
      </c>
      <c r="L35" s="109">
        <f t="shared" si="32"/>
        <v>0</v>
      </c>
      <c r="M35" s="109">
        <f t="shared" si="32"/>
        <v>0</v>
      </c>
      <c r="N35" s="109">
        <f t="shared" si="32"/>
        <v>0</v>
      </c>
      <c r="O35" s="109">
        <f t="shared" si="32"/>
        <v>0</v>
      </c>
      <c r="P35" s="109">
        <f t="shared" si="32"/>
        <v>0</v>
      </c>
      <c r="Q35" s="109">
        <f t="shared" si="32"/>
        <v>0</v>
      </c>
      <c r="R35" s="109">
        <f t="shared" si="32"/>
        <v>0</v>
      </c>
      <c r="S35" s="109">
        <f t="shared" si="32"/>
        <v>0</v>
      </c>
      <c r="T35" s="109">
        <f t="shared" si="32"/>
        <v>0</v>
      </c>
      <c r="U35" s="109">
        <f t="shared" si="32"/>
        <v>0</v>
      </c>
      <c r="V35" s="109">
        <f t="shared" si="32"/>
        <v>0</v>
      </c>
      <c r="W35" s="109">
        <f t="shared" si="32"/>
        <v>0</v>
      </c>
      <c r="X35" s="109">
        <f t="shared" si="32"/>
        <v>0</v>
      </c>
      <c r="Y35" s="109">
        <f t="shared" si="32"/>
        <v>0</v>
      </c>
      <c r="Z35" s="109">
        <f t="shared" si="32"/>
        <v>0</v>
      </c>
      <c r="AA35" s="109">
        <f t="shared" si="32"/>
        <v>0</v>
      </c>
      <c r="AB35" s="109">
        <f t="shared" si="32"/>
        <v>0</v>
      </c>
      <c r="AC35" s="109">
        <f t="shared" si="32"/>
        <v>0</v>
      </c>
      <c r="AD35" s="109">
        <f t="shared" si="32"/>
        <v>0</v>
      </c>
      <c r="AE35" s="109">
        <f t="shared" si="32"/>
        <v>0</v>
      </c>
      <c r="AF35" s="109">
        <f t="shared" si="32"/>
        <v>0</v>
      </c>
      <c r="AG35" s="109">
        <f t="shared" si="32"/>
        <v>0</v>
      </c>
      <c r="AH35" s="109">
        <f t="shared" si="32"/>
        <v>0</v>
      </c>
      <c r="AI35" s="109">
        <f t="shared" si="32"/>
        <v>0</v>
      </c>
      <c r="AJ35" s="109">
        <f t="shared" si="32"/>
        <v>0</v>
      </c>
      <c r="AK35" s="109">
        <f t="shared" si="32"/>
        <v>0</v>
      </c>
      <c r="AL35" s="109" t="e">
        <f t="shared" si="32"/>
        <v>#DIV/0!</v>
      </c>
      <c r="AM35" s="109" t="e">
        <f t="shared" si="32"/>
        <v>#DIV/0!</v>
      </c>
      <c r="AN35" s="109" t="e">
        <f t="shared" si="32"/>
        <v>#DIV/0!</v>
      </c>
      <c r="AO35" s="109" t="e">
        <f t="shared" si="32"/>
        <v>#DIV/0!</v>
      </c>
      <c r="AP35" s="109" t="e">
        <f t="shared" si="32"/>
        <v>#DIV/0!</v>
      </c>
      <c r="AQ35" s="109" t="e">
        <f t="shared" si="32"/>
        <v>#DIV/0!</v>
      </c>
      <c r="AR35" s="109" t="e">
        <f t="shared" si="32"/>
        <v>#DIV/0!</v>
      </c>
      <c r="AS35" s="109" t="e">
        <f t="shared" si="32"/>
        <v>#DIV/0!</v>
      </c>
      <c r="AT35" s="109">
        <f t="shared" si="32"/>
        <v>0</v>
      </c>
      <c r="AU35" s="109">
        <f t="shared" si="32"/>
        <v>0</v>
      </c>
      <c r="AV35" s="109">
        <f t="shared" si="32"/>
        <v>0</v>
      </c>
      <c r="AW35" s="109">
        <f t="shared" si="32"/>
        <v>0</v>
      </c>
      <c r="AX35" s="110" t="str">
        <f t="shared" ref="AX35:AX36" si="33">IFERROR(AN35/AW35,"-")</f>
        <v>-</v>
      </c>
      <c r="AY35" s="114"/>
      <c r="AZ35" s="133" t="str">
        <f t="shared" si="1"/>
        <v/>
      </c>
      <c r="BA35" s="134" t="str">
        <f t="shared" si="2"/>
        <v/>
      </c>
      <c r="BB35" s="135" t="str">
        <f t="shared" si="3"/>
        <v/>
      </c>
      <c r="BC35" s="114"/>
      <c r="BD35" s="133" t="str">
        <f t="shared" si="4"/>
        <v/>
      </c>
      <c r="BE35" s="136" t="str">
        <f t="shared" si="5"/>
        <v/>
      </c>
      <c r="BF35" s="136" t="str">
        <f t="shared" si="6"/>
        <v/>
      </c>
      <c r="BG35" s="136" t="e">
        <f t="shared" si="24"/>
        <v>#DIV/0!</v>
      </c>
      <c r="BH35" s="136" t="str">
        <f t="shared" si="7"/>
        <v/>
      </c>
      <c r="BI35" s="135" t="e">
        <f t="shared" si="25"/>
        <v>#DIV/0!</v>
      </c>
      <c r="BJ35" s="114"/>
      <c r="BK35" s="133" t="str">
        <f t="shared" si="8"/>
        <v/>
      </c>
      <c r="BL35" s="136" t="str">
        <f t="shared" si="9"/>
        <v/>
      </c>
      <c r="BM35" s="136" t="str">
        <f t="shared" si="10"/>
        <v/>
      </c>
      <c r="BN35" s="135" t="str">
        <f t="shared" si="11"/>
        <v/>
      </c>
      <c r="BO35" s="114"/>
      <c r="BP35" s="133" t="str">
        <f t="shared" si="12"/>
        <v/>
      </c>
      <c r="BQ35" s="136">
        <v>0</v>
      </c>
      <c r="BR35" s="136" t="str">
        <f t="shared" si="26"/>
        <v/>
      </c>
      <c r="BS35" s="136" t="str">
        <f t="shared" si="27"/>
        <v/>
      </c>
      <c r="BT35" s="135" t="str">
        <f t="shared" si="13"/>
        <v/>
      </c>
      <c r="BU35" s="114"/>
      <c r="BV35" s="137" t="e">
        <f t="shared" si="14"/>
        <v>#DIV/0!</v>
      </c>
      <c r="BW35" s="138" t="e">
        <f t="shared" si="15"/>
        <v>#DIV/0!</v>
      </c>
      <c r="BX35" s="138" t="e">
        <f t="shared" si="16"/>
        <v>#DIV/0!</v>
      </c>
      <c r="BY35" s="138" t="e">
        <f t="shared" si="17"/>
        <v>#DIV/0!</v>
      </c>
      <c r="BZ35" s="138" t="e">
        <f t="shared" si="28"/>
        <v>#DIV/0!</v>
      </c>
      <c r="CA35" s="139" t="e">
        <f t="shared" si="29"/>
        <v>#DIV/0!</v>
      </c>
      <c r="CB35" s="114"/>
      <c r="CC35" s="137" t="str">
        <f t="shared" si="18"/>
        <v>-</v>
      </c>
      <c r="CD35" s="138" t="str">
        <f t="shared" si="19"/>
        <v>-</v>
      </c>
      <c r="CE35" s="138" t="str">
        <f t="shared" si="20"/>
        <v>-</v>
      </c>
      <c r="CF35" s="138" t="str">
        <f t="shared" si="21"/>
        <v>-</v>
      </c>
      <c r="CG35" s="139" t="str">
        <f t="shared" si="22"/>
        <v>-</v>
      </c>
      <c r="CH35" s="114"/>
    </row>
    <row r="36" spans="1:86" s="115" customFormat="1" ht="13.15" customHeight="1" thickBot="1" x14ac:dyDescent="0.25">
      <c r="A36" s="235" t="s">
        <v>69</v>
      </c>
      <c r="B36" s="236"/>
      <c r="C36" s="111">
        <f>SUM(C4:C34)</f>
        <v>0</v>
      </c>
      <c r="D36" s="111">
        <f t="shared" ref="D36:AW36" si="34">SUM(D4:D34)</f>
        <v>0</v>
      </c>
      <c r="E36" s="111">
        <f t="shared" si="34"/>
        <v>0</v>
      </c>
      <c r="F36" s="111">
        <f t="shared" si="34"/>
        <v>0</v>
      </c>
      <c r="G36" s="111">
        <f t="shared" si="34"/>
        <v>0</v>
      </c>
      <c r="H36" s="111">
        <f t="shared" si="34"/>
        <v>0</v>
      </c>
      <c r="I36" s="111">
        <f t="shared" si="34"/>
        <v>0</v>
      </c>
      <c r="J36" s="111">
        <f t="shared" si="34"/>
        <v>0</v>
      </c>
      <c r="K36" s="111">
        <f t="shared" si="34"/>
        <v>0</v>
      </c>
      <c r="L36" s="111">
        <f t="shared" si="34"/>
        <v>0</v>
      </c>
      <c r="M36" s="111">
        <f t="shared" si="34"/>
        <v>0</v>
      </c>
      <c r="N36" s="111">
        <f t="shared" si="34"/>
        <v>0</v>
      </c>
      <c r="O36" s="111">
        <f t="shared" si="34"/>
        <v>0</v>
      </c>
      <c r="P36" s="111">
        <f t="shared" si="34"/>
        <v>0</v>
      </c>
      <c r="Q36" s="111">
        <f t="shared" si="34"/>
        <v>0</v>
      </c>
      <c r="R36" s="111">
        <f t="shared" si="34"/>
        <v>0</v>
      </c>
      <c r="S36" s="111">
        <f t="shared" si="34"/>
        <v>0</v>
      </c>
      <c r="T36" s="111">
        <f t="shared" si="34"/>
        <v>0</v>
      </c>
      <c r="U36" s="111">
        <f t="shared" si="34"/>
        <v>0</v>
      </c>
      <c r="V36" s="111">
        <f t="shared" si="34"/>
        <v>0</v>
      </c>
      <c r="W36" s="111">
        <f t="shared" si="34"/>
        <v>0</v>
      </c>
      <c r="X36" s="111">
        <f t="shared" si="34"/>
        <v>0</v>
      </c>
      <c r="Y36" s="111">
        <f t="shared" si="34"/>
        <v>0</v>
      </c>
      <c r="Z36" s="111">
        <f t="shared" si="34"/>
        <v>0</v>
      </c>
      <c r="AA36" s="111">
        <f t="shared" si="34"/>
        <v>0</v>
      </c>
      <c r="AB36" s="111">
        <f t="shared" si="34"/>
        <v>0</v>
      </c>
      <c r="AC36" s="111">
        <f t="shared" si="34"/>
        <v>0</v>
      </c>
      <c r="AD36" s="111">
        <f t="shared" si="34"/>
        <v>0</v>
      </c>
      <c r="AE36" s="111">
        <f t="shared" si="34"/>
        <v>0</v>
      </c>
      <c r="AF36" s="111">
        <f t="shared" si="34"/>
        <v>0</v>
      </c>
      <c r="AG36" s="111">
        <f t="shared" si="34"/>
        <v>0</v>
      </c>
      <c r="AH36" s="111">
        <f t="shared" si="34"/>
        <v>0</v>
      </c>
      <c r="AI36" s="111">
        <f t="shared" si="34"/>
        <v>0</v>
      </c>
      <c r="AJ36" s="111">
        <f t="shared" si="34"/>
        <v>0</v>
      </c>
      <c r="AK36" s="111">
        <f t="shared" si="34"/>
        <v>0</v>
      </c>
      <c r="AL36" s="111">
        <f t="shared" si="34"/>
        <v>0</v>
      </c>
      <c r="AM36" s="111">
        <f t="shared" si="34"/>
        <v>0</v>
      </c>
      <c r="AN36" s="111">
        <f t="shared" si="34"/>
        <v>0</v>
      </c>
      <c r="AO36" s="111">
        <f t="shared" si="34"/>
        <v>0</v>
      </c>
      <c r="AP36" s="111">
        <f t="shared" si="34"/>
        <v>0</v>
      </c>
      <c r="AQ36" s="111">
        <f t="shared" si="34"/>
        <v>0</v>
      </c>
      <c r="AR36" s="111">
        <f t="shared" si="34"/>
        <v>0</v>
      </c>
      <c r="AS36" s="111">
        <f t="shared" si="34"/>
        <v>0</v>
      </c>
      <c r="AT36" s="111">
        <f t="shared" si="34"/>
        <v>0</v>
      </c>
      <c r="AU36" s="111">
        <f t="shared" si="34"/>
        <v>0</v>
      </c>
      <c r="AV36" s="111">
        <f t="shared" si="34"/>
        <v>0</v>
      </c>
      <c r="AW36" s="111">
        <f t="shared" si="34"/>
        <v>0</v>
      </c>
      <c r="AX36" s="112" t="str">
        <f t="shared" si="33"/>
        <v>-</v>
      </c>
      <c r="AY36" s="140"/>
      <c r="AZ36" s="141" t="str">
        <f t="shared" si="1"/>
        <v/>
      </c>
      <c r="BA36" s="142" t="str">
        <f t="shared" si="2"/>
        <v/>
      </c>
      <c r="BB36" s="143" t="str">
        <f t="shared" si="3"/>
        <v/>
      </c>
      <c r="BC36" s="140"/>
      <c r="BD36" s="141" t="str">
        <f t="shared" si="4"/>
        <v/>
      </c>
      <c r="BE36" s="144" t="str">
        <f t="shared" si="5"/>
        <v/>
      </c>
      <c r="BF36" s="144" t="str">
        <f t="shared" si="6"/>
        <v/>
      </c>
      <c r="BG36" s="144" t="str">
        <f t="shared" si="24"/>
        <v/>
      </c>
      <c r="BH36" s="144" t="str">
        <f t="shared" si="7"/>
        <v/>
      </c>
      <c r="BI36" s="143" t="str">
        <f t="shared" si="25"/>
        <v/>
      </c>
      <c r="BJ36" s="140"/>
      <c r="BK36" s="141" t="str">
        <f t="shared" si="8"/>
        <v/>
      </c>
      <c r="BL36" s="144" t="str">
        <f t="shared" si="9"/>
        <v/>
      </c>
      <c r="BM36" s="144" t="str">
        <f t="shared" si="10"/>
        <v/>
      </c>
      <c r="BN36" s="143" t="str">
        <f t="shared" si="11"/>
        <v/>
      </c>
      <c r="BO36" s="140"/>
      <c r="BP36" s="141" t="str">
        <f t="shared" si="12"/>
        <v/>
      </c>
      <c r="BQ36" s="144">
        <v>0</v>
      </c>
      <c r="BR36" s="144" t="str">
        <f t="shared" si="26"/>
        <v/>
      </c>
      <c r="BS36" s="144" t="str">
        <f t="shared" si="27"/>
        <v/>
      </c>
      <c r="BT36" s="143" t="str">
        <f t="shared" si="13"/>
        <v/>
      </c>
      <c r="BU36" s="140"/>
      <c r="BV36" s="145" t="str">
        <f t="shared" si="14"/>
        <v/>
      </c>
      <c r="BW36" s="146" t="str">
        <f t="shared" si="15"/>
        <v/>
      </c>
      <c r="BX36" s="146" t="str">
        <f t="shared" si="16"/>
        <v/>
      </c>
      <c r="BY36" s="146" t="str">
        <f t="shared" si="17"/>
        <v/>
      </c>
      <c r="BZ36" s="146" t="str">
        <f t="shared" si="28"/>
        <v/>
      </c>
      <c r="CA36" s="147" t="str">
        <f t="shared" si="29"/>
        <v/>
      </c>
      <c r="CB36" s="140"/>
      <c r="CC36" s="145" t="str">
        <f t="shared" si="18"/>
        <v>-</v>
      </c>
      <c r="CD36" s="146" t="str">
        <f t="shared" si="19"/>
        <v>-</v>
      </c>
      <c r="CE36" s="146" t="str">
        <f t="shared" si="20"/>
        <v>-</v>
      </c>
      <c r="CF36" s="146" t="str">
        <f t="shared" si="21"/>
        <v>-</v>
      </c>
      <c r="CG36" s="147" t="str">
        <f t="shared" si="22"/>
        <v>-</v>
      </c>
      <c r="CH36" s="140"/>
    </row>
    <row r="37" spans="1:86" x14ac:dyDescent="0.2"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</row>
  </sheetData>
  <mergeCells count="88">
    <mergeCell ref="CD2:CD3"/>
    <mergeCell ref="CE2:CE3"/>
    <mergeCell ref="CF2:CF3"/>
    <mergeCell ref="CG2:CG3"/>
    <mergeCell ref="A35:B35"/>
    <mergeCell ref="CA2:CA3"/>
    <mergeCell ref="CC2:CC3"/>
    <mergeCell ref="BN2:BN3"/>
    <mergeCell ref="BA2:BA3"/>
    <mergeCell ref="BB2:BB3"/>
    <mergeCell ref="BD2:BD3"/>
    <mergeCell ref="BE2:BE3"/>
    <mergeCell ref="BF2:BF3"/>
    <mergeCell ref="BG2:BG3"/>
    <mergeCell ref="AT2:AT3"/>
    <mergeCell ref="AU2:AU3"/>
    <mergeCell ref="A36:B36"/>
    <mergeCell ref="BW2:BW3"/>
    <mergeCell ref="BX2:BX3"/>
    <mergeCell ref="BY2:BY3"/>
    <mergeCell ref="BZ2:BZ3"/>
    <mergeCell ref="BP2:BP3"/>
    <mergeCell ref="BQ2:BQ3"/>
    <mergeCell ref="BR2:BR3"/>
    <mergeCell ref="BS2:BS3"/>
    <mergeCell ref="BT2:BT3"/>
    <mergeCell ref="BV2:BV3"/>
    <mergeCell ref="BH2:BH3"/>
    <mergeCell ref="BI2:BI3"/>
    <mergeCell ref="BK2:BK3"/>
    <mergeCell ref="BL2:BL3"/>
    <mergeCell ref="BM2:BM3"/>
    <mergeCell ref="AV2:AV3"/>
    <mergeCell ref="AW2:AW3"/>
    <mergeCell ref="AX2:AX3"/>
    <mergeCell ref="AZ2:AZ3"/>
    <mergeCell ref="AN2:AN3"/>
    <mergeCell ref="AO2:AO3"/>
    <mergeCell ref="AP2:AP3"/>
    <mergeCell ref="AQ2:AQ3"/>
    <mergeCell ref="AR2:AR3"/>
    <mergeCell ref="AS2:AS3"/>
    <mergeCell ref="Y2:Y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BP1:BT1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BV1:CA1"/>
    <mergeCell ref="O2:O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  <mergeCell ref="BD1:BI1"/>
    <mergeCell ref="BK1:B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Y41"/>
  <sheetViews>
    <sheetView showGridLines="0" tabSelected="1" zoomScaleNormal="100" workbookViewId="0">
      <selection activeCell="C5" sqref="C5"/>
    </sheetView>
  </sheetViews>
  <sheetFormatPr defaultColWidth="0" defaultRowHeight="11.25" x14ac:dyDescent="0.2"/>
  <cols>
    <col min="1" max="1" width="9.42578125" style="154" customWidth="1"/>
    <col min="2" max="2" width="4.5703125" style="154" customWidth="1"/>
    <col min="3" max="3" width="15.42578125" style="154" bestFit="1" customWidth="1"/>
    <col min="4" max="4" width="18.7109375" style="154" customWidth="1"/>
    <col min="5" max="5" width="19.85546875" style="154" customWidth="1"/>
    <col min="6" max="6" width="15.85546875" style="154" customWidth="1"/>
    <col min="7" max="7" width="7.85546875" style="154" bestFit="1" customWidth="1"/>
    <col min="8" max="8" width="18.42578125" style="154" customWidth="1"/>
    <col min="9" max="9" width="8.85546875" style="154" customWidth="1"/>
    <col min="10" max="10" width="9.42578125" style="154" customWidth="1"/>
    <col min="11" max="11" width="10.85546875" style="154" customWidth="1"/>
    <col min="12" max="12" width="7.140625" style="154" customWidth="1"/>
    <col min="13" max="13" width="5.85546875" style="154" customWidth="1"/>
    <col min="14" max="14" width="5.5703125" style="154" bestFit="1" customWidth="1"/>
    <col min="15" max="15" width="4.7109375" style="154" customWidth="1"/>
    <col min="16" max="16" width="5.5703125" style="154" customWidth="1"/>
    <col min="17" max="17" width="5.42578125" style="154" customWidth="1"/>
    <col min="18" max="18" width="4" style="154" customWidth="1"/>
    <col min="19" max="19" width="5.5703125" style="154" bestFit="1" customWidth="1"/>
    <col min="20" max="20" width="3.5703125" style="154" customWidth="1"/>
    <col min="21" max="21" width="5.85546875" style="154" bestFit="1" customWidth="1"/>
    <col min="22" max="22" width="3.28515625" style="154" customWidth="1"/>
    <col min="23" max="23" width="3.28515625" style="154" bestFit="1" customWidth="1"/>
    <col min="24" max="24" width="5" style="154" bestFit="1" customWidth="1"/>
    <col min="25" max="25" width="3.85546875" style="154" bestFit="1" customWidth="1"/>
    <col min="26" max="26" width="3.42578125" style="154" bestFit="1" customWidth="1"/>
    <col min="27" max="27" width="5.5703125" style="154" bestFit="1" customWidth="1"/>
    <col min="28" max="28" width="5.7109375" style="154" bestFit="1" customWidth="1"/>
    <col min="29" max="29" width="4" style="154" bestFit="1" customWidth="1"/>
    <col min="30" max="30" width="3.28515625" style="154" bestFit="1" customWidth="1"/>
    <col min="31" max="31" width="5.42578125" style="154" bestFit="1" customWidth="1"/>
    <col min="32" max="32" width="4.42578125" style="154" customWidth="1"/>
    <col min="33" max="33" width="4.42578125" style="154" bestFit="1" customWidth="1"/>
    <col min="34" max="34" width="5.5703125" style="154" bestFit="1" customWidth="1"/>
    <col min="35" max="35" width="13.140625" style="154" bestFit="1" customWidth="1"/>
    <col min="36" max="36" width="15.5703125" style="154" bestFit="1" customWidth="1"/>
    <col min="37" max="37" width="16.140625" style="168" bestFit="1" customWidth="1"/>
    <col min="38" max="38" width="15.28515625" style="168" bestFit="1" customWidth="1"/>
    <col min="39" max="39" width="15.7109375" style="168" bestFit="1" customWidth="1"/>
    <col min="40" max="40" width="16.140625" style="168" bestFit="1" customWidth="1"/>
    <col min="41" max="41" width="9.85546875" style="168" bestFit="1" customWidth="1"/>
    <col min="42" max="42" width="13.7109375" style="168" bestFit="1" customWidth="1"/>
    <col min="43" max="43" width="11" style="168" bestFit="1" customWidth="1"/>
    <col min="44" max="44" width="10.140625" style="168" bestFit="1" customWidth="1"/>
    <col min="45" max="45" width="12.42578125" style="158" customWidth="1"/>
    <col min="46" max="46" width="12.42578125" style="154" bestFit="1" customWidth="1"/>
    <col min="47" max="47" width="12" style="154" bestFit="1" customWidth="1"/>
    <col min="48" max="48" width="16.140625" style="154" bestFit="1" customWidth="1"/>
    <col min="49" max="50" width="16" style="154" customWidth="1"/>
    <col min="51" max="51" width="2" style="154" customWidth="1"/>
    <col min="52" max="52" width="16.28515625" style="154" bestFit="1" customWidth="1"/>
    <col min="53" max="53" width="11.85546875" style="154" bestFit="1" customWidth="1"/>
    <col min="54" max="54" width="12.7109375" style="154" bestFit="1" customWidth="1"/>
    <col min="55" max="55" width="2.140625" style="154" customWidth="1"/>
    <col min="56" max="56" width="12.5703125" style="154" bestFit="1" customWidth="1"/>
    <col min="57" max="57" width="13.28515625" style="154" bestFit="1" customWidth="1"/>
    <col min="58" max="58" width="20.28515625" style="154" bestFit="1" customWidth="1"/>
    <col min="59" max="59" width="9.42578125" style="154" bestFit="1" customWidth="1"/>
    <col min="60" max="60" width="14.7109375" style="154" bestFit="1" customWidth="1"/>
    <col min="61" max="61" width="10.5703125" style="154" bestFit="1" customWidth="1"/>
    <col min="62" max="62" width="1.85546875" style="154" customWidth="1"/>
    <col min="63" max="63" width="20.140625" style="154" bestFit="1" customWidth="1"/>
    <col min="64" max="64" width="25.28515625" style="154" bestFit="1" customWidth="1"/>
    <col min="65" max="65" width="14" style="154" bestFit="1" customWidth="1"/>
    <col min="66" max="66" width="18" style="154" bestFit="1" customWidth="1"/>
    <col min="67" max="67" width="1.85546875" style="154" customWidth="1"/>
    <col min="68" max="68" width="9.140625" style="154" bestFit="1" customWidth="1"/>
    <col min="69" max="69" width="12.85546875" style="154" bestFit="1" customWidth="1"/>
    <col min="70" max="70" width="14" style="154" bestFit="1" customWidth="1"/>
    <col min="71" max="71" width="13.7109375" style="154" bestFit="1" customWidth="1"/>
    <col min="72" max="72" width="7.85546875" style="154" bestFit="1" customWidth="1"/>
    <col min="73" max="73" width="2.140625" style="154" customWidth="1"/>
    <col min="74" max="74" width="18.42578125" style="154" bestFit="1" customWidth="1"/>
    <col min="75" max="75" width="14.42578125" style="154" bestFit="1" customWidth="1"/>
    <col min="76" max="76" width="18.42578125" style="154" bestFit="1" customWidth="1"/>
    <col min="77" max="77" width="18.85546875" style="154" bestFit="1" customWidth="1"/>
    <col min="78" max="78" width="18" style="154" bestFit="1" customWidth="1"/>
    <col min="79" max="79" width="18.5703125" style="154" bestFit="1" customWidth="1"/>
    <col min="80" max="80" width="1.7109375" style="154" customWidth="1"/>
    <col min="81" max="82" width="5.5703125" style="154" bestFit="1" customWidth="1"/>
    <col min="83" max="83" width="5.85546875" style="154" bestFit="1" customWidth="1"/>
    <col min="84" max="84" width="7.5703125" style="154" bestFit="1" customWidth="1"/>
    <col min="85" max="85" width="8.42578125" style="154" bestFit="1" customWidth="1"/>
    <col min="86" max="103" width="0" style="154" hidden="1" customWidth="1"/>
    <col min="104" max="16384" width="10.7109375" style="154" hidden="1"/>
  </cols>
  <sheetData>
    <row r="1" spans="1:86" s="115" customFormat="1" ht="13.15" customHeight="1" thickBot="1" x14ac:dyDescent="0.25">
      <c r="A1" s="344" t="s">
        <v>0</v>
      </c>
      <c r="B1" s="345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3"/>
      <c r="AL1" s="173"/>
      <c r="AM1" s="173"/>
      <c r="AN1" s="173"/>
      <c r="AO1" s="173"/>
      <c r="AP1" s="173"/>
      <c r="AQ1" s="173"/>
      <c r="AR1" s="173"/>
      <c r="AS1" s="172"/>
      <c r="AT1" s="172"/>
      <c r="AU1" s="172"/>
      <c r="AV1" s="172"/>
      <c r="AW1" s="172"/>
      <c r="AX1" s="174"/>
      <c r="AY1" s="151"/>
      <c r="AZ1" s="346" t="s">
        <v>1</v>
      </c>
      <c r="BA1" s="347"/>
      <c r="BB1" s="348"/>
      <c r="BC1" s="151"/>
      <c r="BD1" s="333" t="s">
        <v>2</v>
      </c>
      <c r="BE1" s="334"/>
      <c r="BF1" s="334"/>
      <c r="BG1" s="334"/>
      <c r="BH1" s="334"/>
      <c r="BI1" s="335"/>
      <c r="BJ1" s="151"/>
      <c r="BK1" s="333" t="s">
        <v>3</v>
      </c>
      <c r="BL1" s="334"/>
      <c r="BM1" s="334"/>
      <c r="BN1" s="335"/>
      <c r="BO1" s="151"/>
      <c r="BP1" s="333" t="s">
        <v>4</v>
      </c>
      <c r="BQ1" s="334"/>
      <c r="BR1" s="334"/>
      <c r="BS1" s="334"/>
      <c r="BT1" s="335"/>
      <c r="BU1" s="151"/>
      <c r="BV1" s="333" t="s">
        <v>5</v>
      </c>
      <c r="BW1" s="334"/>
      <c r="BX1" s="334"/>
      <c r="BY1" s="334"/>
      <c r="BZ1" s="334"/>
      <c r="CA1" s="335"/>
      <c r="CB1" s="151"/>
      <c r="CC1" s="333" t="s">
        <v>6</v>
      </c>
      <c r="CD1" s="334"/>
      <c r="CE1" s="334"/>
      <c r="CF1" s="334"/>
      <c r="CG1" s="335"/>
      <c r="CH1" s="151"/>
    </row>
    <row r="2" spans="1:86" s="115" customFormat="1" ht="15" customHeight="1" x14ac:dyDescent="0.2">
      <c r="A2" s="336" t="s">
        <v>7</v>
      </c>
      <c r="B2" s="338" t="s">
        <v>8</v>
      </c>
      <c r="C2" s="340" t="s">
        <v>9</v>
      </c>
      <c r="D2" s="331" t="s">
        <v>10</v>
      </c>
      <c r="E2" s="331" t="s">
        <v>11</v>
      </c>
      <c r="F2" s="331" t="s">
        <v>12</v>
      </c>
      <c r="G2" s="331" t="s">
        <v>13</v>
      </c>
      <c r="H2" s="342" t="s">
        <v>14</v>
      </c>
      <c r="I2" s="331" t="s">
        <v>15</v>
      </c>
      <c r="J2" s="331" t="s">
        <v>16</v>
      </c>
      <c r="K2" s="331" t="s">
        <v>17</v>
      </c>
      <c r="L2" s="353" t="s">
        <v>18</v>
      </c>
      <c r="M2" s="331" t="s">
        <v>83</v>
      </c>
      <c r="N2" s="331" t="s">
        <v>71</v>
      </c>
      <c r="O2" s="331" t="s">
        <v>19</v>
      </c>
      <c r="P2" s="331" t="s">
        <v>20</v>
      </c>
      <c r="Q2" s="331" t="s">
        <v>84</v>
      </c>
      <c r="R2" s="331" t="s">
        <v>21</v>
      </c>
      <c r="S2" s="331" t="s">
        <v>22</v>
      </c>
      <c r="T2" s="331" t="s">
        <v>23</v>
      </c>
      <c r="U2" s="331" t="s">
        <v>87</v>
      </c>
      <c r="V2" s="331" t="s">
        <v>78</v>
      </c>
      <c r="W2" s="331" t="s">
        <v>24</v>
      </c>
      <c r="X2" s="331" t="s">
        <v>85</v>
      </c>
      <c r="Y2" s="331" t="s">
        <v>25</v>
      </c>
      <c r="Z2" s="331" t="s">
        <v>70</v>
      </c>
      <c r="AA2" s="331" t="s">
        <v>79</v>
      </c>
      <c r="AB2" s="331" t="s">
        <v>76</v>
      </c>
      <c r="AC2" s="331" t="s">
        <v>77</v>
      </c>
      <c r="AD2" s="331" t="s">
        <v>80</v>
      </c>
      <c r="AE2" s="331" t="s">
        <v>75</v>
      </c>
      <c r="AF2" s="331" t="s">
        <v>74</v>
      </c>
      <c r="AG2" s="331" t="s">
        <v>72</v>
      </c>
      <c r="AH2" s="331" t="s">
        <v>73</v>
      </c>
      <c r="AI2" s="331" t="s">
        <v>26</v>
      </c>
      <c r="AJ2" s="331" t="s">
        <v>27</v>
      </c>
      <c r="AK2" s="331" t="s">
        <v>28</v>
      </c>
      <c r="AL2" s="351" t="s">
        <v>29</v>
      </c>
      <c r="AM2" s="351" t="s">
        <v>30</v>
      </c>
      <c r="AN2" s="351" t="s">
        <v>31</v>
      </c>
      <c r="AO2" s="351" t="s">
        <v>32</v>
      </c>
      <c r="AP2" s="351" t="s">
        <v>33</v>
      </c>
      <c r="AQ2" s="351" t="s">
        <v>34</v>
      </c>
      <c r="AR2" s="351" t="s">
        <v>35</v>
      </c>
      <c r="AS2" s="351" t="s">
        <v>36</v>
      </c>
      <c r="AT2" s="349" t="s">
        <v>37</v>
      </c>
      <c r="AU2" s="357" t="s">
        <v>82</v>
      </c>
      <c r="AV2" s="357" t="s">
        <v>81</v>
      </c>
      <c r="AW2" s="359" t="s">
        <v>38</v>
      </c>
      <c r="AX2" s="361" t="s">
        <v>39</v>
      </c>
      <c r="AY2" s="151"/>
      <c r="AZ2" s="363" t="s">
        <v>40</v>
      </c>
      <c r="BA2" s="365" t="s">
        <v>41</v>
      </c>
      <c r="BB2" s="367" t="s">
        <v>42</v>
      </c>
      <c r="BC2" s="151"/>
      <c r="BD2" s="369" t="s">
        <v>43</v>
      </c>
      <c r="BE2" s="355" t="s">
        <v>44</v>
      </c>
      <c r="BF2" s="355" t="s">
        <v>45</v>
      </c>
      <c r="BG2" s="355" t="s">
        <v>46</v>
      </c>
      <c r="BH2" s="355" t="s">
        <v>47</v>
      </c>
      <c r="BI2" s="371" t="s">
        <v>48</v>
      </c>
      <c r="BJ2" s="151"/>
      <c r="BK2" s="369" t="s">
        <v>49</v>
      </c>
      <c r="BL2" s="355" t="s">
        <v>50</v>
      </c>
      <c r="BM2" s="355" t="s">
        <v>51</v>
      </c>
      <c r="BN2" s="371" t="s">
        <v>52</v>
      </c>
      <c r="BO2" s="151"/>
      <c r="BP2" s="369" t="s">
        <v>53</v>
      </c>
      <c r="BQ2" s="355" t="s">
        <v>54</v>
      </c>
      <c r="BR2" s="355" t="s">
        <v>67</v>
      </c>
      <c r="BS2" s="355" t="s">
        <v>55</v>
      </c>
      <c r="BT2" s="371" t="s">
        <v>86</v>
      </c>
      <c r="BU2" s="151"/>
      <c r="BV2" s="340" t="s">
        <v>56</v>
      </c>
      <c r="BW2" s="331" t="s">
        <v>57</v>
      </c>
      <c r="BX2" s="331" t="s">
        <v>58</v>
      </c>
      <c r="BY2" s="331" t="s">
        <v>59</v>
      </c>
      <c r="BZ2" s="331" t="s">
        <v>60</v>
      </c>
      <c r="CA2" s="373" t="s">
        <v>61</v>
      </c>
      <c r="CB2" s="151"/>
      <c r="CC2" s="369" t="s">
        <v>62</v>
      </c>
      <c r="CD2" s="355" t="s">
        <v>63</v>
      </c>
      <c r="CE2" s="355" t="s">
        <v>64</v>
      </c>
      <c r="CF2" s="355" t="s">
        <v>65</v>
      </c>
      <c r="CG2" s="371" t="s">
        <v>66</v>
      </c>
      <c r="CH2" s="151"/>
    </row>
    <row r="3" spans="1:86" s="115" customFormat="1" ht="15" customHeight="1" thickBot="1" x14ac:dyDescent="0.25">
      <c r="A3" s="337"/>
      <c r="B3" s="339"/>
      <c r="C3" s="341"/>
      <c r="D3" s="332"/>
      <c r="E3" s="332"/>
      <c r="F3" s="332"/>
      <c r="G3" s="332"/>
      <c r="H3" s="343"/>
      <c r="I3" s="332"/>
      <c r="J3" s="332"/>
      <c r="K3" s="332"/>
      <c r="L3" s="354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  <c r="AA3" s="332"/>
      <c r="AB3" s="332"/>
      <c r="AC3" s="332"/>
      <c r="AD3" s="332"/>
      <c r="AE3" s="332"/>
      <c r="AF3" s="332"/>
      <c r="AG3" s="332"/>
      <c r="AH3" s="332"/>
      <c r="AI3" s="332"/>
      <c r="AJ3" s="332"/>
      <c r="AK3" s="332"/>
      <c r="AL3" s="352"/>
      <c r="AM3" s="352"/>
      <c r="AN3" s="352"/>
      <c r="AO3" s="352"/>
      <c r="AP3" s="352"/>
      <c r="AQ3" s="352"/>
      <c r="AR3" s="352"/>
      <c r="AS3" s="352"/>
      <c r="AT3" s="350"/>
      <c r="AU3" s="358"/>
      <c r="AV3" s="358"/>
      <c r="AW3" s="360"/>
      <c r="AX3" s="362" t="s">
        <v>38</v>
      </c>
      <c r="AY3" s="151"/>
      <c r="AZ3" s="364"/>
      <c r="BA3" s="366"/>
      <c r="BB3" s="368"/>
      <c r="BC3" s="151"/>
      <c r="BD3" s="370"/>
      <c r="BE3" s="356"/>
      <c r="BF3" s="356"/>
      <c r="BG3" s="356"/>
      <c r="BH3" s="356"/>
      <c r="BI3" s="372"/>
      <c r="BJ3" s="151"/>
      <c r="BK3" s="370"/>
      <c r="BL3" s="356"/>
      <c r="BM3" s="356"/>
      <c r="BN3" s="372"/>
      <c r="BO3" s="151"/>
      <c r="BP3" s="370"/>
      <c r="BQ3" s="356"/>
      <c r="BR3" s="356"/>
      <c r="BS3" s="356"/>
      <c r="BT3" s="372"/>
      <c r="BU3" s="151"/>
      <c r="BV3" s="341"/>
      <c r="BW3" s="332"/>
      <c r="BX3" s="332"/>
      <c r="BY3" s="332"/>
      <c r="BZ3" s="332"/>
      <c r="CA3" s="374"/>
      <c r="CB3" s="151"/>
      <c r="CC3" s="370"/>
      <c r="CD3" s="356"/>
      <c r="CE3" s="356"/>
      <c r="CF3" s="356"/>
      <c r="CG3" s="372"/>
      <c r="CH3" s="151"/>
    </row>
    <row r="4" spans="1:86" s="115" customFormat="1" ht="12.4" customHeight="1" thickBot="1" x14ac:dyDescent="0.25">
      <c r="A4" s="96">
        <f>EL_DEL_CD2_JO_!A4</f>
        <v>46296</v>
      </c>
      <c r="B4" s="97" t="str">
        <f t="shared" ref="B4:B31" si="0">+TEXT(A4,"DDD")</f>
        <v>Thu</v>
      </c>
      <c r="C4" s="98">
        <f>+SUM('Overall without PTP '!C4,'Overall with PTP'!C4)</f>
        <v>0</v>
      </c>
      <c r="D4" s="98">
        <f>+SUM('Overall without PTP '!D4,'Overall with PTP'!D4)</f>
        <v>0</v>
      </c>
      <c r="E4" s="98">
        <f>+SUM('Overall without PTP '!E4,'Overall with PTP'!E4)</f>
        <v>0</v>
      </c>
      <c r="F4" s="98">
        <f>+SUM('Overall without PTP '!F4,'Overall with PTP'!F4)</f>
        <v>0</v>
      </c>
      <c r="G4" s="98">
        <f>+SUM('Overall without PTP '!G4,'Overall with PTP'!G4)</f>
        <v>0</v>
      </c>
      <c r="H4" s="98">
        <f>+SUM('Overall without PTP '!H4,'Overall with PTP'!H4)</f>
        <v>0</v>
      </c>
      <c r="I4" s="98">
        <f>+SUM('Overall without PTP '!I4,'Overall with PTP'!I4)</f>
        <v>0</v>
      </c>
      <c r="J4" s="98">
        <f>+SUM('Overall without PTP '!J4,'Overall with PTP'!J4)</f>
        <v>0</v>
      </c>
      <c r="K4" s="98">
        <f>+SUM('Overall without PTP '!K4,'Overall with PTP'!K4)</f>
        <v>0</v>
      </c>
      <c r="L4" s="98">
        <f>+SUM('Overall without PTP '!L4,'Overall with PTP'!L4)</f>
        <v>0</v>
      </c>
      <c r="M4" s="98">
        <f>+SUM('Overall without PTP '!M4,'Overall with PTP'!M4)</f>
        <v>0</v>
      </c>
      <c r="N4" s="98">
        <f>+SUM('Overall without PTP '!N4,'Overall with PTP'!N4)</f>
        <v>0</v>
      </c>
      <c r="O4" s="98">
        <f>+SUM('Overall without PTP '!O4,'Overall with PTP'!O4)</f>
        <v>0</v>
      </c>
      <c r="P4" s="98">
        <f>+SUM('Overall without PTP '!P4,'Overall with PTP'!P4)</f>
        <v>0</v>
      </c>
      <c r="Q4" s="98">
        <f>+SUM('Overall without PTP '!Q4,'Overall with PTP'!Q4)</f>
        <v>0</v>
      </c>
      <c r="R4" s="98">
        <f>+SUM('Overall without PTP '!R4,'Overall with PTP'!R4)</f>
        <v>0</v>
      </c>
      <c r="S4" s="98">
        <f>+SUM('Overall without PTP '!S4,'Overall with PTP'!S4)</f>
        <v>0</v>
      </c>
      <c r="T4" s="98">
        <f>+SUM('Overall without PTP '!T4,'Overall with PTP'!T4)</f>
        <v>0</v>
      </c>
      <c r="U4" s="98">
        <f>+SUM('Overall without PTP '!U4,'Overall with PTP'!U4)</f>
        <v>0</v>
      </c>
      <c r="V4" s="98">
        <f>+SUM('Overall without PTP '!V4,'Overall with PTP'!V4)</f>
        <v>0</v>
      </c>
      <c r="W4" s="98">
        <f>+SUM('Overall without PTP '!W4,'Overall with PTP'!W4)</f>
        <v>0</v>
      </c>
      <c r="X4" s="98">
        <f>+SUM('Overall without PTP '!X4,'Overall with PTP'!X4)</f>
        <v>0</v>
      </c>
      <c r="Y4" s="98">
        <f>+SUM('Overall without PTP '!Y4,'Overall with PTP'!Y4)</f>
        <v>0</v>
      </c>
      <c r="Z4" s="98">
        <f>+SUM('Overall without PTP '!Z4,'Overall with PTP'!Z4)</f>
        <v>0</v>
      </c>
      <c r="AA4" s="98">
        <f>+SUM('Overall without PTP '!AA4,'Overall with PTP'!AA4)</f>
        <v>0</v>
      </c>
      <c r="AB4" s="98">
        <f>+SUM('Overall without PTP '!AB4,'Overall with PTP'!AB4)</f>
        <v>0</v>
      </c>
      <c r="AC4" s="98">
        <f>+SUM('Overall without PTP '!AC4,'Overall with PTP'!AC4)</f>
        <v>0</v>
      </c>
      <c r="AD4" s="98">
        <f>+SUM('Overall without PTP '!AD4,'Overall with PTP'!AD4)</f>
        <v>0</v>
      </c>
      <c r="AE4" s="98">
        <f>+SUM('Overall without PTP '!AE4,'Overall with PTP'!AE4)</f>
        <v>0</v>
      </c>
      <c r="AF4" s="98">
        <f>+SUM('Overall without PTP '!AF4,'Overall with PTP'!AF4)</f>
        <v>0</v>
      </c>
      <c r="AG4" s="98">
        <f>+SUM('Overall without PTP '!AG4,'Overall with PTP'!AG4)</f>
        <v>0</v>
      </c>
      <c r="AH4" s="98">
        <f>+SUM('Overall without PTP '!AH4,'Overall with PTP'!AH4)</f>
        <v>0</v>
      </c>
      <c r="AI4" s="98">
        <f>+SUM('Overall without PTP '!AI4,'Overall with PTP'!AI4)</f>
        <v>0</v>
      </c>
      <c r="AJ4" s="98">
        <f>+SUM('Overall without PTP '!AJ4,'Overall with PTP'!AJ4)</f>
        <v>0</v>
      </c>
      <c r="AK4" s="98">
        <f>+SUM('Overall without PTP '!AK4,'Overall with PTP'!AK4)</f>
        <v>0</v>
      </c>
      <c r="AL4" s="152" t="str">
        <f>+IFERROR(AVERAGE('Overall without PTP '!AL4,'Overall with PTP'!AL4),"")</f>
        <v/>
      </c>
      <c r="AM4" s="152" t="str">
        <f>+IFERROR(AVERAGE('Overall without PTP '!AM4,'Overall with PTP'!AM4),"")</f>
        <v/>
      </c>
      <c r="AN4" s="152" t="str">
        <f>+IFERROR(AVERAGE('Overall without PTP '!AN4,'Overall with PTP'!AN4),"")</f>
        <v/>
      </c>
      <c r="AO4" s="152" t="str">
        <f>+IFERROR(AVERAGE('Overall without PTP '!AO4,'Overall with PTP'!AO4),"")</f>
        <v/>
      </c>
      <c r="AP4" s="98" t="str">
        <f>+IFERROR(AVERAGE('Overall without PTP '!AP4,'Overall with PTP'!AP4),"")</f>
        <v/>
      </c>
      <c r="AQ4" s="152" t="str">
        <f>+IFERROR(AVERAGE('Overall without PTP '!AQ4,'Overall with PTP'!AQ4),"")</f>
        <v/>
      </c>
      <c r="AR4" s="152" t="str">
        <f>+IFERROR(AVERAGE('Overall without PTP '!AR4,'Overall with PTP'!AR4),"")</f>
        <v/>
      </c>
      <c r="AS4" s="152" t="str">
        <f>+IFERROR(AVERAGE('Overall without PTP '!AS4,'Overall with PTP'!AS4),"")</f>
        <v/>
      </c>
      <c r="AT4" s="98">
        <f>+SUM('Overall without PTP '!AT4,'Overall with PTP'!AT4)</f>
        <v>0</v>
      </c>
      <c r="AU4" s="98">
        <f>+SUM('Overall without PTP '!AU4,'Overall with PTP'!AU4)</f>
        <v>0</v>
      </c>
      <c r="AV4" s="98">
        <f>+SUM('Overall without PTP '!AV4,'Overall with PTP'!AV4)</f>
        <v>0</v>
      </c>
      <c r="AW4" s="167">
        <f>+IFERROR(AVERAGE(EL_DEL_CD2_JO_!AW4,EL_DEL_CD2_PTP_!AW4,EL_DEL_CD2_SBI_1_4_!AW4,EL_DEL_CD2_SBI_5_6_!AW4,EL_DEL_CD2_SBI_7_8_!AW4,EL_DEL_CD2_SBI_9_10_!AW4,EL_DEL_CD2_STAB_!AW4,EL_DEL_CD1_WST_PTP_!AW4,EL_DEL_CD1_NTH_PTP_!AW4,EL_DEL_CD1_STH_PTP_!AW4,EL_DEL_CD1_1D4P_PTP_!AW4,EL_DEL_CD1_8D_PTP_!AW4,EL_DEL_CD2_JO_L_!AW4,EL_DEL_CD2_PTP_L_!AW4,EL_DEL_CD2_SBI_L_1_4_!AW4,EL_DEL_CD2_SBI_L_5_6_!AW4,EL_DEL_CD2_SBI_L_7_8_!AW4,EL_DEL_CD2_SBI_L_9_10_!AW4,EL_DEL_CD2_L_STAB_!AW4),0)</f>
        <v>0</v>
      </c>
      <c r="AX4" s="102" t="str">
        <f t="shared" ref="AX4:AX36" si="1">IFERROR(AN4/AW4,"-")</f>
        <v>-</v>
      </c>
      <c r="AY4" s="151"/>
      <c r="AZ4" s="116" t="str">
        <f t="shared" ref="AZ4:AZ36" si="2">IF(E4&gt;0,F4/E4,"")</f>
        <v/>
      </c>
      <c r="BA4" s="117" t="str">
        <f t="shared" ref="BA4:BA36" si="3">+IF(E4&gt;0,G4/E4,"")</f>
        <v/>
      </c>
      <c r="BB4" s="116" t="str">
        <f t="shared" ref="BB4:BB36" si="4">+IF(E4&gt;0,AJ4/E4,"")</f>
        <v/>
      </c>
      <c r="BC4" s="151"/>
      <c r="BD4" s="159" t="str">
        <f t="shared" ref="BD4:BD36" si="5">+IF(G4&gt;0,I4/G4,"")</f>
        <v/>
      </c>
      <c r="BE4" s="160" t="str">
        <f t="shared" ref="BE4:BE36" si="6">+IF(G4&gt;0,J4/G4,"")</f>
        <v/>
      </c>
      <c r="BF4" s="160" t="str">
        <f t="shared" ref="BF4:BF36" si="7">+IF(I4&gt;0,L4/I4,"")</f>
        <v/>
      </c>
      <c r="BG4" s="160" t="str">
        <f t="shared" ref="BG4:BG31" si="8">+IF(SUM(AO4:AR4)&gt;0,AO4/AN4,"")</f>
        <v/>
      </c>
      <c r="BH4" s="160" t="str">
        <f t="shared" ref="BH4:BH36" si="9">+IF(G4&gt;0,K4/G4,"")</f>
        <v/>
      </c>
      <c r="BI4" s="161" t="str">
        <f>+IF(SUM(AO4:AR4)&gt;0,AQ4/AN4,"")</f>
        <v/>
      </c>
      <c r="BJ4" s="151"/>
      <c r="BK4" s="162" t="str">
        <f t="shared" ref="BK4:BK36" si="10">+IF(E4&gt;0,(AJ4/E4),"")</f>
        <v/>
      </c>
      <c r="BL4" s="163" t="str">
        <f t="shared" ref="BL4:BL36" si="11">+IF(E4&gt;0,(AJ4/F4),"")</f>
        <v/>
      </c>
      <c r="BM4" s="163" t="str">
        <f t="shared" ref="BM4:BM36" si="12">+IF(E4&gt;0,(AJ4/G4),"")</f>
        <v/>
      </c>
      <c r="BN4" s="164" t="str">
        <f t="shared" ref="BN4:BN36" si="13">+IF(E4&gt;0,(AJ4/J4),"")</f>
        <v/>
      </c>
      <c r="BO4" s="151"/>
      <c r="BP4" s="124" t="str">
        <f t="shared" ref="BP4:BP36" si="14">IF(AJ4&gt;0,(N4/AJ4),"")</f>
        <v/>
      </c>
      <c r="BQ4" s="125">
        <v>0</v>
      </c>
      <c r="BR4" s="125" t="str">
        <f t="shared" ref="BR4:BR31" si="15">IF(AJ4&gt;0,(AK4/AJ4),"")</f>
        <v/>
      </c>
      <c r="BS4" s="125" t="str">
        <f>IF(AJ4&gt;0,(AK4/AJ4),"")</f>
        <v/>
      </c>
      <c r="BT4" s="126" t="str">
        <f t="shared" ref="BT4:BT36" si="16">IF(J4&gt;0,AD4/J4,"")</f>
        <v/>
      </c>
      <c r="BU4" s="151"/>
      <c r="BV4" s="165" t="e">
        <f t="shared" ref="BV4:BV36" si="17">IF(AN4&gt;0,(E4/AN4),"")</f>
        <v>#VALUE!</v>
      </c>
      <c r="BW4" s="165" t="e">
        <f t="shared" ref="BW4:BW36" si="18">IF(AN4&gt;0,(G4/AN4),"")</f>
        <v>#VALUE!</v>
      </c>
      <c r="BX4" s="165" t="e">
        <f t="shared" ref="BX4:BX36" si="19">IF(AN4&gt;0,(J4/AN4),"")</f>
        <v>#VALUE!</v>
      </c>
      <c r="BY4" s="165" t="e">
        <f t="shared" ref="BY4:BY36" si="20">IF(AN4&gt;0,(K4/AN4),"")</f>
        <v>#VALUE!</v>
      </c>
      <c r="BZ4" s="165" t="e">
        <f>IF(AN4&gt;0,(AJ4/AN4),"")</f>
        <v>#VALUE!</v>
      </c>
      <c r="CA4" s="166" t="e">
        <f>IF(AN4&gt;0,(AK4/AN4),"")</f>
        <v>#VALUE!</v>
      </c>
      <c r="CB4" s="151"/>
      <c r="CC4" s="129" t="str">
        <f t="shared" ref="CC4:CC36" si="21">IFERROR(((AN4-AO4)*3600)/J4,"-")</f>
        <v>-</v>
      </c>
      <c r="CD4" s="130" t="str">
        <f t="shared" ref="CD4:CD36" si="22">IFERROR((AR4*3600)/J4,"-")</f>
        <v>-</v>
      </c>
      <c r="CE4" s="130" t="str">
        <f t="shared" ref="CE4:CE36" si="23">IFERROR((AQ4*3600)/J4,"-")</f>
        <v>-</v>
      </c>
      <c r="CF4" s="130" t="str">
        <f t="shared" ref="CF4:CF36" si="24">IFERROR((AO4*3600)/J4,"-")</f>
        <v>-</v>
      </c>
      <c r="CG4" s="131" t="str">
        <f t="shared" ref="CG4:CG36" si="25">IFERROR((AP4*3600)/J4,"-")</f>
        <v>-</v>
      </c>
      <c r="CH4" s="151"/>
    </row>
    <row r="5" spans="1:86" s="115" customFormat="1" ht="12.4" customHeight="1" thickBot="1" x14ac:dyDescent="0.25">
      <c r="A5" s="96">
        <f>A4+1</f>
        <v>46297</v>
      </c>
      <c r="B5" s="97" t="str">
        <f t="shared" si="0"/>
        <v>Fri</v>
      </c>
      <c r="C5" s="98">
        <f>+SUM('Overall without PTP '!C5,'Overall with PTP'!C5)</f>
        <v>0</v>
      </c>
      <c r="D5" s="98">
        <f>+SUM('Overall without PTP '!D5,'Overall with PTP'!D5)</f>
        <v>0</v>
      </c>
      <c r="E5" s="98">
        <f>+SUM('Overall without PTP '!E5,'Overall with PTP'!E5)</f>
        <v>0</v>
      </c>
      <c r="F5" s="98">
        <f>+SUM('Overall without PTP '!F5,'Overall with PTP'!F5)</f>
        <v>0</v>
      </c>
      <c r="G5" s="98">
        <f>+SUM('Overall without PTP '!G5,'Overall with PTP'!G5)</f>
        <v>0</v>
      </c>
      <c r="H5" s="98">
        <f>+SUM('Overall without PTP '!H5,'Overall with PTP'!H5)</f>
        <v>0</v>
      </c>
      <c r="I5" s="98">
        <f>+SUM('Overall without PTP '!I5,'Overall with PTP'!I5)</f>
        <v>0</v>
      </c>
      <c r="J5" s="98">
        <f>+SUM('Overall without PTP '!J5,'Overall with PTP'!J5)</f>
        <v>0</v>
      </c>
      <c r="K5" s="98">
        <f>+SUM('Overall without PTP '!K5,'Overall with PTP'!K5)</f>
        <v>0</v>
      </c>
      <c r="L5" s="98">
        <f>+SUM('Overall without PTP '!L5,'Overall with PTP'!L5)</f>
        <v>0</v>
      </c>
      <c r="M5" s="98">
        <f>+SUM('Overall without PTP '!M5,'Overall with PTP'!M5)</f>
        <v>0</v>
      </c>
      <c r="N5" s="98">
        <f>+SUM('Overall without PTP '!N5,'Overall with PTP'!N5)</f>
        <v>0</v>
      </c>
      <c r="O5" s="98">
        <f>+SUM('Overall without PTP '!O5,'Overall with PTP'!O5)</f>
        <v>0</v>
      </c>
      <c r="P5" s="98">
        <f>+SUM('Overall without PTP '!P5,'Overall with PTP'!P5)</f>
        <v>0</v>
      </c>
      <c r="Q5" s="98">
        <f>+SUM('Overall without PTP '!Q5,'Overall with PTP'!Q5)</f>
        <v>0</v>
      </c>
      <c r="R5" s="98">
        <f>+SUM('Overall without PTP '!R5,'Overall with PTP'!R5)</f>
        <v>0</v>
      </c>
      <c r="S5" s="98">
        <f>+SUM('Overall without PTP '!S5,'Overall with PTP'!S5)</f>
        <v>0</v>
      </c>
      <c r="T5" s="98">
        <f>+SUM('Overall without PTP '!T5,'Overall with PTP'!T5)</f>
        <v>0</v>
      </c>
      <c r="U5" s="98">
        <f>+SUM('Overall without PTP '!U5,'Overall with PTP'!U5)</f>
        <v>0</v>
      </c>
      <c r="V5" s="98">
        <f>+SUM('Overall without PTP '!V5,'Overall with PTP'!V5)</f>
        <v>0</v>
      </c>
      <c r="W5" s="98">
        <f>+SUM('Overall without PTP '!W5,'Overall with PTP'!W5)</f>
        <v>0</v>
      </c>
      <c r="X5" s="98">
        <f>+SUM('Overall without PTP '!X5,'Overall with PTP'!X5)</f>
        <v>0</v>
      </c>
      <c r="Y5" s="98">
        <f>+SUM('Overall without PTP '!Y5,'Overall with PTP'!Y5)</f>
        <v>0</v>
      </c>
      <c r="Z5" s="98">
        <f>+SUM('Overall without PTP '!Z5,'Overall with PTP'!Z5)</f>
        <v>0</v>
      </c>
      <c r="AA5" s="98">
        <f>+SUM('Overall without PTP '!AA5,'Overall with PTP'!AA5)</f>
        <v>0</v>
      </c>
      <c r="AB5" s="98">
        <f>+SUM('Overall without PTP '!AB5,'Overall with PTP'!AB5)</f>
        <v>0</v>
      </c>
      <c r="AC5" s="98">
        <f>+SUM('Overall without PTP '!AC5,'Overall with PTP'!AC5)</f>
        <v>0</v>
      </c>
      <c r="AD5" s="98">
        <f>+SUM('Overall without PTP '!AD5,'Overall with PTP'!AD5)</f>
        <v>0</v>
      </c>
      <c r="AE5" s="98">
        <f>+SUM('Overall without PTP '!AE5,'Overall with PTP'!AE5)</f>
        <v>0</v>
      </c>
      <c r="AF5" s="98">
        <f>+SUM('Overall without PTP '!AF5,'Overall with PTP'!AF5)</f>
        <v>0</v>
      </c>
      <c r="AG5" s="98">
        <f>+SUM('Overall without PTP '!AG5,'Overall with PTP'!AG5)</f>
        <v>0</v>
      </c>
      <c r="AH5" s="98">
        <f>+SUM('Overall without PTP '!AH5,'Overall with PTP'!AH5)</f>
        <v>0</v>
      </c>
      <c r="AI5" s="98">
        <f>+SUM('Overall without PTP '!AI5,'Overall with PTP'!AI5)</f>
        <v>0</v>
      </c>
      <c r="AJ5" s="98">
        <f>+SUM('Overall without PTP '!AJ5,'Overall with PTP'!AJ5)</f>
        <v>0</v>
      </c>
      <c r="AK5" s="98">
        <f>+SUM('Overall without PTP '!AK5,'Overall with PTP'!AK5)</f>
        <v>0</v>
      </c>
      <c r="AL5" s="152" t="str">
        <f>+IFERROR(AVERAGE('Overall without PTP '!AL5,'Overall with PTP'!AL5),"")</f>
        <v/>
      </c>
      <c r="AM5" s="152" t="str">
        <f>+IFERROR(AVERAGE('Overall without PTP '!AM5,'Overall with PTP'!AM5),"")</f>
        <v/>
      </c>
      <c r="AN5" s="152" t="str">
        <f>+IFERROR(AVERAGE('Overall without PTP '!AN5,'Overall with PTP'!AN5),"")</f>
        <v/>
      </c>
      <c r="AO5" s="152" t="str">
        <f>+IFERROR(AVERAGE('Overall without PTP '!AO5,'Overall with PTP'!AO5),"")</f>
        <v/>
      </c>
      <c r="AP5" s="98" t="str">
        <f>+IFERROR(AVERAGE('Overall without PTP '!AP5,'Overall with PTP'!AP5),"")</f>
        <v/>
      </c>
      <c r="AQ5" s="152" t="str">
        <f>+IFERROR(AVERAGE('Overall without PTP '!AQ5,'Overall with PTP'!AQ5),"")</f>
        <v/>
      </c>
      <c r="AR5" s="152" t="str">
        <f>+IFERROR(AVERAGE('Overall without PTP '!AR5,'Overall with PTP'!AR5),"")</f>
        <v/>
      </c>
      <c r="AS5" s="152" t="str">
        <f>+IFERROR(AVERAGE('Overall without PTP '!AS5,'Overall with PTP'!AS5),"")</f>
        <v/>
      </c>
      <c r="AT5" s="98">
        <f>+SUM('Overall without PTP '!AT5,'Overall with PTP'!AT5)</f>
        <v>0</v>
      </c>
      <c r="AU5" s="98">
        <f>+SUM('Overall without PTP '!AU5,'Overall with PTP'!AU5)</f>
        <v>0</v>
      </c>
      <c r="AV5" s="98">
        <f>+SUM('Overall without PTP '!AV5,'Overall with PTP'!AV5)</f>
        <v>0</v>
      </c>
      <c r="AW5" s="167">
        <f>+IFERROR(AVERAGE(EL_DEL_CD2_JO_!AW5,EL_DEL_CD2_PTP_!AW5,EL_DEL_CD2_SBI_1_4_!AW5,EL_DEL_CD2_SBI_5_6_!AW5,EL_DEL_CD2_SBI_7_8_!AW5,EL_DEL_CD2_SBI_9_10_!AW5,EL_DEL_CD2_STAB_!AW5,EL_DEL_CD1_WST_PTP_!AW5,EL_DEL_CD1_NTH_PTP_!AW5,EL_DEL_CD1_STH_PTP_!AW5,EL_DEL_CD1_1D4P_PTP_!AW5,EL_DEL_CD1_8D_PTP_!AW5,EL_DEL_CD2_JO_L_!AW5,EL_DEL_CD2_PTP_L_!AW5,EL_DEL_CD2_SBI_L_1_4_!AW5,EL_DEL_CD2_SBI_L_5_6_!AW5,EL_DEL_CD2_SBI_L_7_8_!AW5,EL_DEL_CD2_SBI_L_9_10_!AW5,EL_DEL_CD2_L_STAB_!AW5),0)</f>
        <v>0</v>
      </c>
      <c r="AX5" s="102" t="str">
        <f t="shared" ref="AX5:AX34" si="26">IFERROR(AN5/AW5,"-")</f>
        <v>-</v>
      </c>
      <c r="AY5" s="151"/>
      <c r="AZ5" s="116" t="str">
        <f t="shared" si="2"/>
        <v/>
      </c>
      <c r="BA5" s="117" t="str">
        <f t="shared" si="3"/>
        <v/>
      </c>
      <c r="BB5" s="116" t="str">
        <f t="shared" si="4"/>
        <v/>
      </c>
      <c r="BC5" s="151"/>
      <c r="BD5" s="159" t="str">
        <f t="shared" si="5"/>
        <v/>
      </c>
      <c r="BE5" s="160" t="str">
        <f t="shared" si="6"/>
        <v/>
      </c>
      <c r="BF5" s="160" t="str">
        <f t="shared" si="7"/>
        <v/>
      </c>
      <c r="BG5" s="160" t="str">
        <f t="shared" si="8"/>
        <v/>
      </c>
      <c r="BH5" s="160" t="str">
        <f t="shared" si="9"/>
        <v/>
      </c>
      <c r="BI5" s="161" t="str">
        <f t="shared" ref="BI5:BI31" si="27">+IF(SUM(AO5:AR5)&gt;0,AQ5/AN5,"")</f>
        <v/>
      </c>
      <c r="BJ5" s="151"/>
      <c r="BK5" s="162" t="str">
        <f t="shared" si="10"/>
        <v/>
      </c>
      <c r="BL5" s="163" t="str">
        <f t="shared" si="11"/>
        <v/>
      </c>
      <c r="BM5" s="163" t="str">
        <f t="shared" si="12"/>
        <v/>
      </c>
      <c r="BN5" s="164" t="str">
        <f t="shared" si="13"/>
        <v/>
      </c>
      <c r="BO5" s="151"/>
      <c r="BP5" s="124" t="str">
        <f t="shared" si="14"/>
        <v/>
      </c>
      <c r="BQ5" s="125">
        <v>0</v>
      </c>
      <c r="BR5" s="125" t="str">
        <f t="shared" si="15"/>
        <v/>
      </c>
      <c r="BS5" s="125" t="str">
        <f t="shared" ref="BS5:BS31" si="28">IF(AJ5&gt;0,(AK5/AJ5),"")</f>
        <v/>
      </c>
      <c r="BT5" s="126" t="str">
        <f t="shared" si="16"/>
        <v/>
      </c>
      <c r="BU5" s="151"/>
      <c r="BV5" s="165" t="e">
        <f t="shared" si="17"/>
        <v>#VALUE!</v>
      </c>
      <c r="BW5" s="165" t="e">
        <f t="shared" si="18"/>
        <v>#VALUE!</v>
      </c>
      <c r="BX5" s="165" t="e">
        <f t="shared" si="19"/>
        <v>#VALUE!</v>
      </c>
      <c r="BY5" s="165" t="e">
        <f t="shared" si="20"/>
        <v>#VALUE!</v>
      </c>
      <c r="BZ5" s="165" t="e">
        <f t="shared" ref="BZ5:BZ31" si="29">IF(AN5&gt;0,(AJ5/AN5),"")</f>
        <v>#VALUE!</v>
      </c>
      <c r="CA5" s="166" t="e">
        <f t="shared" ref="CA5:CA31" si="30">IF(AN5&gt;0,(AK5/AN5),"")</f>
        <v>#VALUE!</v>
      </c>
      <c r="CB5" s="151"/>
      <c r="CC5" s="129" t="str">
        <f t="shared" si="21"/>
        <v>-</v>
      </c>
      <c r="CD5" s="130" t="str">
        <f t="shared" si="22"/>
        <v>-</v>
      </c>
      <c r="CE5" s="130" t="str">
        <f t="shared" si="23"/>
        <v>-</v>
      </c>
      <c r="CF5" s="130" t="str">
        <f t="shared" si="24"/>
        <v>-</v>
      </c>
      <c r="CG5" s="131" t="str">
        <f t="shared" si="25"/>
        <v>-</v>
      </c>
      <c r="CH5" s="151"/>
    </row>
    <row r="6" spans="1:86" s="115" customFormat="1" ht="12.4" customHeight="1" thickBot="1" x14ac:dyDescent="0.25">
      <c r="A6" s="96">
        <f t="shared" ref="A6:A34" si="31">A5+1</f>
        <v>46298</v>
      </c>
      <c r="B6" s="97" t="str">
        <f t="shared" si="0"/>
        <v>Sat</v>
      </c>
      <c r="C6" s="98">
        <f>+SUM('Overall without PTP '!C6,'Overall with PTP'!C6)</f>
        <v>0</v>
      </c>
      <c r="D6" s="98">
        <f>+SUM('Overall without PTP '!D6,'Overall with PTP'!D6)</f>
        <v>0</v>
      </c>
      <c r="E6" s="98">
        <f>+SUM('Overall without PTP '!E6,'Overall with PTP'!E6)</f>
        <v>0</v>
      </c>
      <c r="F6" s="98">
        <f>+SUM('Overall without PTP '!F6,'Overall with PTP'!F6)</f>
        <v>0</v>
      </c>
      <c r="G6" s="98">
        <f>+SUM('Overall without PTP '!G6,'Overall with PTP'!G6)</f>
        <v>0</v>
      </c>
      <c r="H6" s="98">
        <f>+SUM('Overall without PTP '!H6,'Overall with PTP'!H6)</f>
        <v>0</v>
      </c>
      <c r="I6" s="98">
        <f>+SUM('Overall without PTP '!I6,'Overall with PTP'!I6)</f>
        <v>0</v>
      </c>
      <c r="J6" s="98">
        <f>+SUM('Overall without PTP '!J6,'Overall with PTP'!J6)</f>
        <v>0</v>
      </c>
      <c r="K6" s="98">
        <f>+SUM('Overall without PTP '!K6,'Overall with PTP'!K6)</f>
        <v>0</v>
      </c>
      <c r="L6" s="98">
        <f>+SUM('Overall without PTP '!L6,'Overall with PTP'!L6)</f>
        <v>0</v>
      </c>
      <c r="M6" s="98">
        <f>+SUM('Overall without PTP '!M6,'Overall with PTP'!M6)</f>
        <v>0</v>
      </c>
      <c r="N6" s="98">
        <f>+SUM('Overall without PTP '!N6,'Overall with PTP'!N6)</f>
        <v>0</v>
      </c>
      <c r="O6" s="98">
        <f>+SUM('Overall without PTP '!O6,'Overall with PTP'!O6)</f>
        <v>0</v>
      </c>
      <c r="P6" s="98">
        <f>+SUM('Overall without PTP '!P6,'Overall with PTP'!P6)</f>
        <v>0</v>
      </c>
      <c r="Q6" s="98">
        <f>+SUM('Overall without PTP '!Q6,'Overall with PTP'!Q6)</f>
        <v>0</v>
      </c>
      <c r="R6" s="98">
        <f>+SUM('Overall without PTP '!R6,'Overall with PTP'!R6)</f>
        <v>0</v>
      </c>
      <c r="S6" s="98">
        <f>+SUM('Overall without PTP '!S6,'Overall with PTP'!S6)</f>
        <v>0</v>
      </c>
      <c r="T6" s="98">
        <f>+SUM('Overall without PTP '!T6,'Overall with PTP'!T6)</f>
        <v>0</v>
      </c>
      <c r="U6" s="98">
        <f>+SUM('Overall without PTP '!U6,'Overall with PTP'!U6)</f>
        <v>0</v>
      </c>
      <c r="V6" s="98">
        <f>+SUM('Overall without PTP '!V6,'Overall with PTP'!V6)</f>
        <v>0</v>
      </c>
      <c r="W6" s="98">
        <f>+SUM('Overall without PTP '!W6,'Overall with PTP'!W6)</f>
        <v>0</v>
      </c>
      <c r="X6" s="98">
        <f>+SUM('Overall without PTP '!X6,'Overall with PTP'!X6)</f>
        <v>0</v>
      </c>
      <c r="Y6" s="98">
        <f>+SUM('Overall without PTP '!Y6,'Overall with PTP'!Y6)</f>
        <v>0</v>
      </c>
      <c r="Z6" s="98">
        <f>+SUM('Overall without PTP '!Z6,'Overall with PTP'!Z6)</f>
        <v>0</v>
      </c>
      <c r="AA6" s="98">
        <f>+SUM('Overall without PTP '!AA6,'Overall with PTP'!AA6)</f>
        <v>0</v>
      </c>
      <c r="AB6" s="98">
        <f>+SUM('Overall without PTP '!AB6,'Overall with PTP'!AB6)</f>
        <v>0</v>
      </c>
      <c r="AC6" s="98">
        <f>+SUM('Overall without PTP '!AC6,'Overall with PTP'!AC6)</f>
        <v>0</v>
      </c>
      <c r="AD6" s="98">
        <f>+SUM('Overall without PTP '!AD6,'Overall with PTP'!AD6)</f>
        <v>0</v>
      </c>
      <c r="AE6" s="98">
        <f>+SUM('Overall without PTP '!AE6,'Overall with PTP'!AE6)</f>
        <v>0</v>
      </c>
      <c r="AF6" s="98">
        <f>+SUM('Overall without PTP '!AF6,'Overall with PTP'!AF6)</f>
        <v>0</v>
      </c>
      <c r="AG6" s="98">
        <f>+SUM('Overall without PTP '!AG6,'Overall with PTP'!AG6)</f>
        <v>0</v>
      </c>
      <c r="AH6" s="98">
        <f>+SUM('Overall without PTP '!AH6,'Overall with PTP'!AH6)</f>
        <v>0</v>
      </c>
      <c r="AI6" s="98">
        <f>+SUM('Overall without PTP '!AI6,'Overall with PTP'!AI6)</f>
        <v>0</v>
      </c>
      <c r="AJ6" s="98">
        <f>+SUM('Overall without PTP '!AJ6,'Overall with PTP'!AJ6)</f>
        <v>0</v>
      </c>
      <c r="AK6" s="98">
        <f>+SUM('Overall without PTP '!AK6,'Overall with PTP'!AK6)</f>
        <v>0</v>
      </c>
      <c r="AL6" s="152" t="str">
        <f>+IFERROR(AVERAGE('Overall without PTP '!AL6,'Overall with PTP'!AL6),"")</f>
        <v/>
      </c>
      <c r="AM6" s="152" t="str">
        <f>+IFERROR(AVERAGE('Overall without PTP '!AM6,'Overall with PTP'!AM6),"")</f>
        <v/>
      </c>
      <c r="AN6" s="152" t="str">
        <f>+IFERROR(AVERAGE('Overall without PTP '!AN6,'Overall with PTP'!AN6),"")</f>
        <v/>
      </c>
      <c r="AO6" s="152" t="str">
        <f>+IFERROR(AVERAGE('Overall without PTP '!AO6,'Overall with PTP'!AO6),"")</f>
        <v/>
      </c>
      <c r="AP6" s="98" t="str">
        <f>+IFERROR(AVERAGE('Overall without PTP '!AP6,'Overall with PTP'!AP6),"")</f>
        <v/>
      </c>
      <c r="AQ6" s="152" t="str">
        <f>+IFERROR(AVERAGE('Overall without PTP '!AQ6,'Overall with PTP'!AQ6),"")</f>
        <v/>
      </c>
      <c r="AR6" s="152" t="str">
        <f>+IFERROR(AVERAGE('Overall without PTP '!AR6,'Overall with PTP'!AR6),"")</f>
        <v/>
      </c>
      <c r="AS6" s="152" t="str">
        <f>+IFERROR(AVERAGE('Overall without PTP '!AS6,'Overall with PTP'!AS6),"")</f>
        <v/>
      </c>
      <c r="AT6" s="98">
        <f>+SUM('Overall without PTP '!AT6,'Overall with PTP'!AT6)</f>
        <v>0</v>
      </c>
      <c r="AU6" s="98">
        <f>+SUM('Overall without PTP '!AU6,'Overall with PTP'!AU6)</f>
        <v>0</v>
      </c>
      <c r="AV6" s="98">
        <f>+SUM('Overall without PTP '!AV6,'Overall with PTP'!AV6)</f>
        <v>0</v>
      </c>
      <c r="AW6" s="167">
        <f>+IFERROR(AVERAGE(EL_DEL_CD2_JO_!AW6,EL_DEL_CD2_PTP_!AW6,EL_DEL_CD2_SBI_1_4_!AW6,EL_DEL_CD2_SBI_5_6_!AW6,EL_DEL_CD2_SBI_7_8_!AW6,EL_DEL_CD2_SBI_9_10_!AW6,EL_DEL_CD2_STAB_!AW6,EL_DEL_CD1_WST_PTP_!AW6,EL_DEL_CD1_NTH_PTP_!AW6,EL_DEL_CD1_STH_PTP_!AW6,EL_DEL_CD1_1D4P_PTP_!AW6,EL_DEL_CD1_8D_PTP_!AW6,EL_DEL_CD2_JO_L_!AW6,EL_DEL_CD2_PTP_L_!AW6,EL_DEL_CD2_SBI_L_1_4_!AW6,EL_DEL_CD2_SBI_L_5_6_!AW6,EL_DEL_CD2_SBI_L_7_8_!AW6,EL_DEL_CD2_SBI_L_9_10_!AW6,EL_DEL_CD2_L_STAB_!AW6),0)</f>
        <v>0</v>
      </c>
      <c r="AX6" s="102" t="str">
        <f t="shared" si="26"/>
        <v>-</v>
      </c>
      <c r="AY6" s="151"/>
      <c r="AZ6" s="116" t="str">
        <f t="shared" si="2"/>
        <v/>
      </c>
      <c r="BA6" s="117" t="str">
        <f t="shared" si="3"/>
        <v/>
      </c>
      <c r="BB6" s="116" t="str">
        <f t="shared" si="4"/>
        <v/>
      </c>
      <c r="BC6" s="151"/>
      <c r="BD6" s="159" t="str">
        <f t="shared" si="5"/>
        <v/>
      </c>
      <c r="BE6" s="160" t="str">
        <f t="shared" si="6"/>
        <v/>
      </c>
      <c r="BF6" s="160" t="str">
        <f t="shared" si="7"/>
        <v/>
      </c>
      <c r="BG6" s="160" t="str">
        <f t="shared" si="8"/>
        <v/>
      </c>
      <c r="BH6" s="160" t="str">
        <f t="shared" si="9"/>
        <v/>
      </c>
      <c r="BI6" s="161" t="str">
        <f t="shared" si="27"/>
        <v/>
      </c>
      <c r="BJ6" s="151"/>
      <c r="BK6" s="162" t="str">
        <f t="shared" si="10"/>
        <v/>
      </c>
      <c r="BL6" s="163" t="str">
        <f t="shared" si="11"/>
        <v/>
      </c>
      <c r="BM6" s="163" t="str">
        <f t="shared" si="12"/>
        <v/>
      </c>
      <c r="BN6" s="164" t="str">
        <f t="shared" si="13"/>
        <v/>
      </c>
      <c r="BO6" s="151"/>
      <c r="BP6" s="124" t="str">
        <f t="shared" si="14"/>
        <v/>
      </c>
      <c r="BQ6" s="125">
        <v>0</v>
      </c>
      <c r="BR6" s="125" t="str">
        <f t="shared" si="15"/>
        <v/>
      </c>
      <c r="BS6" s="125" t="str">
        <f t="shared" si="28"/>
        <v/>
      </c>
      <c r="BT6" s="126" t="str">
        <f t="shared" si="16"/>
        <v/>
      </c>
      <c r="BU6" s="151"/>
      <c r="BV6" s="165" t="e">
        <f t="shared" si="17"/>
        <v>#VALUE!</v>
      </c>
      <c r="BW6" s="165" t="e">
        <f t="shared" si="18"/>
        <v>#VALUE!</v>
      </c>
      <c r="BX6" s="165" t="e">
        <f t="shared" si="19"/>
        <v>#VALUE!</v>
      </c>
      <c r="BY6" s="165" t="e">
        <f t="shared" si="20"/>
        <v>#VALUE!</v>
      </c>
      <c r="BZ6" s="165" t="e">
        <f t="shared" si="29"/>
        <v>#VALUE!</v>
      </c>
      <c r="CA6" s="166" t="e">
        <f t="shared" si="30"/>
        <v>#VALUE!</v>
      </c>
      <c r="CB6" s="151"/>
      <c r="CC6" s="129" t="str">
        <f t="shared" si="21"/>
        <v>-</v>
      </c>
      <c r="CD6" s="130" t="str">
        <f t="shared" si="22"/>
        <v>-</v>
      </c>
      <c r="CE6" s="130" t="str">
        <f t="shared" si="23"/>
        <v>-</v>
      </c>
      <c r="CF6" s="130" t="str">
        <f t="shared" si="24"/>
        <v>-</v>
      </c>
      <c r="CG6" s="131" t="str">
        <f t="shared" si="25"/>
        <v>-</v>
      </c>
      <c r="CH6" s="151"/>
    </row>
    <row r="7" spans="1:86" s="115" customFormat="1" ht="12.4" customHeight="1" thickBot="1" x14ac:dyDescent="0.25">
      <c r="A7" s="96">
        <f t="shared" si="31"/>
        <v>46299</v>
      </c>
      <c r="B7" s="97" t="str">
        <f t="shared" si="0"/>
        <v>Sun</v>
      </c>
      <c r="C7" s="98">
        <f>+SUM('Overall without PTP '!C7,'Overall with PTP'!C7)</f>
        <v>0</v>
      </c>
      <c r="D7" s="98">
        <f>+SUM('Overall without PTP '!D7,'Overall with PTP'!D7)</f>
        <v>0</v>
      </c>
      <c r="E7" s="98">
        <f>+SUM('Overall without PTP '!E7,'Overall with PTP'!E7)</f>
        <v>0</v>
      </c>
      <c r="F7" s="98">
        <f>+SUM('Overall without PTP '!F7,'Overall with PTP'!F7)</f>
        <v>0</v>
      </c>
      <c r="G7" s="98">
        <f>+SUM('Overall without PTP '!G7,'Overall with PTP'!G7)</f>
        <v>0</v>
      </c>
      <c r="H7" s="98">
        <f>+SUM('Overall without PTP '!H7,'Overall with PTP'!H7)</f>
        <v>0</v>
      </c>
      <c r="I7" s="98">
        <f>+SUM('Overall without PTP '!I7,'Overall with PTP'!I7)</f>
        <v>0</v>
      </c>
      <c r="J7" s="98">
        <f>+SUM('Overall without PTP '!J7,'Overall with PTP'!J7)</f>
        <v>0</v>
      </c>
      <c r="K7" s="98">
        <f>+SUM('Overall without PTP '!K7,'Overall with PTP'!K7)</f>
        <v>0</v>
      </c>
      <c r="L7" s="98">
        <f>+SUM('Overall without PTP '!L7,'Overall with PTP'!L7)</f>
        <v>0</v>
      </c>
      <c r="M7" s="98">
        <f>+SUM('Overall without PTP '!M7,'Overall with PTP'!M7)</f>
        <v>0</v>
      </c>
      <c r="N7" s="98">
        <f>+SUM('Overall without PTP '!N7,'Overall with PTP'!N7)</f>
        <v>0</v>
      </c>
      <c r="O7" s="98">
        <f>+SUM('Overall without PTP '!O7,'Overall with PTP'!O7)</f>
        <v>0</v>
      </c>
      <c r="P7" s="98">
        <f>+SUM('Overall without PTP '!P7,'Overall with PTP'!P7)</f>
        <v>0</v>
      </c>
      <c r="Q7" s="98">
        <f>+SUM('Overall without PTP '!Q7,'Overall with PTP'!Q7)</f>
        <v>0</v>
      </c>
      <c r="R7" s="98">
        <f>+SUM('Overall without PTP '!R7,'Overall with PTP'!R7)</f>
        <v>0</v>
      </c>
      <c r="S7" s="98">
        <f>+SUM('Overall without PTP '!S7,'Overall with PTP'!S7)</f>
        <v>0</v>
      </c>
      <c r="T7" s="98">
        <f>+SUM('Overall without PTP '!T7,'Overall with PTP'!T7)</f>
        <v>0</v>
      </c>
      <c r="U7" s="98">
        <f>+SUM('Overall without PTP '!U7,'Overall with PTP'!U7)</f>
        <v>0</v>
      </c>
      <c r="V7" s="98">
        <f>+SUM('Overall without PTP '!V7,'Overall with PTP'!V7)</f>
        <v>0</v>
      </c>
      <c r="W7" s="98">
        <f>+SUM('Overall without PTP '!W7,'Overall with PTP'!W7)</f>
        <v>0</v>
      </c>
      <c r="X7" s="98">
        <f>+SUM('Overall without PTP '!X7,'Overall with PTP'!X7)</f>
        <v>0</v>
      </c>
      <c r="Y7" s="98">
        <f>+SUM('Overall without PTP '!Y7,'Overall with PTP'!Y7)</f>
        <v>0</v>
      </c>
      <c r="Z7" s="98">
        <f>+SUM('Overall without PTP '!Z7,'Overall with PTP'!Z7)</f>
        <v>0</v>
      </c>
      <c r="AA7" s="98">
        <f>+SUM('Overall without PTP '!AA7,'Overall with PTP'!AA7)</f>
        <v>0</v>
      </c>
      <c r="AB7" s="98">
        <f>+SUM('Overall without PTP '!AB7,'Overall with PTP'!AB7)</f>
        <v>0</v>
      </c>
      <c r="AC7" s="98">
        <f>+SUM('Overall without PTP '!AC7,'Overall with PTP'!AC7)</f>
        <v>0</v>
      </c>
      <c r="AD7" s="98">
        <f>+SUM('Overall without PTP '!AD7,'Overall with PTP'!AD7)</f>
        <v>0</v>
      </c>
      <c r="AE7" s="98">
        <f>+SUM('Overall without PTP '!AE7,'Overall with PTP'!AE7)</f>
        <v>0</v>
      </c>
      <c r="AF7" s="98">
        <f>+SUM('Overall without PTP '!AF7,'Overall with PTP'!AF7)</f>
        <v>0</v>
      </c>
      <c r="AG7" s="98">
        <f>+SUM('Overall without PTP '!AG7,'Overall with PTP'!AG7)</f>
        <v>0</v>
      </c>
      <c r="AH7" s="98">
        <f>+SUM('Overall without PTP '!AH7,'Overall with PTP'!AH7)</f>
        <v>0</v>
      </c>
      <c r="AI7" s="98">
        <f>+SUM('Overall without PTP '!AI7,'Overall with PTP'!AI7)</f>
        <v>0</v>
      </c>
      <c r="AJ7" s="98">
        <f>+SUM('Overall without PTP '!AJ7,'Overall with PTP'!AJ7)</f>
        <v>0</v>
      </c>
      <c r="AK7" s="98">
        <f>+SUM('Overall without PTP '!AK7,'Overall with PTP'!AK7)</f>
        <v>0</v>
      </c>
      <c r="AL7" s="152" t="str">
        <f>+IFERROR(AVERAGE('Overall without PTP '!AL7,'Overall with PTP'!AL7),"")</f>
        <v/>
      </c>
      <c r="AM7" s="152" t="str">
        <f>+IFERROR(AVERAGE('Overall without PTP '!AM7,'Overall with PTP'!AM7),"")</f>
        <v/>
      </c>
      <c r="AN7" s="152" t="str">
        <f>+IFERROR(AVERAGE('Overall without PTP '!AN7,'Overall with PTP'!AN7),"")</f>
        <v/>
      </c>
      <c r="AO7" s="152" t="str">
        <f>+IFERROR(AVERAGE('Overall without PTP '!AO7,'Overall with PTP'!AO7),"")</f>
        <v/>
      </c>
      <c r="AP7" s="98" t="str">
        <f>+IFERROR(AVERAGE('Overall without PTP '!AP7,'Overall with PTP'!AP7),"")</f>
        <v/>
      </c>
      <c r="AQ7" s="152" t="str">
        <f>+IFERROR(AVERAGE('Overall without PTP '!AQ7,'Overall with PTP'!AQ7),"")</f>
        <v/>
      </c>
      <c r="AR7" s="152" t="str">
        <f>+IFERROR(AVERAGE('Overall without PTP '!AR7,'Overall with PTP'!AR7),"")</f>
        <v/>
      </c>
      <c r="AS7" s="152" t="str">
        <f>+IFERROR(AVERAGE('Overall without PTP '!AS7,'Overall with PTP'!AS7),"")</f>
        <v/>
      </c>
      <c r="AT7" s="98">
        <f>+SUM('Overall without PTP '!AT7,'Overall with PTP'!AT7)</f>
        <v>0</v>
      </c>
      <c r="AU7" s="98">
        <f>+SUM('Overall without PTP '!AU7,'Overall with PTP'!AU7)</f>
        <v>0</v>
      </c>
      <c r="AV7" s="98">
        <f>+SUM('Overall without PTP '!AV7,'Overall with PTP'!AV7)</f>
        <v>0</v>
      </c>
      <c r="AW7" s="167">
        <f>+IFERROR(AVERAGE(EL_DEL_CD2_JO_!AW7,EL_DEL_CD2_PTP_!AW7,EL_DEL_CD2_SBI_1_4_!AW7,EL_DEL_CD2_SBI_5_6_!AW7,EL_DEL_CD2_SBI_7_8_!AW7,EL_DEL_CD2_SBI_9_10_!AW7,EL_DEL_CD2_STAB_!AW7,EL_DEL_CD1_WST_PTP_!AW7,EL_DEL_CD1_NTH_PTP_!AW7,EL_DEL_CD1_STH_PTP_!AW7,EL_DEL_CD1_1D4P_PTP_!AW7,EL_DEL_CD1_8D_PTP_!AW7,EL_DEL_CD2_JO_L_!AW7,EL_DEL_CD2_PTP_L_!AW7,EL_DEL_CD2_SBI_L_1_4_!AW7,EL_DEL_CD2_SBI_L_5_6_!AW7,EL_DEL_CD2_SBI_L_7_8_!AW7,EL_DEL_CD2_SBI_L_9_10_!AW7,EL_DEL_CD2_L_STAB_!AW7),0)</f>
        <v>0</v>
      </c>
      <c r="AX7" s="102" t="str">
        <f t="shared" si="26"/>
        <v>-</v>
      </c>
      <c r="AY7" s="151"/>
      <c r="AZ7" s="116" t="str">
        <f t="shared" si="2"/>
        <v/>
      </c>
      <c r="BA7" s="117" t="str">
        <f t="shared" si="3"/>
        <v/>
      </c>
      <c r="BB7" s="116" t="str">
        <f t="shared" si="4"/>
        <v/>
      </c>
      <c r="BC7" s="151"/>
      <c r="BD7" s="159" t="str">
        <f t="shared" si="5"/>
        <v/>
      </c>
      <c r="BE7" s="160" t="str">
        <f t="shared" si="6"/>
        <v/>
      </c>
      <c r="BF7" s="160" t="str">
        <f t="shared" si="7"/>
        <v/>
      </c>
      <c r="BG7" s="160" t="str">
        <f t="shared" si="8"/>
        <v/>
      </c>
      <c r="BH7" s="160" t="str">
        <f t="shared" si="9"/>
        <v/>
      </c>
      <c r="BI7" s="161" t="str">
        <f t="shared" si="27"/>
        <v/>
      </c>
      <c r="BJ7" s="151"/>
      <c r="BK7" s="162" t="str">
        <f t="shared" si="10"/>
        <v/>
      </c>
      <c r="BL7" s="163" t="str">
        <f t="shared" si="11"/>
        <v/>
      </c>
      <c r="BM7" s="163" t="str">
        <f t="shared" si="12"/>
        <v/>
      </c>
      <c r="BN7" s="164" t="str">
        <f t="shared" si="13"/>
        <v/>
      </c>
      <c r="BO7" s="151"/>
      <c r="BP7" s="124" t="str">
        <f t="shared" si="14"/>
        <v/>
      </c>
      <c r="BQ7" s="125">
        <v>0</v>
      </c>
      <c r="BR7" s="125" t="str">
        <f t="shared" si="15"/>
        <v/>
      </c>
      <c r="BS7" s="125" t="str">
        <f t="shared" si="28"/>
        <v/>
      </c>
      <c r="BT7" s="126" t="str">
        <f t="shared" si="16"/>
        <v/>
      </c>
      <c r="BU7" s="151"/>
      <c r="BV7" s="165" t="e">
        <f t="shared" si="17"/>
        <v>#VALUE!</v>
      </c>
      <c r="BW7" s="165" t="e">
        <f t="shared" si="18"/>
        <v>#VALUE!</v>
      </c>
      <c r="BX7" s="165" t="e">
        <f t="shared" si="19"/>
        <v>#VALUE!</v>
      </c>
      <c r="BY7" s="165" t="e">
        <f t="shared" si="20"/>
        <v>#VALUE!</v>
      </c>
      <c r="BZ7" s="165" t="e">
        <f t="shared" si="29"/>
        <v>#VALUE!</v>
      </c>
      <c r="CA7" s="166" t="e">
        <f t="shared" si="30"/>
        <v>#VALUE!</v>
      </c>
      <c r="CB7" s="151"/>
      <c r="CC7" s="129" t="str">
        <f t="shared" si="21"/>
        <v>-</v>
      </c>
      <c r="CD7" s="130" t="str">
        <f t="shared" si="22"/>
        <v>-</v>
      </c>
      <c r="CE7" s="130" t="str">
        <f t="shared" si="23"/>
        <v>-</v>
      </c>
      <c r="CF7" s="130" t="str">
        <f t="shared" si="24"/>
        <v>-</v>
      </c>
      <c r="CG7" s="131" t="str">
        <f t="shared" si="25"/>
        <v>-</v>
      </c>
      <c r="CH7" s="151"/>
    </row>
    <row r="8" spans="1:86" s="115" customFormat="1" ht="12.4" customHeight="1" thickBot="1" x14ac:dyDescent="0.25">
      <c r="A8" s="96">
        <f t="shared" si="31"/>
        <v>46300</v>
      </c>
      <c r="B8" s="97" t="str">
        <f t="shared" si="0"/>
        <v>Mon</v>
      </c>
      <c r="C8" s="98">
        <f>+SUM('Overall without PTP '!C8,'Overall with PTP'!C8)</f>
        <v>0</v>
      </c>
      <c r="D8" s="98">
        <f>+SUM('Overall without PTP '!D8,'Overall with PTP'!D8)</f>
        <v>0</v>
      </c>
      <c r="E8" s="98">
        <f>+SUM('Overall without PTP '!E8,'Overall with PTP'!E8)</f>
        <v>0</v>
      </c>
      <c r="F8" s="98">
        <f>+SUM('Overall without PTP '!F8,'Overall with PTP'!F8)</f>
        <v>0</v>
      </c>
      <c r="G8" s="98">
        <f>+SUM('Overall without PTP '!G8,'Overall with PTP'!G8)</f>
        <v>0</v>
      </c>
      <c r="H8" s="98">
        <f>+SUM('Overall without PTP '!H8,'Overall with PTP'!H8)</f>
        <v>0</v>
      </c>
      <c r="I8" s="98">
        <f>+SUM('Overall without PTP '!I8,'Overall with PTP'!I8)</f>
        <v>0</v>
      </c>
      <c r="J8" s="98">
        <f>+SUM('Overall without PTP '!J8,'Overall with PTP'!J8)</f>
        <v>0</v>
      </c>
      <c r="K8" s="98">
        <f>+SUM('Overall without PTP '!K8,'Overall with PTP'!K8)</f>
        <v>0</v>
      </c>
      <c r="L8" s="98">
        <f>+SUM('Overall without PTP '!L8,'Overall with PTP'!L8)</f>
        <v>0</v>
      </c>
      <c r="M8" s="98">
        <f>+SUM('Overall without PTP '!M8,'Overall with PTP'!M8)</f>
        <v>0</v>
      </c>
      <c r="N8" s="98">
        <f>+SUM('Overall without PTP '!N8,'Overall with PTP'!N8)</f>
        <v>0</v>
      </c>
      <c r="O8" s="98">
        <f>+SUM('Overall without PTP '!O8,'Overall with PTP'!O8)</f>
        <v>0</v>
      </c>
      <c r="P8" s="98">
        <f>+SUM('Overall without PTP '!P8,'Overall with PTP'!P8)</f>
        <v>0</v>
      </c>
      <c r="Q8" s="98">
        <f>+SUM('Overall without PTP '!Q8,'Overall with PTP'!Q8)</f>
        <v>0</v>
      </c>
      <c r="R8" s="98">
        <f>+SUM('Overall without PTP '!R8,'Overall with PTP'!R8)</f>
        <v>0</v>
      </c>
      <c r="S8" s="98">
        <f>+SUM('Overall without PTP '!S8,'Overall with PTP'!S8)</f>
        <v>0</v>
      </c>
      <c r="T8" s="98">
        <f>+SUM('Overall without PTP '!T8,'Overall with PTP'!T8)</f>
        <v>0</v>
      </c>
      <c r="U8" s="98">
        <f>+SUM('Overall without PTP '!U8,'Overall with PTP'!U8)</f>
        <v>0</v>
      </c>
      <c r="V8" s="98">
        <f>+SUM('Overall without PTP '!V8,'Overall with PTP'!V8)</f>
        <v>0</v>
      </c>
      <c r="W8" s="98">
        <f>+SUM('Overall without PTP '!W8,'Overall with PTP'!W8)</f>
        <v>0</v>
      </c>
      <c r="X8" s="98">
        <f>+SUM('Overall without PTP '!X8,'Overall with PTP'!X8)</f>
        <v>0</v>
      </c>
      <c r="Y8" s="98">
        <f>+SUM('Overall without PTP '!Y8,'Overall with PTP'!Y8)</f>
        <v>0</v>
      </c>
      <c r="Z8" s="98">
        <f>+SUM('Overall without PTP '!Z8,'Overall with PTP'!Z8)</f>
        <v>0</v>
      </c>
      <c r="AA8" s="98">
        <f>+SUM('Overall without PTP '!AA8,'Overall with PTP'!AA8)</f>
        <v>0</v>
      </c>
      <c r="AB8" s="98">
        <f>+SUM('Overall without PTP '!AB8,'Overall with PTP'!AB8)</f>
        <v>0</v>
      </c>
      <c r="AC8" s="98">
        <f>+SUM('Overall without PTP '!AC8,'Overall with PTP'!AC8)</f>
        <v>0</v>
      </c>
      <c r="AD8" s="98">
        <f>+SUM('Overall without PTP '!AD8,'Overall with PTP'!AD8)</f>
        <v>0</v>
      </c>
      <c r="AE8" s="98">
        <f>+SUM('Overall without PTP '!AE8,'Overall with PTP'!AE8)</f>
        <v>0</v>
      </c>
      <c r="AF8" s="98">
        <f>+SUM('Overall without PTP '!AF8,'Overall with PTP'!AF8)</f>
        <v>0</v>
      </c>
      <c r="AG8" s="98">
        <f>+SUM('Overall without PTP '!AG8,'Overall with PTP'!AG8)</f>
        <v>0</v>
      </c>
      <c r="AH8" s="98">
        <f>+SUM('Overall without PTP '!AH8,'Overall with PTP'!AH8)</f>
        <v>0</v>
      </c>
      <c r="AI8" s="98">
        <f>+SUM('Overall without PTP '!AI8,'Overall with PTP'!AI8)</f>
        <v>0</v>
      </c>
      <c r="AJ8" s="98">
        <f>+SUM('Overall without PTP '!AJ8,'Overall with PTP'!AJ8)</f>
        <v>0</v>
      </c>
      <c r="AK8" s="98">
        <f>+SUM('Overall without PTP '!AK8,'Overall with PTP'!AK8)</f>
        <v>0</v>
      </c>
      <c r="AL8" s="152" t="str">
        <f>+IFERROR(AVERAGE('Overall without PTP '!AL8,'Overall with PTP'!AL8),"")</f>
        <v/>
      </c>
      <c r="AM8" s="152" t="str">
        <f>+IFERROR(AVERAGE('Overall without PTP '!AM8,'Overall with PTP'!AM8),"")</f>
        <v/>
      </c>
      <c r="AN8" s="152" t="str">
        <f>+IFERROR(AVERAGE('Overall without PTP '!AN8,'Overall with PTP'!AN8),"")</f>
        <v/>
      </c>
      <c r="AO8" s="152" t="str">
        <f>+IFERROR(AVERAGE('Overall without PTP '!AO8,'Overall with PTP'!AO8),"")</f>
        <v/>
      </c>
      <c r="AP8" s="98" t="str">
        <f>+IFERROR(AVERAGE('Overall without PTP '!AP8,'Overall with PTP'!AP8),"")</f>
        <v/>
      </c>
      <c r="AQ8" s="152" t="str">
        <f>+IFERROR(AVERAGE('Overall without PTP '!AQ8,'Overall with PTP'!AQ8),"")</f>
        <v/>
      </c>
      <c r="AR8" s="152" t="str">
        <f>+IFERROR(AVERAGE('Overall without PTP '!AR8,'Overall with PTP'!AR8),"")</f>
        <v/>
      </c>
      <c r="AS8" s="152" t="str">
        <f>+IFERROR(AVERAGE('Overall without PTP '!AS8,'Overall with PTP'!AS8),"")</f>
        <v/>
      </c>
      <c r="AT8" s="98">
        <f>+SUM('Overall without PTP '!AT8,'Overall with PTP'!AT8)</f>
        <v>0</v>
      </c>
      <c r="AU8" s="98">
        <f>+SUM('Overall without PTP '!AU8,'Overall with PTP'!AU8)</f>
        <v>0</v>
      </c>
      <c r="AV8" s="98">
        <f>+SUM('Overall without PTP '!AV8,'Overall with PTP'!AV8)</f>
        <v>0</v>
      </c>
      <c r="AW8" s="167">
        <f>+IFERROR(AVERAGE(EL_DEL_CD2_JO_!AW8,EL_DEL_CD2_PTP_!AW8,EL_DEL_CD2_SBI_1_4_!AW8,EL_DEL_CD2_SBI_5_6_!AW8,EL_DEL_CD2_SBI_7_8_!AW8,EL_DEL_CD2_SBI_9_10_!AW8,EL_DEL_CD2_STAB_!AW8,EL_DEL_CD1_WST_PTP_!AW8,EL_DEL_CD1_NTH_PTP_!AW8,EL_DEL_CD1_STH_PTP_!AW8,EL_DEL_CD1_1D4P_PTP_!AW8,EL_DEL_CD1_8D_PTP_!AW8,EL_DEL_CD2_JO_L_!AW8,EL_DEL_CD2_PTP_L_!AW8,EL_DEL_CD2_SBI_L_1_4_!AW8,EL_DEL_CD2_SBI_L_5_6_!AW8,EL_DEL_CD2_SBI_L_7_8_!AW8,EL_DEL_CD2_SBI_L_9_10_!AW8,EL_DEL_CD2_L_STAB_!AW8),0)</f>
        <v>0</v>
      </c>
      <c r="AX8" s="102" t="str">
        <f t="shared" si="26"/>
        <v>-</v>
      </c>
      <c r="AY8" s="151"/>
      <c r="AZ8" s="116" t="str">
        <f t="shared" si="2"/>
        <v/>
      </c>
      <c r="BA8" s="117" t="str">
        <f t="shared" si="3"/>
        <v/>
      </c>
      <c r="BB8" s="116" t="str">
        <f t="shared" si="4"/>
        <v/>
      </c>
      <c r="BC8" s="151"/>
      <c r="BD8" s="159" t="str">
        <f t="shared" si="5"/>
        <v/>
      </c>
      <c r="BE8" s="160" t="str">
        <f t="shared" si="6"/>
        <v/>
      </c>
      <c r="BF8" s="160" t="str">
        <f t="shared" si="7"/>
        <v/>
      </c>
      <c r="BG8" s="160" t="str">
        <f t="shared" si="8"/>
        <v/>
      </c>
      <c r="BH8" s="160" t="str">
        <f t="shared" si="9"/>
        <v/>
      </c>
      <c r="BI8" s="161" t="str">
        <f t="shared" si="27"/>
        <v/>
      </c>
      <c r="BJ8" s="151"/>
      <c r="BK8" s="162" t="str">
        <f t="shared" si="10"/>
        <v/>
      </c>
      <c r="BL8" s="163" t="str">
        <f t="shared" si="11"/>
        <v/>
      </c>
      <c r="BM8" s="163" t="str">
        <f t="shared" si="12"/>
        <v/>
      </c>
      <c r="BN8" s="164" t="str">
        <f t="shared" si="13"/>
        <v/>
      </c>
      <c r="BO8" s="151"/>
      <c r="BP8" s="124" t="str">
        <f t="shared" si="14"/>
        <v/>
      </c>
      <c r="BQ8" s="125">
        <v>0</v>
      </c>
      <c r="BR8" s="125" t="str">
        <f t="shared" si="15"/>
        <v/>
      </c>
      <c r="BS8" s="125" t="str">
        <f t="shared" si="28"/>
        <v/>
      </c>
      <c r="BT8" s="126" t="str">
        <f t="shared" si="16"/>
        <v/>
      </c>
      <c r="BU8" s="151"/>
      <c r="BV8" s="165" t="e">
        <f t="shared" si="17"/>
        <v>#VALUE!</v>
      </c>
      <c r="BW8" s="165" t="e">
        <f t="shared" si="18"/>
        <v>#VALUE!</v>
      </c>
      <c r="BX8" s="165" t="e">
        <f t="shared" si="19"/>
        <v>#VALUE!</v>
      </c>
      <c r="BY8" s="165" t="e">
        <f t="shared" si="20"/>
        <v>#VALUE!</v>
      </c>
      <c r="BZ8" s="165" t="e">
        <f t="shared" si="29"/>
        <v>#VALUE!</v>
      </c>
      <c r="CA8" s="166" t="e">
        <f t="shared" si="30"/>
        <v>#VALUE!</v>
      </c>
      <c r="CB8" s="151"/>
      <c r="CC8" s="129" t="str">
        <f t="shared" si="21"/>
        <v>-</v>
      </c>
      <c r="CD8" s="130" t="str">
        <f t="shared" si="22"/>
        <v>-</v>
      </c>
      <c r="CE8" s="130" t="str">
        <f t="shared" si="23"/>
        <v>-</v>
      </c>
      <c r="CF8" s="130" t="str">
        <f t="shared" si="24"/>
        <v>-</v>
      </c>
      <c r="CG8" s="131" t="str">
        <f t="shared" si="25"/>
        <v>-</v>
      </c>
      <c r="CH8" s="151"/>
    </row>
    <row r="9" spans="1:86" s="115" customFormat="1" ht="12.4" customHeight="1" thickBot="1" x14ac:dyDescent="0.25">
      <c r="A9" s="96">
        <f>A8+1</f>
        <v>46301</v>
      </c>
      <c r="B9" s="97" t="str">
        <f t="shared" si="0"/>
        <v>Tue</v>
      </c>
      <c r="C9" s="98">
        <f>+SUM('Overall without PTP '!C9,'Overall with PTP'!C9)</f>
        <v>0</v>
      </c>
      <c r="D9" s="98">
        <f>+SUM('Overall without PTP '!D9,'Overall with PTP'!D9)</f>
        <v>0</v>
      </c>
      <c r="E9" s="98">
        <f>+SUM('Overall without PTP '!E9,'Overall with PTP'!E9)</f>
        <v>0</v>
      </c>
      <c r="F9" s="98">
        <f>+SUM('Overall without PTP '!F9,'Overall with PTP'!F9)</f>
        <v>0</v>
      </c>
      <c r="G9" s="98">
        <f>+SUM('Overall without PTP '!G9,'Overall with PTP'!G9)</f>
        <v>0</v>
      </c>
      <c r="H9" s="98">
        <f>+SUM('Overall without PTP '!H9,'Overall with PTP'!H9)</f>
        <v>0</v>
      </c>
      <c r="I9" s="98">
        <f>+SUM('Overall without PTP '!I9,'Overall with PTP'!I9)</f>
        <v>0</v>
      </c>
      <c r="J9" s="98">
        <f>+SUM('Overall without PTP '!J9,'Overall with PTP'!J9)</f>
        <v>0</v>
      </c>
      <c r="K9" s="98">
        <f>+SUM('Overall without PTP '!K9,'Overall with PTP'!K9)</f>
        <v>0</v>
      </c>
      <c r="L9" s="98">
        <f>+SUM('Overall without PTP '!L9,'Overall with PTP'!L9)</f>
        <v>0</v>
      </c>
      <c r="M9" s="98">
        <f>+SUM('Overall without PTP '!M9,'Overall with PTP'!M9)</f>
        <v>0</v>
      </c>
      <c r="N9" s="98">
        <f>+SUM('Overall without PTP '!N9,'Overall with PTP'!N9)</f>
        <v>0</v>
      </c>
      <c r="O9" s="98">
        <f>+SUM('Overall without PTP '!O9,'Overall with PTP'!O9)</f>
        <v>0</v>
      </c>
      <c r="P9" s="98">
        <f>+SUM('Overall without PTP '!P9,'Overall with PTP'!P9)</f>
        <v>0</v>
      </c>
      <c r="Q9" s="98">
        <f>+SUM('Overall without PTP '!Q9,'Overall with PTP'!Q9)</f>
        <v>0</v>
      </c>
      <c r="R9" s="98">
        <f>+SUM('Overall without PTP '!R9,'Overall with PTP'!R9)</f>
        <v>0</v>
      </c>
      <c r="S9" s="98">
        <f>+SUM('Overall without PTP '!S9,'Overall with PTP'!S9)</f>
        <v>0</v>
      </c>
      <c r="T9" s="98">
        <f>+SUM('Overall without PTP '!T9,'Overall with PTP'!T9)</f>
        <v>0</v>
      </c>
      <c r="U9" s="98">
        <f>+SUM('Overall without PTP '!U9,'Overall with PTP'!U9)</f>
        <v>0</v>
      </c>
      <c r="V9" s="98">
        <f>+SUM('Overall without PTP '!V9,'Overall with PTP'!V9)</f>
        <v>0</v>
      </c>
      <c r="W9" s="98">
        <f>+SUM('Overall without PTP '!W9,'Overall with PTP'!W9)</f>
        <v>0</v>
      </c>
      <c r="X9" s="98">
        <f>+SUM('Overall without PTP '!X9,'Overall with PTP'!X9)</f>
        <v>0</v>
      </c>
      <c r="Y9" s="98">
        <f>+SUM('Overall without PTP '!Y9,'Overall with PTP'!Y9)</f>
        <v>0</v>
      </c>
      <c r="Z9" s="98">
        <f>+SUM('Overall without PTP '!Z9,'Overall with PTP'!Z9)</f>
        <v>0</v>
      </c>
      <c r="AA9" s="98">
        <f>+SUM('Overall without PTP '!AA9,'Overall with PTP'!AA9)</f>
        <v>0</v>
      </c>
      <c r="AB9" s="98">
        <f>+SUM('Overall without PTP '!AB9,'Overall with PTP'!AB9)</f>
        <v>0</v>
      </c>
      <c r="AC9" s="98">
        <f>+SUM('Overall without PTP '!AC9,'Overall with PTP'!AC9)</f>
        <v>0</v>
      </c>
      <c r="AD9" s="98">
        <f>+SUM('Overall without PTP '!AD9,'Overall with PTP'!AD9)</f>
        <v>0</v>
      </c>
      <c r="AE9" s="98">
        <f>+SUM('Overall without PTP '!AE9,'Overall with PTP'!AE9)</f>
        <v>0</v>
      </c>
      <c r="AF9" s="98">
        <f>+SUM('Overall without PTP '!AF9,'Overall with PTP'!AF9)</f>
        <v>0</v>
      </c>
      <c r="AG9" s="98">
        <f>+SUM('Overall without PTP '!AG9,'Overall with PTP'!AG9)</f>
        <v>0</v>
      </c>
      <c r="AH9" s="98">
        <f>+SUM('Overall without PTP '!AH9,'Overall with PTP'!AH9)</f>
        <v>0</v>
      </c>
      <c r="AI9" s="98">
        <f>+SUM('Overall without PTP '!AI9,'Overall with PTP'!AI9)</f>
        <v>0</v>
      </c>
      <c r="AJ9" s="98">
        <f>+SUM('Overall without PTP '!AJ9,'Overall with PTP'!AJ9)</f>
        <v>0</v>
      </c>
      <c r="AK9" s="98">
        <f>+SUM('Overall without PTP '!AK9,'Overall with PTP'!AK9)</f>
        <v>0</v>
      </c>
      <c r="AL9" s="152" t="str">
        <f>+IFERROR(AVERAGE('Overall without PTP '!AL9,'Overall with PTP'!AL9),"")</f>
        <v/>
      </c>
      <c r="AM9" s="152" t="str">
        <f>+IFERROR(AVERAGE('Overall without PTP '!AM9,'Overall with PTP'!AM9),"")</f>
        <v/>
      </c>
      <c r="AN9" s="152" t="str">
        <f>+IFERROR(AVERAGE('Overall without PTP '!AN9,'Overall with PTP'!AN9),"")</f>
        <v/>
      </c>
      <c r="AO9" s="152" t="str">
        <f>+IFERROR(AVERAGE('Overall without PTP '!AO9,'Overall with PTP'!AO9),"")</f>
        <v/>
      </c>
      <c r="AP9" s="98" t="str">
        <f>+IFERROR(AVERAGE('Overall without PTP '!AP9,'Overall with PTP'!AP9),"")</f>
        <v/>
      </c>
      <c r="AQ9" s="152" t="str">
        <f>+IFERROR(AVERAGE('Overall without PTP '!AQ9,'Overall with PTP'!AQ9),"")</f>
        <v/>
      </c>
      <c r="AR9" s="152" t="str">
        <f>+IFERROR(AVERAGE('Overall without PTP '!AR9,'Overall with PTP'!AR9),"")</f>
        <v/>
      </c>
      <c r="AS9" s="152" t="str">
        <f>+IFERROR(AVERAGE('Overall without PTP '!AS9,'Overall with PTP'!AS9),"")</f>
        <v/>
      </c>
      <c r="AT9" s="98">
        <f>+SUM('Overall without PTP '!AT9,'Overall with PTP'!AT9)</f>
        <v>0</v>
      </c>
      <c r="AU9" s="98">
        <f>+SUM('Overall without PTP '!AU9,'Overall with PTP'!AU9)</f>
        <v>0</v>
      </c>
      <c r="AV9" s="98">
        <f>+SUM('Overall without PTP '!AV9,'Overall with PTP'!AV9)</f>
        <v>0</v>
      </c>
      <c r="AW9" s="167">
        <f>+IFERROR(AVERAGE(EL_DEL_CD2_JO_!AW9,EL_DEL_CD2_PTP_!AW9,EL_DEL_CD2_SBI_1_4_!AW9,EL_DEL_CD2_SBI_5_6_!AW9,EL_DEL_CD2_SBI_7_8_!AW9,EL_DEL_CD2_SBI_9_10_!AW9,EL_DEL_CD2_STAB_!AW9,EL_DEL_CD1_WST_PTP_!AW9,EL_DEL_CD1_NTH_PTP_!AW9,EL_DEL_CD1_STH_PTP_!AW9,EL_DEL_CD1_1D4P_PTP_!AW9,EL_DEL_CD1_8D_PTP_!AW9,EL_DEL_CD2_JO_L_!AW9,EL_DEL_CD2_PTP_L_!AW9,EL_DEL_CD2_SBI_L_1_4_!AW9,EL_DEL_CD2_SBI_L_5_6_!AW9,EL_DEL_CD2_SBI_L_7_8_!AW9,EL_DEL_CD2_SBI_L_9_10_!AW9,EL_DEL_CD2_L_STAB_!AW9),0)</f>
        <v>0</v>
      </c>
      <c r="AX9" s="102" t="str">
        <f t="shared" si="26"/>
        <v>-</v>
      </c>
      <c r="AY9" s="151"/>
      <c r="AZ9" s="116" t="str">
        <f t="shared" si="2"/>
        <v/>
      </c>
      <c r="BA9" s="117" t="str">
        <f t="shared" si="3"/>
        <v/>
      </c>
      <c r="BB9" s="116" t="str">
        <f t="shared" si="4"/>
        <v/>
      </c>
      <c r="BC9" s="151"/>
      <c r="BD9" s="159" t="str">
        <f t="shared" si="5"/>
        <v/>
      </c>
      <c r="BE9" s="160" t="str">
        <f t="shared" si="6"/>
        <v/>
      </c>
      <c r="BF9" s="160" t="str">
        <f t="shared" si="7"/>
        <v/>
      </c>
      <c r="BG9" s="160" t="str">
        <f t="shared" si="8"/>
        <v/>
      </c>
      <c r="BH9" s="160" t="str">
        <f t="shared" si="9"/>
        <v/>
      </c>
      <c r="BI9" s="161" t="str">
        <f t="shared" si="27"/>
        <v/>
      </c>
      <c r="BJ9" s="151"/>
      <c r="BK9" s="162" t="str">
        <f t="shared" si="10"/>
        <v/>
      </c>
      <c r="BL9" s="163" t="str">
        <f t="shared" si="11"/>
        <v/>
      </c>
      <c r="BM9" s="163" t="str">
        <f t="shared" si="12"/>
        <v/>
      </c>
      <c r="BN9" s="164" t="str">
        <f t="shared" si="13"/>
        <v/>
      </c>
      <c r="BO9" s="151"/>
      <c r="BP9" s="124" t="str">
        <f t="shared" si="14"/>
        <v/>
      </c>
      <c r="BQ9" s="125">
        <v>0</v>
      </c>
      <c r="BR9" s="125" t="str">
        <f t="shared" si="15"/>
        <v/>
      </c>
      <c r="BS9" s="125" t="str">
        <f t="shared" si="28"/>
        <v/>
      </c>
      <c r="BT9" s="126" t="str">
        <f t="shared" si="16"/>
        <v/>
      </c>
      <c r="BU9" s="151"/>
      <c r="BV9" s="165" t="e">
        <f t="shared" si="17"/>
        <v>#VALUE!</v>
      </c>
      <c r="BW9" s="165" t="e">
        <f t="shared" si="18"/>
        <v>#VALUE!</v>
      </c>
      <c r="BX9" s="165" t="e">
        <f t="shared" si="19"/>
        <v>#VALUE!</v>
      </c>
      <c r="BY9" s="165" t="e">
        <f t="shared" si="20"/>
        <v>#VALUE!</v>
      </c>
      <c r="BZ9" s="165" t="e">
        <f t="shared" si="29"/>
        <v>#VALUE!</v>
      </c>
      <c r="CA9" s="166" t="e">
        <f t="shared" si="30"/>
        <v>#VALUE!</v>
      </c>
      <c r="CB9" s="151"/>
      <c r="CC9" s="129" t="str">
        <f t="shared" si="21"/>
        <v>-</v>
      </c>
      <c r="CD9" s="130" t="str">
        <f t="shared" si="22"/>
        <v>-</v>
      </c>
      <c r="CE9" s="130" t="str">
        <f t="shared" si="23"/>
        <v>-</v>
      </c>
      <c r="CF9" s="130" t="str">
        <f t="shared" si="24"/>
        <v>-</v>
      </c>
      <c r="CG9" s="131" t="str">
        <f t="shared" si="25"/>
        <v>-</v>
      </c>
      <c r="CH9" s="151"/>
    </row>
    <row r="10" spans="1:86" s="115" customFormat="1" ht="12.4" customHeight="1" thickBot="1" x14ac:dyDescent="0.25">
      <c r="A10" s="96">
        <f t="shared" si="31"/>
        <v>46302</v>
      </c>
      <c r="B10" s="97" t="str">
        <f t="shared" si="0"/>
        <v>Wed</v>
      </c>
      <c r="C10" s="98">
        <f>+SUM('Overall without PTP '!C10,'Overall with PTP'!C10)</f>
        <v>0</v>
      </c>
      <c r="D10" s="98">
        <f>+SUM('Overall without PTP '!D10,'Overall with PTP'!D10)</f>
        <v>0</v>
      </c>
      <c r="E10" s="98">
        <f>+SUM('Overall without PTP '!E10,'Overall with PTP'!E10)</f>
        <v>0</v>
      </c>
      <c r="F10" s="98">
        <f>+SUM('Overall without PTP '!F10,'Overall with PTP'!F10)</f>
        <v>0</v>
      </c>
      <c r="G10" s="98">
        <f>+SUM('Overall without PTP '!G10,'Overall with PTP'!G10)</f>
        <v>0</v>
      </c>
      <c r="H10" s="98">
        <f>+SUM('Overall without PTP '!H10,'Overall with PTP'!H10)</f>
        <v>0</v>
      </c>
      <c r="I10" s="98">
        <f>+SUM('Overall without PTP '!I10,'Overall with PTP'!I10)</f>
        <v>0</v>
      </c>
      <c r="J10" s="98">
        <f>+SUM('Overall without PTP '!J10,'Overall with PTP'!J10)</f>
        <v>0</v>
      </c>
      <c r="K10" s="98">
        <f>+SUM('Overall without PTP '!K10,'Overall with PTP'!K10)</f>
        <v>0</v>
      </c>
      <c r="L10" s="98">
        <f>+SUM('Overall without PTP '!L10,'Overall with PTP'!L10)</f>
        <v>0</v>
      </c>
      <c r="M10" s="98">
        <f>+SUM('Overall without PTP '!M10,'Overall with PTP'!M10)</f>
        <v>0</v>
      </c>
      <c r="N10" s="98">
        <f>+SUM('Overall without PTP '!N10,'Overall with PTP'!N10)</f>
        <v>0</v>
      </c>
      <c r="O10" s="98">
        <f>+SUM('Overall without PTP '!O10,'Overall with PTP'!O10)</f>
        <v>0</v>
      </c>
      <c r="P10" s="98">
        <f>+SUM('Overall without PTP '!P10,'Overall with PTP'!P10)</f>
        <v>0</v>
      </c>
      <c r="Q10" s="98">
        <f>+SUM('Overall without PTP '!Q10,'Overall with PTP'!Q10)</f>
        <v>0</v>
      </c>
      <c r="R10" s="98">
        <f>+SUM('Overall without PTP '!R10,'Overall with PTP'!R10)</f>
        <v>0</v>
      </c>
      <c r="S10" s="98">
        <f>+SUM('Overall without PTP '!S10,'Overall with PTP'!S10)</f>
        <v>0</v>
      </c>
      <c r="T10" s="98">
        <f>+SUM('Overall without PTP '!T10,'Overall with PTP'!T10)</f>
        <v>0</v>
      </c>
      <c r="U10" s="98">
        <f>+SUM('Overall without PTP '!U10,'Overall with PTP'!U10)</f>
        <v>0</v>
      </c>
      <c r="V10" s="98">
        <f>+SUM('Overall without PTP '!V10,'Overall with PTP'!V10)</f>
        <v>0</v>
      </c>
      <c r="W10" s="98">
        <f>+SUM('Overall without PTP '!W10,'Overall with PTP'!W10)</f>
        <v>0</v>
      </c>
      <c r="X10" s="98">
        <f>+SUM('Overall without PTP '!X10,'Overall with PTP'!X10)</f>
        <v>0</v>
      </c>
      <c r="Y10" s="98">
        <f>+SUM('Overall without PTP '!Y10,'Overall with PTP'!Y10)</f>
        <v>0</v>
      </c>
      <c r="Z10" s="98">
        <f>+SUM('Overall without PTP '!Z10,'Overall with PTP'!Z10)</f>
        <v>0</v>
      </c>
      <c r="AA10" s="98">
        <f>+SUM('Overall without PTP '!AA10,'Overall with PTP'!AA10)</f>
        <v>0</v>
      </c>
      <c r="AB10" s="98">
        <f>+SUM('Overall without PTP '!AB10,'Overall with PTP'!AB10)</f>
        <v>0</v>
      </c>
      <c r="AC10" s="98">
        <f>+SUM('Overall without PTP '!AC10,'Overall with PTP'!AC10)</f>
        <v>0</v>
      </c>
      <c r="AD10" s="98">
        <f>+SUM('Overall without PTP '!AD10,'Overall with PTP'!AD10)</f>
        <v>0</v>
      </c>
      <c r="AE10" s="98">
        <f>+SUM('Overall without PTP '!AE10,'Overall with PTP'!AE10)</f>
        <v>0</v>
      </c>
      <c r="AF10" s="98">
        <f>+SUM('Overall without PTP '!AF10,'Overall with PTP'!AF10)</f>
        <v>0</v>
      </c>
      <c r="AG10" s="98">
        <f>+SUM('Overall without PTP '!AG10,'Overall with PTP'!AG10)</f>
        <v>0</v>
      </c>
      <c r="AH10" s="98">
        <f>+SUM('Overall without PTP '!AH10,'Overall with PTP'!AH10)</f>
        <v>0</v>
      </c>
      <c r="AI10" s="98">
        <f>+SUM('Overall without PTP '!AI10,'Overall with PTP'!AI10)</f>
        <v>0</v>
      </c>
      <c r="AJ10" s="98">
        <f>+SUM('Overall without PTP '!AJ10,'Overall with PTP'!AJ10)</f>
        <v>0</v>
      </c>
      <c r="AK10" s="98">
        <f>+SUM('Overall without PTP '!AK10,'Overall with PTP'!AK10)</f>
        <v>0</v>
      </c>
      <c r="AL10" s="152" t="str">
        <f>+IFERROR(AVERAGE('Overall without PTP '!AL10,'Overall with PTP'!AL10),"")</f>
        <v/>
      </c>
      <c r="AM10" s="152" t="str">
        <f>+IFERROR(AVERAGE('Overall without PTP '!AM10,'Overall with PTP'!AM10),"")</f>
        <v/>
      </c>
      <c r="AN10" s="152" t="str">
        <f>+IFERROR(AVERAGE('Overall without PTP '!AN10,'Overall with PTP'!AN10),"")</f>
        <v/>
      </c>
      <c r="AO10" s="152" t="str">
        <f>+IFERROR(AVERAGE('Overall without PTP '!AO10,'Overall with PTP'!AO10),"")</f>
        <v/>
      </c>
      <c r="AP10" s="98" t="str">
        <f>+IFERROR(AVERAGE('Overall without PTP '!AP10,'Overall with PTP'!AP10),"")</f>
        <v/>
      </c>
      <c r="AQ10" s="152" t="str">
        <f>+IFERROR(AVERAGE('Overall without PTP '!AQ10,'Overall with PTP'!AQ10),"")</f>
        <v/>
      </c>
      <c r="AR10" s="152" t="str">
        <f>+IFERROR(AVERAGE('Overall without PTP '!AR10,'Overall with PTP'!AR10),"")</f>
        <v/>
      </c>
      <c r="AS10" s="152" t="str">
        <f>+IFERROR(AVERAGE('Overall without PTP '!AS10,'Overall with PTP'!AS10),"")</f>
        <v/>
      </c>
      <c r="AT10" s="98">
        <f>+SUM('Overall without PTP '!AT10,'Overall with PTP'!AT10)</f>
        <v>0</v>
      </c>
      <c r="AU10" s="98">
        <f>+SUM('Overall without PTP '!AU10,'Overall with PTP'!AU10)</f>
        <v>0</v>
      </c>
      <c r="AV10" s="98">
        <f>+SUM('Overall without PTP '!AV10,'Overall with PTP'!AV10)</f>
        <v>0</v>
      </c>
      <c r="AW10" s="167">
        <f>+IFERROR(AVERAGE(EL_DEL_CD2_JO_!AW10,EL_DEL_CD2_PTP_!AW10,EL_DEL_CD2_SBI_1_4_!AW10,EL_DEL_CD2_SBI_5_6_!AW10,EL_DEL_CD2_SBI_7_8_!AW10,EL_DEL_CD2_SBI_9_10_!AW10,EL_DEL_CD2_STAB_!AW10,EL_DEL_CD1_WST_PTP_!AW10,EL_DEL_CD1_NTH_PTP_!AW10,EL_DEL_CD1_STH_PTP_!AW10,EL_DEL_CD1_1D4P_PTP_!AW10,EL_DEL_CD1_8D_PTP_!AW10,EL_DEL_CD2_JO_L_!AW10,EL_DEL_CD2_PTP_L_!AW10,EL_DEL_CD2_SBI_L_1_4_!AW10,EL_DEL_CD2_SBI_L_5_6_!AW10,EL_DEL_CD2_SBI_L_7_8_!AW10,EL_DEL_CD2_SBI_L_9_10_!AW10,EL_DEL_CD2_L_STAB_!AW10),0)</f>
        <v>0</v>
      </c>
      <c r="AX10" s="102" t="str">
        <f t="shared" si="26"/>
        <v>-</v>
      </c>
      <c r="AY10" s="151"/>
      <c r="AZ10" s="116" t="str">
        <f t="shared" si="2"/>
        <v/>
      </c>
      <c r="BA10" s="117" t="str">
        <f t="shared" si="3"/>
        <v/>
      </c>
      <c r="BB10" s="116" t="str">
        <f t="shared" si="4"/>
        <v/>
      </c>
      <c r="BC10" s="151"/>
      <c r="BD10" s="159" t="str">
        <f t="shared" si="5"/>
        <v/>
      </c>
      <c r="BE10" s="160" t="str">
        <f t="shared" si="6"/>
        <v/>
      </c>
      <c r="BF10" s="160" t="str">
        <f t="shared" si="7"/>
        <v/>
      </c>
      <c r="BG10" s="160" t="str">
        <f t="shared" si="8"/>
        <v/>
      </c>
      <c r="BH10" s="160" t="str">
        <f t="shared" si="9"/>
        <v/>
      </c>
      <c r="BI10" s="161" t="str">
        <f t="shared" si="27"/>
        <v/>
      </c>
      <c r="BJ10" s="151"/>
      <c r="BK10" s="162" t="str">
        <f t="shared" si="10"/>
        <v/>
      </c>
      <c r="BL10" s="163" t="str">
        <f t="shared" si="11"/>
        <v/>
      </c>
      <c r="BM10" s="163" t="str">
        <f t="shared" si="12"/>
        <v/>
      </c>
      <c r="BN10" s="164" t="str">
        <f t="shared" si="13"/>
        <v/>
      </c>
      <c r="BO10" s="151"/>
      <c r="BP10" s="124" t="str">
        <f t="shared" si="14"/>
        <v/>
      </c>
      <c r="BQ10" s="125">
        <v>0</v>
      </c>
      <c r="BR10" s="125" t="str">
        <f t="shared" si="15"/>
        <v/>
      </c>
      <c r="BS10" s="125" t="str">
        <f t="shared" si="28"/>
        <v/>
      </c>
      <c r="BT10" s="126" t="str">
        <f t="shared" si="16"/>
        <v/>
      </c>
      <c r="BU10" s="151"/>
      <c r="BV10" s="165" t="e">
        <f t="shared" si="17"/>
        <v>#VALUE!</v>
      </c>
      <c r="BW10" s="165" t="e">
        <f t="shared" si="18"/>
        <v>#VALUE!</v>
      </c>
      <c r="BX10" s="165" t="e">
        <f t="shared" si="19"/>
        <v>#VALUE!</v>
      </c>
      <c r="BY10" s="165" t="e">
        <f t="shared" si="20"/>
        <v>#VALUE!</v>
      </c>
      <c r="BZ10" s="165" t="e">
        <f t="shared" si="29"/>
        <v>#VALUE!</v>
      </c>
      <c r="CA10" s="166" t="e">
        <f t="shared" si="30"/>
        <v>#VALUE!</v>
      </c>
      <c r="CB10" s="151"/>
      <c r="CC10" s="129" t="str">
        <f t="shared" si="21"/>
        <v>-</v>
      </c>
      <c r="CD10" s="130" t="str">
        <f t="shared" si="22"/>
        <v>-</v>
      </c>
      <c r="CE10" s="130" t="str">
        <f t="shared" si="23"/>
        <v>-</v>
      </c>
      <c r="CF10" s="130" t="str">
        <f t="shared" si="24"/>
        <v>-</v>
      </c>
      <c r="CG10" s="131" t="str">
        <f t="shared" si="25"/>
        <v>-</v>
      </c>
      <c r="CH10" s="151"/>
    </row>
    <row r="11" spans="1:86" s="115" customFormat="1" ht="12.4" customHeight="1" thickBot="1" x14ac:dyDescent="0.25">
      <c r="A11" s="96">
        <f t="shared" si="31"/>
        <v>46303</v>
      </c>
      <c r="B11" s="97" t="str">
        <f t="shared" si="0"/>
        <v>Thu</v>
      </c>
      <c r="C11" s="98">
        <f>+SUM('Overall without PTP '!C11,'Overall with PTP'!C11)</f>
        <v>0</v>
      </c>
      <c r="D11" s="98">
        <f>+SUM('Overall without PTP '!D11,'Overall with PTP'!D11)</f>
        <v>0</v>
      </c>
      <c r="E11" s="98">
        <f>+SUM('Overall without PTP '!E11,'Overall with PTP'!E11)</f>
        <v>0</v>
      </c>
      <c r="F11" s="98">
        <f>+SUM('Overall without PTP '!F11,'Overall with PTP'!F11)</f>
        <v>0</v>
      </c>
      <c r="G11" s="98">
        <f>+SUM('Overall without PTP '!G11,'Overall with PTP'!G11)</f>
        <v>0</v>
      </c>
      <c r="H11" s="98">
        <f>+SUM('Overall without PTP '!H11,'Overall with PTP'!H11)</f>
        <v>0</v>
      </c>
      <c r="I11" s="98">
        <f>+SUM('Overall without PTP '!I11,'Overall with PTP'!I11)</f>
        <v>0</v>
      </c>
      <c r="J11" s="98">
        <f>+SUM('Overall without PTP '!J11,'Overall with PTP'!J11)</f>
        <v>0</v>
      </c>
      <c r="K11" s="98">
        <f>+SUM('Overall without PTP '!K11,'Overall with PTP'!K11)</f>
        <v>0</v>
      </c>
      <c r="L11" s="98">
        <f>+SUM('Overall without PTP '!L11,'Overall with PTP'!L11)</f>
        <v>0</v>
      </c>
      <c r="M11" s="98">
        <f>+SUM('Overall without PTP '!M11,'Overall with PTP'!M11)</f>
        <v>0</v>
      </c>
      <c r="N11" s="98">
        <f>+SUM('Overall without PTP '!N11,'Overall with PTP'!N11)</f>
        <v>0</v>
      </c>
      <c r="O11" s="98">
        <f>+SUM('Overall without PTP '!O11,'Overall with PTP'!O11)</f>
        <v>0</v>
      </c>
      <c r="P11" s="98">
        <f>+SUM('Overall without PTP '!P11,'Overall with PTP'!P11)</f>
        <v>0</v>
      </c>
      <c r="Q11" s="98">
        <f>+SUM('Overall without PTP '!Q11,'Overall with PTP'!Q11)</f>
        <v>0</v>
      </c>
      <c r="R11" s="98">
        <f>+SUM('Overall without PTP '!R11,'Overall with PTP'!R11)</f>
        <v>0</v>
      </c>
      <c r="S11" s="98">
        <f>+SUM('Overall without PTP '!S11,'Overall with PTP'!S11)</f>
        <v>0</v>
      </c>
      <c r="T11" s="98">
        <f>+SUM('Overall without PTP '!T11,'Overall with PTP'!T11)</f>
        <v>0</v>
      </c>
      <c r="U11" s="98">
        <f>+SUM('Overall without PTP '!U11,'Overall with PTP'!U11)</f>
        <v>0</v>
      </c>
      <c r="V11" s="98">
        <f>+SUM('Overall without PTP '!V11,'Overall with PTP'!V11)</f>
        <v>0</v>
      </c>
      <c r="W11" s="98">
        <f>+SUM('Overall without PTP '!W11,'Overall with PTP'!W11)</f>
        <v>0</v>
      </c>
      <c r="X11" s="98">
        <f>+SUM('Overall without PTP '!X11,'Overall with PTP'!X11)</f>
        <v>0</v>
      </c>
      <c r="Y11" s="98">
        <f>+SUM('Overall without PTP '!Y11,'Overall with PTP'!Y11)</f>
        <v>0</v>
      </c>
      <c r="Z11" s="98">
        <f>+SUM('Overall without PTP '!Z11,'Overall with PTP'!Z11)</f>
        <v>0</v>
      </c>
      <c r="AA11" s="98">
        <f>+SUM('Overall without PTP '!AA11,'Overall with PTP'!AA11)</f>
        <v>0</v>
      </c>
      <c r="AB11" s="98">
        <f>+SUM('Overall without PTP '!AB11,'Overall with PTP'!AB11)</f>
        <v>0</v>
      </c>
      <c r="AC11" s="98">
        <f>+SUM('Overall without PTP '!AC11,'Overall with PTP'!AC11)</f>
        <v>0</v>
      </c>
      <c r="AD11" s="98">
        <f>+SUM('Overall without PTP '!AD11,'Overall with PTP'!AD11)</f>
        <v>0</v>
      </c>
      <c r="AE11" s="98">
        <f>+SUM('Overall without PTP '!AE11,'Overall with PTP'!AE11)</f>
        <v>0</v>
      </c>
      <c r="AF11" s="98">
        <f>+SUM('Overall without PTP '!AF11,'Overall with PTP'!AF11)</f>
        <v>0</v>
      </c>
      <c r="AG11" s="98">
        <f>+SUM('Overall without PTP '!AG11,'Overall with PTP'!AG11)</f>
        <v>0</v>
      </c>
      <c r="AH11" s="98">
        <f>+SUM('Overall without PTP '!AH11,'Overall with PTP'!AH11)</f>
        <v>0</v>
      </c>
      <c r="AI11" s="98">
        <f>+SUM('Overall without PTP '!AI11,'Overall with PTP'!AI11)</f>
        <v>0</v>
      </c>
      <c r="AJ11" s="98">
        <f>+SUM('Overall without PTP '!AJ11,'Overall with PTP'!AJ11)</f>
        <v>0</v>
      </c>
      <c r="AK11" s="98">
        <f>+SUM('Overall without PTP '!AK11,'Overall with PTP'!AK11)</f>
        <v>0</v>
      </c>
      <c r="AL11" s="152" t="str">
        <f>+IFERROR(AVERAGE('Overall without PTP '!AL11,'Overall with PTP'!AL11),"")</f>
        <v/>
      </c>
      <c r="AM11" s="152" t="str">
        <f>+IFERROR(AVERAGE('Overall without PTP '!AM11,'Overall with PTP'!AM11),"")</f>
        <v/>
      </c>
      <c r="AN11" s="152" t="str">
        <f>+IFERROR(AVERAGE('Overall without PTP '!AN11,'Overall with PTP'!AN11),"")</f>
        <v/>
      </c>
      <c r="AO11" s="152" t="str">
        <f>+IFERROR(AVERAGE('Overall without PTP '!AO11,'Overall with PTP'!AO11),"")</f>
        <v/>
      </c>
      <c r="AP11" s="98" t="str">
        <f>+IFERROR(AVERAGE('Overall without PTP '!AP11,'Overall with PTP'!AP11),"")</f>
        <v/>
      </c>
      <c r="AQ11" s="152" t="str">
        <f>+IFERROR(AVERAGE('Overall without PTP '!AQ11,'Overall with PTP'!AQ11),"")</f>
        <v/>
      </c>
      <c r="AR11" s="152" t="str">
        <f>+IFERROR(AVERAGE('Overall without PTP '!AR11,'Overall with PTP'!AR11),"")</f>
        <v/>
      </c>
      <c r="AS11" s="152" t="str">
        <f>+IFERROR(AVERAGE('Overall without PTP '!AS11,'Overall with PTP'!AS11),"")</f>
        <v/>
      </c>
      <c r="AT11" s="98">
        <f>+SUM('Overall without PTP '!AT11,'Overall with PTP'!AT11)</f>
        <v>0</v>
      </c>
      <c r="AU11" s="98">
        <f>+SUM('Overall without PTP '!AU11,'Overall with PTP'!AU11)</f>
        <v>0</v>
      </c>
      <c r="AV11" s="98">
        <f>+SUM('Overall without PTP '!AV11,'Overall with PTP'!AV11)</f>
        <v>0</v>
      </c>
      <c r="AW11" s="167">
        <f>+IFERROR(AVERAGE(EL_DEL_CD2_JO_!AW11,EL_DEL_CD2_PTP_!AW11,EL_DEL_CD2_SBI_1_4_!AW11,EL_DEL_CD2_SBI_5_6_!AW11,EL_DEL_CD2_SBI_7_8_!AW11,EL_DEL_CD2_SBI_9_10_!AW11,EL_DEL_CD2_STAB_!AW11,EL_DEL_CD1_WST_PTP_!AW11,EL_DEL_CD1_NTH_PTP_!AW11,EL_DEL_CD1_STH_PTP_!AW11,EL_DEL_CD1_1D4P_PTP_!AW11,EL_DEL_CD1_8D_PTP_!AW11,EL_DEL_CD2_JO_L_!AW11,EL_DEL_CD2_PTP_L_!AW11,EL_DEL_CD2_SBI_L_1_4_!AW11,EL_DEL_CD2_SBI_L_5_6_!AW11,EL_DEL_CD2_SBI_L_7_8_!AW11,EL_DEL_CD2_SBI_L_9_10_!AW11,EL_DEL_CD2_L_STAB_!AW11),0)</f>
        <v>0</v>
      </c>
      <c r="AX11" s="102" t="str">
        <f t="shared" si="26"/>
        <v>-</v>
      </c>
      <c r="AY11" s="151"/>
      <c r="AZ11" s="116" t="str">
        <f t="shared" si="2"/>
        <v/>
      </c>
      <c r="BA11" s="117" t="str">
        <f t="shared" si="3"/>
        <v/>
      </c>
      <c r="BB11" s="116" t="str">
        <f t="shared" si="4"/>
        <v/>
      </c>
      <c r="BC11" s="151"/>
      <c r="BD11" s="159" t="str">
        <f t="shared" si="5"/>
        <v/>
      </c>
      <c r="BE11" s="160" t="str">
        <f t="shared" si="6"/>
        <v/>
      </c>
      <c r="BF11" s="160" t="str">
        <f t="shared" si="7"/>
        <v/>
      </c>
      <c r="BG11" s="160" t="str">
        <f t="shared" si="8"/>
        <v/>
      </c>
      <c r="BH11" s="160" t="str">
        <f t="shared" si="9"/>
        <v/>
      </c>
      <c r="BI11" s="161" t="str">
        <f t="shared" si="27"/>
        <v/>
      </c>
      <c r="BJ11" s="151"/>
      <c r="BK11" s="162" t="str">
        <f t="shared" si="10"/>
        <v/>
      </c>
      <c r="BL11" s="163" t="str">
        <f t="shared" si="11"/>
        <v/>
      </c>
      <c r="BM11" s="163" t="str">
        <f t="shared" si="12"/>
        <v/>
      </c>
      <c r="BN11" s="164" t="str">
        <f t="shared" si="13"/>
        <v/>
      </c>
      <c r="BO11" s="151"/>
      <c r="BP11" s="124" t="str">
        <f t="shared" si="14"/>
        <v/>
      </c>
      <c r="BQ11" s="125">
        <v>0</v>
      </c>
      <c r="BR11" s="125" t="str">
        <f t="shared" si="15"/>
        <v/>
      </c>
      <c r="BS11" s="125" t="str">
        <f t="shared" si="28"/>
        <v/>
      </c>
      <c r="BT11" s="126" t="str">
        <f t="shared" si="16"/>
        <v/>
      </c>
      <c r="BU11" s="151"/>
      <c r="BV11" s="165" t="e">
        <f t="shared" si="17"/>
        <v>#VALUE!</v>
      </c>
      <c r="BW11" s="165" t="e">
        <f t="shared" si="18"/>
        <v>#VALUE!</v>
      </c>
      <c r="BX11" s="165" t="e">
        <f t="shared" si="19"/>
        <v>#VALUE!</v>
      </c>
      <c r="BY11" s="165" t="e">
        <f t="shared" si="20"/>
        <v>#VALUE!</v>
      </c>
      <c r="BZ11" s="165" t="e">
        <f t="shared" si="29"/>
        <v>#VALUE!</v>
      </c>
      <c r="CA11" s="166" t="e">
        <f t="shared" si="30"/>
        <v>#VALUE!</v>
      </c>
      <c r="CB11" s="151"/>
      <c r="CC11" s="129" t="str">
        <f t="shared" si="21"/>
        <v>-</v>
      </c>
      <c r="CD11" s="130" t="str">
        <f t="shared" si="22"/>
        <v>-</v>
      </c>
      <c r="CE11" s="130" t="str">
        <f t="shared" si="23"/>
        <v>-</v>
      </c>
      <c r="CF11" s="130" t="str">
        <f t="shared" si="24"/>
        <v>-</v>
      </c>
      <c r="CG11" s="131" t="str">
        <f t="shared" si="25"/>
        <v>-</v>
      </c>
      <c r="CH11" s="151"/>
    </row>
    <row r="12" spans="1:86" s="115" customFormat="1" ht="12.4" customHeight="1" thickBot="1" x14ac:dyDescent="0.25">
      <c r="A12" s="96">
        <f t="shared" si="31"/>
        <v>46304</v>
      </c>
      <c r="B12" s="97" t="str">
        <f t="shared" si="0"/>
        <v>Fri</v>
      </c>
      <c r="C12" s="98">
        <f>+SUM('Overall without PTP '!C12,'Overall with PTP'!C12)</f>
        <v>0</v>
      </c>
      <c r="D12" s="98">
        <f>+SUM('Overall without PTP '!D12,'Overall with PTP'!D12)</f>
        <v>0</v>
      </c>
      <c r="E12" s="98">
        <f>+SUM('Overall without PTP '!E12,'Overall with PTP'!E12)</f>
        <v>0</v>
      </c>
      <c r="F12" s="98">
        <f>+SUM('Overall without PTP '!F12,'Overall with PTP'!F12)</f>
        <v>0</v>
      </c>
      <c r="G12" s="98">
        <f>+SUM('Overall without PTP '!G12,'Overall with PTP'!G12)</f>
        <v>0</v>
      </c>
      <c r="H12" s="98">
        <f>+SUM('Overall without PTP '!H12,'Overall with PTP'!H12)</f>
        <v>0</v>
      </c>
      <c r="I12" s="98">
        <f>+SUM('Overall without PTP '!I12,'Overall with PTP'!I12)</f>
        <v>0</v>
      </c>
      <c r="J12" s="98">
        <f>+SUM('Overall without PTP '!J12,'Overall with PTP'!J12)</f>
        <v>0</v>
      </c>
      <c r="K12" s="98">
        <f>+SUM('Overall without PTP '!K12,'Overall with PTP'!K12)</f>
        <v>0</v>
      </c>
      <c r="L12" s="98">
        <f>+SUM('Overall without PTP '!L12,'Overall with PTP'!L12)</f>
        <v>0</v>
      </c>
      <c r="M12" s="98">
        <f>+SUM('Overall without PTP '!M12,'Overall with PTP'!M12)</f>
        <v>0</v>
      </c>
      <c r="N12" s="98">
        <f>+SUM('Overall without PTP '!N12,'Overall with PTP'!N12)</f>
        <v>0</v>
      </c>
      <c r="O12" s="98">
        <f>+SUM('Overall without PTP '!O12,'Overall with PTP'!O12)</f>
        <v>0</v>
      </c>
      <c r="P12" s="98">
        <f>+SUM('Overall without PTP '!P12,'Overall with PTP'!P12)</f>
        <v>0</v>
      </c>
      <c r="Q12" s="98">
        <f>+SUM('Overall without PTP '!Q12,'Overall with PTP'!Q12)</f>
        <v>0</v>
      </c>
      <c r="R12" s="98">
        <f>+SUM('Overall without PTP '!R12,'Overall with PTP'!R12)</f>
        <v>0</v>
      </c>
      <c r="S12" s="98">
        <f>+SUM('Overall without PTP '!S12,'Overall with PTP'!S12)</f>
        <v>0</v>
      </c>
      <c r="T12" s="98">
        <f>+SUM('Overall without PTP '!T12,'Overall with PTP'!T12)</f>
        <v>0</v>
      </c>
      <c r="U12" s="98">
        <f>+SUM('Overall without PTP '!U12,'Overall with PTP'!U12)</f>
        <v>0</v>
      </c>
      <c r="V12" s="98">
        <f>+SUM('Overall without PTP '!V12,'Overall with PTP'!V12)</f>
        <v>0</v>
      </c>
      <c r="W12" s="98">
        <f>+SUM('Overall without PTP '!W12,'Overall with PTP'!W12)</f>
        <v>0</v>
      </c>
      <c r="X12" s="98">
        <f>+SUM('Overall without PTP '!X12,'Overall with PTP'!X12)</f>
        <v>0</v>
      </c>
      <c r="Y12" s="98">
        <f>+SUM('Overall without PTP '!Y12,'Overall with PTP'!Y12)</f>
        <v>0</v>
      </c>
      <c r="Z12" s="98">
        <f>+SUM('Overall without PTP '!Z12,'Overall with PTP'!Z12)</f>
        <v>0</v>
      </c>
      <c r="AA12" s="98">
        <f>+SUM('Overall without PTP '!AA12,'Overall with PTP'!AA12)</f>
        <v>0</v>
      </c>
      <c r="AB12" s="98">
        <f>+SUM('Overall without PTP '!AB12,'Overall with PTP'!AB12)</f>
        <v>0</v>
      </c>
      <c r="AC12" s="98">
        <f>+SUM('Overall without PTP '!AC12,'Overall with PTP'!AC12)</f>
        <v>0</v>
      </c>
      <c r="AD12" s="98">
        <f>+SUM('Overall without PTP '!AD12,'Overall with PTP'!AD12)</f>
        <v>0</v>
      </c>
      <c r="AE12" s="98">
        <f>+SUM('Overall without PTP '!AE12,'Overall with PTP'!AE12)</f>
        <v>0</v>
      </c>
      <c r="AF12" s="98">
        <f>+SUM('Overall without PTP '!AF12,'Overall with PTP'!AF12)</f>
        <v>0</v>
      </c>
      <c r="AG12" s="98">
        <f>+SUM('Overall without PTP '!AG12,'Overall with PTP'!AG12)</f>
        <v>0</v>
      </c>
      <c r="AH12" s="98">
        <f>+SUM('Overall without PTP '!AH12,'Overall with PTP'!AH12)</f>
        <v>0</v>
      </c>
      <c r="AI12" s="98">
        <f>+SUM('Overall without PTP '!AI12,'Overall with PTP'!AI12)</f>
        <v>0</v>
      </c>
      <c r="AJ12" s="98">
        <f>+SUM('Overall without PTP '!AJ12,'Overall with PTP'!AJ12)</f>
        <v>0</v>
      </c>
      <c r="AK12" s="98">
        <f>+SUM('Overall without PTP '!AK12,'Overall with PTP'!AK12)</f>
        <v>0</v>
      </c>
      <c r="AL12" s="152" t="str">
        <f>+IFERROR(AVERAGE('Overall without PTP '!AL12,'Overall with PTP'!AL12),"")</f>
        <v/>
      </c>
      <c r="AM12" s="152" t="str">
        <f>+IFERROR(AVERAGE('Overall without PTP '!AM12,'Overall with PTP'!AM12),"")</f>
        <v/>
      </c>
      <c r="AN12" s="152" t="str">
        <f>+IFERROR(AVERAGE('Overall without PTP '!AN12,'Overall with PTP'!AN12),"")</f>
        <v/>
      </c>
      <c r="AO12" s="152" t="str">
        <f>+IFERROR(AVERAGE('Overall without PTP '!AO12,'Overall with PTP'!AO12),"")</f>
        <v/>
      </c>
      <c r="AP12" s="98" t="str">
        <f>+IFERROR(AVERAGE('Overall without PTP '!AP12,'Overall with PTP'!AP12),"")</f>
        <v/>
      </c>
      <c r="AQ12" s="152" t="str">
        <f>+IFERROR(AVERAGE('Overall without PTP '!AQ12,'Overall with PTP'!AQ12),"")</f>
        <v/>
      </c>
      <c r="AR12" s="152" t="str">
        <f>+IFERROR(AVERAGE('Overall without PTP '!AR12,'Overall with PTP'!AR12),"")</f>
        <v/>
      </c>
      <c r="AS12" s="152" t="str">
        <f>+IFERROR(AVERAGE('Overall without PTP '!AS12,'Overall with PTP'!AS12),"")</f>
        <v/>
      </c>
      <c r="AT12" s="98">
        <f>+SUM('Overall without PTP '!AT12,'Overall with PTP'!AT12)</f>
        <v>0</v>
      </c>
      <c r="AU12" s="98">
        <f>+SUM('Overall without PTP '!AU12,'Overall with PTP'!AU12)</f>
        <v>0</v>
      </c>
      <c r="AV12" s="98">
        <f>+SUM('Overall without PTP '!AV12,'Overall with PTP'!AV12)</f>
        <v>0</v>
      </c>
      <c r="AW12" s="167">
        <f>+IFERROR(AVERAGE(EL_DEL_CD2_JO_!AW12,EL_DEL_CD2_PTP_!AW12,EL_DEL_CD2_SBI_1_4_!AW12,EL_DEL_CD2_SBI_5_6_!AW12,EL_DEL_CD2_SBI_7_8_!AW12,EL_DEL_CD2_SBI_9_10_!AW12,EL_DEL_CD2_STAB_!AW12,EL_DEL_CD1_WST_PTP_!AW12,EL_DEL_CD1_NTH_PTP_!AW12,EL_DEL_CD1_STH_PTP_!AW12,EL_DEL_CD1_1D4P_PTP_!AW12,EL_DEL_CD1_8D_PTP_!AW12,EL_DEL_CD2_JO_L_!AW12,EL_DEL_CD2_PTP_L_!AW12,EL_DEL_CD2_SBI_L_1_4_!AW12,EL_DEL_CD2_SBI_L_5_6_!AW12,EL_DEL_CD2_SBI_L_7_8_!AW12,EL_DEL_CD2_SBI_L_9_10_!AW12,EL_DEL_CD2_L_STAB_!AW12),0)</f>
        <v>0</v>
      </c>
      <c r="AX12" s="102" t="str">
        <f t="shared" si="26"/>
        <v>-</v>
      </c>
      <c r="AY12" s="151"/>
      <c r="AZ12" s="116" t="str">
        <f t="shared" si="2"/>
        <v/>
      </c>
      <c r="BA12" s="117" t="str">
        <f t="shared" si="3"/>
        <v/>
      </c>
      <c r="BB12" s="116" t="str">
        <f t="shared" si="4"/>
        <v/>
      </c>
      <c r="BC12" s="151"/>
      <c r="BD12" s="159" t="str">
        <f t="shared" si="5"/>
        <v/>
      </c>
      <c r="BE12" s="160" t="str">
        <f t="shared" si="6"/>
        <v/>
      </c>
      <c r="BF12" s="160" t="str">
        <f t="shared" si="7"/>
        <v/>
      </c>
      <c r="BG12" s="160" t="str">
        <f t="shared" si="8"/>
        <v/>
      </c>
      <c r="BH12" s="160" t="str">
        <f t="shared" si="9"/>
        <v/>
      </c>
      <c r="BI12" s="161" t="str">
        <f t="shared" si="27"/>
        <v/>
      </c>
      <c r="BJ12" s="151"/>
      <c r="BK12" s="162" t="str">
        <f t="shared" si="10"/>
        <v/>
      </c>
      <c r="BL12" s="163" t="str">
        <f t="shared" si="11"/>
        <v/>
      </c>
      <c r="BM12" s="163" t="str">
        <f t="shared" si="12"/>
        <v/>
      </c>
      <c r="BN12" s="164" t="str">
        <f t="shared" si="13"/>
        <v/>
      </c>
      <c r="BO12" s="151"/>
      <c r="BP12" s="124" t="str">
        <f t="shared" si="14"/>
        <v/>
      </c>
      <c r="BQ12" s="125">
        <v>0</v>
      </c>
      <c r="BR12" s="125" t="str">
        <f t="shared" si="15"/>
        <v/>
      </c>
      <c r="BS12" s="125" t="str">
        <f t="shared" si="28"/>
        <v/>
      </c>
      <c r="BT12" s="126" t="str">
        <f t="shared" si="16"/>
        <v/>
      </c>
      <c r="BU12" s="151"/>
      <c r="BV12" s="165" t="e">
        <f t="shared" si="17"/>
        <v>#VALUE!</v>
      </c>
      <c r="BW12" s="165" t="e">
        <f t="shared" si="18"/>
        <v>#VALUE!</v>
      </c>
      <c r="BX12" s="165" t="e">
        <f t="shared" si="19"/>
        <v>#VALUE!</v>
      </c>
      <c r="BY12" s="165" t="e">
        <f t="shared" si="20"/>
        <v>#VALUE!</v>
      </c>
      <c r="BZ12" s="165" t="e">
        <f t="shared" si="29"/>
        <v>#VALUE!</v>
      </c>
      <c r="CA12" s="166" t="e">
        <f t="shared" si="30"/>
        <v>#VALUE!</v>
      </c>
      <c r="CB12" s="151"/>
      <c r="CC12" s="129" t="str">
        <f t="shared" si="21"/>
        <v>-</v>
      </c>
      <c r="CD12" s="130" t="str">
        <f t="shared" si="22"/>
        <v>-</v>
      </c>
      <c r="CE12" s="130" t="str">
        <f t="shared" si="23"/>
        <v>-</v>
      </c>
      <c r="CF12" s="130" t="str">
        <f t="shared" si="24"/>
        <v>-</v>
      </c>
      <c r="CG12" s="131" t="str">
        <f t="shared" si="25"/>
        <v>-</v>
      </c>
      <c r="CH12" s="151"/>
    </row>
    <row r="13" spans="1:86" s="115" customFormat="1" ht="12.4" customHeight="1" thickBot="1" x14ac:dyDescent="0.25">
      <c r="A13" s="96">
        <f t="shared" si="31"/>
        <v>46305</v>
      </c>
      <c r="B13" s="97" t="str">
        <f>+TEXT(A13,"DDD")</f>
        <v>Sat</v>
      </c>
      <c r="C13" s="98">
        <f>+SUM('Overall without PTP '!C13,'Overall with PTP'!C13)</f>
        <v>0</v>
      </c>
      <c r="D13" s="98">
        <f>+SUM('Overall without PTP '!D13,'Overall with PTP'!D13)</f>
        <v>0</v>
      </c>
      <c r="E13" s="98">
        <f>+SUM('Overall without PTP '!E13,'Overall with PTP'!E13)</f>
        <v>0</v>
      </c>
      <c r="F13" s="98">
        <f>+SUM('Overall without PTP '!F13,'Overall with PTP'!F13)</f>
        <v>0</v>
      </c>
      <c r="G13" s="98">
        <f>+SUM('Overall without PTP '!G13,'Overall with PTP'!G13)</f>
        <v>0</v>
      </c>
      <c r="H13" s="98">
        <f>+SUM('Overall without PTP '!H13,'Overall with PTP'!H13)</f>
        <v>0</v>
      </c>
      <c r="I13" s="98">
        <f>+SUM('Overall without PTP '!I13,'Overall with PTP'!I13)</f>
        <v>0</v>
      </c>
      <c r="J13" s="98">
        <f>+SUM('Overall without PTP '!J13,'Overall with PTP'!J13)</f>
        <v>0</v>
      </c>
      <c r="K13" s="98">
        <f>+SUM('Overall without PTP '!K13,'Overall with PTP'!K13)</f>
        <v>0</v>
      </c>
      <c r="L13" s="98">
        <f>+SUM('Overall without PTP '!L13,'Overall with PTP'!L13)</f>
        <v>0</v>
      </c>
      <c r="M13" s="98">
        <f>+SUM('Overall without PTP '!M13,'Overall with PTP'!M13)</f>
        <v>0</v>
      </c>
      <c r="N13" s="98">
        <f>+SUM('Overall without PTP '!N13,'Overall with PTP'!N13)</f>
        <v>0</v>
      </c>
      <c r="O13" s="98">
        <f>+SUM('Overall without PTP '!O13,'Overall with PTP'!O13)</f>
        <v>0</v>
      </c>
      <c r="P13" s="98">
        <f>+SUM('Overall without PTP '!P13,'Overall with PTP'!P13)</f>
        <v>0</v>
      </c>
      <c r="Q13" s="98">
        <f>+SUM('Overall without PTP '!Q13,'Overall with PTP'!Q13)</f>
        <v>0</v>
      </c>
      <c r="R13" s="98">
        <f>+SUM('Overall without PTP '!R13,'Overall with PTP'!R13)</f>
        <v>0</v>
      </c>
      <c r="S13" s="98">
        <f>+SUM('Overall without PTP '!S13,'Overall with PTP'!S13)</f>
        <v>0</v>
      </c>
      <c r="T13" s="98">
        <f>+SUM('Overall without PTP '!T13,'Overall with PTP'!T13)</f>
        <v>0</v>
      </c>
      <c r="U13" s="98">
        <f>+SUM('Overall without PTP '!U13,'Overall with PTP'!U13)</f>
        <v>0</v>
      </c>
      <c r="V13" s="98">
        <f>+SUM('Overall without PTP '!V13,'Overall with PTP'!V13)</f>
        <v>0</v>
      </c>
      <c r="W13" s="98">
        <f>+SUM('Overall without PTP '!W13,'Overall with PTP'!W13)</f>
        <v>0</v>
      </c>
      <c r="X13" s="98">
        <f>+SUM('Overall without PTP '!X13,'Overall with PTP'!X13)</f>
        <v>0</v>
      </c>
      <c r="Y13" s="98">
        <f>+SUM('Overall without PTP '!Y13,'Overall with PTP'!Y13)</f>
        <v>0</v>
      </c>
      <c r="Z13" s="98">
        <f>+SUM('Overall without PTP '!Z13,'Overall with PTP'!Z13)</f>
        <v>0</v>
      </c>
      <c r="AA13" s="98">
        <f>+SUM('Overall without PTP '!AA13,'Overall with PTP'!AA13)</f>
        <v>0</v>
      </c>
      <c r="AB13" s="98">
        <f>+SUM('Overall without PTP '!AB13,'Overall with PTP'!AB13)</f>
        <v>0</v>
      </c>
      <c r="AC13" s="98">
        <f>+SUM('Overall without PTP '!AC13,'Overall with PTP'!AC13)</f>
        <v>0</v>
      </c>
      <c r="AD13" s="98">
        <f>+SUM('Overall without PTP '!AD13,'Overall with PTP'!AD13)</f>
        <v>0</v>
      </c>
      <c r="AE13" s="98">
        <f>+SUM('Overall without PTP '!AE13,'Overall with PTP'!AE13)</f>
        <v>0</v>
      </c>
      <c r="AF13" s="98">
        <f>+SUM('Overall without PTP '!AF13,'Overall with PTP'!AF13)</f>
        <v>0</v>
      </c>
      <c r="AG13" s="98">
        <f>+SUM('Overall without PTP '!AG13,'Overall with PTP'!AG13)</f>
        <v>0</v>
      </c>
      <c r="AH13" s="98">
        <f>+SUM('Overall without PTP '!AH13,'Overall with PTP'!AH13)</f>
        <v>0</v>
      </c>
      <c r="AI13" s="98">
        <f>+SUM('Overall without PTP '!AI13,'Overall with PTP'!AI13)</f>
        <v>0</v>
      </c>
      <c r="AJ13" s="98">
        <f>+SUM('Overall without PTP '!AJ13,'Overall with PTP'!AJ13)</f>
        <v>0</v>
      </c>
      <c r="AK13" s="98">
        <f>+SUM('Overall without PTP '!AK13,'Overall with PTP'!AK13)</f>
        <v>0</v>
      </c>
      <c r="AL13" s="152" t="str">
        <f>+IFERROR(AVERAGE('Overall without PTP '!AL13,'Overall with PTP'!AL13),"")</f>
        <v/>
      </c>
      <c r="AM13" s="152" t="str">
        <f>+IFERROR(AVERAGE('Overall without PTP '!AM13,'Overall with PTP'!AM13),"")</f>
        <v/>
      </c>
      <c r="AN13" s="152" t="str">
        <f>+IFERROR(AVERAGE('Overall without PTP '!AN13,'Overall with PTP'!AN13),"")</f>
        <v/>
      </c>
      <c r="AO13" s="152" t="str">
        <f>+IFERROR(AVERAGE('Overall without PTP '!AO13,'Overall with PTP'!AO13),"")</f>
        <v/>
      </c>
      <c r="AP13" s="98" t="str">
        <f>+IFERROR(AVERAGE('Overall without PTP '!AP13,'Overall with PTP'!AP13),"")</f>
        <v/>
      </c>
      <c r="AQ13" s="152" t="str">
        <f>+IFERROR(AVERAGE('Overall without PTP '!AQ13,'Overall with PTP'!AQ13),"")</f>
        <v/>
      </c>
      <c r="AR13" s="152" t="str">
        <f>+IFERROR(AVERAGE('Overall without PTP '!AR13,'Overall with PTP'!AR13),"")</f>
        <v/>
      </c>
      <c r="AS13" s="152" t="str">
        <f>+IFERROR(AVERAGE('Overall without PTP '!AS13,'Overall with PTP'!AS13),"")</f>
        <v/>
      </c>
      <c r="AT13" s="98">
        <f>+SUM('Overall without PTP '!AT13,'Overall with PTP'!AT13)</f>
        <v>0</v>
      </c>
      <c r="AU13" s="98">
        <f>+SUM('Overall without PTP '!AU13,'Overall with PTP'!AU13)</f>
        <v>0</v>
      </c>
      <c r="AV13" s="98">
        <f>+SUM('Overall without PTP '!AV13,'Overall with PTP'!AV13)</f>
        <v>0</v>
      </c>
      <c r="AW13" s="167">
        <f>+IFERROR(AVERAGE(EL_DEL_CD2_JO_!AW13,EL_DEL_CD2_PTP_!AW13,EL_DEL_CD2_SBI_1_4_!AW13,EL_DEL_CD2_SBI_5_6_!AW13,EL_DEL_CD2_SBI_7_8_!AW13,EL_DEL_CD2_SBI_9_10_!AW13,EL_DEL_CD2_STAB_!AW13,EL_DEL_CD1_WST_PTP_!AW13,EL_DEL_CD1_NTH_PTP_!AW13,EL_DEL_CD1_STH_PTP_!AW13,EL_DEL_CD1_1D4P_PTP_!AW13,EL_DEL_CD1_8D_PTP_!AW13,EL_DEL_CD2_JO_L_!AW13,EL_DEL_CD2_PTP_L_!AW13,EL_DEL_CD2_SBI_L_1_4_!AW13,EL_DEL_CD2_SBI_L_5_6_!AW13,EL_DEL_CD2_SBI_L_7_8_!AW13,EL_DEL_CD2_SBI_L_9_10_!AW13,EL_DEL_CD2_L_STAB_!AW13),0)</f>
        <v>0</v>
      </c>
      <c r="AX13" s="102" t="str">
        <f t="shared" si="26"/>
        <v>-</v>
      </c>
      <c r="AY13" s="151"/>
      <c r="AZ13" s="116" t="str">
        <f t="shared" si="2"/>
        <v/>
      </c>
      <c r="BA13" s="117" t="str">
        <f t="shared" si="3"/>
        <v/>
      </c>
      <c r="BB13" s="116" t="str">
        <f t="shared" si="4"/>
        <v/>
      </c>
      <c r="BC13" s="151"/>
      <c r="BD13" s="159" t="str">
        <f t="shared" si="5"/>
        <v/>
      </c>
      <c r="BE13" s="160" t="str">
        <f t="shared" si="6"/>
        <v/>
      </c>
      <c r="BF13" s="160" t="str">
        <f t="shared" si="7"/>
        <v/>
      </c>
      <c r="BG13" s="160" t="str">
        <f t="shared" si="8"/>
        <v/>
      </c>
      <c r="BH13" s="160" t="str">
        <f t="shared" si="9"/>
        <v/>
      </c>
      <c r="BI13" s="161" t="str">
        <f t="shared" si="27"/>
        <v/>
      </c>
      <c r="BJ13" s="151"/>
      <c r="BK13" s="162" t="str">
        <f t="shared" si="10"/>
        <v/>
      </c>
      <c r="BL13" s="163" t="str">
        <f t="shared" si="11"/>
        <v/>
      </c>
      <c r="BM13" s="163" t="str">
        <f t="shared" si="12"/>
        <v/>
      </c>
      <c r="BN13" s="164" t="str">
        <f t="shared" si="13"/>
        <v/>
      </c>
      <c r="BO13" s="151"/>
      <c r="BP13" s="124" t="str">
        <f t="shared" si="14"/>
        <v/>
      </c>
      <c r="BQ13" s="125">
        <v>0</v>
      </c>
      <c r="BR13" s="125" t="str">
        <f t="shared" si="15"/>
        <v/>
      </c>
      <c r="BS13" s="125" t="str">
        <f t="shared" si="28"/>
        <v/>
      </c>
      <c r="BT13" s="126" t="str">
        <f t="shared" si="16"/>
        <v/>
      </c>
      <c r="BU13" s="151"/>
      <c r="BV13" s="165" t="e">
        <f t="shared" si="17"/>
        <v>#VALUE!</v>
      </c>
      <c r="BW13" s="165" t="e">
        <f t="shared" si="18"/>
        <v>#VALUE!</v>
      </c>
      <c r="BX13" s="165" t="e">
        <f t="shared" si="19"/>
        <v>#VALUE!</v>
      </c>
      <c r="BY13" s="165" t="e">
        <f t="shared" si="20"/>
        <v>#VALUE!</v>
      </c>
      <c r="BZ13" s="165" t="e">
        <f t="shared" si="29"/>
        <v>#VALUE!</v>
      </c>
      <c r="CA13" s="166" t="e">
        <f t="shared" si="30"/>
        <v>#VALUE!</v>
      </c>
      <c r="CB13" s="151"/>
      <c r="CC13" s="129" t="str">
        <f t="shared" si="21"/>
        <v>-</v>
      </c>
      <c r="CD13" s="130" t="str">
        <f t="shared" si="22"/>
        <v>-</v>
      </c>
      <c r="CE13" s="130" t="str">
        <f t="shared" si="23"/>
        <v>-</v>
      </c>
      <c r="CF13" s="130" t="str">
        <f t="shared" si="24"/>
        <v>-</v>
      </c>
      <c r="CG13" s="131" t="str">
        <f t="shared" si="25"/>
        <v>-</v>
      </c>
      <c r="CH13" s="151"/>
    </row>
    <row r="14" spans="1:86" s="115" customFormat="1" ht="12.4" customHeight="1" thickBot="1" x14ac:dyDescent="0.25">
      <c r="A14" s="96">
        <f t="shared" si="31"/>
        <v>46306</v>
      </c>
      <c r="B14" s="97" t="str">
        <f>+TEXT(A14,"DDD")</f>
        <v>Sun</v>
      </c>
      <c r="C14" s="98">
        <f>+SUM('Overall without PTP '!C14,'Overall with PTP'!C14)</f>
        <v>0</v>
      </c>
      <c r="D14" s="98">
        <f>+SUM('Overall without PTP '!D14,'Overall with PTP'!D14)</f>
        <v>0</v>
      </c>
      <c r="E14" s="98">
        <f>+SUM('Overall without PTP '!E14,'Overall with PTP'!E14)</f>
        <v>0</v>
      </c>
      <c r="F14" s="98">
        <f>+SUM('Overall without PTP '!F14,'Overall with PTP'!F14)</f>
        <v>0</v>
      </c>
      <c r="G14" s="98">
        <f>+SUM('Overall without PTP '!G14,'Overall with PTP'!G14)</f>
        <v>0</v>
      </c>
      <c r="H14" s="98">
        <f>+SUM('Overall without PTP '!H14,'Overall with PTP'!H14)</f>
        <v>0</v>
      </c>
      <c r="I14" s="98">
        <f>+SUM('Overall without PTP '!I14,'Overall with PTP'!I14)</f>
        <v>0</v>
      </c>
      <c r="J14" s="98">
        <f>+SUM('Overall without PTP '!J14,'Overall with PTP'!J14)</f>
        <v>0</v>
      </c>
      <c r="K14" s="98">
        <f>+SUM('Overall without PTP '!K14,'Overall with PTP'!K14)</f>
        <v>0</v>
      </c>
      <c r="L14" s="98">
        <f>+SUM('Overall without PTP '!L14,'Overall with PTP'!L14)</f>
        <v>0</v>
      </c>
      <c r="M14" s="98">
        <f>+SUM('Overall without PTP '!M14,'Overall with PTP'!M14)</f>
        <v>0</v>
      </c>
      <c r="N14" s="98">
        <f>+SUM('Overall without PTP '!N14,'Overall with PTP'!N14)</f>
        <v>0</v>
      </c>
      <c r="O14" s="98">
        <f>+SUM('Overall without PTP '!O14,'Overall with PTP'!O14)</f>
        <v>0</v>
      </c>
      <c r="P14" s="98">
        <f>+SUM('Overall without PTP '!P14,'Overall with PTP'!P14)</f>
        <v>0</v>
      </c>
      <c r="Q14" s="98">
        <f>+SUM('Overall without PTP '!Q14,'Overall with PTP'!Q14)</f>
        <v>0</v>
      </c>
      <c r="R14" s="98">
        <f>+SUM('Overall without PTP '!R14,'Overall with PTP'!R14)</f>
        <v>0</v>
      </c>
      <c r="S14" s="98">
        <f>+SUM('Overall without PTP '!S14,'Overall with PTP'!S14)</f>
        <v>0</v>
      </c>
      <c r="T14" s="98">
        <f>+SUM('Overall without PTP '!T14,'Overall with PTP'!T14)</f>
        <v>0</v>
      </c>
      <c r="U14" s="60">
        <f>+SUM('Overall without PTP '!U14,'Overall with PTP'!U14)</f>
        <v>0</v>
      </c>
      <c r="V14" s="98">
        <f>+SUM('Overall without PTP '!V14,'Overall with PTP'!V14)</f>
        <v>0</v>
      </c>
      <c r="W14" s="98">
        <f>+SUM('Overall without PTP '!W14,'Overall with PTP'!W14)</f>
        <v>0</v>
      </c>
      <c r="X14" s="98">
        <f>+SUM('Overall without PTP '!X14,'Overall with PTP'!X14)</f>
        <v>0</v>
      </c>
      <c r="Y14" s="98">
        <f>+SUM('Overall without PTP '!Y14,'Overall with PTP'!Y14)</f>
        <v>0</v>
      </c>
      <c r="Z14" s="98">
        <f>+SUM('Overall without PTP '!Z14,'Overall with PTP'!Z14)</f>
        <v>0</v>
      </c>
      <c r="AA14" s="98">
        <f>+SUM('Overall without PTP '!AA14,'Overall with PTP'!AA14)</f>
        <v>0</v>
      </c>
      <c r="AB14" s="98">
        <f>+SUM('Overall without PTP '!AB14,'Overall with PTP'!AB14)</f>
        <v>0</v>
      </c>
      <c r="AC14" s="98">
        <f>+SUM('Overall without PTP '!AC14,'Overall with PTP'!AC14)</f>
        <v>0</v>
      </c>
      <c r="AD14" s="98">
        <f>+SUM('Overall without PTP '!AD14,'Overall with PTP'!AD14)</f>
        <v>0</v>
      </c>
      <c r="AE14" s="98">
        <f>+SUM('Overall without PTP '!AE14,'Overall with PTP'!AE14)</f>
        <v>0</v>
      </c>
      <c r="AF14" s="98">
        <f>+SUM('Overall without PTP '!AF14,'Overall with PTP'!AF14)</f>
        <v>0</v>
      </c>
      <c r="AG14" s="98">
        <f>+SUM('Overall without PTP '!AG14,'Overall with PTP'!AG14)</f>
        <v>0</v>
      </c>
      <c r="AH14" s="98">
        <f>+SUM('Overall without PTP '!AH14,'Overall with PTP'!AH14)</f>
        <v>0</v>
      </c>
      <c r="AI14" s="98">
        <f>+SUM('Overall without PTP '!AI14,'Overall with PTP'!AI14)</f>
        <v>0</v>
      </c>
      <c r="AJ14" s="98">
        <f>+SUM('Overall without PTP '!AJ14,'Overall with PTP'!AJ14)</f>
        <v>0</v>
      </c>
      <c r="AK14" s="98">
        <f>+SUM('Overall without PTP '!AK14,'Overall with PTP'!AK14)</f>
        <v>0</v>
      </c>
      <c r="AL14" s="152" t="str">
        <f>+IFERROR(AVERAGE('Overall without PTP '!AL14,'Overall with PTP'!AL14),"")</f>
        <v/>
      </c>
      <c r="AM14" s="152" t="str">
        <f>+IFERROR(AVERAGE('Overall without PTP '!AM14,'Overall with PTP'!AM14),"")</f>
        <v/>
      </c>
      <c r="AN14" s="152" t="str">
        <f>+IFERROR(AVERAGE('Overall without PTP '!AN14,'Overall with PTP'!AN14),"")</f>
        <v/>
      </c>
      <c r="AO14" s="152" t="str">
        <f>+IFERROR(AVERAGE('Overall without PTP '!AO14,'Overall with PTP'!AO14),"")</f>
        <v/>
      </c>
      <c r="AP14" s="98" t="str">
        <f>+IFERROR(AVERAGE('Overall without PTP '!AP14,'Overall with PTP'!AP14),"")</f>
        <v/>
      </c>
      <c r="AQ14" s="152" t="str">
        <f>+IFERROR(AVERAGE('Overall without PTP '!AQ14,'Overall with PTP'!AQ14),"")</f>
        <v/>
      </c>
      <c r="AR14" s="152" t="str">
        <f>+IFERROR(AVERAGE('Overall without PTP '!AR14,'Overall with PTP'!AR14),"")</f>
        <v/>
      </c>
      <c r="AS14" s="152" t="str">
        <f>+IFERROR(AVERAGE('Overall without PTP '!AS14,'Overall with PTP'!AS14),"")</f>
        <v/>
      </c>
      <c r="AT14" s="98">
        <f>+SUM('Overall without PTP '!AT14,'Overall with PTP'!AT14)</f>
        <v>0</v>
      </c>
      <c r="AU14" s="98">
        <f>+SUM('Overall without PTP '!AU14,'Overall with PTP'!AU14)</f>
        <v>0</v>
      </c>
      <c r="AV14" s="98">
        <f>+SUM('Overall without PTP '!AV14,'Overall with PTP'!AV14)</f>
        <v>0</v>
      </c>
      <c r="AW14" s="167">
        <f>+IFERROR(AVERAGE(EL_DEL_CD2_JO_!AW14,EL_DEL_CD2_PTP_!AW14,EL_DEL_CD2_SBI_1_4_!AW14,EL_DEL_CD2_SBI_5_6_!AW14,EL_DEL_CD2_SBI_7_8_!AW14,EL_DEL_CD2_SBI_9_10_!AW14,EL_DEL_CD2_STAB_!AW14,EL_DEL_CD1_WST_PTP_!AW14,EL_DEL_CD1_NTH_PTP_!AW14,EL_DEL_CD1_STH_PTP_!AW14,EL_DEL_CD1_1D4P_PTP_!AW14,EL_DEL_CD1_8D_PTP_!AW14,EL_DEL_CD2_JO_L_!AW14,EL_DEL_CD2_PTP_L_!AW14,EL_DEL_CD2_SBI_L_1_4_!AW14,EL_DEL_CD2_SBI_L_5_6_!AW14,EL_DEL_CD2_SBI_L_7_8_!AW14,EL_DEL_CD2_SBI_L_9_10_!AW14,EL_DEL_CD2_L_STAB_!AW14),0)</f>
        <v>0</v>
      </c>
      <c r="AX14" s="102" t="str">
        <f t="shared" si="26"/>
        <v>-</v>
      </c>
      <c r="AY14" s="151"/>
      <c r="AZ14" s="116" t="str">
        <f t="shared" si="2"/>
        <v/>
      </c>
      <c r="BA14" s="117" t="str">
        <f t="shared" si="3"/>
        <v/>
      </c>
      <c r="BB14" s="116" t="str">
        <f t="shared" si="4"/>
        <v/>
      </c>
      <c r="BC14" s="151"/>
      <c r="BD14" s="159" t="str">
        <f t="shared" si="5"/>
        <v/>
      </c>
      <c r="BE14" s="160" t="str">
        <f t="shared" si="6"/>
        <v/>
      </c>
      <c r="BF14" s="160" t="str">
        <f t="shared" si="7"/>
        <v/>
      </c>
      <c r="BG14" s="160" t="str">
        <f t="shared" si="8"/>
        <v/>
      </c>
      <c r="BH14" s="160" t="str">
        <f t="shared" si="9"/>
        <v/>
      </c>
      <c r="BI14" s="161" t="str">
        <f t="shared" si="27"/>
        <v/>
      </c>
      <c r="BJ14" s="151"/>
      <c r="BK14" s="162" t="str">
        <f t="shared" si="10"/>
        <v/>
      </c>
      <c r="BL14" s="163" t="str">
        <f t="shared" si="11"/>
        <v/>
      </c>
      <c r="BM14" s="163" t="str">
        <f t="shared" si="12"/>
        <v/>
      </c>
      <c r="BN14" s="164" t="str">
        <f t="shared" si="13"/>
        <v/>
      </c>
      <c r="BO14" s="151"/>
      <c r="BP14" s="124" t="str">
        <f t="shared" si="14"/>
        <v/>
      </c>
      <c r="BQ14" s="125">
        <v>0</v>
      </c>
      <c r="BR14" s="125" t="str">
        <f t="shared" si="15"/>
        <v/>
      </c>
      <c r="BS14" s="125" t="str">
        <f t="shared" si="28"/>
        <v/>
      </c>
      <c r="BT14" s="126" t="str">
        <f t="shared" si="16"/>
        <v/>
      </c>
      <c r="BU14" s="151"/>
      <c r="BV14" s="165" t="e">
        <f t="shared" si="17"/>
        <v>#VALUE!</v>
      </c>
      <c r="BW14" s="165" t="e">
        <f t="shared" si="18"/>
        <v>#VALUE!</v>
      </c>
      <c r="BX14" s="165" t="e">
        <f t="shared" si="19"/>
        <v>#VALUE!</v>
      </c>
      <c r="BY14" s="165" t="e">
        <f t="shared" si="20"/>
        <v>#VALUE!</v>
      </c>
      <c r="BZ14" s="165" t="e">
        <f t="shared" si="29"/>
        <v>#VALUE!</v>
      </c>
      <c r="CA14" s="166" t="e">
        <f t="shared" si="30"/>
        <v>#VALUE!</v>
      </c>
      <c r="CB14" s="151"/>
      <c r="CC14" s="129" t="str">
        <f t="shared" si="21"/>
        <v>-</v>
      </c>
      <c r="CD14" s="130" t="str">
        <f t="shared" si="22"/>
        <v>-</v>
      </c>
      <c r="CE14" s="130" t="str">
        <f t="shared" si="23"/>
        <v>-</v>
      </c>
      <c r="CF14" s="130" t="str">
        <f t="shared" si="24"/>
        <v>-</v>
      </c>
      <c r="CG14" s="131" t="str">
        <f t="shared" si="25"/>
        <v>-</v>
      </c>
      <c r="CH14" s="151"/>
    </row>
    <row r="15" spans="1:86" s="115" customFormat="1" ht="12.4" customHeight="1" thickBot="1" x14ac:dyDescent="0.25">
      <c r="A15" s="96">
        <f t="shared" si="31"/>
        <v>46307</v>
      </c>
      <c r="B15" s="97" t="str">
        <f>+TEXT(A15,"DDD")</f>
        <v>Mon</v>
      </c>
      <c r="C15" s="98">
        <f>+SUM('Overall without PTP '!C15,'Overall with PTP'!C15)</f>
        <v>0</v>
      </c>
      <c r="D15" s="98">
        <f>+SUM('Overall without PTP '!D15,'Overall with PTP'!D15)</f>
        <v>0</v>
      </c>
      <c r="E15" s="98">
        <f>+SUM('Overall without PTP '!E15,'Overall with PTP'!E15)</f>
        <v>0</v>
      </c>
      <c r="F15" s="98">
        <f>+SUM('Overall without PTP '!F15,'Overall with PTP'!F15)</f>
        <v>0</v>
      </c>
      <c r="G15" s="98">
        <f>+SUM('Overall without PTP '!G15,'Overall with PTP'!G15)</f>
        <v>0</v>
      </c>
      <c r="H15" s="98">
        <f>+SUM('Overall without PTP '!H15,'Overall with PTP'!H15)</f>
        <v>0</v>
      </c>
      <c r="I15" s="98">
        <f>+SUM('Overall without PTP '!I15,'Overall with PTP'!I15)</f>
        <v>0</v>
      </c>
      <c r="J15" s="98">
        <f>+SUM('Overall without PTP '!J15,'Overall with PTP'!J15)</f>
        <v>0</v>
      </c>
      <c r="K15" s="98">
        <f>+SUM('Overall without PTP '!K15,'Overall with PTP'!K15)</f>
        <v>0</v>
      </c>
      <c r="L15" s="98">
        <f>+SUM('Overall without PTP '!L15,'Overall with PTP'!L15)</f>
        <v>0</v>
      </c>
      <c r="M15" s="98">
        <f>+SUM('Overall without PTP '!M15,'Overall with PTP'!M15)</f>
        <v>0</v>
      </c>
      <c r="N15" s="98">
        <f>+SUM('Overall without PTP '!N15,'Overall with PTP'!N15)</f>
        <v>0</v>
      </c>
      <c r="O15" s="98">
        <f>+SUM('Overall without PTP '!O15,'Overall with PTP'!O15)</f>
        <v>0</v>
      </c>
      <c r="P15" s="98">
        <f>+SUM('Overall without PTP '!P15,'Overall with PTP'!P15)</f>
        <v>0</v>
      </c>
      <c r="Q15" s="98">
        <f>+SUM('Overall without PTP '!Q15,'Overall with PTP'!Q15)</f>
        <v>0</v>
      </c>
      <c r="R15" s="98">
        <f>+SUM('Overall without PTP '!R15,'Overall with PTP'!R15)</f>
        <v>0</v>
      </c>
      <c r="S15" s="98">
        <f>+SUM('Overall without PTP '!S15,'Overall with PTP'!S15)</f>
        <v>0</v>
      </c>
      <c r="T15" s="98">
        <f>+SUM('Overall without PTP '!T15,'Overall with PTP'!T15)</f>
        <v>0</v>
      </c>
      <c r="U15" s="60">
        <f>+SUM('Overall without PTP '!U15,'Overall with PTP'!U15)</f>
        <v>0</v>
      </c>
      <c r="V15" s="98">
        <f>+SUM('Overall without PTP '!V15,'Overall with PTP'!V15)</f>
        <v>0</v>
      </c>
      <c r="W15" s="98">
        <f>+SUM('Overall without PTP '!W15,'Overall with PTP'!W15)</f>
        <v>0</v>
      </c>
      <c r="X15" s="98">
        <f>+SUM('Overall without PTP '!X15,'Overall with PTP'!X15)</f>
        <v>0</v>
      </c>
      <c r="Y15" s="98">
        <f>+SUM('Overall without PTP '!Y15,'Overall with PTP'!Y15)</f>
        <v>0</v>
      </c>
      <c r="Z15" s="98">
        <f>+SUM('Overall without PTP '!Z15,'Overall with PTP'!Z15)</f>
        <v>0</v>
      </c>
      <c r="AA15" s="98">
        <f>+SUM('Overall without PTP '!AA15,'Overall with PTP'!AA15)</f>
        <v>0</v>
      </c>
      <c r="AB15" s="98">
        <f>+SUM('Overall without PTP '!AB15,'Overall with PTP'!AB15)</f>
        <v>0</v>
      </c>
      <c r="AC15" s="98">
        <f>+SUM('Overall without PTP '!AC15,'Overall with PTP'!AC15)</f>
        <v>0</v>
      </c>
      <c r="AD15" s="98">
        <f>+SUM('Overall without PTP '!AD15,'Overall with PTP'!AD15)</f>
        <v>0</v>
      </c>
      <c r="AE15" s="98">
        <f>+SUM('Overall without PTP '!AE15,'Overall with PTP'!AE15)</f>
        <v>0</v>
      </c>
      <c r="AF15" s="98">
        <f>+SUM('Overall without PTP '!AF15,'Overall with PTP'!AF15)</f>
        <v>0</v>
      </c>
      <c r="AG15" s="98">
        <f>+SUM('Overall without PTP '!AG15,'Overall with PTP'!AG15)</f>
        <v>0</v>
      </c>
      <c r="AH15" s="98">
        <f>+SUM('Overall without PTP '!AH15,'Overall with PTP'!AH15)</f>
        <v>0</v>
      </c>
      <c r="AI15" s="98">
        <f>+SUM('Overall without PTP '!AI15,'Overall with PTP'!AI15)</f>
        <v>0</v>
      </c>
      <c r="AJ15" s="98">
        <f>+SUM('Overall without PTP '!AJ15,'Overall with PTP'!AJ15)</f>
        <v>0</v>
      </c>
      <c r="AK15" s="98">
        <f>+SUM('Overall without PTP '!AK15,'Overall with PTP'!AK15)</f>
        <v>0</v>
      </c>
      <c r="AL15" s="152" t="str">
        <f>+IFERROR(AVERAGE('Overall without PTP '!AL15,'Overall with PTP'!AL15),"")</f>
        <v/>
      </c>
      <c r="AM15" s="152" t="str">
        <f>+IFERROR(AVERAGE('Overall without PTP '!AM15,'Overall with PTP'!AM15),"")</f>
        <v/>
      </c>
      <c r="AN15" s="152" t="str">
        <f>+IFERROR(AVERAGE('Overall without PTP '!AN15,'Overall with PTP'!AN15),"")</f>
        <v/>
      </c>
      <c r="AO15" s="152" t="str">
        <f>+IFERROR(AVERAGE('Overall without PTP '!AO15,'Overall with PTP'!AO15),"")</f>
        <v/>
      </c>
      <c r="AP15" s="98" t="str">
        <f>+IFERROR(AVERAGE('Overall without PTP '!AP15,'Overall with PTP'!AP15),"")</f>
        <v/>
      </c>
      <c r="AQ15" s="152" t="str">
        <f>+IFERROR(AVERAGE('Overall without PTP '!AQ15,'Overall with PTP'!AQ15),"")</f>
        <v/>
      </c>
      <c r="AR15" s="152" t="str">
        <f>+IFERROR(AVERAGE('Overall without PTP '!AR15,'Overall with PTP'!AR15),"")</f>
        <v/>
      </c>
      <c r="AS15" s="152" t="str">
        <f>+IFERROR(AVERAGE('Overall without PTP '!AS15,'Overall with PTP'!AS15),"")</f>
        <v/>
      </c>
      <c r="AT15" s="98">
        <f>+SUM('Overall without PTP '!AT15,'Overall with PTP'!AT15)</f>
        <v>0</v>
      </c>
      <c r="AU15" s="98">
        <f>+SUM('Overall without PTP '!AU15,'Overall with PTP'!AU15)</f>
        <v>0</v>
      </c>
      <c r="AV15" s="98">
        <f>+SUM('Overall without PTP '!AV15,'Overall with PTP'!AV15)</f>
        <v>0</v>
      </c>
      <c r="AW15" s="167">
        <f>+IFERROR(AVERAGE(EL_DEL_CD2_JO_!AW15,EL_DEL_CD2_PTP_!AW15,EL_DEL_CD2_SBI_1_4_!AW15,EL_DEL_CD2_SBI_5_6_!AW15,EL_DEL_CD2_SBI_7_8_!AW15,EL_DEL_CD2_SBI_9_10_!AW15,EL_DEL_CD2_STAB_!AW15,EL_DEL_CD1_WST_PTP_!AW15,EL_DEL_CD1_NTH_PTP_!AW15,EL_DEL_CD1_STH_PTP_!AW15,EL_DEL_CD1_1D4P_PTP_!AW15,EL_DEL_CD1_8D_PTP_!AW15,EL_DEL_CD2_JO_L_!AW15,EL_DEL_CD2_PTP_L_!AW15,EL_DEL_CD2_SBI_L_1_4_!AW15,EL_DEL_CD2_SBI_L_5_6_!AW15,EL_DEL_CD2_SBI_L_7_8_!AW15,EL_DEL_CD2_SBI_L_9_10_!AW15,EL_DEL_CD2_L_STAB_!AW15),0)</f>
        <v>0</v>
      </c>
      <c r="AX15" s="102" t="str">
        <f t="shared" si="26"/>
        <v>-</v>
      </c>
      <c r="AY15" s="151"/>
      <c r="AZ15" s="116" t="str">
        <f t="shared" si="2"/>
        <v/>
      </c>
      <c r="BA15" s="117" t="str">
        <f t="shared" si="3"/>
        <v/>
      </c>
      <c r="BB15" s="116" t="str">
        <f t="shared" si="4"/>
        <v/>
      </c>
      <c r="BC15" s="151"/>
      <c r="BD15" s="159" t="str">
        <f t="shared" si="5"/>
        <v/>
      </c>
      <c r="BE15" s="160" t="str">
        <f t="shared" si="6"/>
        <v/>
      </c>
      <c r="BF15" s="160" t="str">
        <f t="shared" si="7"/>
        <v/>
      </c>
      <c r="BG15" s="160" t="str">
        <f t="shared" si="8"/>
        <v/>
      </c>
      <c r="BH15" s="160" t="str">
        <f t="shared" si="9"/>
        <v/>
      </c>
      <c r="BI15" s="161" t="str">
        <f t="shared" si="27"/>
        <v/>
      </c>
      <c r="BJ15" s="151"/>
      <c r="BK15" s="162" t="str">
        <f t="shared" si="10"/>
        <v/>
      </c>
      <c r="BL15" s="163" t="str">
        <f t="shared" si="11"/>
        <v/>
      </c>
      <c r="BM15" s="163" t="str">
        <f t="shared" si="12"/>
        <v/>
      </c>
      <c r="BN15" s="164" t="str">
        <f t="shared" si="13"/>
        <v/>
      </c>
      <c r="BO15" s="151"/>
      <c r="BP15" s="124" t="str">
        <f t="shared" si="14"/>
        <v/>
      </c>
      <c r="BQ15" s="125">
        <v>0</v>
      </c>
      <c r="BR15" s="125" t="str">
        <f t="shared" si="15"/>
        <v/>
      </c>
      <c r="BS15" s="125" t="str">
        <f t="shared" si="28"/>
        <v/>
      </c>
      <c r="BT15" s="126" t="str">
        <f t="shared" si="16"/>
        <v/>
      </c>
      <c r="BU15" s="151"/>
      <c r="BV15" s="165" t="e">
        <f t="shared" si="17"/>
        <v>#VALUE!</v>
      </c>
      <c r="BW15" s="165" t="e">
        <f t="shared" si="18"/>
        <v>#VALUE!</v>
      </c>
      <c r="BX15" s="165" t="e">
        <f t="shared" si="19"/>
        <v>#VALUE!</v>
      </c>
      <c r="BY15" s="165" t="e">
        <f t="shared" si="20"/>
        <v>#VALUE!</v>
      </c>
      <c r="BZ15" s="165" t="e">
        <f t="shared" si="29"/>
        <v>#VALUE!</v>
      </c>
      <c r="CA15" s="166" t="e">
        <f t="shared" si="30"/>
        <v>#VALUE!</v>
      </c>
      <c r="CB15" s="151"/>
      <c r="CC15" s="129" t="str">
        <f t="shared" si="21"/>
        <v>-</v>
      </c>
      <c r="CD15" s="130" t="str">
        <f t="shared" si="22"/>
        <v>-</v>
      </c>
      <c r="CE15" s="130" t="str">
        <f t="shared" si="23"/>
        <v>-</v>
      </c>
      <c r="CF15" s="130" t="str">
        <f t="shared" si="24"/>
        <v>-</v>
      </c>
      <c r="CG15" s="131" t="str">
        <f t="shared" si="25"/>
        <v>-</v>
      </c>
      <c r="CH15" s="151"/>
    </row>
    <row r="16" spans="1:86" s="115" customFormat="1" ht="12.4" customHeight="1" thickBot="1" x14ac:dyDescent="0.25">
      <c r="A16" s="96">
        <f t="shared" si="31"/>
        <v>46308</v>
      </c>
      <c r="B16" s="97" t="str">
        <f>+TEXT(A16,"DDD")</f>
        <v>Tue</v>
      </c>
      <c r="C16" s="98">
        <f>+SUM('Overall without PTP '!C16,'Overall with PTP'!C16)</f>
        <v>0</v>
      </c>
      <c r="D16" s="98">
        <f>+SUM('Overall without PTP '!D16,'Overall with PTP'!D16)</f>
        <v>0</v>
      </c>
      <c r="E16" s="98">
        <f>+SUM('Overall without PTP '!E16,'Overall with PTP'!E16)</f>
        <v>0</v>
      </c>
      <c r="F16" s="98">
        <f>+SUM('Overall without PTP '!F16,'Overall with PTP'!F16)</f>
        <v>0</v>
      </c>
      <c r="G16" s="98">
        <f>+SUM('Overall without PTP '!G16,'Overall with PTP'!G16)</f>
        <v>0</v>
      </c>
      <c r="H16" s="98">
        <f>+SUM('Overall without PTP '!H16,'Overall with PTP'!H16)</f>
        <v>0</v>
      </c>
      <c r="I16" s="98">
        <f>+SUM('Overall without PTP '!I16,'Overall with PTP'!I16)</f>
        <v>0</v>
      </c>
      <c r="J16" s="98">
        <f>+SUM('Overall without PTP '!J16,'Overall with PTP'!J16)</f>
        <v>0</v>
      </c>
      <c r="K16" s="98">
        <f>+SUM('Overall without PTP '!K16,'Overall with PTP'!K16)</f>
        <v>0</v>
      </c>
      <c r="L16" s="98">
        <f>+SUM('Overall without PTP '!L16,'Overall with PTP'!L16)</f>
        <v>0</v>
      </c>
      <c r="M16" s="98">
        <f>+SUM('Overall without PTP '!M16,'Overall with PTP'!M16)</f>
        <v>0</v>
      </c>
      <c r="N16" s="98">
        <f>+SUM('Overall without PTP '!N16,'Overall with PTP'!N16)</f>
        <v>0</v>
      </c>
      <c r="O16" s="98">
        <f>+SUM('Overall without PTP '!O16,'Overall with PTP'!O16)</f>
        <v>0</v>
      </c>
      <c r="P16" s="98">
        <f>+SUM('Overall without PTP '!P16,'Overall with PTP'!P16)</f>
        <v>0</v>
      </c>
      <c r="Q16" s="98">
        <f>+SUM('Overall without PTP '!Q16,'Overall with PTP'!Q16)</f>
        <v>0</v>
      </c>
      <c r="R16" s="98">
        <f>+SUM('Overall without PTP '!R16,'Overall with PTP'!R16)</f>
        <v>0</v>
      </c>
      <c r="S16" s="98">
        <f>+SUM('Overall without PTP '!S16,'Overall with PTP'!S16)</f>
        <v>0</v>
      </c>
      <c r="T16" s="98">
        <f>+SUM('Overall without PTP '!T16,'Overall with PTP'!T16)</f>
        <v>0</v>
      </c>
      <c r="U16" s="60">
        <f>+SUM('Overall without PTP '!U16,'Overall with PTP'!U16)</f>
        <v>0</v>
      </c>
      <c r="V16" s="98">
        <f>+SUM('Overall without PTP '!V16,'Overall with PTP'!V16)</f>
        <v>0</v>
      </c>
      <c r="W16" s="98">
        <f>+SUM('Overall without PTP '!W16,'Overall with PTP'!W16)</f>
        <v>0</v>
      </c>
      <c r="X16" s="98">
        <f>+SUM('Overall without PTP '!X16,'Overall with PTP'!X16)</f>
        <v>0</v>
      </c>
      <c r="Y16" s="98">
        <f>+SUM('Overall without PTP '!Y16,'Overall with PTP'!Y16)</f>
        <v>0</v>
      </c>
      <c r="Z16" s="98">
        <f>+SUM('Overall without PTP '!Z16,'Overall with PTP'!Z16)</f>
        <v>0</v>
      </c>
      <c r="AA16" s="98">
        <f>+SUM('Overall without PTP '!AA16,'Overall with PTP'!AA16)</f>
        <v>0</v>
      </c>
      <c r="AB16" s="98">
        <f>+SUM('Overall without PTP '!AB16,'Overall with PTP'!AB16)</f>
        <v>0</v>
      </c>
      <c r="AC16" s="98">
        <f>+SUM('Overall without PTP '!AC16,'Overall with PTP'!AC16)</f>
        <v>0</v>
      </c>
      <c r="AD16" s="98">
        <f>+SUM('Overall without PTP '!AD16,'Overall with PTP'!AD16)</f>
        <v>0</v>
      </c>
      <c r="AE16" s="98">
        <f>+SUM('Overall without PTP '!AE16,'Overall with PTP'!AE16)</f>
        <v>0</v>
      </c>
      <c r="AF16" s="98">
        <f>+SUM('Overall without PTP '!AF16,'Overall with PTP'!AF16)</f>
        <v>0</v>
      </c>
      <c r="AG16" s="98">
        <f>+SUM('Overall without PTP '!AG16,'Overall with PTP'!AG16)</f>
        <v>0</v>
      </c>
      <c r="AH16" s="98">
        <f>+SUM('Overall without PTP '!AH16,'Overall with PTP'!AH16)</f>
        <v>0</v>
      </c>
      <c r="AI16" s="98">
        <f>+SUM('Overall without PTP '!AI16,'Overall with PTP'!AI16)</f>
        <v>0</v>
      </c>
      <c r="AJ16" s="98">
        <f>+SUM('Overall without PTP '!AJ16,'Overall with PTP'!AJ16)</f>
        <v>0</v>
      </c>
      <c r="AK16" s="98">
        <f>+SUM('Overall without PTP '!AK16,'Overall with PTP'!AK16)</f>
        <v>0</v>
      </c>
      <c r="AL16" s="152" t="str">
        <f>+IFERROR(AVERAGE('Overall without PTP '!AL16,'Overall with PTP'!AL16),"")</f>
        <v/>
      </c>
      <c r="AM16" s="152" t="str">
        <f>+IFERROR(AVERAGE('Overall without PTP '!AM16,'Overall with PTP'!AM16),"")</f>
        <v/>
      </c>
      <c r="AN16" s="152" t="str">
        <f>+IFERROR(AVERAGE('Overall without PTP '!AN16,'Overall with PTP'!AN16),"")</f>
        <v/>
      </c>
      <c r="AO16" s="152" t="str">
        <f>+IFERROR(AVERAGE('Overall without PTP '!AO16,'Overall with PTP'!AO16),"")</f>
        <v/>
      </c>
      <c r="AP16" s="98" t="str">
        <f>+IFERROR(AVERAGE('Overall without PTP '!AP16,'Overall with PTP'!AP16),"")</f>
        <v/>
      </c>
      <c r="AQ16" s="152" t="str">
        <f>+IFERROR(AVERAGE('Overall without PTP '!AQ16,'Overall with PTP'!AQ16),"")</f>
        <v/>
      </c>
      <c r="AR16" s="152" t="str">
        <f>+IFERROR(AVERAGE('Overall without PTP '!AR16,'Overall with PTP'!AR16),"")</f>
        <v/>
      </c>
      <c r="AS16" s="152" t="str">
        <f>+IFERROR(AVERAGE('Overall without PTP '!AS16,'Overall with PTP'!AS16),"")</f>
        <v/>
      </c>
      <c r="AT16" s="98">
        <f>+SUM('Overall without PTP '!AT16,'Overall with PTP'!AT16)</f>
        <v>0</v>
      </c>
      <c r="AU16" s="98">
        <f>+SUM('Overall without PTP '!AU16,'Overall with PTP'!AU16)</f>
        <v>0</v>
      </c>
      <c r="AV16" s="98">
        <f>+SUM('Overall without PTP '!AV16,'Overall with PTP'!AV16)</f>
        <v>0</v>
      </c>
      <c r="AW16" s="167">
        <f>+IFERROR(AVERAGE(EL_DEL_CD2_JO_!AW16,EL_DEL_CD2_PTP_!AW16,EL_DEL_CD2_SBI_1_4_!AW16,EL_DEL_CD2_SBI_5_6_!AW16,EL_DEL_CD2_SBI_7_8_!AW16,EL_DEL_CD2_SBI_9_10_!AW16,EL_DEL_CD2_STAB_!AW16,EL_DEL_CD1_WST_PTP_!AW16,EL_DEL_CD1_NTH_PTP_!AW16,EL_DEL_CD1_STH_PTP_!AW16,EL_DEL_CD1_1D4P_PTP_!AW16,EL_DEL_CD1_8D_PTP_!AW16,EL_DEL_CD2_JO_L_!AW16,EL_DEL_CD2_PTP_L_!AW16,EL_DEL_CD2_SBI_L_1_4_!AW16,EL_DEL_CD2_SBI_L_5_6_!AW16,EL_DEL_CD2_SBI_L_7_8_!AW16,EL_DEL_CD2_SBI_L_9_10_!AW16,EL_DEL_CD2_L_STAB_!AW16),0)</f>
        <v>0</v>
      </c>
      <c r="AX16" s="102" t="str">
        <f t="shared" si="26"/>
        <v>-</v>
      </c>
      <c r="AY16" s="151"/>
      <c r="AZ16" s="116" t="str">
        <f t="shared" si="2"/>
        <v/>
      </c>
      <c r="BA16" s="117" t="str">
        <f t="shared" si="3"/>
        <v/>
      </c>
      <c r="BB16" s="116" t="str">
        <f t="shared" si="4"/>
        <v/>
      </c>
      <c r="BC16" s="151"/>
      <c r="BD16" s="159" t="str">
        <f t="shared" si="5"/>
        <v/>
      </c>
      <c r="BE16" s="160" t="str">
        <f t="shared" si="6"/>
        <v/>
      </c>
      <c r="BF16" s="160" t="str">
        <f t="shared" si="7"/>
        <v/>
      </c>
      <c r="BG16" s="160" t="str">
        <f t="shared" si="8"/>
        <v/>
      </c>
      <c r="BH16" s="160" t="str">
        <f t="shared" si="9"/>
        <v/>
      </c>
      <c r="BI16" s="161" t="str">
        <f t="shared" si="27"/>
        <v/>
      </c>
      <c r="BJ16" s="151"/>
      <c r="BK16" s="162" t="str">
        <f t="shared" si="10"/>
        <v/>
      </c>
      <c r="BL16" s="163" t="str">
        <f t="shared" si="11"/>
        <v/>
      </c>
      <c r="BM16" s="163" t="str">
        <f t="shared" si="12"/>
        <v/>
      </c>
      <c r="BN16" s="164" t="str">
        <f t="shared" si="13"/>
        <v/>
      </c>
      <c r="BO16" s="151"/>
      <c r="BP16" s="124" t="str">
        <f t="shared" si="14"/>
        <v/>
      </c>
      <c r="BQ16" s="125">
        <v>0</v>
      </c>
      <c r="BR16" s="125" t="str">
        <f t="shared" si="15"/>
        <v/>
      </c>
      <c r="BS16" s="125" t="str">
        <f t="shared" si="28"/>
        <v/>
      </c>
      <c r="BT16" s="126" t="str">
        <f t="shared" si="16"/>
        <v/>
      </c>
      <c r="BU16" s="151"/>
      <c r="BV16" s="165" t="e">
        <f t="shared" si="17"/>
        <v>#VALUE!</v>
      </c>
      <c r="BW16" s="165" t="e">
        <f t="shared" si="18"/>
        <v>#VALUE!</v>
      </c>
      <c r="BX16" s="165" t="e">
        <f t="shared" si="19"/>
        <v>#VALUE!</v>
      </c>
      <c r="BY16" s="165" t="e">
        <f t="shared" si="20"/>
        <v>#VALUE!</v>
      </c>
      <c r="BZ16" s="165" t="e">
        <f t="shared" si="29"/>
        <v>#VALUE!</v>
      </c>
      <c r="CA16" s="166" t="e">
        <f t="shared" si="30"/>
        <v>#VALUE!</v>
      </c>
      <c r="CB16" s="151"/>
      <c r="CC16" s="129" t="str">
        <f t="shared" si="21"/>
        <v>-</v>
      </c>
      <c r="CD16" s="130" t="str">
        <f t="shared" si="22"/>
        <v>-</v>
      </c>
      <c r="CE16" s="130" t="str">
        <f t="shared" si="23"/>
        <v>-</v>
      </c>
      <c r="CF16" s="130" t="str">
        <f t="shared" si="24"/>
        <v>-</v>
      </c>
      <c r="CG16" s="131" t="str">
        <f t="shared" si="25"/>
        <v>-</v>
      </c>
      <c r="CH16" s="151"/>
    </row>
    <row r="17" spans="1:86" s="115" customFormat="1" ht="12.4" customHeight="1" thickBot="1" x14ac:dyDescent="0.25">
      <c r="A17" s="96">
        <f t="shared" si="31"/>
        <v>46309</v>
      </c>
      <c r="B17" s="97" t="str">
        <f t="shared" si="0"/>
        <v>Wed</v>
      </c>
      <c r="C17" s="98">
        <f>+SUM('Overall without PTP '!C17,'Overall with PTP'!C17)</f>
        <v>0</v>
      </c>
      <c r="D17" s="98">
        <f>+SUM('Overall without PTP '!D17,'Overall with PTP'!D17)</f>
        <v>0</v>
      </c>
      <c r="E17" s="98">
        <f>+SUM('Overall without PTP '!E17,'Overall with PTP'!E17)</f>
        <v>0</v>
      </c>
      <c r="F17" s="98">
        <f>+SUM('Overall without PTP '!F17,'Overall with PTP'!F17)</f>
        <v>0</v>
      </c>
      <c r="G17" s="98">
        <f>+SUM('Overall without PTP '!G17,'Overall with PTP'!G17)</f>
        <v>0</v>
      </c>
      <c r="H17" s="98">
        <f>+SUM('Overall without PTP '!H17,'Overall with PTP'!H17)</f>
        <v>0</v>
      </c>
      <c r="I17" s="98">
        <f>+SUM('Overall without PTP '!I17,'Overall with PTP'!I17)</f>
        <v>0</v>
      </c>
      <c r="J17" s="98">
        <f>+SUM('Overall without PTP '!J17,'Overall with PTP'!J17)</f>
        <v>0</v>
      </c>
      <c r="K17" s="98">
        <f>+SUM('Overall without PTP '!K17,'Overall with PTP'!K17)</f>
        <v>0</v>
      </c>
      <c r="L17" s="98">
        <f>+SUM('Overall without PTP '!L17,'Overall with PTP'!L17)</f>
        <v>0</v>
      </c>
      <c r="M17" s="98">
        <f>+SUM('Overall without PTP '!M17,'Overall with PTP'!M17)</f>
        <v>0</v>
      </c>
      <c r="N17" s="98">
        <f>+SUM('Overall without PTP '!N17,'Overall with PTP'!N17)</f>
        <v>0</v>
      </c>
      <c r="O17" s="98">
        <f>+SUM('Overall without PTP '!O17,'Overall with PTP'!O17)</f>
        <v>0</v>
      </c>
      <c r="P17" s="98">
        <f>+SUM('Overall without PTP '!P17,'Overall with PTP'!P17)</f>
        <v>0</v>
      </c>
      <c r="Q17" s="98">
        <f>+SUM('Overall without PTP '!Q17,'Overall with PTP'!Q17)</f>
        <v>0</v>
      </c>
      <c r="R17" s="98">
        <f>+SUM('Overall without PTP '!R17,'Overall with PTP'!R17)</f>
        <v>0</v>
      </c>
      <c r="S17" s="98">
        <f>+SUM('Overall without PTP '!S17,'Overall with PTP'!S17)</f>
        <v>0</v>
      </c>
      <c r="T17" s="98">
        <f>+SUM('Overall without PTP '!T17,'Overall with PTP'!T17)</f>
        <v>0</v>
      </c>
      <c r="U17" s="60">
        <f>+SUM('Overall without PTP '!U17,'Overall with PTP'!U17)</f>
        <v>0</v>
      </c>
      <c r="V17" s="98">
        <f>+SUM('Overall without PTP '!V17,'Overall with PTP'!V17)</f>
        <v>0</v>
      </c>
      <c r="W17" s="98">
        <f>+SUM('Overall without PTP '!W17,'Overall with PTP'!W17)</f>
        <v>0</v>
      </c>
      <c r="X17" s="98">
        <f>+SUM('Overall without PTP '!X17,'Overall with PTP'!X17)</f>
        <v>0</v>
      </c>
      <c r="Y17" s="98">
        <f>+SUM('Overall without PTP '!Y17,'Overall with PTP'!Y17)</f>
        <v>0</v>
      </c>
      <c r="Z17" s="98">
        <f>+SUM('Overall without PTP '!Z17,'Overall with PTP'!Z17)</f>
        <v>0</v>
      </c>
      <c r="AA17" s="98">
        <f>+SUM('Overall without PTP '!AA17,'Overall with PTP'!AA17)</f>
        <v>0</v>
      </c>
      <c r="AB17" s="98">
        <f>+SUM('Overall without PTP '!AB17,'Overall with PTP'!AB17)</f>
        <v>0</v>
      </c>
      <c r="AC17" s="98">
        <f>+SUM('Overall without PTP '!AC17,'Overall with PTP'!AC17)</f>
        <v>0</v>
      </c>
      <c r="AD17" s="98">
        <f>+SUM('Overall without PTP '!AD17,'Overall with PTP'!AD17)</f>
        <v>0</v>
      </c>
      <c r="AE17" s="98">
        <f>+SUM('Overall without PTP '!AE17,'Overall with PTP'!AE17)</f>
        <v>0</v>
      </c>
      <c r="AF17" s="98">
        <f>+SUM('Overall without PTP '!AF17,'Overall with PTP'!AF17)</f>
        <v>0</v>
      </c>
      <c r="AG17" s="98">
        <f>+SUM('Overall without PTP '!AG17,'Overall with PTP'!AG17)</f>
        <v>0</v>
      </c>
      <c r="AH17" s="98">
        <f>+SUM('Overall without PTP '!AH17,'Overall with PTP'!AH17)</f>
        <v>0</v>
      </c>
      <c r="AI17" s="98">
        <f>+SUM('Overall without PTP '!AI17,'Overall with PTP'!AI17)</f>
        <v>0</v>
      </c>
      <c r="AJ17" s="98">
        <f>+SUM('Overall without PTP '!AJ17,'Overall with PTP'!AJ17)</f>
        <v>0</v>
      </c>
      <c r="AK17" s="98">
        <f>+SUM('Overall without PTP '!AK17,'Overall with PTP'!AK17)</f>
        <v>0</v>
      </c>
      <c r="AL17" s="152" t="str">
        <f>+IFERROR(AVERAGE('Overall without PTP '!AL17,'Overall with PTP'!AL17),"")</f>
        <v/>
      </c>
      <c r="AM17" s="152" t="str">
        <f>+IFERROR(AVERAGE('Overall without PTP '!AM17,'Overall with PTP'!AM17),"")</f>
        <v/>
      </c>
      <c r="AN17" s="152" t="str">
        <f>+IFERROR(AVERAGE('Overall without PTP '!AN17,'Overall with PTP'!AN17),"")</f>
        <v/>
      </c>
      <c r="AO17" s="152" t="str">
        <f>+IFERROR(AVERAGE('Overall without PTP '!AO17,'Overall with PTP'!AO17),"")</f>
        <v/>
      </c>
      <c r="AP17" s="98" t="str">
        <f>+IFERROR(AVERAGE('Overall without PTP '!AP17,'Overall with PTP'!AP17),"")</f>
        <v/>
      </c>
      <c r="AQ17" s="152" t="str">
        <f>+IFERROR(AVERAGE('Overall without PTP '!AQ17,'Overall with PTP'!AQ17),"")</f>
        <v/>
      </c>
      <c r="AR17" s="152" t="str">
        <f>+IFERROR(AVERAGE('Overall without PTP '!AR17,'Overall with PTP'!AR17),"")</f>
        <v/>
      </c>
      <c r="AS17" s="152" t="str">
        <f>+IFERROR(AVERAGE('Overall without PTP '!AS17,'Overall with PTP'!AS17),"")</f>
        <v/>
      </c>
      <c r="AT17" s="98">
        <f>+SUM('Overall without PTP '!AT17,'Overall with PTP'!AT17)</f>
        <v>0</v>
      </c>
      <c r="AU17" s="98">
        <f>+SUM('Overall without PTP '!AU17,'Overall with PTP'!AU17)</f>
        <v>0</v>
      </c>
      <c r="AV17" s="98">
        <f>+SUM('Overall without PTP '!AV17,'Overall with PTP'!AV17)</f>
        <v>0</v>
      </c>
      <c r="AW17" s="167">
        <f>+IFERROR(AVERAGE(EL_DEL_CD2_JO_!AW17,EL_DEL_CD2_PTP_!AW17,EL_DEL_CD2_SBI_1_4_!AW17,EL_DEL_CD2_SBI_5_6_!AW17,EL_DEL_CD2_SBI_7_8_!AW17,EL_DEL_CD2_SBI_9_10_!AW17,EL_DEL_CD2_STAB_!AW17,EL_DEL_CD1_WST_PTP_!AW17,EL_DEL_CD1_NTH_PTP_!AW17,EL_DEL_CD1_STH_PTP_!AW17,EL_DEL_CD1_1D4P_PTP_!AW17,EL_DEL_CD1_8D_PTP_!AW17,EL_DEL_CD2_JO_L_!AW17,EL_DEL_CD2_PTP_L_!AW17,EL_DEL_CD2_SBI_L_1_4_!AW17,EL_DEL_CD2_SBI_L_5_6_!AW17,EL_DEL_CD2_SBI_L_7_8_!AW17,EL_DEL_CD2_SBI_L_9_10_!AW17,EL_DEL_CD2_L_STAB_!AW17),0)</f>
        <v>0</v>
      </c>
      <c r="AX17" s="102" t="str">
        <f t="shared" si="26"/>
        <v>-</v>
      </c>
      <c r="AY17" s="151"/>
      <c r="AZ17" s="116" t="str">
        <f t="shared" si="2"/>
        <v/>
      </c>
      <c r="BA17" s="117" t="str">
        <f t="shared" si="3"/>
        <v/>
      </c>
      <c r="BB17" s="116" t="str">
        <f t="shared" si="4"/>
        <v/>
      </c>
      <c r="BC17" s="151"/>
      <c r="BD17" s="159" t="str">
        <f t="shared" si="5"/>
        <v/>
      </c>
      <c r="BE17" s="160" t="str">
        <f t="shared" si="6"/>
        <v/>
      </c>
      <c r="BF17" s="160" t="str">
        <f t="shared" si="7"/>
        <v/>
      </c>
      <c r="BG17" s="160" t="str">
        <f t="shared" si="8"/>
        <v/>
      </c>
      <c r="BH17" s="160" t="str">
        <f t="shared" si="9"/>
        <v/>
      </c>
      <c r="BI17" s="161" t="str">
        <f t="shared" si="27"/>
        <v/>
      </c>
      <c r="BJ17" s="151"/>
      <c r="BK17" s="162" t="str">
        <f t="shared" si="10"/>
        <v/>
      </c>
      <c r="BL17" s="163" t="str">
        <f t="shared" si="11"/>
        <v/>
      </c>
      <c r="BM17" s="163" t="str">
        <f t="shared" si="12"/>
        <v/>
      </c>
      <c r="BN17" s="164" t="str">
        <f t="shared" si="13"/>
        <v/>
      </c>
      <c r="BO17" s="151"/>
      <c r="BP17" s="124" t="str">
        <f t="shared" si="14"/>
        <v/>
      </c>
      <c r="BQ17" s="125">
        <v>0</v>
      </c>
      <c r="BR17" s="125" t="str">
        <f t="shared" si="15"/>
        <v/>
      </c>
      <c r="BS17" s="125" t="str">
        <f t="shared" si="28"/>
        <v/>
      </c>
      <c r="BT17" s="126" t="str">
        <f t="shared" si="16"/>
        <v/>
      </c>
      <c r="BU17" s="151"/>
      <c r="BV17" s="165" t="e">
        <f t="shared" si="17"/>
        <v>#VALUE!</v>
      </c>
      <c r="BW17" s="165" t="e">
        <f t="shared" si="18"/>
        <v>#VALUE!</v>
      </c>
      <c r="BX17" s="165" t="e">
        <f t="shared" si="19"/>
        <v>#VALUE!</v>
      </c>
      <c r="BY17" s="165" t="e">
        <f t="shared" si="20"/>
        <v>#VALUE!</v>
      </c>
      <c r="BZ17" s="165" t="e">
        <f t="shared" si="29"/>
        <v>#VALUE!</v>
      </c>
      <c r="CA17" s="166" t="e">
        <f t="shared" si="30"/>
        <v>#VALUE!</v>
      </c>
      <c r="CB17" s="151"/>
      <c r="CC17" s="129" t="str">
        <f t="shared" si="21"/>
        <v>-</v>
      </c>
      <c r="CD17" s="130" t="str">
        <f t="shared" si="22"/>
        <v>-</v>
      </c>
      <c r="CE17" s="130" t="str">
        <f t="shared" si="23"/>
        <v>-</v>
      </c>
      <c r="CF17" s="130" t="str">
        <f t="shared" si="24"/>
        <v>-</v>
      </c>
      <c r="CG17" s="131" t="str">
        <f t="shared" si="25"/>
        <v>-</v>
      </c>
      <c r="CH17" s="151"/>
    </row>
    <row r="18" spans="1:86" s="115" customFormat="1" ht="12.4" customHeight="1" thickBot="1" x14ac:dyDescent="0.25">
      <c r="A18" s="96">
        <f t="shared" si="31"/>
        <v>46310</v>
      </c>
      <c r="B18" s="97" t="str">
        <f t="shared" si="0"/>
        <v>Thu</v>
      </c>
      <c r="C18" s="98">
        <f>+SUM('Overall without PTP '!C18,'Overall with PTP'!C18)</f>
        <v>0</v>
      </c>
      <c r="D18" s="98">
        <f>+SUM('Overall without PTP '!D18,'Overall with PTP'!D18)</f>
        <v>0</v>
      </c>
      <c r="E18" s="98">
        <f>+SUM('Overall without PTP '!E18,'Overall with PTP'!E18)</f>
        <v>0</v>
      </c>
      <c r="F18" s="98">
        <f>+SUM('Overall without PTP '!F18,'Overall with PTP'!F18)</f>
        <v>0</v>
      </c>
      <c r="G18" s="98">
        <f>+SUM('Overall without PTP '!G18,'Overall with PTP'!G18)</f>
        <v>0</v>
      </c>
      <c r="H18" s="98">
        <f>+SUM('Overall without PTP '!H18,'Overall with PTP'!H18)</f>
        <v>0</v>
      </c>
      <c r="I18" s="98">
        <f>+SUM('Overall without PTP '!I18,'Overall with PTP'!I18)</f>
        <v>0</v>
      </c>
      <c r="J18" s="98">
        <f>+SUM('Overall without PTP '!J18,'Overall with PTP'!J18)</f>
        <v>0</v>
      </c>
      <c r="K18" s="98">
        <f>+SUM('Overall without PTP '!K18,'Overall with PTP'!K18)</f>
        <v>0</v>
      </c>
      <c r="L18" s="98">
        <f>+SUM('Overall without PTP '!L18,'Overall with PTP'!L18)</f>
        <v>0</v>
      </c>
      <c r="M18" s="98">
        <f>+SUM('Overall without PTP '!M18,'Overall with PTP'!M18)</f>
        <v>0</v>
      </c>
      <c r="N18" s="98">
        <f>+SUM('Overall without PTP '!N18,'Overall with PTP'!N18)</f>
        <v>0</v>
      </c>
      <c r="O18" s="98">
        <f>+SUM('Overall without PTP '!O18,'Overall with PTP'!O18)</f>
        <v>0</v>
      </c>
      <c r="P18" s="98">
        <f>+SUM('Overall without PTP '!P18,'Overall with PTP'!P18)</f>
        <v>0</v>
      </c>
      <c r="Q18" s="98">
        <f>+SUM('Overall without PTP '!Q18,'Overall with PTP'!Q18)</f>
        <v>0</v>
      </c>
      <c r="R18" s="98">
        <f>+SUM('Overall without PTP '!R18,'Overall with PTP'!R18)</f>
        <v>0</v>
      </c>
      <c r="S18" s="98">
        <f>+SUM('Overall without PTP '!S18,'Overall with PTP'!S18)</f>
        <v>0</v>
      </c>
      <c r="T18" s="98">
        <f>+SUM('Overall without PTP '!T18,'Overall with PTP'!T18)</f>
        <v>0</v>
      </c>
      <c r="U18" s="98">
        <f>+SUM('Overall without PTP '!U18,'Overall with PTP'!U18)</f>
        <v>0</v>
      </c>
      <c r="V18" s="98">
        <f>+SUM('Overall without PTP '!V18,'Overall with PTP'!V18)</f>
        <v>0</v>
      </c>
      <c r="W18" s="98">
        <f>+SUM('Overall without PTP '!W18,'Overall with PTP'!W18)</f>
        <v>0</v>
      </c>
      <c r="X18" s="98">
        <f>+SUM('Overall without PTP '!X18,'Overall with PTP'!X18)</f>
        <v>0</v>
      </c>
      <c r="Y18" s="98">
        <f>+SUM('Overall without PTP '!Y18,'Overall with PTP'!Y18)</f>
        <v>0</v>
      </c>
      <c r="Z18" s="98">
        <f>+SUM('Overall without PTP '!Z18,'Overall with PTP'!Z18)</f>
        <v>0</v>
      </c>
      <c r="AA18" s="98">
        <f>+SUM('Overall without PTP '!AA18,'Overall with PTP'!AA18)</f>
        <v>0</v>
      </c>
      <c r="AB18" s="98">
        <f>+SUM('Overall without PTP '!AB18,'Overall with PTP'!AB18)</f>
        <v>0</v>
      </c>
      <c r="AC18" s="98">
        <f>+SUM('Overall without PTP '!AC18,'Overall with PTP'!AC18)</f>
        <v>0</v>
      </c>
      <c r="AD18" s="98">
        <f>+SUM('Overall without PTP '!AD18,'Overall with PTP'!AD18)</f>
        <v>0</v>
      </c>
      <c r="AE18" s="98">
        <f>+SUM('Overall without PTP '!AE18,'Overall with PTP'!AE18)</f>
        <v>0</v>
      </c>
      <c r="AF18" s="98">
        <f>+SUM('Overall without PTP '!AF18,'Overall with PTP'!AF18)</f>
        <v>0</v>
      </c>
      <c r="AG18" s="98">
        <f>+SUM('Overall without PTP '!AG18,'Overall with PTP'!AG18)</f>
        <v>0</v>
      </c>
      <c r="AH18" s="98">
        <f>+SUM('Overall without PTP '!AH18,'Overall with PTP'!AH18)</f>
        <v>0</v>
      </c>
      <c r="AI18" s="98">
        <f>+SUM('Overall without PTP '!AI18,'Overall with PTP'!AI18)</f>
        <v>0</v>
      </c>
      <c r="AJ18" s="98">
        <f>+SUM('Overall without PTP '!AJ18,'Overall with PTP'!AJ18)</f>
        <v>0</v>
      </c>
      <c r="AK18" s="98">
        <f>+SUM('Overall without PTP '!AK18,'Overall with PTP'!AK18)</f>
        <v>0</v>
      </c>
      <c r="AL18" s="152" t="str">
        <f>+IFERROR(AVERAGE('Overall without PTP '!AL18,'Overall with PTP'!AL18),"")</f>
        <v/>
      </c>
      <c r="AM18" s="152" t="str">
        <f>+IFERROR(AVERAGE('Overall without PTP '!AM18,'Overall with PTP'!AM18),"")</f>
        <v/>
      </c>
      <c r="AN18" s="152" t="str">
        <f>+IFERROR(AVERAGE('Overall without PTP '!AN18,'Overall with PTP'!AN18),"")</f>
        <v/>
      </c>
      <c r="AO18" s="152" t="str">
        <f>+IFERROR(AVERAGE('Overall without PTP '!AO18,'Overall with PTP'!AO18),"")</f>
        <v/>
      </c>
      <c r="AP18" s="98" t="str">
        <f>+IFERROR(AVERAGE('Overall without PTP '!AP18,'Overall with PTP'!AP18),"")</f>
        <v/>
      </c>
      <c r="AQ18" s="152" t="str">
        <f>+IFERROR(AVERAGE('Overall without PTP '!AQ18,'Overall with PTP'!AQ18),"")</f>
        <v/>
      </c>
      <c r="AR18" s="152" t="str">
        <f>+IFERROR(AVERAGE('Overall without PTP '!AR18,'Overall with PTP'!AR18),"")</f>
        <v/>
      </c>
      <c r="AS18" s="152" t="str">
        <f>+IFERROR(AVERAGE('Overall without PTP '!AS18,'Overall with PTP'!AS18),"")</f>
        <v/>
      </c>
      <c r="AT18" s="98">
        <f>+SUM('Overall without PTP '!AT18,'Overall with PTP'!AT18)</f>
        <v>0</v>
      </c>
      <c r="AU18" s="98">
        <f>+SUM('Overall without PTP '!AU18,'Overall with PTP'!AU18)</f>
        <v>0</v>
      </c>
      <c r="AV18" s="98">
        <f>+SUM('Overall without PTP '!AV18,'Overall with PTP'!AV18)</f>
        <v>0</v>
      </c>
      <c r="AW18" s="167">
        <f>+IFERROR(AVERAGE(EL_DEL_CD2_JO_!AW18,EL_DEL_CD2_PTP_!AW18,EL_DEL_CD2_SBI_1_4_!AW18,EL_DEL_CD2_SBI_5_6_!AW18,EL_DEL_CD2_SBI_7_8_!AW18,EL_DEL_CD2_SBI_9_10_!AW18,EL_DEL_CD2_STAB_!AW18,EL_DEL_CD1_WST_PTP_!AW18,EL_DEL_CD1_NTH_PTP_!AW18,EL_DEL_CD1_STH_PTP_!AW18,EL_DEL_CD1_1D4P_PTP_!AW18,EL_DEL_CD1_8D_PTP_!AW18,EL_DEL_CD2_JO_L_!AW18,EL_DEL_CD2_PTP_L_!AW18,EL_DEL_CD2_SBI_L_1_4_!AW18,EL_DEL_CD2_SBI_L_5_6_!AW18,EL_DEL_CD2_SBI_L_7_8_!AW18,EL_DEL_CD2_SBI_L_9_10_!AW18,EL_DEL_CD2_L_STAB_!AW18),0)</f>
        <v>0</v>
      </c>
      <c r="AX18" s="102" t="str">
        <f t="shared" si="26"/>
        <v>-</v>
      </c>
      <c r="AY18" s="151"/>
      <c r="AZ18" s="116" t="str">
        <f t="shared" si="2"/>
        <v/>
      </c>
      <c r="BA18" s="117" t="str">
        <f t="shared" si="3"/>
        <v/>
      </c>
      <c r="BB18" s="116" t="str">
        <f t="shared" si="4"/>
        <v/>
      </c>
      <c r="BC18" s="151"/>
      <c r="BD18" s="159" t="str">
        <f t="shared" si="5"/>
        <v/>
      </c>
      <c r="BE18" s="160" t="str">
        <f t="shared" si="6"/>
        <v/>
      </c>
      <c r="BF18" s="160" t="str">
        <f t="shared" si="7"/>
        <v/>
      </c>
      <c r="BG18" s="160" t="str">
        <f t="shared" si="8"/>
        <v/>
      </c>
      <c r="BH18" s="160" t="str">
        <f t="shared" si="9"/>
        <v/>
      </c>
      <c r="BI18" s="161" t="str">
        <f t="shared" si="27"/>
        <v/>
      </c>
      <c r="BJ18" s="151"/>
      <c r="BK18" s="162" t="str">
        <f t="shared" si="10"/>
        <v/>
      </c>
      <c r="BL18" s="163" t="str">
        <f t="shared" si="11"/>
        <v/>
      </c>
      <c r="BM18" s="163" t="str">
        <f t="shared" si="12"/>
        <v/>
      </c>
      <c r="BN18" s="164" t="str">
        <f t="shared" si="13"/>
        <v/>
      </c>
      <c r="BO18" s="151"/>
      <c r="BP18" s="124" t="str">
        <f t="shared" si="14"/>
        <v/>
      </c>
      <c r="BQ18" s="125">
        <v>0</v>
      </c>
      <c r="BR18" s="125" t="str">
        <f t="shared" si="15"/>
        <v/>
      </c>
      <c r="BS18" s="125" t="str">
        <f t="shared" si="28"/>
        <v/>
      </c>
      <c r="BT18" s="126" t="str">
        <f t="shared" si="16"/>
        <v/>
      </c>
      <c r="BU18" s="151"/>
      <c r="BV18" s="165" t="e">
        <f t="shared" si="17"/>
        <v>#VALUE!</v>
      </c>
      <c r="BW18" s="165" t="e">
        <f t="shared" si="18"/>
        <v>#VALUE!</v>
      </c>
      <c r="BX18" s="165" t="e">
        <f t="shared" si="19"/>
        <v>#VALUE!</v>
      </c>
      <c r="BY18" s="165" t="e">
        <f t="shared" si="20"/>
        <v>#VALUE!</v>
      </c>
      <c r="BZ18" s="165" t="e">
        <f t="shared" si="29"/>
        <v>#VALUE!</v>
      </c>
      <c r="CA18" s="166" t="e">
        <f t="shared" si="30"/>
        <v>#VALUE!</v>
      </c>
      <c r="CB18" s="151"/>
      <c r="CC18" s="129" t="str">
        <f t="shared" si="21"/>
        <v>-</v>
      </c>
      <c r="CD18" s="130" t="str">
        <f t="shared" si="22"/>
        <v>-</v>
      </c>
      <c r="CE18" s="130" t="str">
        <f t="shared" si="23"/>
        <v>-</v>
      </c>
      <c r="CF18" s="130" t="str">
        <f t="shared" si="24"/>
        <v>-</v>
      </c>
      <c r="CG18" s="131" t="str">
        <f t="shared" si="25"/>
        <v>-</v>
      </c>
      <c r="CH18" s="151"/>
    </row>
    <row r="19" spans="1:86" s="115" customFormat="1" ht="12.4" customHeight="1" thickBot="1" x14ac:dyDescent="0.25">
      <c r="A19" s="96">
        <f t="shared" si="31"/>
        <v>46311</v>
      </c>
      <c r="B19" s="97" t="str">
        <f t="shared" si="0"/>
        <v>Fri</v>
      </c>
      <c r="C19" s="98">
        <f>+SUM('Overall without PTP '!C19,'Overall with PTP'!C19)</f>
        <v>0</v>
      </c>
      <c r="D19" s="98">
        <f>+SUM('Overall without PTP '!D19,'Overall with PTP'!D19)</f>
        <v>0</v>
      </c>
      <c r="E19" s="98">
        <f>+SUM('Overall without PTP '!E19,'Overall with PTP'!E19)</f>
        <v>0</v>
      </c>
      <c r="F19" s="98">
        <f>+SUM('Overall without PTP '!F19,'Overall with PTP'!F19)</f>
        <v>0</v>
      </c>
      <c r="G19" s="98">
        <f>+SUM('Overall without PTP '!G19,'Overall with PTP'!G19)</f>
        <v>0</v>
      </c>
      <c r="H19" s="98">
        <f>+SUM('Overall without PTP '!H19,'Overall with PTP'!H19)</f>
        <v>0</v>
      </c>
      <c r="I19" s="98">
        <f>+SUM('Overall without PTP '!I19,'Overall with PTP'!I19)</f>
        <v>0</v>
      </c>
      <c r="J19" s="98">
        <f>+SUM('Overall without PTP '!J19,'Overall with PTP'!J19)</f>
        <v>0</v>
      </c>
      <c r="K19" s="98">
        <f>+SUM('Overall without PTP '!K19,'Overall with PTP'!K19)</f>
        <v>0</v>
      </c>
      <c r="L19" s="98">
        <f>+SUM('Overall without PTP '!L19,'Overall with PTP'!L19)</f>
        <v>0</v>
      </c>
      <c r="M19" s="98">
        <f>+SUM('Overall without PTP '!M19,'Overall with PTP'!M19)</f>
        <v>0</v>
      </c>
      <c r="N19" s="98">
        <f>+SUM('Overall without PTP '!N19,'Overall with PTP'!N19)</f>
        <v>0</v>
      </c>
      <c r="O19" s="98">
        <f>+SUM('Overall without PTP '!O19,'Overall with PTP'!O19)</f>
        <v>0</v>
      </c>
      <c r="P19" s="98">
        <f>+SUM('Overall without PTP '!P19,'Overall with PTP'!P19)</f>
        <v>0</v>
      </c>
      <c r="Q19" s="98">
        <f>+SUM('Overall without PTP '!Q19,'Overall with PTP'!Q19)</f>
        <v>0</v>
      </c>
      <c r="R19" s="98">
        <f>+SUM('Overall without PTP '!R19,'Overall with PTP'!R19)</f>
        <v>0</v>
      </c>
      <c r="S19" s="98">
        <f>+SUM('Overall without PTP '!S19,'Overall with PTP'!S19)</f>
        <v>0</v>
      </c>
      <c r="T19" s="98">
        <f>+SUM('Overall without PTP '!T19,'Overall with PTP'!T19)</f>
        <v>0</v>
      </c>
      <c r="U19" s="98">
        <f>+SUM('Overall without PTP '!U19,'Overall with PTP'!U19)</f>
        <v>0</v>
      </c>
      <c r="V19" s="98">
        <f>+SUM('Overall without PTP '!V19,'Overall with PTP'!V19)</f>
        <v>0</v>
      </c>
      <c r="W19" s="98">
        <f>+SUM('Overall without PTP '!W19,'Overall with PTP'!W19)</f>
        <v>0</v>
      </c>
      <c r="X19" s="98">
        <f>+SUM('Overall without PTP '!X19,'Overall with PTP'!X19)</f>
        <v>0</v>
      </c>
      <c r="Y19" s="98">
        <f>+SUM('Overall without PTP '!Y19,'Overall with PTP'!Y19)</f>
        <v>0</v>
      </c>
      <c r="Z19" s="98">
        <f>+SUM('Overall without PTP '!Z19,'Overall with PTP'!Z19)</f>
        <v>0</v>
      </c>
      <c r="AA19" s="98">
        <f>+SUM('Overall without PTP '!AA19,'Overall with PTP'!AA19)</f>
        <v>0</v>
      </c>
      <c r="AB19" s="98">
        <f>+SUM('Overall without PTP '!AB19,'Overall with PTP'!AB19)</f>
        <v>0</v>
      </c>
      <c r="AC19" s="98">
        <f>+SUM('Overall without PTP '!AC19,'Overall with PTP'!AC19)</f>
        <v>0</v>
      </c>
      <c r="AD19" s="98">
        <f>+SUM('Overall without PTP '!AD19,'Overall with PTP'!AD19)</f>
        <v>0</v>
      </c>
      <c r="AE19" s="98">
        <f>+SUM('Overall without PTP '!AE19,'Overall with PTP'!AE19)</f>
        <v>0</v>
      </c>
      <c r="AF19" s="98">
        <f>+SUM('Overall without PTP '!AF19,'Overall with PTP'!AF19)</f>
        <v>0</v>
      </c>
      <c r="AG19" s="98">
        <f>+SUM('Overall without PTP '!AG19,'Overall with PTP'!AG19)</f>
        <v>0</v>
      </c>
      <c r="AH19" s="98">
        <f>+SUM('Overall without PTP '!AH19,'Overall with PTP'!AH19)</f>
        <v>0</v>
      </c>
      <c r="AI19" s="98">
        <f>+SUM('Overall without PTP '!AI19,'Overall with PTP'!AI19)</f>
        <v>0</v>
      </c>
      <c r="AJ19" s="98">
        <f>+SUM('Overall without PTP '!AJ19,'Overall with PTP'!AJ19)</f>
        <v>0</v>
      </c>
      <c r="AK19" s="98">
        <f>+SUM('Overall without PTP '!AK19,'Overall with PTP'!AK19)</f>
        <v>0</v>
      </c>
      <c r="AL19" s="152" t="str">
        <f>+IFERROR(AVERAGE('Overall without PTP '!AL19,'Overall with PTP'!AL19),"")</f>
        <v/>
      </c>
      <c r="AM19" s="152" t="str">
        <f>+IFERROR(AVERAGE('Overall without PTP '!AM19,'Overall with PTP'!AM19),"")</f>
        <v/>
      </c>
      <c r="AN19" s="152" t="str">
        <f>+IFERROR(AVERAGE('Overall without PTP '!AN19,'Overall with PTP'!AN19),"")</f>
        <v/>
      </c>
      <c r="AO19" s="152" t="str">
        <f>+IFERROR(AVERAGE('Overall without PTP '!AO19,'Overall with PTP'!AO19),"")</f>
        <v/>
      </c>
      <c r="AP19" s="98" t="str">
        <f>+IFERROR(AVERAGE('Overall without PTP '!AP19,'Overall with PTP'!AP19),"")</f>
        <v/>
      </c>
      <c r="AQ19" s="152" t="str">
        <f>+IFERROR(AVERAGE('Overall without PTP '!AQ19,'Overall with PTP'!AQ19),"")</f>
        <v/>
      </c>
      <c r="AR19" s="152" t="str">
        <f>+IFERROR(AVERAGE('Overall without PTP '!AR19,'Overall with PTP'!AR19),"")</f>
        <v/>
      </c>
      <c r="AS19" s="152" t="str">
        <f>+IFERROR(AVERAGE('Overall without PTP '!AS19,'Overall with PTP'!AS19),"")</f>
        <v/>
      </c>
      <c r="AT19" s="98">
        <f>+SUM('Overall without PTP '!AT19,'Overall with PTP'!AT19)</f>
        <v>0</v>
      </c>
      <c r="AU19" s="98">
        <f>+SUM('Overall without PTP '!AU19,'Overall with PTP'!AU19)</f>
        <v>0</v>
      </c>
      <c r="AV19" s="98">
        <f>+SUM('Overall without PTP '!AV19,'Overall with PTP'!AV19)</f>
        <v>0</v>
      </c>
      <c r="AW19" s="167">
        <f>+IFERROR(AVERAGE(EL_DEL_CD2_JO_!AW19,EL_DEL_CD2_PTP_!AW19,EL_DEL_CD2_SBI_1_4_!AW19,EL_DEL_CD2_SBI_5_6_!AW19,EL_DEL_CD2_SBI_7_8_!AW19,EL_DEL_CD2_SBI_9_10_!AW19,EL_DEL_CD2_STAB_!AW19,EL_DEL_CD1_WST_PTP_!AW19,EL_DEL_CD1_NTH_PTP_!AW19,EL_DEL_CD1_STH_PTP_!AW19,EL_DEL_CD1_1D4P_PTP_!AW19,EL_DEL_CD1_8D_PTP_!AW19,EL_DEL_CD2_JO_L_!AW19,EL_DEL_CD2_PTP_L_!AW19,EL_DEL_CD2_SBI_L_1_4_!AW19,EL_DEL_CD2_SBI_L_5_6_!AW19,EL_DEL_CD2_SBI_L_7_8_!AW19,EL_DEL_CD2_SBI_L_9_10_!AW19,EL_DEL_CD2_L_STAB_!AW19),0)</f>
        <v>0</v>
      </c>
      <c r="AX19" s="102" t="str">
        <f t="shared" si="26"/>
        <v>-</v>
      </c>
      <c r="AY19" s="151"/>
      <c r="AZ19" s="116" t="str">
        <f t="shared" si="2"/>
        <v/>
      </c>
      <c r="BA19" s="117" t="str">
        <f t="shared" si="3"/>
        <v/>
      </c>
      <c r="BB19" s="116" t="str">
        <f t="shared" si="4"/>
        <v/>
      </c>
      <c r="BC19" s="151"/>
      <c r="BD19" s="159" t="str">
        <f t="shared" si="5"/>
        <v/>
      </c>
      <c r="BE19" s="160" t="str">
        <f t="shared" si="6"/>
        <v/>
      </c>
      <c r="BF19" s="160" t="str">
        <f t="shared" si="7"/>
        <v/>
      </c>
      <c r="BG19" s="160" t="str">
        <f t="shared" si="8"/>
        <v/>
      </c>
      <c r="BH19" s="160" t="str">
        <f t="shared" si="9"/>
        <v/>
      </c>
      <c r="BI19" s="161" t="str">
        <f t="shared" si="27"/>
        <v/>
      </c>
      <c r="BJ19" s="151"/>
      <c r="BK19" s="162" t="str">
        <f t="shared" si="10"/>
        <v/>
      </c>
      <c r="BL19" s="163" t="str">
        <f t="shared" si="11"/>
        <v/>
      </c>
      <c r="BM19" s="163" t="str">
        <f t="shared" si="12"/>
        <v/>
      </c>
      <c r="BN19" s="164" t="str">
        <f t="shared" si="13"/>
        <v/>
      </c>
      <c r="BO19" s="151"/>
      <c r="BP19" s="124" t="str">
        <f t="shared" si="14"/>
        <v/>
      </c>
      <c r="BQ19" s="125">
        <v>0</v>
      </c>
      <c r="BR19" s="125" t="str">
        <f t="shared" si="15"/>
        <v/>
      </c>
      <c r="BS19" s="125" t="str">
        <f t="shared" si="28"/>
        <v/>
      </c>
      <c r="BT19" s="126" t="str">
        <f t="shared" si="16"/>
        <v/>
      </c>
      <c r="BU19" s="151"/>
      <c r="BV19" s="165" t="e">
        <f t="shared" si="17"/>
        <v>#VALUE!</v>
      </c>
      <c r="BW19" s="165" t="e">
        <f t="shared" si="18"/>
        <v>#VALUE!</v>
      </c>
      <c r="BX19" s="165" t="e">
        <f t="shared" si="19"/>
        <v>#VALUE!</v>
      </c>
      <c r="BY19" s="165" t="e">
        <f t="shared" si="20"/>
        <v>#VALUE!</v>
      </c>
      <c r="BZ19" s="165" t="e">
        <f t="shared" si="29"/>
        <v>#VALUE!</v>
      </c>
      <c r="CA19" s="166" t="e">
        <f t="shared" si="30"/>
        <v>#VALUE!</v>
      </c>
      <c r="CB19" s="151"/>
      <c r="CC19" s="129" t="str">
        <f t="shared" si="21"/>
        <v>-</v>
      </c>
      <c r="CD19" s="130" t="str">
        <f t="shared" si="22"/>
        <v>-</v>
      </c>
      <c r="CE19" s="130" t="str">
        <f t="shared" si="23"/>
        <v>-</v>
      </c>
      <c r="CF19" s="130" t="str">
        <f t="shared" si="24"/>
        <v>-</v>
      </c>
      <c r="CG19" s="131" t="str">
        <f t="shared" si="25"/>
        <v>-</v>
      </c>
      <c r="CH19" s="151"/>
    </row>
    <row r="20" spans="1:86" s="115" customFormat="1" ht="12.4" customHeight="1" thickBot="1" x14ac:dyDescent="0.25">
      <c r="A20" s="96">
        <f t="shared" si="31"/>
        <v>46312</v>
      </c>
      <c r="B20" s="97" t="str">
        <f t="shared" si="0"/>
        <v>Sat</v>
      </c>
      <c r="C20" s="98">
        <f>+SUM('Overall without PTP '!C20,'Overall with PTP'!C20)</f>
        <v>0</v>
      </c>
      <c r="D20" s="98">
        <f>+SUM('Overall without PTP '!D20,'Overall with PTP'!D20)</f>
        <v>0</v>
      </c>
      <c r="E20" s="98">
        <f>+SUM('Overall without PTP '!E20,'Overall with PTP'!E20)</f>
        <v>0</v>
      </c>
      <c r="F20" s="98">
        <f>+SUM('Overall without PTP '!F20,'Overall with PTP'!F20)</f>
        <v>0</v>
      </c>
      <c r="G20" s="98">
        <f>+SUM('Overall without PTP '!G20,'Overall with PTP'!G20)</f>
        <v>0</v>
      </c>
      <c r="H20" s="98">
        <f>+SUM('Overall without PTP '!H20,'Overall with PTP'!H20)</f>
        <v>0</v>
      </c>
      <c r="I20" s="98">
        <f>+SUM('Overall without PTP '!I20,'Overall with PTP'!I20)</f>
        <v>0</v>
      </c>
      <c r="J20" s="98">
        <f>+SUM('Overall without PTP '!J20,'Overall with PTP'!J20)</f>
        <v>0</v>
      </c>
      <c r="K20" s="98">
        <f>+SUM('Overall without PTP '!K20,'Overall with PTP'!K20)</f>
        <v>0</v>
      </c>
      <c r="L20" s="98">
        <f>+SUM('Overall without PTP '!L20,'Overall with PTP'!L20)</f>
        <v>0</v>
      </c>
      <c r="M20" s="98">
        <f>+SUM('Overall without PTP '!M20,'Overall with PTP'!M20)</f>
        <v>0</v>
      </c>
      <c r="N20" s="98">
        <f>+SUM('Overall without PTP '!N20,'Overall with PTP'!N20)</f>
        <v>0</v>
      </c>
      <c r="O20" s="98">
        <f>+SUM('Overall without PTP '!O20,'Overall with PTP'!O20)</f>
        <v>0</v>
      </c>
      <c r="P20" s="98">
        <f>+SUM('Overall without PTP '!P20,'Overall with PTP'!P20)</f>
        <v>0</v>
      </c>
      <c r="Q20" s="98">
        <f>+SUM('Overall without PTP '!Q20,'Overall with PTP'!Q20)</f>
        <v>0</v>
      </c>
      <c r="R20" s="98">
        <f>+SUM('Overall without PTP '!R20,'Overall with PTP'!R20)</f>
        <v>0</v>
      </c>
      <c r="S20" s="98">
        <f>+SUM('Overall without PTP '!S20,'Overall with PTP'!S20)</f>
        <v>0</v>
      </c>
      <c r="T20" s="98">
        <f>+SUM('Overall without PTP '!T20,'Overall with PTP'!T20)</f>
        <v>0</v>
      </c>
      <c r="U20" s="98">
        <f>+SUM('Overall without PTP '!U20,'Overall with PTP'!U20)</f>
        <v>0</v>
      </c>
      <c r="V20" s="98">
        <f>+SUM('Overall without PTP '!V20,'Overall with PTP'!V20)</f>
        <v>0</v>
      </c>
      <c r="W20" s="98">
        <f>+SUM('Overall without PTP '!W20,'Overall with PTP'!W20)</f>
        <v>0</v>
      </c>
      <c r="X20" s="98">
        <f>+SUM('Overall without PTP '!X20,'Overall with PTP'!X20)</f>
        <v>0</v>
      </c>
      <c r="Y20" s="98">
        <f>+SUM('Overall without PTP '!Y20,'Overall with PTP'!Y20)</f>
        <v>0</v>
      </c>
      <c r="Z20" s="98">
        <f>+SUM('Overall without PTP '!Z20,'Overall with PTP'!Z20)</f>
        <v>0</v>
      </c>
      <c r="AA20" s="98">
        <f>+SUM('Overall without PTP '!AA20,'Overall with PTP'!AA20)</f>
        <v>0</v>
      </c>
      <c r="AB20" s="98">
        <f>+SUM('Overall without PTP '!AB20,'Overall with PTP'!AB20)</f>
        <v>0</v>
      </c>
      <c r="AC20" s="98">
        <f>+SUM('Overall without PTP '!AC20,'Overall with PTP'!AC20)</f>
        <v>0</v>
      </c>
      <c r="AD20" s="98">
        <f>+SUM('Overall without PTP '!AD20,'Overall with PTP'!AD20)</f>
        <v>0</v>
      </c>
      <c r="AE20" s="98">
        <f>+SUM('Overall without PTP '!AE20,'Overall with PTP'!AE20)</f>
        <v>0</v>
      </c>
      <c r="AF20" s="98">
        <f>+SUM('Overall without PTP '!AF20,'Overall with PTP'!AF20)</f>
        <v>0</v>
      </c>
      <c r="AG20" s="98">
        <f>+SUM('Overall without PTP '!AG20,'Overall with PTP'!AG20)</f>
        <v>0</v>
      </c>
      <c r="AH20" s="98">
        <f>+SUM('Overall without PTP '!AH20,'Overall with PTP'!AH20)</f>
        <v>0</v>
      </c>
      <c r="AI20" s="98">
        <f>+SUM('Overall without PTP '!AI20,'Overall with PTP'!AI20)</f>
        <v>0</v>
      </c>
      <c r="AJ20" s="98">
        <f>+SUM('Overall without PTP '!AJ20,'Overall with PTP'!AJ20)</f>
        <v>0</v>
      </c>
      <c r="AK20" s="98">
        <f>+SUM('Overall without PTP '!AK20,'Overall with PTP'!AK20)</f>
        <v>0</v>
      </c>
      <c r="AL20" s="152" t="str">
        <f>+IFERROR(AVERAGE('Overall without PTP '!AL20,'Overall with PTP'!AL20),"")</f>
        <v/>
      </c>
      <c r="AM20" s="152" t="str">
        <f>+IFERROR(AVERAGE('Overall without PTP '!AM20,'Overall with PTP'!AM20),"")</f>
        <v/>
      </c>
      <c r="AN20" s="152" t="str">
        <f>+IFERROR(AVERAGE('Overall without PTP '!AN20,'Overall with PTP'!AN20),"")</f>
        <v/>
      </c>
      <c r="AO20" s="152" t="str">
        <f>+IFERROR(AVERAGE('Overall without PTP '!AO20,'Overall with PTP'!AO20),"")</f>
        <v/>
      </c>
      <c r="AP20" s="98" t="str">
        <f>+IFERROR(AVERAGE('Overall without PTP '!AP20,'Overall with PTP'!AP20),"")</f>
        <v/>
      </c>
      <c r="AQ20" s="152" t="str">
        <f>+IFERROR(AVERAGE('Overall without PTP '!AQ20,'Overall with PTP'!AQ20),"")</f>
        <v/>
      </c>
      <c r="AR20" s="152" t="str">
        <f>+IFERROR(AVERAGE('Overall without PTP '!AR20,'Overall with PTP'!AR20),"")</f>
        <v/>
      </c>
      <c r="AS20" s="152" t="str">
        <f>+IFERROR(AVERAGE('Overall without PTP '!AS20,'Overall with PTP'!AS20),"")</f>
        <v/>
      </c>
      <c r="AT20" s="98">
        <f>+SUM('Overall without PTP '!AT20,'Overall with PTP'!AT20)</f>
        <v>0</v>
      </c>
      <c r="AU20" s="98">
        <f>+SUM('Overall without PTP '!AU20,'Overall with PTP'!AU20)</f>
        <v>0</v>
      </c>
      <c r="AV20" s="98">
        <f>+SUM('Overall without PTP '!AV20,'Overall with PTP'!AV20)</f>
        <v>0</v>
      </c>
      <c r="AW20" s="167">
        <f>+IFERROR(AVERAGE(EL_DEL_CD2_JO_!AW20,EL_DEL_CD2_PTP_!AW20,EL_DEL_CD2_SBI_1_4_!AW20,EL_DEL_CD2_SBI_5_6_!AW20,EL_DEL_CD2_SBI_7_8_!AW20,EL_DEL_CD2_SBI_9_10_!AW20,EL_DEL_CD2_STAB_!AW20,EL_DEL_CD1_WST_PTP_!AW20,EL_DEL_CD1_NTH_PTP_!AW20,EL_DEL_CD1_STH_PTP_!AW20,EL_DEL_CD1_1D4P_PTP_!AW20,EL_DEL_CD1_8D_PTP_!AW20,EL_DEL_CD2_JO_L_!AW20,EL_DEL_CD2_PTP_L_!AW20,EL_DEL_CD2_SBI_L_1_4_!AW20,EL_DEL_CD2_SBI_L_5_6_!AW20,EL_DEL_CD2_SBI_L_7_8_!AW20,EL_DEL_CD2_SBI_L_9_10_!AW20,EL_DEL_CD2_L_STAB_!AW20),0)</f>
        <v>0</v>
      </c>
      <c r="AX20" s="102" t="str">
        <f t="shared" si="26"/>
        <v>-</v>
      </c>
      <c r="AY20" s="151"/>
      <c r="AZ20" s="116" t="str">
        <f t="shared" si="2"/>
        <v/>
      </c>
      <c r="BA20" s="117" t="str">
        <f t="shared" si="3"/>
        <v/>
      </c>
      <c r="BB20" s="116" t="str">
        <f t="shared" si="4"/>
        <v/>
      </c>
      <c r="BC20" s="151"/>
      <c r="BD20" s="159" t="str">
        <f t="shared" si="5"/>
        <v/>
      </c>
      <c r="BE20" s="160" t="str">
        <f t="shared" si="6"/>
        <v/>
      </c>
      <c r="BF20" s="160" t="str">
        <f t="shared" si="7"/>
        <v/>
      </c>
      <c r="BG20" s="160" t="str">
        <f t="shared" si="8"/>
        <v/>
      </c>
      <c r="BH20" s="160" t="str">
        <f t="shared" si="9"/>
        <v/>
      </c>
      <c r="BI20" s="161" t="str">
        <f t="shared" si="27"/>
        <v/>
      </c>
      <c r="BJ20" s="151"/>
      <c r="BK20" s="162" t="str">
        <f t="shared" si="10"/>
        <v/>
      </c>
      <c r="BL20" s="163" t="str">
        <f t="shared" si="11"/>
        <v/>
      </c>
      <c r="BM20" s="163" t="str">
        <f t="shared" si="12"/>
        <v/>
      </c>
      <c r="BN20" s="164" t="str">
        <f t="shared" si="13"/>
        <v/>
      </c>
      <c r="BO20" s="151"/>
      <c r="BP20" s="124" t="str">
        <f t="shared" si="14"/>
        <v/>
      </c>
      <c r="BQ20" s="125">
        <v>0</v>
      </c>
      <c r="BR20" s="125" t="str">
        <f t="shared" si="15"/>
        <v/>
      </c>
      <c r="BS20" s="125" t="str">
        <f t="shared" si="28"/>
        <v/>
      </c>
      <c r="BT20" s="126" t="str">
        <f t="shared" si="16"/>
        <v/>
      </c>
      <c r="BU20" s="151"/>
      <c r="BV20" s="165" t="e">
        <f t="shared" si="17"/>
        <v>#VALUE!</v>
      </c>
      <c r="BW20" s="165" t="e">
        <f t="shared" si="18"/>
        <v>#VALUE!</v>
      </c>
      <c r="BX20" s="165" t="e">
        <f t="shared" si="19"/>
        <v>#VALUE!</v>
      </c>
      <c r="BY20" s="165" t="e">
        <f t="shared" si="20"/>
        <v>#VALUE!</v>
      </c>
      <c r="BZ20" s="165" t="e">
        <f t="shared" si="29"/>
        <v>#VALUE!</v>
      </c>
      <c r="CA20" s="166" t="e">
        <f t="shared" si="30"/>
        <v>#VALUE!</v>
      </c>
      <c r="CB20" s="151"/>
      <c r="CC20" s="129" t="str">
        <f t="shared" si="21"/>
        <v>-</v>
      </c>
      <c r="CD20" s="130" t="str">
        <f t="shared" si="22"/>
        <v>-</v>
      </c>
      <c r="CE20" s="130" t="str">
        <f t="shared" si="23"/>
        <v>-</v>
      </c>
      <c r="CF20" s="130" t="str">
        <f t="shared" si="24"/>
        <v>-</v>
      </c>
      <c r="CG20" s="131" t="str">
        <f t="shared" si="25"/>
        <v>-</v>
      </c>
      <c r="CH20" s="151"/>
    </row>
    <row r="21" spans="1:86" s="115" customFormat="1" ht="12.4" customHeight="1" thickBot="1" x14ac:dyDescent="0.25">
      <c r="A21" s="96">
        <f t="shared" si="31"/>
        <v>46313</v>
      </c>
      <c r="B21" s="97" t="str">
        <f t="shared" si="0"/>
        <v>Sun</v>
      </c>
      <c r="C21" s="98">
        <f>+SUM('Overall without PTP '!C21,'Overall with PTP'!C21)</f>
        <v>0</v>
      </c>
      <c r="D21" s="98">
        <f>+SUM('Overall without PTP '!D21,'Overall with PTP'!D21)</f>
        <v>0</v>
      </c>
      <c r="E21" s="98">
        <f>+SUM('Overall without PTP '!E21,'Overall with PTP'!E21)</f>
        <v>0</v>
      </c>
      <c r="F21" s="98">
        <f>+SUM('Overall without PTP '!F21,'Overall with PTP'!F21)</f>
        <v>0</v>
      </c>
      <c r="G21" s="98">
        <f>+SUM('Overall without PTP '!G21,'Overall with PTP'!G21)</f>
        <v>0</v>
      </c>
      <c r="H21" s="98">
        <f>+SUM('Overall without PTP '!H21,'Overall with PTP'!H21)</f>
        <v>0</v>
      </c>
      <c r="I21" s="98">
        <f>+SUM('Overall without PTP '!I21,'Overall with PTP'!I21)</f>
        <v>0</v>
      </c>
      <c r="J21" s="98">
        <f>+SUM('Overall without PTP '!J21,'Overall with PTP'!J21)</f>
        <v>0</v>
      </c>
      <c r="K21" s="98">
        <f>+SUM('Overall without PTP '!K21,'Overall with PTP'!K21)</f>
        <v>0</v>
      </c>
      <c r="L21" s="98">
        <f>+SUM('Overall without PTP '!L21,'Overall with PTP'!L21)</f>
        <v>0</v>
      </c>
      <c r="M21" s="98">
        <f>+SUM('Overall without PTP '!M21,'Overall with PTP'!M21)</f>
        <v>0</v>
      </c>
      <c r="N21" s="98">
        <f>+SUM('Overall without PTP '!N21,'Overall with PTP'!N21)</f>
        <v>0</v>
      </c>
      <c r="O21" s="98">
        <f>+SUM('Overall without PTP '!O21,'Overall with PTP'!O21)</f>
        <v>0</v>
      </c>
      <c r="P21" s="98">
        <f>+SUM('Overall without PTP '!P21,'Overall with PTP'!P21)</f>
        <v>0</v>
      </c>
      <c r="Q21" s="98">
        <f>+SUM('Overall without PTP '!Q21,'Overall with PTP'!Q21)</f>
        <v>0</v>
      </c>
      <c r="R21" s="98">
        <f>+SUM('Overall without PTP '!R21,'Overall with PTP'!R21)</f>
        <v>0</v>
      </c>
      <c r="S21" s="98">
        <f>+SUM('Overall without PTP '!S21,'Overall with PTP'!S21)</f>
        <v>0</v>
      </c>
      <c r="T21" s="98">
        <f>+SUM('Overall without PTP '!T21,'Overall with PTP'!T21)</f>
        <v>0</v>
      </c>
      <c r="U21" s="98">
        <f>+SUM('Overall without PTP '!U21,'Overall with PTP'!U21)</f>
        <v>0</v>
      </c>
      <c r="V21" s="98">
        <f>+SUM('Overall without PTP '!V21,'Overall with PTP'!V21)</f>
        <v>0</v>
      </c>
      <c r="W21" s="98">
        <f>+SUM('Overall without PTP '!W21,'Overall with PTP'!W21)</f>
        <v>0</v>
      </c>
      <c r="X21" s="98">
        <f>+SUM('Overall without PTP '!X21,'Overall with PTP'!X21)</f>
        <v>0</v>
      </c>
      <c r="Y21" s="98">
        <f>+SUM('Overall without PTP '!Y21,'Overall with PTP'!Y21)</f>
        <v>0</v>
      </c>
      <c r="Z21" s="98">
        <f>+SUM('Overall without PTP '!Z21,'Overall with PTP'!Z21)</f>
        <v>0</v>
      </c>
      <c r="AA21" s="98">
        <f>+SUM('Overall without PTP '!AA21,'Overall with PTP'!AA21)</f>
        <v>0</v>
      </c>
      <c r="AB21" s="98">
        <f>+SUM('Overall without PTP '!AB21,'Overall with PTP'!AB21)</f>
        <v>0</v>
      </c>
      <c r="AC21" s="98">
        <f>+SUM('Overall without PTP '!AC21,'Overall with PTP'!AC21)</f>
        <v>0</v>
      </c>
      <c r="AD21" s="98">
        <f>+SUM('Overall without PTP '!AD21,'Overall with PTP'!AD21)</f>
        <v>0</v>
      </c>
      <c r="AE21" s="98">
        <f>+SUM('Overall without PTP '!AE21,'Overall with PTP'!AE21)</f>
        <v>0</v>
      </c>
      <c r="AF21" s="98">
        <f>+SUM('Overall without PTP '!AF21,'Overall with PTP'!AF21)</f>
        <v>0</v>
      </c>
      <c r="AG21" s="98">
        <f>+SUM('Overall without PTP '!AG21,'Overall with PTP'!AG21)</f>
        <v>0</v>
      </c>
      <c r="AH21" s="98">
        <f>+SUM('Overall without PTP '!AH21,'Overall with PTP'!AH21)</f>
        <v>0</v>
      </c>
      <c r="AI21" s="98">
        <f>+SUM('Overall without PTP '!AI21,'Overall with PTP'!AI21)</f>
        <v>0</v>
      </c>
      <c r="AJ21" s="98">
        <f>+SUM('Overall without PTP '!AJ21,'Overall with PTP'!AJ21)</f>
        <v>0</v>
      </c>
      <c r="AK21" s="98">
        <f>+SUM('Overall without PTP '!AK21,'Overall with PTP'!AK21)</f>
        <v>0</v>
      </c>
      <c r="AL21" s="152" t="str">
        <f>+IFERROR(AVERAGE('Overall without PTP '!AL21,'Overall with PTP'!AL21),"")</f>
        <v/>
      </c>
      <c r="AM21" s="152" t="str">
        <f>+IFERROR(AVERAGE('Overall without PTP '!AM21,'Overall with PTP'!AM21),"")</f>
        <v/>
      </c>
      <c r="AN21" s="152" t="str">
        <f>+IFERROR(AVERAGE('Overall without PTP '!AN21,'Overall with PTP'!AN21),"")</f>
        <v/>
      </c>
      <c r="AO21" s="152" t="str">
        <f>+IFERROR(AVERAGE('Overall without PTP '!AO21,'Overall with PTP'!AO21),"")</f>
        <v/>
      </c>
      <c r="AP21" s="98" t="str">
        <f>+IFERROR(AVERAGE('Overall without PTP '!AP21,'Overall with PTP'!AP21),"")</f>
        <v/>
      </c>
      <c r="AQ21" s="152" t="str">
        <f>+IFERROR(AVERAGE('Overall without PTP '!AQ21,'Overall with PTP'!AQ21),"")</f>
        <v/>
      </c>
      <c r="AR21" s="152" t="str">
        <f>+IFERROR(AVERAGE('Overall without PTP '!AR21,'Overall with PTP'!AR21),"")</f>
        <v/>
      </c>
      <c r="AS21" s="152" t="str">
        <f>+IFERROR(AVERAGE('Overall without PTP '!AS21,'Overall with PTP'!AS21),"")</f>
        <v/>
      </c>
      <c r="AT21" s="98">
        <f>+SUM('Overall without PTP '!AT21,'Overall with PTP'!AT21)</f>
        <v>0</v>
      </c>
      <c r="AU21" s="98">
        <f>+SUM('Overall without PTP '!AU21,'Overall with PTP'!AU21)</f>
        <v>0</v>
      </c>
      <c r="AV21" s="98">
        <f>+SUM('Overall without PTP '!AV21,'Overall with PTP'!AV21)</f>
        <v>0</v>
      </c>
      <c r="AW21" s="167">
        <f>+IFERROR(AVERAGE(EL_DEL_CD2_JO_!AW21,EL_DEL_CD2_PTP_!AW21,EL_DEL_CD2_SBI_1_4_!AW21,EL_DEL_CD2_SBI_5_6_!AW21,EL_DEL_CD2_SBI_7_8_!AW21,EL_DEL_CD2_SBI_9_10_!AW21,EL_DEL_CD2_STAB_!AW21,EL_DEL_CD1_WST_PTP_!AW21,EL_DEL_CD1_NTH_PTP_!AW21,EL_DEL_CD1_STH_PTP_!AW21,EL_DEL_CD1_1D4P_PTP_!AW21,EL_DEL_CD1_8D_PTP_!AW21,EL_DEL_CD2_JO_L_!AW21,EL_DEL_CD2_PTP_L_!AW21,EL_DEL_CD2_SBI_L_1_4_!AW21,EL_DEL_CD2_SBI_L_5_6_!AW21,EL_DEL_CD2_SBI_L_7_8_!AW21,EL_DEL_CD2_SBI_L_9_10_!AW21,EL_DEL_CD2_L_STAB_!AW21),0)</f>
        <v>0</v>
      </c>
      <c r="AX21" s="102" t="str">
        <f t="shared" si="26"/>
        <v>-</v>
      </c>
      <c r="AY21" s="151"/>
      <c r="AZ21" s="116" t="str">
        <f t="shared" si="2"/>
        <v/>
      </c>
      <c r="BA21" s="117" t="str">
        <f t="shared" si="3"/>
        <v/>
      </c>
      <c r="BB21" s="116" t="str">
        <f t="shared" si="4"/>
        <v/>
      </c>
      <c r="BC21" s="151"/>
      <c r="BD21" s="159" t="str">
        <f t="shared" si="5"/>
        <v/>
      </c>
      <c r="BE21" s="160" t="str">
        <f t="shared" si="6"/>
        <v/>
      </c>
      <c r="BF21" s="160" t="str">
        <f t="shared" si="7"/>
        <v/>
      </c>
      <c r="BG21" s="160" t="str">
        <f t="shared" si="8"/>
        <v/>
      </c>
      <c r="BH21" s="160" t="str">
        <f t="shared" si="9"/>
        <v/>
      </c>
      <c r="BI21" s="161" t="str">
        <f t="shared" si="27"/>
        <v/>
      </c>
      <c r="BJ21" s="151"/>
      <c r="BK21" s="162" t="str">
        <f t="shared" si="10"/>
        <v/>
      </c>
      <c r="BL21" s="163" t="str">
        <f t="shared" si="11"/>
        <v/>
      </c>
      <c r="BM21" s="163" t="str">
        <f t="shared" si="12"/>
        <v/>
      </c>
      <c r="BN21" s="164" t="str">
        <f t="shared" si="13"/>
        <v/>
      </c>
      <c r="BO21" s="151"/>
      <c r="BP21" s="124" t="str">
        <f t="shared" si="14"/>
        <v/>
      </c>
      <c r="BQ21" s="125">
        <v>0</v>
      </c>
      <c r="BR21" s="125" t="str">
        <f t="shared" si="15"/>
        <v/>
      </c>
      <c r="BS21" s="125" t="str">
        <f t="shared" si="28"/>
        <v/>
      </c>
      <c r="BT21" s="126" t="str">
        <f t="shared" si="16"/>
        <v/>
      </c>
      <c r="BU21" s="151"/>
      <c r="BV21" s="165" t="e">
        <f t="shared" si="17"/>
        <v>#VALUE!</v>
      </c>
      <c r="BW21" s="165" t="e">
        <f t="shared" si="18"/>
        <v>#VALUE!</v>
      </c>
      <c r="BX21" s="165" t="e">
        <f t="shared" si="19"/>
        <v>#VALUE!</v>
      </c>
      <c r="BY21" s="165" t="e">
        <f t="shared" si="20"/>
        <v>#VALUE!</v>
      </c>
      <c r="BZ21" s="165" t="e">
        <f t="shared" si="29"/>
        <v>#VALUE!</v>
      </c>
      <c r="CA21" s="166" t="e">
        <f t="shared" si="30"/>
        <v>#VALUE!</v>
      </c>
      <c r="CB21" s="151"/>
      <c r="CC21" s="129" t="str">
        <f t="shared" si="21"/>
        <v>-</v>
      </c>
      <c r="CD21" s="130" t="str">
        <f t="shared" si="22"/>
        <v>-</v>
      </c>
      <c r="CE21" s="130" t="str">
        <f t="shared" si="23"/>
        <v>-</v>
      </c>
      <c r="CF21" s="130" t="str">
        <f t="shared" si="24"/>
        <v>-</v>
      </c>
      <c r="CG21" s="131" t="str">
        <f t="shared" si="25"/>
        <v>-</v>
      </c>
      <c r="CH21" s="151"/>
    </row>
    <row r="22" spans="1:86" s="115" customFormat="1" ht="12.4" customHeight="1" thickBot="1" x14ac:dyDescent="0.25">
      <c r="A22" s="96">
        <f t="shared" si="31"/>
        <v>46314</v>
      </c>
      <c r="B22" s="97" t="str">
        <f t="shared" si="0"/>
        <v>Mon</v>
      </c>
      <c r="C22" s="98">
        <f>+SUM('Overall without PTP '!C22,'Overall with PTP'!C22)</f>
        <v>0</v>
      </c>
      <c r="D22" s="98">
        <f>+SUM('Overall without PTP '!D22,'Overall with PTP'!D22)</f>
        <v>0</v>
      </c>
      <c r="E22" s="98">
        <f>+SUM('Overall without PTP '!E22,'Overall with PTP'!E22)</f>
        <v>0</v>
      </c>
      <c r="F22" s="98">
        <f>+SUM('Overall without PTP '!F22,'Overall with PTP'!F22)</f>
        <v>0</v>
      </c>
      <c r="G22" s="98">
        <f>+SUM('Overall without PTP '!G22,'Overall with PTP'!G22)</f>
        <v>0</v>
      </c>
      <c r="H22" s="98">
        <f>+SUM('Overall without PTP '!H22,'Overall with PTP'!H22)</f>
        <v>0</v>
      </c>
      <c r="I22" s="98">
        <f>+SUM('Overall without PTP '!I22,'Overall with PTP'!I22)</f>
        <v>0</v>
      </c>
      <c r="J22" s="98">
        <f>+SUM('Overall without PTP '!J22,'Overall with PTP'!J22)</f>
        <v>0</v>
      </c>
      <c r="K22" s="98">
        <f>+SUM('Overall without PTP '!K22,'Overall with PTP'!K22)</f>
        <v>0</v>
      </c>
      <c r="L22" s="98">
        <f>+SUM('Overall without PTP '!L22,'Overall with PTP'!L22)</f>
        <v>0</v>
      </c>
      <c r="M22" s="98">
        <f>+SUM('Overall without PTP '!M22,'Overall with PTP'!M22)</f>
        <v>0</v>
      </c>
      <c r="N22" s="98">
        <f>+SUM('Overall without PTP '!N22,'Overall with PTP'!N22)</f>
        <v>0</v>
      </c>
      <c r="O22" s="98">
        <f>+SUM('Overall without PTP '!O22,'Overall with PTP'!O22)</f>
        <v>0</v>
      </c>
      <c r="P22" s="98">
        <f>+SUM('Overall without PTP '!P22,'Overall with PTP'!P22)</f>
        <v>0</v>
      </c>
      <c r="Q22" s="98">
        <f>+SUM('Overall without PTP '!Q22,'Overall with PTP'!Q22)</f>
        <v>0</v>
      </c>
      <c r="R22" s="98">
        <f>+SUM('Overall without PTP '!R22,'Overall with PTP'!R22)</f>
        <v>0</v>
      </c>
      <c r="S22" s="98">
        <f>+SUM('Overall without PTP '!S22,'Overall with PTP'!S22)</f>
        <v>0</v>
      </c>
      <c r="T22" s="98">
        <f>+SUM('Overall without PTP '!T22,'Overall with PTP'!T22)</f>
        <v>0</v>
      </c>
      <c r="U22" s="98">
        <f>+SUM('Overall without PTP '!U22,'Overall with PTP'!U22)</f>
        <v>0</v>
      </c>
      <c r="V22" s="98">
        <f>+SUM('Overall without PTP '!V22,'Overall with PTP'!V22)</f>
        <v>0</v>
      </c>
      <c r="W22" s="98">
        <f>+SUM('Overall without PTP '!W22,'Overall with PTP'!W22)</f>
        <v>0</v>
      </c>
      <c r="X22" s="98">
        <f>+SUM('Overall without PTP '!X22,'Overall with PTP'!X22)</f>
        <v>0</v>
      </c>
      <c r="Y22" s="98">
        <f>+SUM('Overall without PTP '!Y22,'Overall with PTP'!Y22)</f>
        <v>0</v>
      </c>
      <c r="Z22" s="98">
        <f>+SUM('Overall without PTP '!Z22,'Overall with PTP'!Z22)</f>
        <v>0</v>
      </c>
      <c r="AA22" s="98">
        <f>+SUM('Overall without PTP '!AA22,'Overall with PTP'!AA22)</f>
        <v>0</v>
      </c>
      <c r="AB22" s="98">
        <f>+SUM('Overall without PTP '!AB22,'Overall with PTP'!AB22)</f>
        <v>0</v>
      </c>
      <c r="AC22" s="98">
        <f>+SUM('Overall without PTP '!AC22,'Overall with PTP'!AC22)</f>
        <v>0</v>
      </c>
      <c r="AD22" s="98">
        <f>+SUM('Overall without PTP '!AD22,'Overall with PTP'!AD22)</f>
        <v>0</v>
      </c>
      <c r="AE22" s="98">
        <f>+SUM('Overall without PTP '!AE22,'Overall with PTP'!AE22)</f>
        <v>0</v>
      </c>
      <c r="AF22" s="98">
        <f>+SUM('Overall without PTP '!AF22,'Overall with PTP'!AF22)</f>
        <v>0</v>
      </c>
      <c r="AG22" s="98">
        <f>+SUM('Overall without PTP '!AG22,'Overall with PTP'!AG22)</f>
        <v>0</v>
      </c>
      <c r="AH22" s="98">
        <f>+SUM('Overall without PTP '!AH22,'Overall with PTP'!AH22)</f>
        <v>0</v>
      </c>
      <c r="AI22" s="98">
        <f>+SUM('Overall without PTP '!AI22,'Overall with PTP'!AI22)</f>
        <v>0</v>
      </c>
      <c r="AJ22" s="98">
        <f>+SUM('Overall without PTP '!AJ22,'Overall with PTP'!AJ22)</f>
        <v>0</v>
      </c>
      <c r="AK22" s="98">
        <f>+SUM('Overall without PTP '!AK22,'Overall with PTP'!AK22)</f>
        <v>0</v>
      </c>
      <c r="AL22" s="152" t="str">
        <f>+IFERROR(AVERAGE('Overall without PTP '!AL22,'Overall with PTP'!AL22),"")</f>
        <v/>
      </c>
      <c r="AM22" s="152" t="str">
        <f>+IFERROR(AVERAGE('Overall without PTP '!AM22,'Overall with PTP'!AM22),"")</f>
        <v/>
      </c>
      <c r="AN22" s="152" t="str">
        <f>+IFERROR(AVERAGE('Overall without PTP '!AN22,'Overall with PTP'!AN22),"")</f>
        <v/>
      </c>
      <c r="AO22" s="152" t="str">
        <f>+IFERROR(AVERAGE('Overall without PTP '!AO22,'Overall with PTP'!AO22),"")</f>
        <v/>
      </c>
      <c r="AP22" s="98" t="str">
        <f>+IFERROR(AVERAGE('Overall without PTP '!AP22,'Overall with PTP'!AP22),"")</f>
        <v/>
      </c>
      <c r="AQ22" s="152" t="str">
        <f>+IFERROR(AVERAGE('Overall without PTP '!AQ22,'Overall with PTP'!AQ22),"")</f>
        <v/>
      </c>
      <c r="AR22" s="152" t="str">
        <f>+IFERROR(AVERAGE('Overall without PTP '!AR22,'Overall with PTP'!AR22),"")</f>
        <v/>
      </c>
      <c r="AS22" s="152" t="str">
        <f>+IFERROR(AVERAGE('Overall without PTP '!AS22,'Overall with PTP'!AS22),"")</f>
        <v/>
      </c>
      <c r="AT22" s="98">
        <f>+SUM('Overall without PTP '!AT22,'Overall with PTP'!AT22)</f>
        <v>0</v>
      </c>
      <c r="AU22" s="98">
        <f>+SUM('Overall without PTP '!AU22,'Overall with PTP'!AU22)</f>
        <v>0</v>
      </c>
      <c r="AV22" s="98">
        <f>+SUM('Overall without PTP '!AV22,'Overall with PTP'!AV22)</f>
        <v>0</v>
      </c>
      <c r="AW22" s="167">
        <f>+IFERROR(AVERAGE(EL_DEL_CD2_JO_!AW22,EL_DEL_CD2_PTP_!AW22,EL_DEL_CD2_SBI_1_4_!AW22,EL_DEL_CD2_SBI_5_6_!AW22,EL_DEL_CD2_SBI_7_8_!AW22,EL_DEL_CD2_SBI_9_10_!AW22,EL_DEL_CD2_STAB_!AW22,EL_DEL_CD1_WST_PTP_!AW22,EL_DEL_CD1_NTH_PTP_!AW22,EL_DEL_CD1_STH_PTP_!AW22,EL_DEL_CD1_1D4P_PTP_!AW22,EL_DEL_CD1_8D_PTP_!AW22,EL_DEL_CD2_JO_L_!AW22,EL_DEL_CD2_PTP_L_!AW22,EL_DEL_CD2_SBI_L_1_4_!AW22,EL_DEL_CD2_SBI_L_5_6_!AW22,EL_DEL_CD2_SBI_L_7_8_!AW22,EL_DEL_CD2_SBI_L_9_10_!AW22,EL_DEL_CD2_L_STAB_!AW22),0)</f>
        <v>0</v>
      </c>
      <c r="AX22" s="102" t="str">
        <f t="shared" si="26"/>
        <v>-</v>
      </c>
      <c r="AY22" s="151"/>
      <c r="AZ22" s="116" t="str">
        <f t="shared" si="2"/>
        <v/>
      </c>
      <c r="BA22" s="117" t="str">
        <f t="shared" si="3"/>
        <v/>
      </c>
      <c r="BB22" s="116" t="str">
        <f t="shared" si="4"/>
        <v/>
      </c>
      <c r="BC22" s="151"/>
      <c r="BD22" s="159" t="str">
        <f t="shared" si="5"/>
        <v/>
      </c>
      <c r="BE22" s="160" t="str">
        <f t="shared" si="6"/>
        <v/>
      </c>
      <c r="BF22" s="160" t="str">
        <f t="shared" si="7"/>
        <v/>
      </c>
      <c r="BG22" s="160" t="str">
        <f t="shared" si="8"/>
        <v/>
      </c>
      <c r="BH22" s="160" t="str">
        <f t="shared" si="9"/>
        <v/>
      </c>
      <c r="BI22" s="161" t="str">
        <f t="shared" si="27"/>
        <v/>
      </c>
      <c r="BJ22" s="151"/>
      <c r="BK22" s="162" t="str">
        <f t="shared" si="10"/>
        <v/>
      </c>
      <c r="BL22" s="163" t="str">
        <f t="shared" si="11"/>
        <v/>
      </c>
      <c r="BM22" s="163" t="str">
        <f t="shared" si="12"/>
        <v/>
      </c>
      <c r="BN22" s="164" t="str">
        <f t="shared" si="13"/>
        <v/>
      </c>
      <c r="BO22" s="151"/>
      <c r="BP22" s="124" t="str">
        <f t="shared" si="14"/>
        <v/>
      </c>
      <c r="BQ22" s="125">
        <v>0</v>
      </c>
      <c r="BR22" s="125" t="str">
        <f t="shared" si="15"/>
        <v/>
      </c>
      <c r="BS22" s="125" t="str">
        <f t="shared" si="28"/>
        <v/>
      </c>
      <c r="BT22" s="126" t="str">
        <f t="shared" si="16"/>
        <v/>
      </c>
      <c r="BU22" s="151"/>
      <c r="BV22" s="165" t="e">
        <f t="shared" si="17"/>
        <v>#VALUE!</v>
      </c>
      <c r="BW22" s="165" t="e">
        <f t="shared" si="18"/>
        <v>#VALUE!</v>
      </c>
      <c r="BX22" s="165" t="e">
        <f t="shared" si="19"/>
        <v>#VALUE!</v>
      </c>
      <c r="BY22" s="165" t="e">
        <f t="shared" si="20"/>
        <v>#VALUE!</v>
      </c>
      <c r="BZ22" s="165" t="e">
        <f t="shared" si="29"/>
        <v>#VALUE!</v>
      </c>
      <c r="CA22" s="166" t="e">
        <f t="shared" si="30"/>
        <v>#VALUE!</v>
      </c>
      <c r="CB22" s="151"/>
      <c r="CC22" s="129" t="str">
        <f t="shared" si="21"/>
        <v>-</v>
      </c>
      <c r="CD22" s="130" t="str">
        <f t="shared" si="22"/>
        <v>-</v>
      </c>
      <c r="CE22" s="130" t="str">
        <f t="shared" si="23"/>
        <v>-</v>
      </c>
      <c r="CF22" s="130" t="str">
        <f t="shared" si="24"/>
        <v>-</v>
      </c>
      <c r="CG22" s="131" t="str">
        <f t="shared" si="25"/>
        <v>-</v>
      </c>
      <c r="CH22" s="151"/>
    </row>
    <row r="23" spans="1:86" s="115" customFormat="1" ht="12.4" customHeight="1" thickBot="1" x14ac:dyDescent="0.25">
      <c r="A23" s="96">
        <f t="shared" si="31"/>
        <v>46315</v>
      </c>
      <c r="B23" s="97" t="str">
        <f t="shared" si="0"/>
        <v>Tue</v>
      </c>
      <c r="C23" s="98">
        <f>+SUM('Overall without PTP '!C23,'Overall with PTP'!C23)</f>
        <v>0</v>
      </c>
      <c r="D23" s="98">
        <f>+SUM('Overall without PTP '!D23,'Overall with PTP'!D23)</f>
        <v>0</v>
      </c>
      <c r="E23" s="98">
        <f>+SUM('Overall without PTP '!E23,'Overall with PTP'!E23)</f>
        <v>0</v>
      </c>
      <c r="F23" s="98">
        <f>+SUM('Overall without PTP '!F23,'Overall with PTP'!F23)</f>
        <v>0</v>
      </c>
      <c r="G23" s="98">
        <f>+SUM('Overall without PTP '!G23,'Overall with PTP'!G23)</f>
        <v>0</v>
      </c>
      <c r="H23" s="98">
        <f>+SUM('Overall without PTP '!H23,'Overall with PTP'!H23)</f>
        <v>0</v>
      </c>
      <c r="I23" s="98">
        <f>+SUM('Overall without PTP '!I23,'Overall with PTP'!I23)</f>
        <v>0</v>
      </c>
      <c r="J23" s="98">
        <f>+SUM('Overall without PTP '!J23,'Overall with PTP'!J23)</f>
        <v>0</v>
      </c>
      <c r="K23" s="98">
        <f>+SUM('Overall without PTP '!K23,'Overall with PTP'!K23)</f>
        <v>0</v>
      </c>
      <c r="L23" s="98">
        <f>+SUM('Overall without PTP '!L23,'Overall with PTP'!L23)</f>
        <v>0</v>
      </c>
      <c r="M23" s="98">
        <f>+SUM('Overall without PTP '!M23,'Overall with PTP'!M23)</f>
        <v>0</v>
      </c>
      <c r="N23" s="98">
        <f>+SUM('Overall without PTP '!N23,'Overall with PTP'!N23)</f>
        <v>0</v>
      </c>
      <c r="O23" s="98">
        <f>+SUM('Overall without PTP '!O23,'Overall with PTP'!O23)</f>
        <v>0</v>
      </c>
      <c r="P23" s="98">
        <f>+SUM('Overall without PTP '!P23,'Overall with PTP'!P23)</f>
        <v>0</v>
      </c>
      <c r="Q23" s="98">
        <f>+SUM('Overall without PTP '!Q23,'Overall with PTP'!Q23)</f>
        <v>0</v>
      </c>
      <c r="R23" s="98">
        <f>+SUM('Overall without PTP '!R23,'Overall with PTP'!R23)</f>
        <v>0</v>
      </c>
      <c r="S23" s="98">
        <f>+SUM('Overall without PTP '!S23,'Overall with PTP'!S23)</f>
        <v>0</v>
      </c>
      <c r="T23" s="98">
        <f>+SUM('Overall without PTP '!T23,'Overall with PTP'!T23)</f>
        <v>0</v>
      </c>
      <c r="U23" s="98">
        <f>+SUM('Overall without PTP '!U23,'Overall with PTP'!U23)</f>
        <v>0</v>
      </c>
      <c r="V23" s="98">
        <f>+SUM('Overall without PTP '!V23,'Overall with PTP'!V23)</f>
        <v>0</v>
      </c>
      <c r="W23" s="98">
        <f>+SUM('Overall without PTP '!W23,'Overall with PTP'!W23)</f>
        <v>0</v>
      </c>
      <c r="X23" s="98">
        <f>+SUM('Overall without PTP '!X23,'Overall with PTP'!X23)</f>
        <v>0</v>
      </c>
      <c r="Y23" s="98">
        <f>+SUM('Overall without PTP '!Y23,'Overall with PTP'!Y23)</f>
        <v>0</v>
      </c>
      <c r="Z23" s="98">
        <f>+SUM('Overall without PTP '!Z23,'Overall with PTP'!Z23)</f>
        <v>0</v>
      </c>
      <c r="AA23" s="98">
        <f>+SUM('Overall without PTP '!AA23,'Overall with PTP'!AA23)</f>
        <v>0</v>
      </c>
      <c r="AB23" s="98">
        <f>+SUM('Overall without PTP '!AB23,'Overall with PTP'!AB23)</f>
        <v>0</v>
      </c>
      <c r="AC23" s="98">
        <f>+SUM('Overall without PTP '!AC23,'Overall with PTP'!AC23)</f>
        <v>0</v>
      </c>
      <c r="AD23" s="98">
        <f>+SUM('Overall without PTP '!AD23,'Overall with PTP'!AD23)</f>
        <v>0</v>
      </c>
      <c r="AE23" s="98">
        <f>+SUM('Overall without PTP '!AE23,'Overall with PTP'!AE23)</f>
        <v>0</v>
      </c>
      <c r="AF23" s="98">
        <f>+SUM('Overall without PTP '!AF23,'Overall with PTP'!AF23)</f>
        <v>0</v>
      </c>
      <c r="AG23" s="98">
        <f>+SUM('Overall without PTP '!AG23,'Overall with PTP'!AG23)</f>
        <v>0</v>
      </c>
      <c r="AH23" s="98">
        <f>+SUM('Overall without PTP '!AH23,'Overall with PTP'!AH23)</f>
        <v>0</v>
      </c>
      <c r="AI23" s="98">
        <f>+SUM('Overall without PTP '!AI23,'Overall with PTP'!AI23)</f>
        <v>0</v>
      </c>
      <c r="AJ23" s="98">
        <f>+SUM('Overall without PTP '!AJ23,'Overall with PTP'!AJ23)</f>
        <v>0</v>
      </c>
      <c r="AK23" s="98">
        <f>+SUM('Overall without PTP '!AK23,'Overall with PTP'!AK23)</f>
        <v>0</v>
      </c>
      <c r="AL23" s="152" t="str">
        <f>+IFERROR(AVERAGE('Overall without PTP '!AL23,'Overall with PTP'!AL23),"")</f>
        <v/>
      </c>
      <c r="AM23" s="152" t="str">
        <f>+IFERROR(AVERAGE('Overall without PTP '!AM23,'Overall with PTP'!AM23),"")</f>
        <v/>
      </c>
      <c r="AN23" s="152" t="str">
        <f>+IFERROR(AVERAGE('Overall without PTP '!AN23,'Overall with PTP'!AN23),"")</f>
        <v/>
      </c>
      <c r="AO23" s="152" t="str">
        <f>+IFERROR(AVERAGE('Overall without PTP '!AO23,'Overall with PTP'!AO23),"")</f>
        <v/>
      </c>
      <c r="AP23" s="98" t="str">
        <f>+IFERROR(AVERAGE('Overall without PTP '!AP23,'Overall with PTP'!AP23),"")</f>
        <v/>
      </c>
      <c r="AQ23" s="152" t="str">
        <f>+IFERROR(AVERAGE('Overall without PTP '!AQ23,'Overall with PTP'!AQ23),"")</f>
        <v/>
      </c>
      <c r="AR23" s="152" t="str">
        <f>+IFERROR(AVERAGE('Overall without PTP '!AR23,'Overall with PTP'!AR23),"")</f>
        <v/>
      </c>
      <c r="AS23" s="152" t="str">
        <f>+IFERROR(AVERAGE('Overall without PTP '!AS23,'Overall with PTP'!AS23),"")</f>
        <v/>
      </c>
      <c r="AT23" s="98">
        <f>+SUM('Overall without PTP '!AT23,'Overall with PTP'!AT23)</f>
        <v>0</v>
      </c>
      <c r="AU23" s="98">
        <f>+SUM('Overall without PTP '!AU23,'Overall with PTP'!AU23)</f>
        <v>0</v>
      </c>
      <c r="AV23" s="98">
        <f>+SUM('Overall without PTP '!AV23,'Overall with PTP'!AV23)</f>
        <v>0</v>
      </c>
      <c r="AW23" s="167">
        <f>+IFERROR(AVERAGE(EL_DEL_CD2_JO_!AW23,EL_DEL_CD2_PTP_!AW23,EL_DEL_CD2_SBI_1_4_!AW23,EL_DEL_CD2_SBI_5_6_!AW23,EL_DEL_CD2_SBI_7_8_!AW23,EL_DEL_CD2_SBI_9_10_!AW23,EL_DEL_CD2_STAB_!AW23,EL_DEL_CD1_WST_PTP_!AW23,EL_DEL_CD1_NTH_PTP_!AW23,EL_DEL_CD1_STH_PTP_!AW23,EL_DEL_CD1_1D4P_PTP_!AW23,EL_DEL_CD1_8D_PTP_!AW23,EL_DEL_CD2_JO_L_!AW23,EL_DEL_CD2_PTP_L_!AW23,EL_DEL_CD2_SBI_L_1_4_!AW23,EL_DEL_CD2_SBI_L_5_6_!AW23,EL_DEL_CD2_SBI_L_7_8_!AW23,EL_DEL_CD2_SBI_L_9_10_!AW23,EL_DEL_CD2_L_STAB_!AW23),0)</f>
        <v>0</v>
      </c>
      <c r="AX23" s="102" t="str">
        <f t="shared" si="26"/>
        <v>-</v>
      </c>
      <c r="AY23" s="151"/>
      <c r="AZ23" s="116" t="str">
        <f t="shared" si="2"/>
        <v/>
      </c>
      <c r="BA23" s="117" t="str">
        <f t="shared" si="3"/>
        <v/>
      </c>
      <c r="BB23" s="116" t="str">
        <f t="shared" si="4"/>
        <v/>
      </c>
      <c r="BC23" s="151"/>
      <c r="BD23" s="159" t="str">
        <f t="shared" si="5"/>
        <v/>
      </c>
      <c r="BE23" s="160" t="str">
        <f t="shared" si="6"/>
        <v/>
      </c>
      <c r="BF23" s="160" t="str">
        <f t="shared" si="7"/>
        <v/>
      </c>
      <c r="BG23" s="160" t="str">
        <f t="shared" si="8"/>
        <v/>
      </c>
      <c r="BH23" s="160" t="str">
        <f t="shared" si="9"/>
        <v/>
      </c>
      <c r="BI23" s="161" t="str">
        <f t="shared" si="27"/>
        <v/>
      </c>
      <c r="BJ23" s="151"/>
      <c r="BK23" s="162" t="str">
        <f t="shared" si="10"/>
        <v/>
      </c>
      <c r="BL23" s="163" t="str">
        <f t="shared" si="11"/>
        <v/>
      </c>
      <c r="BM23" s="163" t="str">
        <f t="shared" si="12"/>
        <v/>
      </c>
      <c r="BN23" s="164" t="str">
        <f t="shared" si="13"/>
        <v/>
      </c>
      <c r="BO23" s="151"/>
      <c r="BP23" s="124" t="str">
        <f t="shared" si="14"/>
        <v/>
      </c>
      <c r="BQ23" s="125">
        <v>0</v>
      </c>
      <c r="BR23" s="125" t="str">
        <f t="shared" si="15"/>
        <v/>
      </c>
      <c r="BS23" s="125" t="str">
        <f t="shared" si="28"/>
        <v/>
      </c>
      <c r="BT23" s="126" t="str">
        <f t="shared" si="16"/>
        <v/>
      </c>
      <c r="BU23" s="151"/>
      <c r="BV23" s="165" t="e">
        <f t="shared" si="17"/>
        <v>#VALUE!</v>
      </c>
      <c r="BW23" s="165" t="e">
        <f t="shared" si="18"/>
        <v>#VALUE!</v>
      </c>
      <c r="BX23" s="165" t="e">
        <f t="shared" si="19"/>
        <v>#VALUE!</v>
      </c>
      <c r="BY23" s="165" t="e">
        <f t="shared" si="20"/>
        <v>#VALUE!</v>
      </c>
      <c r="BZ23" s="165" t="e">
        <f t="shared" si="29"/>
        <v>#VALUE!</v>
      </c>
      <c r="CA23" s="166" t="e">
        <f t="shared" si="30"/>
        <v>#VALUE!</v>
      </c>
      <c r="CB23" s="151"/>
      <c r="CC23" s="129" t="str">
        <f t="shared" si="21"/>
        <v>-</v>
      </c>
      <c r="CD23" s="130" t="str">
        <f t="shared" si="22"/>
        <v>-</v>
      </c>
      <c r="CE23" s="130" t="str">
        <f t="shared" si="23"/>
        <v>-</v>
      </c>
      <c r="CF23" s="130" t="str">
        <f t="shared" si="24"/>
        <v>-</v>
      </c>
      <c r="CG23" s="131" t="str">
        <f t="shared" si="25"/>
        <v>-</v>
      </c>
      <c r="CH23" s="151"/>
    </row>
    <row r="24" spans="1:86" s="115" customFormat="1" ht="12.4" customHeight="1" thickBot="1" x14ac:dyDescent="0.25">
      <c r="A24" s="96">
        <f t="shared" si="31"/>
        <v>46316</v>
      </c>
      <c r="B24" s="97" t="str">
        <f t="shared" si="0"/>
        <v>Wed</v>
      </c>
      <c r="C24" s="98">
        <f>+SUM('Overall without PTP '!C24,'Overall with PTP'!C24)</f>
        <v>0</v>
      </c>
      <c r="D24" s="98">
        <f>+SUM('Overall without PTP '!D24,'Overall with PTP'!D24)</f>
        <v>0</v>
      </c>
      <c r="E24" s="98">
        <f>+SUM('Overall without PTP '!E24,'Overall with PTP'!E24)</f>
        <v>0</v>
      </c>
      <c r="F24" s="98">
        <f>+SUM('Overall without PTP '!F24,'Overall with PTP'!F24)</f>
        <v>0</v>
      </c>
      <c r="G24" s="98">
        <f>+SUM('Overall without PTP '!G24,'Overall with PTP'!G24)</f>
        <v>0</v>
      </c>
      <c r="H24" s="98">
        <f>+SUM('Overall without PTP '!H24,'Overall with PTP'!H24)</f>
        <v>0</v>
      </c>
      <c r="I24" s="98">
        <f>+SUM('Overall without PTP '!I24,'Overall with PTP'!I24)</f>
        <v>0</v>
      </c>
      <c r="J24" s="98">
        <f>+SUM('Overall without PTP '!J24,'Overall with PTP'!J24)</f>
        <v>0</v>
      </c>
      <c r="K24" s="98">
        <f>+SUM('Overall without PTP '!K24,'Overall with PTP'!K24)</f>
        <v>0</v>
      </c>
      <c r="L24" s="98">
        <f>+SUM('Overall without PTP '!L24,'Overall with PTP'!L24)</f>
        <v>0</v>
      </c>
      <c r="M24" s="98">
        <f>+SUM('Overall without PTP '!M24,'Overall with PTP'!M24)</f>
        <v>0</v>
      </c>
      <c r="N24" s="98">
        <f>+SUM('Overall without PTP '!N24,'Overall with PTP'!N24)</f>
        <v>0</v>
      </c>
      <c r="O24" s="98">
        <f>+SUM('Overall without PTP '!O24,'Overall with PTP'!O24)</f>
        <v>0</v>
      </c>
      <c r="P24" s="98">
        <f>+SUM('Overall without PTP '!P24,'Overall with PTP'!P24)</f>
        <v>0</v>
      </c>
      <c r="Q24" s="98">
        <f>+SUM('Overall without PTP '!Q24,'Overall with PTP'!Q24)</f>
        <v>0</v>
      </c>
      <c r="R24" s="98">
        <f>+SUM('Overall without PTP '!R24,'Overall with PTP'!R24)</f>
        <v>0</v>
      </c>
      <c r="S24" s="98">
        <f>+SUM('Overall without PTP '!S24,'Overall with PTP'!S24)</f>
        <v>0</v>
      </c>
      <c r="T24" s="98">
        <f>+SUM('Overall without PTP '!T24,'Overall with PTP'!T24)</f>
        <v>0</v>
      </c>
      <c r="U24" s="98">
        <f>+SUM('Overall without PTP '!U24,'Overall with PTP'!U24)</f>
        <v>0</v>
      </c>
      <c r="V24" s="98">
        <f>+SUM('Overall without PTP '!V24,'Overall with PTP'!V24)</f>
        <v>0</v>
      </c>
      <c r="W24" s="98">
        <f>+SUM('Overall without PTP '!W24,'Overall with PTP'!W24)</f>
        <v>0</v>
      </c>
      <c r="X24" s="98">
        <f>+SUM('Overall without PTP '!X24,'Overall with PTP'!X24)</f>
        <v>0</v>
      </c>
      <c r="Y24" s="98">
        <f>+SUM('Overall without PTP '!Y24,'Overall with PTP'!Y24)</f>
        <v>0</v>
      </c>
      <c r="Z24" s="98">
        <f>+SUM('Overall without PTP '!Z24,'Overall with PTP'!Z24)</f>
        <v>0</v>
      </c>
      <c r="AA24" s="98">
        <f>+SUM('Overall without PTP '!AA24,'Overall with PTP'!AA24)</f>
        <v>0</v>
      </c>
      <c r="AB24" s="98">
        <f>+SUM('Overall without PTP '!AB24,'Overall with PTP'!AB24)</f>
        <v>0</v>
      </c>
      <c r="AC24" s="98">
        <f>+SUM('Overall without PTP '!AC24,'Overall with PTP'!AC24)</f>
        <v>0</v>
      </c>
      <c r="AD24" s="98">
        <f>+SUM('Overall without PTP '!AD24,'Overall with PTP'!AD24)</f>
        <v>0</v>
      </c>
      <c r="AE24" s="98">
        <f>+SUM('Overall without PTP '!AE24,'Overall with PTP'!AE24)</f>
        <v>0</v>
      </c>
      <c r="AF24" s="98">
        <f>+SUM('Overall without PTP '!AF24,'Overall with PTP'!AF24)</f>
        <v>0</v>
      </c>
      <c r="AG24" s="98">
        <f>+SUM('Overall without PTP '!AG24,'Overall with PTP'!AG24)</f>
        <v>0</v>
      </c>
      <c r="AH24" s="98">
        <f>+SUM('Overall without PTP '!AH24,'Overall with PTP'!AH24)</f>
        <v>0</v>
      </c>
      <c r="AI24" s="98">
        <f>+SUM('Overall without PTP '!AI24,'Overall with PTP'!AI24)</f>
        <v>0</v>
      </c>
      <c r="AJ24" s="98">
        <f>+SUM('Overall without PTP '!AJ24,'Overall with PTP'!AJ24)</f>
        <v>0</v>
      </c>
      <c r="AK24" s="98">
        <f>+SUM('Overall without PTP '!AK24,'Overall with PTP'!AK24)</f>
        <v>0</v>
      </c>
      <c r="AL24" s="152" t="str">
        <f>+IFERROR(AVERAGE('Overall without PTP '!AL24,'Overall with PTP'!AL24),"")</f>
        <v/>
      </c>
      <c r="AM24" s="152" t="str">
        <f>+IFERROR(AVERAGE('Overall without PTP '!AM24,'Overall with PTP'!AM24),"")</f>
        <v/>
      </c>
      <c r="AN24" s="152" t="str">
        <f>+IFERROR(AVERAGE('Overall without PTP '!AN24,'Overall with PTP'!AN24),"")</f>
        <v/>
      </c>
      <c r="AO24" s="152" t="str">
        <f>+IFERROR(AVERAGE('Overall without PTP '!AO24,'Overall with PTP'!AO24),"")</f>
        <v/>
      </c>
      <c r="AP24" s="98" t="str">
        <f>+IFERROR(AVERAGE('Overall without PTP '!AP24,'Overall with PTP'!AP24),"")</f>
        <v/>
      </c>
      <c r="AQ24" s="152" t="str">
        <f>+IFERROR(AVERAGE('Overall without PTP '!AQ24,'Overall with PTP'!AQ24),"")</f>
        <v/>
      </c>
      <c r="AR24" s="152" t="str">
        <f>+IFERROR(AVERAGE('Overall without PTP '!AR24,'Overall with PTP'!AR24),"")</f>
        <v/>
      </c>
      <c r="AS24" s="152" t="str">
        <f>+IFERROR(AVERAGE('Overall without PTP '!AS24,'Overall with PTP'!AS24),"")</f>
        <v/>
      </c>
      <c r="AT24" s="98">
        <f>+SUM('Overall without PTP '!AT24,'Overall with PTP'!AT24)</f>
        <v>0</v>
      </c>
      <c r="AU24" s="98">
        <f>+SUM('Overall without PTP '!AU24,'Overall with PTP'!AU24)</f>
        <v>0</v>
      </c>
      <c r="AV24" s="98">
        <f>+SUM('Overall without PTP '!AV24,'Overall with PTP'!AV24)</f>
        <v>0</v>
      </c>
      <c r="AW24" s="167">
        <f>+IFERROR(AVERAGE(EL_DEL_CD2_JO_!AW24,EL_DEL_CD2_PTP_!AW24,EL_DEL_CD2_SBI_1_4_!AW24,EL_DEL_CD2_SBI_5_6_!AW24,EL_DEL_CD2_SBI_7_8_!AW24,EL_DEL_CD2_SBI_9_10_!AW24,EL_DEL_CD2_STAB_!AW24,EL_DEL_CD1_WST_PTP_!AW24,EL_DEL_CD1_NTH_PTP_!AW24,EL_DEL_CD1_STH_PTP_!AW24,EL_DEL_CD1_1D4P_PTP_!AW24,EL_DEL_CD1_8D_PTP_!AW24,EL_DEL_CD2_JO_L_!AW24,EL_DEL_CD2_PTP_L_!AW24,EL_DEL_CD2_SBI_L_1_4_!AW24,EL_DEL_CD2_SBI_L_5_6_!AW24,EL_DEL_CD2_SBI_L_7_8_!AW24,EL_DEL_CD2_SBI_L_9_10_!AW24,EL_DEL_CD2_L_STAB_!AW24),0)</f>
        <v>0</v>
      </c>
      <c r="AX24" s="102" t="str">
        <f t="shared" si="26"/>
        <v>-</v>
      </c>
      <c r="AY24" s="151"/>
      <c r="AZ24" s="116" t="str">
        <f t="shared" si="2"/>
        <v/>
      </c>
      <c r="BA24" s="117" t="str">
        <f t="shared" si="3"/>
        <v/>
      </c>
      <c r="BB24" s="116" t="str">
        <f t="shared" si="4"/>
        <v/>
      </c>
      <c r="BC24" s="151"/>
      <c r="BD24" s="159" t="str">
        <f t="shared" si="5"/>
        <v/>
      </c>
      <c r="BE24" s="160" t="str">
        <f t="shared" si="6"/>
        <v/>
      </c>
      <c r="BF24" s="160" t="str">
        <f t="shared" si="7"/>
        <v/>
      </c>
      <c r="BG24" s="160" t="str">
        <f t="shared" si="8"/>
        <v/>
      </c>
      <c r="BH24" s="160" t="str">
        <f t="shared" si="9"/>
        <v/>
      </c>
      <c r="BI24" s="161" t="str">
        <f t="shared" si="27"/>
        <v/>
      </c>
      <c r="BJ24" s="151"/>
      <c r="BK24" s="162" t="str">
        <f t="shared" si="10"/>
        <v/>
      </c>
      <c r="BL24" s="163" t="str">
        <f t="shared" si="11"/>
        <v/>
      </c>
      <c r="BM24" s="163" t="str">
        <f t="shared" si="12"/>
        <v/>
      </c>
      <c r="BN24" s="164" t="str">
        <f t="shared" si="13"/>
        <v/>
      </c>
      <c r="BO24" s="151"/>
      <c r="BP24" s="124" t="str">
        <f t="shared" si="14"/>
        <v/>
      </c>
      <c r="BQ24" s="125">
        <v>0</v>
      </c>
      <c r="BR24" s="125" t="str">
        <f t="shared" si="15"/>
        <v/>
      </c>
      <c r="BS24" s="125" t="str">
        <f t="shared" si="28"/>
        <v/>
      </c>
      <c r="BT24" s="126" t="str">
        <f t="shared" si="16"/>
        <v/>
      </c>
      <c r="BU24" s="151"/>
      <c r="BV24" s="165" t="e">
        <f t="shared" si="17"/>
        <v>#VALUE!</v>
      </c>
      <c r="BW24" s="165" t="e">
        <f t="shared" si="18"/>
        <v>#VALUE!</v>
      </c>
      <c r="BX24" s="165" t="e">
        <f t="shared" si="19"/>
        <v>#VALUE!</v>
      </c>
      <c r="BY24" s="165" t="e">
        <f t="shared" si="20"/>
        <v>#VALUE!</v>
      </c>
      <c r="BZ24" s="165" t="e">
        <f t="shared" si="29"/>
        <v>#VALUE!</v>
      </c>
      <c r="CA24" s="166" t="e">
        <f t="shared" si="30"/>
        <v>#VALUE!</v>
      </c>
      <c r="CB24" s="151"/>
      <c r="CC24" s="129" t="str">
        <f t="shared" si="21"/>
        <v>-</v>
      </c>
      <c r="CD24" s="130" t="str">
        <f t="shared" si="22"/>
        <v>-</v>
      </c>
      <c r="CE24" s="130" t="str">
        <f t="shared" si="23"/>
        <v>-</v>
      </c>
      <c r="CF24" s="130" t="str">
        <f t="shared" si="24"/>
        <v>-</v>
      </c>
      <c r="CG24" s="131" t="str">
        <f t="shared" si="25"/>
        <v>-</v>
      </c>
      <c r="CH24" s="151"/>
    </row>
    <row r="25" spans="1:86" s="115" customFormat="1" ht="12.4" customHeight="1" thickBot="1" x14ac:dyDescent="0.25">
      <c r="A25" s="96">
        <f t="shared" si="31"/>
        <v>46317</v>
      </c>
      <c r="B25" s="97" t="str">
        <f t="shared" si="0"/>
        <v>Thu</v>
      </c>
      <c r="C25" s="98">
        <f>+SUM('Overall without PTP '!C25,'Overall with PTP'!C25)</f>
        <v>0</v>
      </c>
      <c r="D25" s="98">
        <f>+SUM('Overall without PTP '!D25,'Overall with PTP'!D25)</f>
        <v>0</v>
      </c>
      <c r="E25" s="98">
        <f>+SUM('Overall without PTP '!E25,'Overall with PTP'!E25)</f>
        <v>0</v>
      </c>
      <c r="F25" s="98">
        <f>+SUM('Overall without PTP '!F25,'Overall with PTP'!F25)</f>
        <v>0</v>
      </c>
      <c r="G25" s="98">
        <f>+SUM('Overall without PTP '!G25,'Overall with PTP'!G25)</f>
        <v>0</v>
      </c>
      <c r="H25" s="98">
        <f>+SUM('Overall without PTP '!H25,'Overall with PTP'!H25)</f>
        <v>0</v>
      </c>
      <c r="I25" s="98">
        <f>+SUM('Overall without PTP '!I25,'Overall with PTP'!I25)</f>
        <v>0</v>
      </c>
      <c r="J25" s="98">
        <f>+SUM('Overall without PTP '!J25,'Overall with PTP'!J25)</f>
        <v>0</v>
      </c>
      <c r="K25" s="98">
        <f>+SUM('Overall without PTP '!K25,'Overall with PTP'!K25)</f>
        <v>0</v>
      </c>
      <c r="L25" s="98">
        <f>+SUM('Overall without PTP '!L25,'Overall with PTP'!L25)</f>
        <v>0</v>
      </c>
      <c r="M25" s="98">
        <f>+SUM('Overall without PTP '!M25,'Overall with PTP'!M25)</f>
        <v>0</v>
      </c>
      <c r="N25" s="98">
        <f>+SUM('Overall without PTP '!N25,'Overall with PTP'!N25)</f>
        <v>0</v>
      </c>
      <c r="O25" s="98">
        <f>+SUM('Overall without PTP '!O25,'Overall with PTP'!O25)</f>
        <v>0</v>
      </c>
      <c r="P25" s="98">
        <f>+SUM('Overall without PTP '!P25,'Overall with PTP'!P25)</f>
        <v>0</v>
      </c>
      <c r="Q25" s="98">
        <f>+SUM('Overall without PTP '!Q25,'Overall with PTP'!Q25)</f>
        <v>0</v>
      </c>
      <c r="R25" s="98">
        <f>+SUM('Overall without PTP '!R25,'Overall with PTP'!R25)</f>
        <v>0</v>
      </c>
      <c r="S25" s="98">
        <f>+SUM('Overall without PTP '!S25,'Overall with PTP'!S25)</f>
        <v>0</v>
      </c>
      <c r="T25" s="98">
        <f>+SUM('Overall without PTP '!T25,'Overall with PTP'!T25)</f>
        <v>0</v>
      </c>
      <c r="U25" s="98">
        <f>+SUM('Overall without PTP '!U25,'Overall with PTP'!U25)</f>
        <v>0</v>
      </c>
      <c r="V25" s="98">
        <f>+SUM('Overall without PTP '!V25,'Overall with PTP'!V25)</f>
        <v>0</v>
      </c>
      <c r="W25" s="98">
        <f>+SUM('Overall without PTP '!W25,'Overall with PTP'!W25)</f>
        <v>0</v>
      </c>
      <c r="X25" s="98">
        <f>+SUM('Overall without PTP '!X25,'Overall with PTP'!X25)</f>
        <v>0</v>
      </c>
      <c r="Y25" s="98">
        <f>+SUM('Overall without PTP '!Y25,'Overall with PTP'!Y25)</f>
        <v>0</v>
      </c>
      <c r="Z25" s="98">
        <f>+SUM('Overall without PTP '!Z25,'Overall with PTP'!Z25)</f>
        <v>0</v>
      </c>
      <c r="AA25" s="98">
        <f>+SUM('Overall without PTP '!AA25,'Overall with PTP'!AA25)</f>
        <v>0</v>
      </c>
      <c r="AB25" s="98">
        <f>+SUM('Overall without PTP '!AB25,'Overall with PTP'!AB25)</f>
        <v>0</v>
      </c>
      <c r="AC25" s="98">
        <f>+SUM('Overall without PTP '!AC25,'Overall with PTP'!AC25)</f>
        <v>0</v>
      </c>
      <c r="AD25" s="98">
        <f>+SUM('Overall without PTP '!AD25,'Overall with PTP'!AD25)</f>
        <v>0</v>
      </c>
      <c r="AE25" s="98">
        <f>+SUM('Overall without PTP '!AE25,'Overall with PTP'!AE25)</f>
        <v>0</v>
      </c>
      <c r="AF25" s="98">
        <f>+SUM('Overall without PTP '!AF25,'Overall with PTP'!AF25)</f>
        <v>0</v>
      </c>
      <c r="AG25" s="98">
        <f>+SUM('Overall without PTP '!AG25,'Overall with PTP'!AG25)</f>
        <v>0</v>
      </c>
      <c r="AH25" s="98">
        <f>+SUM('Overall without PTP '!AH25,'Overall with PTP'!AH25)</f>
        <v>0</v>
      </c>
      <c r="AI25" s="98">
        <f>+SUM('Overall without PTP '!AI25,'Overall with PTP'!AI25)</f>
        <v>0</v>
      </c>
      <c r="AJ25" s="98">
        <f>+SUM('Overall without PTP '!AJ25,'Overall with PTP'!AJ25)</f>
        <v>0</v>
      </c>
      <c r="AK25" s="98">
        <f>+SUM('Overall without PTP '!AK25,'Overall with PTP'!AK25)</f>
        <v>0</v>
      </c>
      <c r="AL25" s="152" t="str">
        <f>+IFERROR(AVERAGE('Overall without PTP '!AL25,'Overall with PTP'!AL25),"")</f>
        <v/>
      </c>
      <c r="AM25" s="152" t="str">
        <f>+IFERROR(AVERAGE('Overall without PTP '!AM25,'Overall with PTP'!AM25),"")</f>
        <v/>
      </c>
      <c r="AN25" s="152" t="str">
        <f>+IFERROR(AVERAGE('Overall without PTP '!AN25,'Overall with PTP'!AN25),"")</f>
        <v/>
      </c>
      <c r="AO25" s="152" t="str">
        <f>+IFERROR(AVERAGE('Overall without PTP '!AO25,'Overall with PTP'!AO25),"")</f>
        <v/>
      </c>
      <c r="AP25" s="98" t="str">
        <f>+IFERROR(AVERAGE('Overall without PTP '!AP25,'Overall with PTP'!AP25),"")</f>
        <v/>
      </c>
      <c r="AQ25" s="152" t="str">
        <f>+IFERROR(AVERAGE('Overall without PTP '!AQ25,'Overall with PTP'!AQ25),"")</f>
        <v/>
      </c>
      <c r="AR25" s="152" t="str">
        <f>+IFERROR(AVERAGE('Overall without PTP '!AR25,'Overall with PTP'!AR25),"")</f>
        <v/>
      </c>
      <c r="AS25" s="152" t="str">
        <f>+IFERROR(AVERAGE('Overall without PTP '!AS25,'Overall with PTP'!AS25),"")</f>
        <v/>
      </c>
      <c r="AT25" s="98">
        <f>+SUM('Overall without PTP '!AT25,'Overall with PTP'!AT25)</f>
        <v>0</v>
      </c>
      <c r="AU25" s="98">
        <f>+SUM('Overall without PTP '!AU25,'Overall with PTP'!AU25)</f>
        <v>0</v>
      </c>
      <c r="AV25" s="98">
        <f>+SUM('Overall without PTP '!AV25,'Overall with PTP'!AV25)</f>
        <v>0</v>
      </c>
      <c r="AW25" s="167">
        <f>+IFERROR(AVERAGE(EL_DEL_CD2_JO_!AW25,EL_DEL_CD2_PTP_!AW25,EL_DEL_CD2_SBI_1_4_!AW25,EL_DEL_CD2_SBI_5_6_!AW25,EL_DEL_CD2_SBI_7_8_!AW25,EL_DEL_CD2_SBI_9_10_!AW25,EL_DEL_CD2_STAB_!AW25,EL_DEL_CD1_WST_PTP_!AW25,EL_DEL_CD1_NTH_PTP_!AW25,EL_DEL_CD1_STH_PTP_!AW25,EL_DEL_CD1_1D4P_PTP_!AW25,EL_DEL_CD1_8D_PTP_!AW25,EL_DEL_CD2_JO_L_!AW25,EL_DEL_CD2_PTP_L_!AW25,EL_DEL_CD2_SBI_L_1_4_!AW25,EL_DEL_CD2_SBI_L_5_6_!AW25,EL_DEL_CD2_SBI_L_7_8_!AW25,EL_DEL_CD2_SBI_L_9_10_!AW25,EL_DEL_CD2_L_STAB_!AW25),0)</f>
        <v>0</v>
      </c>
      <c r="AX25" s="102" t="str">
        <f t="shared" si="26"/>
        <v>-</v>
      </c>
      <c r="AY25" s="151"/>
      <c r="AZ25" s="116" t="str">
        <f t="shared" si="2"/>
        <v/>
      </c>
      <c r="BA25" s="117" t="str">
        <f t="shared" si="3"/>
        <v/>
      </c>
      <c r="BB25" s="116" t="str">
        <f t="shared" si="4"/>
        <v/>
      </c>
      <c r="BC25" s="151"/>
      <c r="BD25" s="159" t="str">
        <f t="shared" si="5"/>
        <v/>
      </c>
      <c r="BE25" s="160" t="str">
        <f t="shared" si="6"/>
        <v/>
      </c>
      <c r="BF25" s="160" t="str">
        <f t="shared" si="7"/>
        <v/>
      </c>
      <c r="BG25" s="160" t="str">
        <f t="shared" si="8"/>
        <v/>
      </c>
      <c r="BH25" s="160" t="str">
        <f t="shared" si="9"/>
        <v/>
      </c>
      <c r="BI25" s="161" t="str">
        <f t="shared" si="27"/>
        <v/>
      </c>
      <c r="BJ25" s="151"/>
      <c r="BK25" s="162" t="str">
        <f t="shared" si="10"/>
        <v/>
      </c>
      <c r="BL25" s="163" t="str">
        <f t="shared" si="11"/>
        <v/>
      </c>
      <c r="BM25" s="163" t="str">
        <f t="shared" si="12"/>
        <v/>
      </c>
      <c r="BN25" s="164" t="str">
        <f t="shared" si="13"/>
        <v/>
      </c>
      <c r="BO25" s="151"/>
      <c r="BP25" s="124" t="str">
        <f t="shared" si="14"/>
        <v/>
      </c>
      <c r="BQ25" s="125">
        <v>0</v>
      </c>
      <c r="BR25" s="125" t="str">
        <f t="shared" si="15"/>
        <v/>
      </c>
      <c r="BS25" s="125" t="str">
        <f t="shared" si="28"/>
        <v/>
      </c>
      <c r="BT25" s="126" t="str">
        <f t="shared" si="16"/>
        <v/>
      </c>
      <c r="BU25" s="151"/>
      <c r="BV25" s="165" t="e">
        <f t="shared" si="17"/>
        <v>#VALUE!</v>
      </c>
      <c r="BW25" s="165" t="e">
        <f t="shared" si="18"/>
        <v>#VALUE!</v>
      </c>
      <c r="BX25" s="165" t="e">
        <f t="shared" si="19"/>
        <v>#VALUE!</v>
      </c>
      <c r="BY25" s="165" t="e">
        <f t="shared" si="20"/>
        <v>#VALUE!</v>
      </c>
      <c r="BZ25" s="165" t="e">
        <f t="shared" si="29"/>
        <v>#VALUE!</v>
      </c>
      <c r="CA25" s="166" t="e">
        <f t="shared" si="30"/>
        <v>#VALUE!</v>
      </c>
      <c r="CB25" s="151"/>
      <c r="CC25" s="129" t="str">
        <f t="shared" si="21"/>
        <v>-</v>
      </c>
      <c r="CD25" s="130" t="str">
        <f t="shared" si="22"/>
        <v>-</v>
      </c>
      <c r="CE25" s="130" t="str">
        <f t="shared" si="23"/>
        <v>-</v>
      </c>
      <c r="CF25" s="130" t="str">
        <f t="shared" si="24"/>
        <v>-</v>
      </c>
      <c r="CG25" s="131" t="str">
        <f t="shared" si="25"/>
        <v>-</v>
      </c>
      <c r="CH25" s="151"/>
    </row>
    <row r="26" spans="1:86" s="115" customFormat="1" ht="12.4" customHeight="1" thickBot="1" x14ac:dyDescent="0.25">
      <c r="A26" s="96">
        <f t="shared" si="31"/>
        <v>46318</v>
      </c>
      <c r="B26" s="97" t="str">
        <f t="shared" si="0"/>
        <v>Fri</v>
      </c>
      <c r="C26" s="98">
        <f>+SUM('Overall without PTP '!C26,'Overall with PTP'!C26)</f>
        <v>0</v>
      </c>
      <c r="D26" s="98">
        <f>+SUM('Overall without PTP '!D26,'Overall with PTP'!D26)</f>
        <v>0</v>
      </c>
      <c r="E26" s="98">
        <f>+SUM('Overall without PTP '!E26,'Overall with PTP'!E26)</f>
        <v>0</v>
      </c>
      <c r="F26" s="98">
        <f>+SUM('Overall without PTP '!F26,'Overall with PTP'!F26)</f>
        <v>0</v>
      </c>
      <c r="G26" s="98">
        <f>+SUM('Overall without PTP '!G26,'Overall with PTP'!G26)</f>
        <v>0</v>
      </c>
      <c r="H26" s="98">
        <f>+SUM('Overall without PTP '!H26,'Overall with PTP'!H26)</f>
        <v>0</v>
      </c>
      <c r="I26" s="98">
        <f>+SUM('Overall without PTP '!I26,'Overall with PTP'!I26)</f>
        <v>0</v>
      </c>
      <c r="J26" s="98">
        <f>+SUM('Overall without PTP '!J26,'Overall with PTP'!J26)</f>
        <v>0</v>
      </c>
      <c r="K26" s="98">
        <f>+SUM('Overall without PTP '!K26,'Overall with PTP'!K26)</f>
        <v>0</v>
      </c>
      <c r="L26" s="98">
        <f>+SUM('Overall without PTP '!L26,'Overall with PTP'!L26)</f>
        <v>0</v>
      </c>
      <c r="M26" s="98">
        <f>+SUM('Overall without PTP '!M26,'Overall with PTP'!M26)</f>
        <v>0</v>
      </c>
      <c r="N26" s="98">
        <f>+SUM('Overall without PTP '!N26,'Overall with PTP'!N26)</f>
        <v>0</v>
      </c>
      <c r="O26" s="98">
        <f>+SUM('Overall without PTP '!O26,'Overall with PTP'!O26)</f>
        <v>0</v>
      </c>
      <c r="P26" s="98">
        <f>+SUM('Overall without PTP '!P26,'Overall with PTP'!P26)</f>
        <v>0</v>
      </c>
      <c r="Q26" s="98">
        <f>+SUM('Overall without PTP '!Q26,'Overall with PTP'!Q26)</f>
        <v>0</v>
      </c>
      <c r="R26" s="98">
        <f>+SUM('Overall without PTP '!R26,'Overall with PTP'!R26)</f>
        <v>0</v>
      </c>
      <c r="S26" s="98">
        <f>+SUM('Overall without PTP '!S26,'Overall with PTP'!S26)</f>
        <v>0</v>
      </c>
      <c r="T26" s="98">
        <f>+SUM('Overall without PTP '!T26,'Overall with PTP'!T26)</f>
        <v>0</v>
      </c>
      <c r="U26" s="98">
        <f>+SUM('Overall without PTP '!U26,'Overall with PTP'!U26)</f>
        <v>0</v>
      </c>
      <c r="V26" s="98">
        <f>+SUM('Overall without PTP '!V26,'Overall with PTP'!V26)</f>
        <v>0</v>
      </c>
      <c r="W26" s="98">
        <f>+SUM('Overall without PTP '!W26,'Overall with PTP'!W26)</f>
        <v>0</v>
      </c>
      <c r="X26" s="98">
        <f>+SUM('Overall without PTP '!X26,'Overall with PTP'!X26)</f>
        <v>0</v>
      </c>
      <c r="Y26" s="98">
        <f>+SUM('Overall without PTP '!Y26,'Overall with PTP'!Y26)</f>
        <v>0</v>
      </c>
      <c r="Z26" s="98">
        <f>+SUM('Overall without PTP '!Z26,'Overall with PTP'!Z26)</f>
        <v>0</v>
      </c>
      <c r="AA26" s="98">
        <f>+SUM('Overall without PTP '!AA26,'Overall with PTP'!AA26)</f>
        <v>0</v>
      </c>
      <c r="AB26" s="98">
        <f>+SUM('Overall without PTP '!AB26,'Overall with PTP'!AB26)</f>
        <v>0</v>
      </c>
      <c r="AC26" s="98">
        <f>+SUM('Overall without PTP '!AC26,'Overall with PTP'!AC26)</f>
        <v>0</v>
      </c>
      <c r="AD26" s="98">
        <f>+SUM('Overall without PTP '!AD26,'Overall with PTP'!AD26)</f>
        <v>0</v>
      </c>
      <c r="AE26" s="98">
        <f>+SUM('Overall without PTP '!AE26,'Overall with PTP'!AE26)</f>
        <v>0</v>
      </c>
      <c r="AF26" s="98">
        <f>+SUM('Overall without PTP '!AF26,'Overall with PTP'!AF26)</f>
        <v>0</v>
      </c>
      <c r="AG26" s="98">
        <f>+SUM('Overall without PTP '!AG26,'Overall with PTP'!AG26)</f>
        <v>0</v>
      </c>
      <c r="AH26" s="98">
        <f>+SUM('Overall without PTP '!AH26,'Overall with PTP'!AH26)</f>
        <v>0</v>
      </c>
      <c r="AI26" s="98">
        <f>+SUM('Overall without PTP '!AI26,'Overall with PTP'!AI26)</f>
        <v>0</v>
      </c>
      <c r="AJ26" s="98">
        <f>+SUM('Overall without PTP '!AJ26,'Overall with PTP'!AJ26)</f>
        <v>0</v>
      </c>
      <c r="AK26" s="98">
        <f>+SUM('Overall without PTP '!AK26,'Overall with PTP'!AK26)</f>
        <v>0</v>
      </c>
      <c r="AL26" s="152" t="str">
        <f>+IFERROR(AVERAGE('Overall without PTP '!AL26,'Overall with PTP'!AL26),"")</f>
        <v/>
      </c>
      <c r="AM26" s="152" t="str">
        <f>+IFERROR(AVERAGE('Overall without PTP '!AM26,'Overall with PTP'!AM26),"")</f>
        <v/>
      </c>
      <c r="AN26" s="152" t="str">
        <f>+IFERROR(AVERAGE('Overall without PTP '!AN26,'Overall with PTP'!AN26),"")</f>
        <v/>
      </c>
      <c r="AO26" s="152" t="str">
        <f>+IFERROR(AVERAGE('Overall without PTP '!AO26,'Overall with PTP'!AO26),"")</f>
        <v/>
      </c>
      <c r="AP26" s="98" t="str">
        <f>+IFERROR(AVERAGE('Overall without PTP '!AP26,'Overall with PTP'!AP26),"")</f>
        <v/>
      </c>
      <c r="AQ26" s="152" t="str">
        <f>+IFERROR(AVERAGE('Overall without PTP '!AQ26,'Overall with PTP'!AQ26),"")</f>
        <v/>
      </c>
      <c r="AR26" s="152" t="str">
        <f>+IFERROR(AVERAGE('Overall without PTP '!AR26,'Overall with PTP'!AR26),"")</f>
        <v/>
      </c>
      <c r="AS26" s="152" t="str">
        <f>+IFERROR(AVERAGE('Overall without PTP '!AS26,'Overall with PTP'!AS26),"")</f>
        <v/>
      </c>
      <c r="AT26" s="98">
        <f>+SUM('Overall without PTP '!AT26,'Overall with PTP'!AT26)</f>
        <v>0</v>
      </c>
      <c r="AU26" s="98">
        <f>+SUM('Overall without PTP '!AU26,'Overall with PTP'!AU26)</f>
        <v>0</v>
      </c>
      <c r="AV26" s="98">
        <f>+SUM('Overall without PTP '!AV26,'Overall with PTP'!AV26)</f>
        <v>0</v>
      </c>
      <c r="AW26" s="167">
        <f>+IFERROR(AVERAGE(EL_DEL_CD2_JO_!AW26,EL_DEL_CD2_PTP_!AW26,EL_DEL_CD2_SBI_1_4_!AW26,EL_DEL_CD2_SBI_5_6_!AW26,EL_DEL_CD2_SBI_7_8_!AW26,EL_DEL_CD2_SBI_9_10_!AW26,EL_DEL_CD2_STAB_!AW26,EL_DEL_CD1_WST_PTP_!AW26,EL_DEL_CD1_NTH_PTP_!AW26,EL_DEL_CD1_STH_PTP_!AW26,EL_DEL_CD1_1D4P_PTP_!AW26,EL_DEL_CD1_8D_PTP_!AW26,EL_DEL_CD2_JO_L_!AW26,EL_DEL_CD2_PTP_L_!AW26,EL_DEL_CD2_SBI_L_1_4_!AW26,EL_DEL_CD2_SBI_L_5_6_!AW26,EL_DEL_CD2_SBI_L_7_8_!AW26,EL_DEL_CD2_SBI_L_9_10_!AW26,EL_DEL_CD2_L_STAB_!AW26),0)</f>
        <v>0</v>
      </c>
      <c r="AX26" s="102" t="str">
        <f t="shared" si="26"/>
        <v>-</v>
      </c>
      <c r="AY26" s="151"/>
      <c r="AZ26" s="116" t="str">
        <f t="shared" si="2"/>
        <v/>
      </c>
      <c r="BA26" s="117" t="str">
        <f t="shared" si="3"/>
        <v/>
      </c>
      <c r="BB26" s="116" t="str">
        <f t="shared" si="4"/>
        <v/>
      </c>
      <c r="BC26" s="151"/>
      <c r="BD26" s="159" t="str">
        <f t="shared" si="5"/>
        <v/>
      </c>
      <c r="BE26" s="160" t="str">
        <f t="shared" si="6"/>
        <v/>
      </c>
      <c r="BF26" s="160" t="str">
        <f t="shared" si="7"/>
        <v/>
      </c>
      <c r="BG26" s="160" t="str">
        <f t="shared" si="8"/>
        <v/>
      </c>
      <c r="BH26" s="160" t="str">
        <f t="shared" si="9"/>
        <v/>
      </c>
      <c r="BI26" s="161" t="str">
        <f t="shared" si="27"/>
        <v/>
      </c>
      <c r="BJ26" s="151"/>
      <c r="BK26" s="162" t="str">
        <f t="shared" si="10"/>
        <v/>
      </c>
      <c r="BL26" s="163" t="str">
        <f t="shared" si="11"/>
        <v/>
      </c>
      <c r="BM26" s="163" t="str">
        <f t="shared" si="12"/>
        <v/>
      </c>
      <c r="BN26" s="164" t="str">
        <f t="shared" si="13"/>
        <v/>
      </c>
      <c r="BO26" s="151"/>
      <c r="BP26" s="124" t="str">
        <f t="shared" si="14"/>
        <v/>
      </c>
      <c r="BQ26" s="125">
        <v>0</v>
      </c>
      <c r="BR26" s="125" t="str">
        <f t="shared" si="15"/>
        <v/>
      </c>
      <c r="BS26" s="125" t="str">
        <f t="shared" si="28"/>
        <v/>
      </c>
      <c r="BT26" s="126" t="str">
        <f t="shared" si="16"/>
        <v/>
      </c>
      <c r="BU26" s="151"/>
      <c r="BV26" s="165" t="e">
        <f t="shared" si="17"/>
        <v>#VALUE!</v>
      </c>
      <c r="BW26" s="165" t="e">
        <f t="shared" si="18"/>
        <v>#VALUE!</v>
      </c>
      <c r="BX26" s="165" t="e">
        <f t="shared" si="19"/>
        <v>#VALUE!</v>
      </c>
      <c r="BY26" s="165" t="e">
        <f t="shared" si="20"/>
        <v>#VALUE!</v>
      </c>
      <c r="BZ26" s="165" t="e">
        <f t="shared" si="29"/>
        <v>#VALUE!</v>
      </c>
      <c r="CA26" s="166" t="e">
        <f t="shared" si="30"/>
        <v>#VALUE!</v>
      </c>
      <c r="CB26" s="151"/>
      <c r="CC26" s="129" t="str">
        <f t="shared" si="21"/>
        <v>-</v>
      </c>
      <c r="CD26" s="130" t="str">
        <f t="shared" si="22"/>
        <v>-</v>
      </c>
      <c r="CE26" s="130" t="str">
        <f t="shared" si="23"/>
        <v>-</v>
      </c>
      <c r="CF26" s="130" t="str">
        <f t="shared" si="24"/>
        <v>-</v>
      </c>
      <c r="CG26" s="131" t="str">
        <f t="shared" si="25"/>
        <v>-</v>
      </c>
      <c r="CH26" s="151"/>
    </row>
    <row r="27" spans="1:86" s="115" customFormat="1" ht="12.4" customHeight="1" thickBot="1" x14ac:dyDescent="0.25">
      <c r="A27" s="96">
        <f t="shared" si="31"/>
        <v>46319</v>
      </c>
      <c r="B27" s="97" t="str">
        <f t="shared" si="0"/>
        <v>Sat</v>
      </c>
      <c r="C27" s="98">
        <f>+SUM('Overall without PTP '!C27,'Overall with PTP'!C27)</f>
        <v>0</v>
      </c>
      <c r="D27" s="98">
        <f>+SUM('Overall without PTP '!D27,'Overall with PTP'!D27)</f>
        <v>0</v>
      </c>
      <c r="E27" s="98">
        <f>+SUM('Overall without PTP '!E27,'Overall with PTP'!E27)</f>
        <v>0</v>
      </c>
      <c r="F27" s="98">
        <f>+SUM('Overall without PTP '!F27,'Overall with PTP'!F27)</f>
        <v>0</v>
      </c>
      <c r="G27" s="98">
        <f>+SUM('Overall without PTP '!G27,'Overall with PTP'!G27)</f>
        <v>0</v>
      </c>
      <c r="H27" s="98">
        <f>+SUM('Overall without PTP '!H27,'Overall with PTP'!H27)</f>
        <v>0</v>
      </c>
      <c r="I27" s="98">
        <f>+SUM('Overall without PTP '!I27,'Overall with PTP'!I27)</f>
        <v>0</v>
      </c>
      <c r="J27" s="98">
        <f>+SUM('Overall without PTP '!J27,'Overall with PTP'!J27)</f>
        <v>0</v>
      </c>
      <c r="K27" s="98">
        <f>+SUM('Overall without PTP '!K27,'Overall with PTP'!K27)</f>
        <v>0</v>
      </c>
      <c r="L27" s="98">
        <f>+SUM('Overall without PTP '!L27,'Overall with PTP'!L27)</f>
        <v>0</v>
      </c>
      <c r="M27" s="98">
        <f>+SUM('Overall without PTP '!M27,'Overall with PTP'!M27)</f>
        <v>0</v>
      </c>
      <c r="N27" s="98">
        <f>+SUM('Overall without PTP '!N27,'Overall with PTP'!N27)</f>
        <v>0</v>
      </c>
      <c r="O27" s="98">
        <f>+SUM('Overall without PTP '!O27,'Overall with PTP'!O27)</f>
        <v>0</v>
      </c>
      <c r="P27" s="98">
        <f>+SUM('Overall without PTP '!P27,'Overall with PTP'!P27)</f>
        <v>0</v>
      </c>
      <c r="Q27" s="98">
        <f>+SUM('Overall without PTP '!Q27,'Overall with PTP'!Q27)</f>
        <v>0</v>
      </c>
      <c r="R27" s="98">
        <f>+SUM('Overall without PTP '!R27,'Overall with PTP'!R27)</f>
        <v>0</v>
      </c>
      <c r="S27" s="98">
        <f>+SUM('Overall without PTP '!S27,'Overall with PTP'!S27)</f>
        <v>0</v>
      </c>
      <c r="T27" s="98">
        <f>+SUM('Overall without PTP '!T27,'Overall with PTP'!T27)</f>
        <v>0</v>
      </c>
      <c r="U27" s="98">
        <f>+SUM('Overall without PTP '!U27,'Overall with PTP'!U27)</f>
        <v>0</v>
      </c>
      <c r="V27" s="98">
        <f>+SUM('Overall without PTP '!V27,'Overall with PTP'!V27)</f>
        <v>0</v>
      </c>
      <c r="W27" s="98">
        <f>+SUM('Overall without PTP '!W27,'Overall with PTP'!W27)</f>
        <v>0</v>
      </c>
      <c r="X27" s="98">
        <f>+SUM('Overall without PTP '!X27,'Overall with PTP'!X27)</f>
        <v>0</v>
      </c>
      <c r="Y27" s="98">
        <f>+SUM('Overall without PTP '!Y27,'Overall with PTP'!Y27)</f>
        <v>0</v>
      </c>
      <c r="Z27" s="98">
        <f>+SUM('Overall without PTP '!Z27,'Overall with PTP'!Z27)</f>
        <v>0</v>
      </c>
      <c r="AA27" s="98">
        <f>+SUM('Overall without PTP '!AA27,'Overall with PTP'!AA27)</f>
        <v>0</v>
      </c>
      <c r="AB27" s="98">
        <f>+SUM('Overall without PTP '!AB27,'Overall with PTP'!AB27)</f>
        <v>0</v>
      </c>
      <c r="AC27" s="98">
        <f>+SUM('Overall without PTP '!AC27,'Overall with PTP'!AC27)</f>
        <v>0</v>
      </c>
      <c r="AD27" s="98">
        <f>+SUM('Overall without PTP '!AD27,'Overall with PTP'!AD27)</f>
        <v>0</v>
      </c>
      <c r="AE27" s="98">
        <f>+SUM('Overall without PTP '!AE27,'Overall with PTP'!AE27)</f>
        <v>0</v>
      </c>
      <c r="AF27" s="98">
        <f>+SUM('Overall without PTP '!AF27,'Overall with PTP'!AF27)</f>
        <v>0</v>
      </c>
      <c r="AG27" s="98">
        <f>+SUM('Overall without PTP '!AG27,'Overall with PTP'!AG27)</f>
        <v>0</v>
      </c>
      <c r="AH27" s="98">
        <f>+SUM('Overall without PTP '!AH27,'Overall with PTP'!AH27)</f>
        <v>0</v>
      </c>
      <c r="AI27" s="98">
        <f>+SUM('Overall without PTP '!AI27,'Overall with PTP'!AI27)</f>
        <v>0</v>
      </c>
      <c r="AJ27" s="98">
        <f>+SUM('Overall without PTP '!AJ27,'Overall with PTP'!AJ27)</f>
        <v>0</v>
      </c>
      <c r="AK27" s="98">
        <f>+SUM('Overall without PTP '!AK27,'Overall with PTP'!AK27)</f>
        <v>0</v>
      </c>
      <c r="AL27" s="152" t="str">
        <f>+IFERROR(AVERAGE('Overall without PTP '!AL27,'Overall with PTP'!AL27),"")</f>
        <v/>
      </c>
      <c r="AM27" s="152" t="str">
        <f>+IFERROR(AVERAGE('Overall without PTP '!AM27,'Overall with PTP'!AM27),"")</f>
        <v/>
      </c>
      <c r="AN27" s="152" t="str">
        <f>+IFERROR(AVERAGE('Overall without PTP '!AN27,'Overall with PTP'!AN27),"")</f>
        <v/>
      </c>
      <c r="AO27" s="152" t="str">
        <f>+IFERROR(AVERAGE('Overall without PTP '!AO27,'Overall with PTP'!AO27),"")</f>
        <v/>
      </c>
      <c r="AP27" s="98" t="str">
        <f>+IFERROR(AVERAGE('Overall without PTP '!AP27,'Overall with PTP'!AP27),"")</f>
        <v/>
      </c>
      <c r="AQ27" s="152" t="str">
        <f>+IFERROR(AVERAGE('Overall without PTP '!AQ27,'Overall with PTP'!AQ27),"")</f>
        <v/>
      </c>
      <c r="AR27" s="152" t="str">
        <f>+IFERROR(AVERAGE('Overall without PTP '!AR27,'Overall with PTP'!AR27),"")</f>
        <v/>
      </c>
      <c r="AS27" s="152" t="str">
        <f>+IFERROR(AVERAGE('Overall without PTP '!AS27,'Overall with PTP'!AS27),"")</f>
        <v/>
      </c>
      <c r="AT27" s="98">
        <f>+SUM('Overall without PTP '!AT27,'Overall with PTP'!AT27)</f>
        <v>0</v>
      </c>
      <c r="AU27" s="98">
        <f>+SUM('Overall without PTP '!AU27,'Overall with PTP'!AU27)</f>
        <v>0</v>
      </c>
      <c r="AV27" s="98">
        <f>+SUM('Overall without PTP '!AV27,'Overall with PTP'!AV27)</f>
        <v>0</v>
      </c>
      <c r="AW27" s="167">
        <f>+IFERROR(AVERAGE(EL_DEL_CD2_JO_!AW27,EL_DEL_CD2_PTP_!AW27,EL_DEL_CD2_SBI_1_4_!AW27,EL_DEL_CD2_SBI_5_6_!AW27,EL_DEL_CD2_SBI_7_8_!AW27,EL_DEL_CD2_SBI_9_10_!AW27,EL_DEL_CD2_STAB_!AW27,EL_DEL_CD1_WST_PTP_!AW27,EL_DEL_CD1_NTH_PTP_!AW27,EL_DEL_CD1_STH_PTP_!AW27,EL_DEL_CD1_1D4P_PTP_!AW27,EL_DEL_CD1_8D_PTP_!AW27,EL_DEL_CD2_JO_L_!AW27,EL_DEL_CD2_PTP_L_!AW27,EL_DEL_CD2_SBI_L_1_4_!AW27,EL_DEL_CD2_SBI_L_5_6_!AW27,EL_DEL_CD2_SBI_L_7_8_!AW27,EL_DEL_CD2_SBI_L_9_10_!AW27,EL_DEL_CD2_L_STAB_!AW27),0)</f>
        <v>0</v>
      </c>
      <c r="AX27" s="102" t="str">
        <f t="shared" si="26"/>
        <v>-</v>
      </c>
      <c r="AY27" s="151"/>
      <c r="AZ27" s="116" t="str">
        <f t="shared" si="2"/>
        <v/>
      </c>
      <c r="BA27" s="117" t="str">
        <f t="shared" si="3"/>
        <v/>
      </c>
      <c r="BB27" s="116" t="str">
        <f t="shared" si="4"/>
        <v/>
      </c>
      <c r="BC27" s="151"/>
      <c r="BD27" s="159" t="str">
        <f t="shared" si="5"/>
        <v/>
      </c>
      <c r="BE27" s="160" t="str">
        <f t="shared" si="6"/>
        <v/>
      </c>
      <c r="BF27" s="160" t="str">
        <f t="shared" si="7"/>
        <v/>
      </c>
      <c r="BG27" s="160" t="str">
        <f t="shared" si="8"/>
        <v/>
      </c>
      <c r="BH27" s="160" t="str">
        <f t="shared" si="9"/>
        <v/>
      </c>
      <c r="BI27" s="161" t="str">
        <f t="shared" si="27"/>
        <v/>
      </c>
      <c r="BJ27" s="151"/>
      <c r="BK27" s="162" t="str">
        <f t="shared" si="10"/>
        <v/>
      </c>
      <c r="BL27" s="163" t="str">
        <f t="shared" si="11"/>
        <v/>
      </c>
      <c r="BM27" s="163" t="str">
        <f t="shared" si="12"/>
        <v/>
      </c>
      <c r="BN27" s="164" t="str">
        <f t="shared" si="13"/>
        <v/>
      </c>
      <c r="BO27" s="151"/>
      <c r="BP27" s="124" t="str">
        <f t="shared" si="14"/>
        <v/>
      </c>
      <c r="BQ27" s="125">
        <v>0</v>
      </c>
      <c r="BR27" s="125" t="str">
        <f t="shared" si="15"/>
        <v/>
      </c>
      <c r="BS27" s="125" t="str">
        <f t="shared" si="28"/>
        <v/>
      </c>
      <c r="BT27" s="126" t="str">
        <f t="shared" si="16"/>
        <v/>
      </c>
      <c r="BU27" s="151"/>
      <c r="BV27" s="165" t="e">
        <f t="shared" si="17"/>
        <v>#VALUE!</v>
      </c>
      <c r="BW27" s="165" t="e">
        <f t="shared" si="18"/>
        <v>#VALUE!</v>
      </c>
      <c r="BX27" s="165" t="e">
        <f t="shared" si="19"/>
        <v>#VALUE!</v>
      </c>
      <c r="BY27" s="165" t="e">
        <f t="shared" si="20"/>
        <v>#VALUE!</v>
      </c>
      <c r="BZ27" s="165" t="e">
        <f t="shared" si="29"/>
        <v>#VALUE!</v>
      </c>
      <c r="CA27" s="166" t="e">
        <f t="shared" si="30"/>
        <v>#VALUE!</v>
      </c>
      <c r="CB27" s="151"/>
      <c r="CC27" s="129" t="str">
        <f t="shared" si="21"/>
        <v>-</v>
      </c>
      <c r="CD27" s="130" t="str">
        <f t="shared" si="22"/>
        <v>-</v>
      </c>
      <c r="CE27" s="130" t="str">
        <f t="shared" si="23"/>
        <v>-</v>
      </c>
      <c r="CF27" s="130" t="str">
        <f t="shared" si="24"/>
        <v>-</v>
      </c>
      <c r="CG27" s="131" t="str">
        <f t="shared" si="25"/>
        <v>-</v>
      </c>
      <c r="CH27" s="151"/>
    </row>
    <row r="28" spans="1:86" s="115" customFormat="1" ht="12.4" customHeight="1" thickBot="1" x14ac:dyDescent="0.25">
      <c r="A28" s="96">
        <f t="shared" si="31"/>
        <v>46320</v>
      </c>
      <c r="B28" s="97" t="str">
        <f t="shared" si="0"/>
        <v>Sun</v>
      </c>
      <c r="C28" s="98">
        <f>+SUM('Overall without PTP '!C28,'Overall with PTP'!C28)</f>
        <v>0</v>
      </c>
      <c r="D28" s="98">
        <f>+SUM('Overall without PTP '!D28,'Overall with PTP'!D28)</f>
        <v>0</v>
      </c>
      <c r="E28" s="98">
        <f>+SUM('Overall without PTP '!E28,'Overall with PTP'!E28)</f>
        <v>0</v>
      </c>
      <c r="F28" s="98">
        <f>+SUM('Overall without PTP '!F28,'Overall with PTP'!F28)</f>
        <v>0</v>
      </c>
      <c r="G28" s="98">
        <f>+SUM('Overall without PTP '!G28,'Overall with PTP'!G28)</f>
        <v>0</v>
      </c>
      <c r="H28" s="98">
        <f>+SUM('Overall without PTP '!H28,'Overall with PTP'!H28)</f>
        <v>0</v>
      </c>
      <c r="I28" s="98">
        <f>+SUM('Overall without PTP '!I28,'Overall with PTP'!I28)</f>
        <v>0</v>
      </c>
      <c r="J28" s="98">
        <f>+SUM('Overall without PTP '!J28,'Overall with PTP'!J28)</f>
        <v>0</v>
      </c>
      <c r="K28" s="98">
        <f>+SUM('Overall without PTP '!K28,'Overall with PTP'!K28)</f>
        <v>0</v>
      </c>
      <c r="L28" s="98">
        <f>+SUM('Overall without PTP '!L28,'Overall with PTP'!L28)</f>
        <v>0</v>
      </c>
      <c r="M28" s="98">
        <f>+SUM('Overall without PTP '!M28,'Overall with PTP'!M28)</f>
        <v>0</v>
      </c>
      <c r="N28" s="98">
        <f>+SUM('Overall without PTP '!N28,'Overall with PTP'!N28)</f>
        <v>0</v>
      </c>
      <c r="O28" s="98">
        <f>+SUM('Overall without PTP '!O28,'Overall with PTP'!O28)</f>
        <v>0</v>
      </c>
      <c r="P28" s="98">
        <f>+SUM('Overall without PTP '!P28,'Overall with PTP'!P28)</f>
        <v>0</v>
      </c>
      <c r="Q28" s="98">
        <f>+SUM('Overall without PTP '!Q28,'Overall with PTP'!Q28)</f>
        <v>0</v>
      </c>
      <c r="R28" s="98">
        <f>+SUM('Overall without PTP '!R28,'Overall with PTP'!R28)</f>
        <v>0</v>
      </c>
      <c r="S28" s="98">
        <f>+SUM('Overall without PTP '!S28,'Overall with PTP'!S28)</f>
        <v>0</v>
      </c>
      <c r="T28" s="98">
        <f>+SUM('Overall without PTP '!T28,'Overall with PTP'!T28)</f>
        <v>0</v>
      </c>
      <c r="U28" s="98">
        <f>+SUM('Overall without PTP '!U28,'Overall with PTP'!U28)</f>
        <v>0</v>
      </c>
      <c r="V28" s="98">
        <f>+SUM('Overall without PTP '!V28,'Overall with PTP'!V28)</f>
        <v>0</v>
      </c>
      <c r="W28" s="98">
        <f>+SUM('Overall without PTP '!W28,'Overall with PTP'!W28)</f>
        <v>0</v>
      </c>
      <c r="X28" s="98">
        <f>+SUM('Overall without PTP '!X28,'Overall with PTP'!X28)</f>
        <v>0</v>
      </c>
      <c r="Y28" s="98">
        <f>+SUM('Overall without PTP '!Y28,'Overall with PTP'!Y28)</f>
        <v>0</v>
      </c>
      <c r="Z28" s="98">
        <f>+SUM('Overall without PTP '!Z28,'Overall with PTP'!Z28)</f>
        <v>0</v>
      </c>
      <c r="AA28" s="98">
        <f>+SUM('Overall without PTP '!AA28,'Overall with PTP'!AA28)</f>
        <v>0</v>
      </c>
      <c r="AB28" s="98">
        <f>+SUM('Overall without PTP '!AB28,'Overall with PTP'!AB28)</f>
        <v>0</v>
      </c>
      <c r="AC28" s="98">
        <f>+SUM('Overall without PTP '!AC28,'Overall with PTP'!AC28)</f>
        <v>0</v>
      </c>
      <c r="AD28" s="98">
        <f>+SUM('Overall without PTP '!AD28,'Overall with PTP'!AD28)</f>
        <v>0</v>
      </c>
      <c r="AE28" s="98">
        <f>+SUM('Overall without PTP '!AE28,'Overall with PTP'!AE28)</f>
        <v>0</v>
      </c>
      <c r="AF28" s="98">
        <f>+SUM('Overall without PTP '!AF28,'Overall with PTP'!AF28)</f>
        <v>0</v>
      </c>
      <c r="AG28" s="98">
        <f>+SUM('Overall without PTP '!AG28,'Overall with PTP'!AG28)</f>
        <v>0</v>
      </c>
      <c r="AH28" s="98">
        <f>+SUM('Overall without PTP '!AH28,'Overall with PTP'!AH28)</f>
        <v>0</v>
      </c>
      <c r="AI28" s="98">
        <f>+SUM('Overall without PTP '!AI28,'Overall with PTP'!AI28)</f>
        <v>0</v>
      </c>
      <c r="AJ28" s="98">
        <f>+SUM('Overall without PTP '!AJ28,'Overall with PTP'!AJ28)</f>
        <v>0</v>
      </c>
      <c r="AK28" s="98">
        <f>+SUM('Overall without PTP '!AK28,'Overall with PTP'!AK28)</f>
        <v>0</v>
      </c>
      <c r="AL28" s="152" t="str">
        <f>+IFERROR(AVERAGE('Overall without PTP '!AL28,'Overall with PTP'!AL28),"")</f>
        <v/>
      </c>
      <c r="AM28" s="152" t="str">
        <f>+IFERROR(AVERAGE('Overall without PTP '!AM28,'Overall with PTP'!AM28),"")</f>
        <v/>
      </c>
      <c r="AN28" s="152" t="str">
        <f>+IFERROR(AVERAGE('Overall without PTP '!AN28,'Overall with PTP'!AN28),"")</f>
        <v/>
      </c>
      <c r="AO28" s="152" t="str">
        <f>+IFERROR(AVERAGE('Overall without PTP '!AO28,'Overall with PTP'!AO28),"")</f>
        <v/>
      </c>
      <c r="AP28" s="98" t="str">
        <f>+IFERROR(AVERAGE('Overall without PTP '!AP28,'Overall with PTP'!AP28),"")</f>
        <v/>
      </c>
      <c r="AQ28" s="152" t="str">
        <f>+IFERROR(AVERAGE('Overall without PTP '!AQ28,'Overall with PTP'!AQ28),"")</f>
        <v/>
      </c>
      <c r="AR28" s="152" t="str">
        <f>+IFERROR(AVERAGE('Overall without PTP '!AR28,'Overall with PTP'!AR28),"")</f>
        <v/>
      </c>
      <c r="AS28" s="152" t="str">
        <f>+IFERROR(AVERAGE('Overall without PTP '!AS28,'Overall with PTP'!AS28),"")</f>
        <v/>
      </c>
      <c r="AT28" s="98">
        <f>+SUM('Overall without PTP '!AT28,'Overall with PTP'!AT28)</f>
        <v>0</v>
      </c>
      <c r="AU28" s="98">
        <f>+SUM('Overall without PTP '!AU28,'Overall with PTP'!AU28)</f>
        <v>0</v>
      </c>
      <c r="AV28" s="98">
        <f>+SUM('Overall without PTP '!AV28,'Overall with PTP'!AV28)</f>
        <v>0</v>
      </c>
      <c r="AW28" s="167">
        <f>+IFERROR(AVERAGE(EL_DEL_CD2_JO_!AW28,EL_DEL_CD2_PTP_!AW28,EL_DEL_CD2_SBI_1_4_!AW28,EL_DEL_CD2_SBI_5_6_!AW28,EL_DEL_CD2_SBI_7_8_!AW28,EL_DEL_CD2_SBI_9_10_!AW28,EL_DEL_CD2_STAB_!AW28,EL_DEL_CD1_WST_PTP_!AW28,EL_DEL_CD1_NTH_PTP_!AW28,EL_DEL_CD1_STH_PTP_!AW28,EL_DEL_CD1_1D4P_PTP_!AW28,EL_DEL_CD1_8D_PTP_!AW28,EL_DEL_CD2_JO_L_!AW28,EL_DEL_CD2_PTP_L_!AW28,EL_DEL_CD2_SBI_L_1_4_!AW28,EL_DEL_CD2_SBI_L_5_6_!AW28,EL_DEL_CD2_SBI_L_7_8_!AW28,EL_DEL_CD2_SBI_L_9_10_!AW28,EL_DEL_CD2_L_STAB_!AW28),0)</f>
        <v>0</v>
      </c>
      <c r="AX28" s="102" t="str">
        <f t="shared" si="26"/>
        <v>-</v>
      </c>
      <c r="AY28" s="151"/>
      <c r="AZ28" s="116" t="str">
        <f t="shared" si="2"/>
        <v/>
      </c>
      <c r="BA28" s="117" t="str">
        <f t="shared" si="3"/>
        <v/>
      </c>
      <c r="BB28" s="116" t="str">
        <f t="shared" si="4"/>
        <v/>
      </c>
      <c r="BC28" s="151"/>
      <c r="BD28" s="159" t="str">
        <f t="shared" si="5"/>
        <v/>
      </c>
      <c r="BE28" s="160" t="str">
        <f t="shared" si="6"/>
        <v/>
      </c>
      <c r="BF28" s="160" t="str">
        <f t="shared" si="7"/>
        <v/>
      </c>
      <c r="BG28" s="160" t="str">
        <f t="shared" si="8"/>
        <v/>
      </c>
      <c r="BH28" s="160" t="str">
        <f t="shared" si="9"/>
        <v/>
      </c>
      <c r="BI28" s="161" t="str">
        <f t="shared" si="27"/>
        <v/>
      </c>
      <c r="BJ28" s="151"/>
      <c r="BK28" s="162" t="str">
        <f t="shared" si="10"/>
        <v/>
      </c>
      <c r="BL28" s="163" t="str">
        <f t="shared" si="11"/>
        <v/>
      </c>
      <c r="BM28" s="163" t="str">
        <f t="shared" si="12"/>
        <v/>
      </c>
      <c r="BN28" s="164" t="str">
        <f t="shared" si="13"/>
        <v/>
      </c>
      <c r="BO28" s="151"/>
      <c r="BP28" s="124" t="str">
        <f t="shared" si="14"/>
        <v/>
      </c>
      <c r="BQ28" s="125">
        <v>0</v>
      </c>
      <c r="BR28" s="125" t="str">
        <f t="shared" si="15"/>
        <v/>
      </c>
      <c r="BS28" s="125" t="str">
        <f t="shared" si="28"/>
        <v/>
      </c>
      <c r="BT28" s="126" t="str">
        <f t="shared" si="16"/>
        <v/>
      </c>
      <c r="BU28" s="151"/>
      <c r="BV28" s="165" t="e">
        <f t="shared" si="17"/>
        <v>#VALUE!</v>
      </c>
      <c r="BW28" s="165" t="e">
        <f t="shared" si="18"/>
        <v>#VALUE!</v>
      </c>
      <c r="BX28" s="165" t="e">
        <f t="shared" si="19"/>
        <v>#VALUE!</v>
      </c>
      <c r="BY28" s="165" t="e">
        <f t="shared" si="20"/>
        <v>#VALUE!</v>
      </c>
      <c r="BZ28" s="165" t="e">
        <f t="shared" si="29"/>
        <v>#VALUE!</v>
      </c>
      <c r="CA28" s="166" t="e">
        <f t="shared" si="30"/>
        <v>#VALUE!</v>
      </c>
      <c r="CB28" s="151"/>
      <c r="CC28" s="129" t="str">
        <f t="shared" si="21"/>
        <v>-</v>
      </c>
      <c r="CD28" s="130" t="str">
        <f t="shared" si="22"/>
        <v>-</v>
      </c>
      <c r="CE28" s="130" t="str">
        <f t="shared" si="23"/>
        <v>-</v>
      </c>
      <c r="CF28" s="130" t="str">
        <f t="shared" si="24"/>
        <v>-</v>
      </c>
      <c r="CG28" s="131" t="str">
        <f t="shared" si="25"/>
        <v>-</v>
      </c>
      <c r="CH28" s="151"/>
    </row>
    <row r="29" spans="1:86" s="115" customFormat="1" ht="12.4" customHeight="1" thickBot="1" x14ac:dyDescent="0.25">
      <c r="A29" s="96">
        <f t="shared" si="31"/>
        <v>46321</v>
      </c>
      <c r="B29" s="97" t="str">
        <f>+TEXT(A29,"DDD")</f>
        <v>Mon</v>
      </c>
      <c r="C29" s="98">
        <f>+SUM('Overall without PTP '!C29,'Overall with PTP'!C29)</f>
        <v>0</v>
      </c>
      <c r="D29" s="98">
        <f>+SUM('Overall without PTP '!D29,'Overall with PTP'!D29)</f>
        <v>0</v>
      </c>
      <c r="E29" s="98">
        <f>+SUM('Overall without PTP '!E29,'Overall with PTP'!E29)</f>
        <v>0</v>
      </c>
      <c r="F29" s="98">
        <f>+SUM('Overall without PTP '!F29,'Overall with PTP'!F29)</f>
        <v>0</v>
      </c>
      <c r="G29" s="98">
        <f>+SUM('Overall without PTP '!G29,'Overall with PTP'!G29)</f>
        <v>0</v>
      </c>
      <c r="H29" s="98">
        <f>+SUM('Overall without PTP '!H29,'Overall with PTP'!H29)</f>
        <v>0</v>
      </c>
      <c r="I29" s="98">
        <f>+SUM('Overall without PTP '!I29,'Overall with PTP'!I29)</f>
        <v>0</v>
      </c>
      <c r="J29" s="98">
        <f>+SUM('Overall without PTP '!J29,'Overall with PTP'!J29)</f>
        <v>0</v>
      </c>
      <c r="K29" s="98">
        <f>+SUM('Overall without PTP '!K29,'Overall with PTP'!K29)</f>
        <v>0</v>
      </c>
      <c r="L29" s="98">
        <f>+SUM('Overall without PTP '!L29,'Overall with PTP'!L29)</f>
        <v>0</v>
      </c>
      <c r="M29" s="98">
        <f>+SUM('Overall without PTP '!M29,'Overall with PTP'!M29)</f>
        <v>0</v>
      </c>
      <c r="N29" s="98">
        <f>+SUM('Overall without PTP '!N29,'Overall with PTP'!N29)</f>
        <v>0</v>
      </c>
      <c r="O29" s="98">
        <f>+SUM('Overall without PTP '!O29,'Overall with PTP'!O29)</f>
        <v>0</v>
      </c>
      <c r="P29" s="98">
        <f>+SUM('Overall without PTP '!P29,'Overall with PTP'!P29)</f>
        <v>0</v>
      </c>
      <c r="Q29" s="98">
        <f>+SUM('Overall without PTP '!Q29,'Overall with PTP'!Q29)</f>
        <v>0</v>
      </c>
      <c r="R29" s="98">
        <f>+SUM('Overall without PTP '!R29,'Overall with PTP'!R29)</f>
        <v>0</v>
      </c>
      <c r="S29" s="98">
        <f>+SUM('Overall without PTP '!S29,'Overall with PTP'!S29)</f>
        <v>0</v>
      </c>
      <c r="T29" s="98">
        <f>+SUM('Overall without PTP '!T29,'Overall with PTP'!T29)</f>
        <v>0</v>
      </c>
      <c r="U29" s="98">
        <f>+SUM('Overall without PTP '!U29,'Overall with PTP'!U29)</f>
        <v>0</v>
      </c>
      <c r="V29" s="98">
        <f>+SUM('Overall without PTP '!V29,'Overall with PTP'!V29)</f>
        <v>0</v>
      </c>
      <c r="W29" s="98">
        <f>+SUM('Overall without PTP '!W29,'Overall with PTP'!W29)</f>
        <v>0</v>
      </c>
      <c r="X29" s="98">
        <f>+SUM('Overall without PTP '!X29,'Overall with PTP'!X29)</f>
        <v>0</v>
      </c>
      <c r="Y29" s="98">
        <f>+SUM('Overall without PTP '!Y29,'Overall with PTP'!Y29)</f>
        <v>0</v>
      </c>
      <c r="Z29" s="98">
        <f>+SUM('Overall without PTP '!Z29,'Overall with PTP'!Z29)</f>
        <v>0</v>
      </c>
      <c r="AA29" s="98">
        <f>+SUM('Overall without PTP '!AA29,'Overall with PTP'!AA29)</f>
        <v>0</v>
      </c>
      <c r="AB29" s="98">
        <f>+SUM('Overall without PTP '!AB29,'Overall with PTP'!AB29)</f>
        <v>0</v>
      </c>
      <c r="AC29" s="98">
        <f>+SUM('Overall without PTP '!AC29,'Overall with PTP'!AC29)</f>
        <v>0</v>
      </c>
      <c r="AD29" s="98">
        <f>+SUM('Overall without PTP '!AD29,'Overall with PTP'!AD29)</f>
        <v>0</v>
      </c>
      <c r="AE29" s="98">
        <f>+SUM('Overall without PTP '!AE29,'Overall with PTP'!AE29)</f>
        <v>0</v>
      </c>
      <c r="AF29" s="98">
        <f>+SUM('Overall without PTP '!AF29,'Overall with PTP'!AF29)</f>
        <v>0</v>
      </c>
      <c r="AG29" s="98">
        <f>+SUM('Overall without PTP '!AG29,'Overall with PTP'!AG29)</f>
        <v>0</v>
      </c>
      <c r="AH29" s="98">
        <f>+SUM('Overall without PTP '!AH29,'Overall with PTP'!AH29)</f>
        <v>0</v>
      </c>
      <c r="AI29" s="98">
        <f>+SUM('Overall without PTP '!AI29,'Overall with PTP'!AI29)</f>
        <v>0</v>
      </c>
      <c r="AJ29" s="98">
        <f>+SUM('Overall without PTP '!AJ29,'Overall with PTP'!AJ29)</f>
        <v>0</v>
      </c>
      <c r="AK29" s="98">
        <f>+SUM('Overall without PTP '!AK29,'Overall with PTP'!AK29)</f>
        <v>0</v>
      </c>
      <c r="AL29" s="152" t="str">
        <f>+IFERROR(AVERAGE('Overall without PTP '!AL29,'Overall with PTP'!AL29),"")</f>
        <v/>
      </c>
      <c r="AM29" s="152" t="str">
        <f>+IFERROR(AVERAGE('Overall without PTP '!AM29,'Overall with PTP'!AM29),"")</f>
        <v/>
      </c>
      <c r="AN29" s="152" t="str">
        <f>+IFERROR(AVERAGE('Overall without PTP '!AN29,'Overall with PTP'!AN29),"")</f>
        <v/>
      </c>
      <c r="AO29" s="152" t="str">
        <f>+IFERROR(AVERAGE('Overall without PTP '!AO29,'Overall with PTP'!AO29),"")</f>
        <v/>
      </c>
      <c r="AP29" s="98" t="str">
        <f>+IFERROR(AVERAGE('Overall without PTP '!AP29,'Overall with PTP'!AP29),"")</f>
        <v/>
      </c>
      <c r="AQ29" s="152" t="str">
        <f>+IFERROR(AVERAGE('Overall without PTP '!AQ29,'Overall with PTP'!AQ29),"")</f>
        <v/>
      </c>
      <c r="AR29" s="152" t="str">
        <f>+IFERROR(AVERAGE('Overall without PTP '!AR29,'Overall with PTP'!AR29),"")</f>
        <v/>
      </c>
      <c r="AS29" s="152" t="str">
        <f>+IFERROR(AVERAGE('Overall without PTP '!AS29,'Overall with PTP'!AS29),"")</f>
        <v/>
      </c>
      <c r="AT29" s="98">
        <f>+SUM('Overall without PTP '!AT29,'Overall with PTP'!AT29)</f>
        <v>0</v>
      </c>
      <c r="AU29" s="98">
        <f>+SUM('Overall without PTP '!AU29,'Overall with PTP'!AU29)</f>
        <v>0</v>
      </c>
      <c r="AV29" s="98">
        <f>+SUM('Overall without PTP '!AV29,'Overall with PTP'!AV29)</f>
        <v>0</v>
      </c>
      <c r="AW29" s="167">
        <f>+IFERROR(AVERAGE(EL_DEL_CD2_JO_!AW29,EL_DEL_CD2_PTP_!AW29,EL_DEL_CD2_SBI_1_4_!AW29,EL_DEL_CD2_SBI_5_6_!AW29,EL_DEL_CD2_SBI_7_8_!AW29,EL_DEL_CD2_SBI_9_10_!AW29,EL_DEL_CD2_STAB_!AW29,EL_DEL_CD1_WST_PTP_!AW29,EL_DEL_CD1_NTH_PTP_!AW29,EL_DEL_CD1_STH_PTP_!AW29,EL_DEL_CD1_1D4P_PTP_!AW29,EL_DEL_CD1_8D_PTP_!AW29,EL_DEL_CD2_JO_L_!AW29,EL_DEL_CD2_PTP_L_!AW29,EL_DEL_CD2_SBI_L_1_4_!AW29,EL_DEL_CD2_SBI_L_5_6_!AW29,EL_DEL_CD2_SBI_L_7_8_!AW29,EL_DEL_CD2_SBI_L_9_10_!AW29,EL_DEL_CD2_L_STAB_!AW29),0)</f>
        <v>0</v>
      </c>
      <c r="AX29" s="102" t="str">
        <f t="shared" si="26"/>
        <v>-</v>
      </c>
      <c r="AY29" s="151"/>
      <c r="AZ29" s="116" t="str">
        <f t="shared" si="2"/>
        <v/>
      </c>
      <c r="BA29" s="117" t="str">
        <f t="shared" si="3"/>
        <v/>
      </c>
      <c r="BB29" s="116" t="str">
        <f t="shared" si="4"/>
        <v/>
      </c>
      <c r="BC29" s="151"/>
      <c r="BD29" s="159" t="str">
        <f t="shared" si="5"/>
        <v/>
      </c>
      <c r="BE29" s="160" t="str">
        <f t="shared" si="6"/>
        <v/>
      </c>
      <c r="BF29" s="160" t="str">
        <f t="shared" si="7"/>
        <v/>
      </c>
      <c r="BG29" s="160" t="str">
        <f t="shared" si="8"/>
        <v/>
      </c>
      <c r="BH29" s="160" t="str">
        <f t="shared" si="9"/>
        <v/>
      </c>
      <c r="BI29" s="161" t="str">
        <f t="shared" si="27"/>
        <v/>
      </c>
      <c r="BJ29" s="151"/>
      <c r="BK29" s="162" t="str">
        <f t="shared" si="10"/>
        <v/>
      </c>
      <c r="BL29" s="163" t="str">
        <f t="shared" si="11"/>
        <v/>
      </c>
      <c r="BM29" s="163" t="str">
        <f t="shared" si="12"/>
        <v/>
      </c>
      <c r="BN29" s="164" t="str">
        <f t="shared" si="13"/>
        <v/>
      </c>
      <c r="BO29" s="151"/>
      <c r="BP29" s="124" t="str">
        <f t="shared" si="14"/>
        <v/>
      </c>
      <c r="BQ29" s="125">
        <v>0</v>
      </c>
      <c r="BR29" s="125" t="str">
        <f t="shared" si="15"/>
        <v/>
      </c>
      <c r="BS29" s="125" t="str">
        <f t="shared" si="28"/>
        <v/>
      </c>
      <c r="BT29" s="126" t="str">
        <f t="shared" si="16"/>
        <v/>
      </c>
      <c r="BU29" s="151"/>
      <c r="BV29" s="165" t="e">
        <f t="shared" si="17"/>
        <v>#VALUE!</v>
      </c>
      <c r="BW29" s="165" t="e">
        <f t="shared" si="18"/>
        <v>#VALUE!</v>
      </c>
      <c r="BX29" s="165" t="e">
        <f t="shared" si="19"/>
        <v>#VALUE!</v>
      </c>
      <c r="BY29" s="165" t="e">
        <f t="shared" si="20"/>
        <v>#VALUE!</v>
      </c>
      <c r="BZ29" s="165" t="e">
        <f t="shared" si="29"/>
        <v>#VALUE!</v>
      </c>
      <c r="CA29" s="166" t="e">
        <f t="shared" si="30"/>
        <v>#VALUE!</v>
      </c>
      <c r="CB29" s="151"/>
      <c r="CC29" s="129" t="str">
        <f t="shared" si="21"/>
        <v>-</v>
      </c>
      <c r="CD29" s="130" t="str">
        <f t="shared" si="22"/>
        <v>-</v>
      </c>
      <c r="CE29" s="130" t="str">
        <f t="shared" si="23"/>
        <v>-</v>
      </c>
      <c r="CF29" s="130" t="str">
        <f t="shared" si="24"/>
        <v>-</v>
      </c>
      <c r="CG29" s="131" t="str">
        <f t="shared" si="25"/>
        <v>-</v>
      </c>
      <c r="CH29" s="151"/>
    </row>
    <row r="30" spans="1:86" s="115" customFormat="1" ht="12.4" customHeight="1" thickBot="1" x14ac:dyDescent="0.25">
      <c r="A30" s="96">
        <f t="shared" si="31"/>
        <v>46322</v>
      </c>
      <c r="B30" s="97" t="str">
        <f t="shared" si="0"/>
        <v>Tue</v>
      </c>
      <c r="C30" s="98">
        <f>+SUM('Overall without PTP '!C30,'Overall with PTP'!C30)</f>
        <v>0</v>
      </c>
      <c r="D30" s="98">
        <f>+SUM('Overall without PTP '!D30,'Overall with PTP'!D30)</f>
        <v>0</v>
      </c>
      <c r="E30" s="98">
        <f>+SUM('Overall without PTP '!E30,'Overall with PTP'!E30)</f>
        <v>0</v>
      </c>
      <c r="F30" s="98">
        <f>+SUM('Overall without PTP '!F30,'Overall with PTP'!F30)</f>
        <v>0</v>
      </c>
      <c r="G30" s="98">
        <f>+SUM('Overall without PTP '!G30,'Overall with PTP'!G30)</f>
        <v>0</v>
      </c>
      <c r="H30" s="98">
        <f>+SUM('Overall without PTP '!H30,'Overall with PTP'!H30)</f>
        <v>0</v>
      </c>
      <c r="I30" s="98">
        <f>+SUM('Overall without PTP '!I30,'Overall with PTP'!I30)</f>
        <v>0</v>
      </c>
      <c r="J30" s="98">
        <f>+SUM('Overall without PTP '!J30,'Overall with PTP'!J30)</f>
        <v>0</v>
      </c>
      <c r="K30" s="98">
        <f>+SUM('Overall without PTP '!K30,'Overall with PTP'!K30)</f>
        <v>0</v>
      </c>
      <c r="L30" s="98">
        <f>+SUM('Overall without PTP '!L30,'Overall with PTP'!L30)</f>
        <v>0</v>
      </c>
      <c r="M30" s="98">
        <f>+SUM('Overall without PTP '!M30,'Overall with PTP'!M30)</f>
        <v>0</v>
      </c>
      <c r="N30" s="98">
        <f>+SUM('Overall without PTP '!N30,'Overall with PTP'!N30)</f>
        <v>0</v>
      </c>
      <c r="O30" s="98">
        <f>+SUM('Overall without PTP '!O30,'Overall with PTP'!O30)</f>
        <v>0</v>
      </c>
      <c r="P30" s="98">
        <f>+SUM('Overall without PTP '!P30,'Overall with PTP'!P30)</f>
        <v>0</v>
      </c>
      <c r="Q30" s="98">
        <f>+SUM('Overall without PTP '!Q30,'Overall with PTP'!Q30)</f>
        <v>0</v>
      </c>
      <c r="R30" s="98">
        <f>+SUM('Overall without PTP '!R30,'Overall with PTP'!R30)</f>
        <v>0</v>
      </c>
      <c r="S30" s="98">
        <f>+SUM('Overall without PTP '!S30,'Overall with PTP'!S30)</f>
        <v>0</v>
      </c>
      <c r="T30" s="98">
        <f>+SUM('Overall without PTP '!T30,'Overall with PTP'!T30)</f>
        <v>0</v>
      </c>
      <c r="U30" s="98">
        <f>+SUM('Overall without PTP '!U30,'Overall with PTP'!U30)</f>
        <v>0</v>
      </c>
      <c r="V30" s="98">
        <f>+SUM('Overall without PTP '!V30,'Overall with PTP'!V30)</f>
        <v>0</v>
      </c>
      <c r="W30" s="98">
        <f>+SUM('Overall without PTP '!W30,'Overall with PTP'!W30)</f>
        <v>0</v>
      </c>
      <c r="X30" s="98">
        <f>+SUM('Overall without PTP '!X30,'Overall with PTP'!X30)</f>
        <v>0</v>
      </c>
      <c r="Y30" s="98">
        <f>+SUM('Overall without PTP '!Y30,'Overall with PTP'!Y30)</f>
        <v>0</v>
      </c>
      <c r="Z30" s="98">
        <f>+SUM('Overall without PTP '!Z30,'Overall with PTP'!Z30)</f>
        <v>0</v>
      </c>
      <c r="AA30" s="98">
        <f>+SUM('Overall without PTP '!AA30,'Overall with PTP'!AA30)</f>
        <v>0</v>
      </c>
      <c r="AB30" s="98">
        <f>+SUM('Overall without PTP '!AB30,'Overall with PTP'!AB30)</f>
        <v>0</v>
      </c>
      <c r="AC30" s="98">
        <f>+SUM('Overall without PTP '!AC30,'Overall with PTP'!AC30)</f>
        <v>0</v>
      </c>
      <c r="AD30" s="98">
        <f>+SUM('Overall without PTP '!AD30,'Overall with PTP'!AD30)</f>
        <v>0</v>
      </c>
      <c r="AE30" s="98">
        <f>+SUM('Overall without PTP '!AE30,'Overall with PTP'!AE30)</f>
        <v>0</v>
      </c>
      <c r="AF30" s="98">
        <f>+SUM('Overall without PTP '!AF30,'Overall with PTP'!AF30)</f>
        <v>0</v>
      </c>
      <c r="AG30" s="98">
        <f>+SUM('Overall without PTP '!AG30,'Overall with PTP'!AG30)</f>
        <v>0</v>
      </c>
      <c r="AH30" s="98">
        <f>+SUM('Overall without PTP '!AH30,'Overall with PTP'!AH30)</f>
        <v>0</v>
      </c>
      <c r="AI30" s="98">
        <f>+SUM('Overall without PTP '!AI30,'Overall with PTP'!AI30)</f>
        <v>0</v>
      </c>
      <c r="AJ30" s="98">
        <f>+SUM('Overall without PTP '!AJ30,'Overall with PTP'!AJ30)</f>
        <v>0</v>
      </c>
      <c r="AK30" s="98">
        <f>+SUM('Overall without PTP '!AK30,'Overall with PTP'!AK30)</f>
        <v>0</v>
      </c>
      <c r="AL30" s="152" t="str">
        <f>+IFERROR(AVERAGE('Overall without PTP '!AL30,'Overall with PTP'!AL30),"")</f>
        <v/>
      </c>
      <c r="AM30" s="152" t="str">
        <f>+IFERROR(AVERAGE('Overall without PTP '!AM30,'Overall with PTP'!AM30),"")</f>
        <v/>
      </c>
      <c r="AN30" s="152" t="str">
        <f>+IFERROR(AVERAGE('Overall without PTP '!AN30,'Overall with PTP'!AN30),"")</f>
        <v/>
      </c>
      <c r="AO30" s="152" t="str">
        <f>+IFERROR(AVERAGE('Overall without PTP '!AO30,'Overall with PTP'!AO30),"")</f>
        <v/>
      </c>
      <c r="AP30" s="98" t="str">
        <f>+IFERROR(AVERAGE('Overall without PTP '!AP30,'Overall with PTP'!AP30),"")</f>
        <v/>
      </c>
      <c r="AQ30" s="152" t="str">
        <f>+IFERROR(AVERAGE('Overall without PTP '!AQ30,'Overall with PTP'!AQ30),"")</f>
        <v/>
      </c>
      <c r="AR30" s="152" t="str">
        <f>+IFERROR(AVERAGE('Overall without PTP '!AR30,'Overall with PTP'!AR30),"")</f>
        <v/>
      </c>
      <c r="AS30" s="152" t="str">
        <f>+IFERROR(AVERAGE('Overall without PTP '!AS30,'Overall with PTP'!AS30),"")</f>
        <v/>
      </c>
      <c r="AT30" s="98">
        <f>+SUM('Overall without PTP '!AT30,'Overall with PTP'!AT30)</f>
        <v>0</v>
      </c>
      <c r="AU30" s="98">
        <f>+SUM('Overall without PTP '!AU30,'Overall with PTP'!AU30)</f>
        <v>0</v>
      </c>
      <c r="AV30" s="98">
        <f>+SUM('Overall without PTP '!AV30,'Overall with PTP'!AV30)</f>
        <v>0</v>
      </c>
      <c r="AW30" s="167">
        <f>+IFERROR(AVERAGE(EL_DEL_CD2_JO_!AW30,EL_DEL_CD2_PTP_!AW30,EL_DEL_CD2_SBI_1_4_!AW30,EL_DEL_CD2_SBI_5_6_!AW30,EL_DEL_CD2_SBI_7_8_!AW30,EL_DEL_CD2_SBI_9_10_!AW30,EL_DEL_CD2_STAB_!AW30,EL_DEL_CD1_WST_PTP_!AW30,EL_DEL_CD1_NTH_PTP_!AW30,EL_DEL_CD1_STH_PTP_!AW30,EL_DEL_CD1_1D4P_PTP_!AW30,EL_DEL_CD1_8D_PTP_!AW30,EL_DEL_CD2_JO_L_!AW30,EL_DEL_CD2_PTP_L_!AW30,EL_DEL_CD2_SBI_L_1_4_!AW30,EL_DEL_CD2_SBI_L_5_6_!AW30,EL_DEL_CD2_SBI_L_7_8_!AW30,EL_DEL_CD2_SBI_L_9_10_!AW30,EL_DEL_CD2_L_STAB_!AW30),0)</f>
        <v>0</v>
      </c>
      <c r="AX30" s="102" t="str">
        <f t="shared" si="26"/>
        <v>-</v>
      </c>
      <c r="AY30" s="151"/>
      <c r="AZ30" s="116" t="str">
        <f t="shared" si="2"/>
        <v/>
      </c>
      <c r="BA30" s="117" t="str">
        <f t="shared" si="3"/>
        <v/>
      </c>
      <c r="BB30" s="116" t="str">
        <f t="shared" si="4"/>
        <v/>
      </c>
      <c r="BC30" s="151"/>
      <c r="BD30" s="159" t="str">
        <f t="shared" si="5"/>
        <v/>
      </c>
      <c r="BE30" s="160" t="str">
        <f t="shared" si="6"/>
        <v/>
      </c>
      <c r="BF30" s="160" t="str">
        <f t="shared" si="7"/>
        <v/>
      </c>
      <c r="BG30" s="160" t="str">
        <f t="shared" si="8"/>
        <v/>
      </c>
      <c r="BH30" s="160" t="str">
        <f t="shared" si="9"/>
        <v/>
      </c>
      <c r="BI30" s="161" t="str">
        <f t="shared" si="27"/>
        <v/>
      </c>
      <c r="BJ30" s="151"/>
      <c r="BK30" s="162" t="str">
        <f t="shared" si="10"/>
        <v/>
      </c>
      <c r="BL30" s="163" t="str">
        <f t="shared" si="11"/>
        <v/>
      </c>
      <c r="BM30" s="163" t="str">
        <f t="shared" si="12"/>
        <v/>
      </c>
      <c r="BN30" s="164" t="str">
        <f t="shared" si="13"/>
        <v/>
      </c>
      <c r="BO30" s="151"/>
      <c r="BP30" s="124" t="str">
        <f t="shared" si="14"/>
        <v/>
      </c>
      <c r="BQ30" s="125">
        <v>0</v>
      </c>
      <c r="BR30" s="125" t="str">
        <f t="shared" si="15"/>
        <v/>
      </c>
      <c r="BS30" s="125" t="str">
        <f t="shared" si="28"/>
        <v/>
      </c>
      <c r="BT30" s="126" t="str">
        <f t="shared" si="16"/>
        <v/>
      </c>
      <c r="BU30" s="151"/>
      <c r="BV30" s="165" t="e">
        <f t="shared" si="17"/>
        <v>#VALUE!</v>
      </c>
      <c r="BW30" s="165" t="e">
        <f t="shared" si="18"/>
        <v>#VALUE!</v>
      </c>
      <c r="BX30" s="165" t="e">
        <f t="shared" si="19"/>
        <v>#VALUE!</v>
      </c>
      <c r="BY30" s="165" t="e">
        <f t="shared" si="20"/>
        <v>#VALUE!</v>
      </c>
      <c r="BZ30" s="165" t="e">
        <f t="shared" si="29"/>
        <v>#VALUE!</v>
      </c>
      <c r="CA30" s="166" t="e">
        <f t="shared" si="30"/>
        <v>#VALUE!</v>
      </c>
      <c r="CB30" s="151"/>
      <c r="CC30" s="129" t="str">
        <f t="shared" si="21"/>
        <v>-</v>
      </c>
      <c r="CD30" s="130" t="str">
        <f t="shared" si="22"/>
        <v>-</v>
      </c>
      <c r="CE30" s="130" t="str">
        <f t="shared" si="23"/>
        <v>-</v>
      </c>
      <c r="CF30" s="130" t="str">
        <f t="shared" si="24"/>
        <v>-</v>
      </c>
      <c r="CG30" s="131" t="str">
        <f t="shared" si="25"/>
        <v>-</v>
      </c>
      <c r="CH30" s="151"/>
    </row>
    <row r="31" spans="1:86" s="115" customFormat="1" ht="12.4" customHeight="1" thickBot="1" x14ac:dyDescent="0.25">
      <c r="A31" s="96">
        <f t="shared" si="31"/>
        <v>46323</v>
      </c>
      <c r="B31" s="97" t="str">
        <f t="shared" si="0"/>
        <v>Wed</v>
      </c>
      <c r="C31" s="98">
        <f>+SUM('Overall without PTP '!C31,'Overall with PTP'!C31)</f>
        <v>0</v>
      </c>
      <c r="D31" s="98">
        <f>+SUM('Overall without PTP '!D31,'Overall with PTP'!D31)</f>
        <v>0</v>
      </c>
      <c r="E31" s="98">
        <f>+SUM('Overall without PTP '!E31,'Overall with PTP'!E31)</f>
        <v>0</v>
      </c>
      <c r="F31" s="98">
        <f>+SUM('Overall without PTP '!F31,'Overall with PTP'!F31)</f>
        <v>0</v>
      </c>
      <c r="G31" s="98">
        <f>+SUM('Overall without PTP '!G31,'Overall with PTP'!G31)</f>
        <v>0</v>
      </c>
      <c r="H31" s="98">
        <f>+SUM('Overall without PTP '!H31,'Overall with PTP'!H31)</f>
        <v>0</v>
      </c>
      <c r="I31" s="98">
        <f>+SUM('Overall without PTP '!I31,'Overall with PTP'!I31)</f>
        <v>0</v>
      </c>
      <c r="J31" s="98">
        <f>+SUM('Overall without PTP '!J31,'Overall with PTP'!J31)</f>
        <v>0</v>
      </c>
      <c r="K31" s="98">
        <f>+SUM('Overall without PTP '!K31,'Overall with PTP'!K31)</f>
        <v>0</v>
      </c>
      <c r="L31" s="98">
        <f>+SUM('Overall without PTP '!L31,'Overall with PTP'!L31)</f>
        <v>0</v>
      </c>
      <c r="M31" s="98">
        <f>+SUM('Overall without PTP '!M31,'Overall with PTP'!M31)</f>
        <v>0</v>
      </c>
      <c r="N31" s="98">
        <f>+SUM('Overall without PTP '!N31,'Overall with PTP'!N31)</f>
        <v>0</v>
      </c>
      <c r="O31" s="98">
        <f>+SUM('Overall without PTP '!O31,'Overall with PTP'!O31)</f>
        <v>0</v>
      </c>
      <c r="P31" s="98">
        <f>+SUM('Overall without PTP '!P31,'Overall with PTP'!P31)</f>
        <v>0</v>
      </c>
      <c r="Q31" s="98">
        <f>+SUM('Overall without PTP '!Q31,'Overall with PTP'!Q31)</f>
        <v>0</v>
      </c>
      <c r="R31" s="98">
        <f>+SUM('Overall without PTP '!R31,'Overall with PTP'!R31)</f>
        <v>0</v>
      </c>
      <c r="S31" s="98">
        <f>+SUM('Overall without PTP '!S31,'Overall with PTP'!S31)</f>
        <v>0</v>
      </c>
      <c r="T31" s="98">
        <f>+SUM('Overall without PTP '!T31,'Overall with PTP'!T31)</f>
        <v>0</v>
      </c>
      <c r="U31" s="98">
        <f>+SUM('Overall without PTP '!U31,'Overall with PTP'!U31)</f>
        <v>0</v>
      </c>
      <c r="V31" s="98">
        <f>+SUM('Overall without PTP '!V31,'Overall with PTP'!V31)</f>
        <v>0</v>
      </c>
      <c r="W31" s="98">
        <f>+SUM('Overall without PTP '!W31,'Overall with PTP'!W31)</f>
        <v>0</v>
      </c>
      <c r="X31" s="98">
        <f>+SUM('Overall without PTP '!X31,'Overall with PTP'!X31)</f>
        <v>0</v>
      </c>
      <c r="Y31" s="98">
        <f>+SUM('Overall without PTP '!Y31,'Overall with PTP'!Y31)</f>
        <v>0</v>
      </c>
      <c r="Z31" s="98">
        <f>+SUM('Overall without PTP '!Z31,'Overall with PTP'!Z31)</f>
        <v>0</v>
      </c>
      <c r="AA31" s="98">
        <f>+SUM('Overall without PTP '!AA31,'Overall with PTP'!AA31)</f>
        <v>0</v>
      </c>
      <c r="AB31" s="98">
        <f>+SUM('Overall without PTP '!AB31,'Overall with PTP'!AB31)</f>
        <v>0</v>
      </c>
      <c r="AC31" s="98">
        <f>+SUM('Overall without PTP '!AC31,'Overall with PTP'!AC31)</f>
        <v>0</v>
      </c>
      <c r="AD31" s="98">
        <f>+SUM('Overall without PTP '!AD31,'Overall with PTP'!AD31)</f>
        <v>0</v>
      </c>
      <c r="AE31" s="98">
        <f>+SUM('Overall without PTP '!AE31,'Overall with PTP'!AE31)</f>
        <v>0</v>
      </c>
      <c r="AF31" s="98">
        <f>+SUM('Overall without PTP '!AF31,'Overall with PTP'!AF31)</f>
        <v>0</v>
      </c>
      <c r="AG31" s="98">
        <f>+SUM('Overall without PTP '!AG31,'Overall with PTP'!AG31)</f>
        <v>0</v>
      </c>
      <c r="AH31" s="98">
        <f>+SUM('Overall without PTP '!AH31,'Overall with PTP'!AH31)</f>
        <v>0</v>
      </c>
      <c r="AI31" s="98">
        <f>+SUM('Overall without PTP '!AI31,'Overall with PTP'!AI31)</f>
        <v>0</v>
      </c>
      <c r="AJ31" s="98">
        <f>+SUM('Overall without PTP '!AJ31,'Overall with PTP'!AJ31)</f>
        <v>0</v>
      </c>
      <c r="AK31" s="98">
        <f>+SUM('Overall without PTP '!AK31,'Overall with PTP'!AK31)</f>
        <v>0</v>
      </c>
      <c r="AL31" s="152" t="str">
        <f>+IFERROR(AVERAGE('Overall without PTP '!AL31,'Overall with PTP'!AL31),"")</f>
        <v/>
      </c>
      <c r="AM31" s="152" t="str">
        <f>+IFERROR(AVERAGE('Overall without PTP '!AM31,'Overall with PTP'!AM31),"")</f>
        <v/>
      </c>
      <c r="AN31" s="152" t="str">
        <f>+IFERROR(AVERAGE('Overall without PTP '!AN31,'Overall with PTP'!AN31),"")</f>
        <v/>
      </c>
      <c r="AO31" s="152" t="str">
        <f>+IFERROR(AVERAGE('Overall without PTP '!AO31,'Overall with PTP'!AO31),"")</f>
        <v/>
      </c>
      <c r="AP31" s="98" t="str">
        <f>+IFERROR(AVERAGE('Overall without PTP '!AP31,'Overall with PTP'!AP31),"")</f>
        <v/>
      </c>
      <c r="AQ31" s="152" t="str">
        <f>+IFERROR(AVERAGE('Overall without PTP '!AQ31,'Overall with PTP'!AQ31),"")</f>
        <v/>
      </c>
      <c r="AR31" s="152" t="str">
        <f>+IFERROR(AVERAGE('Overall without PTP '!AR31,'Overall with PTP'!AR31),"")</f>
        <v/>
      </c>
      <c r="AS31" s="152" t="str">
        <f>+IFERROR(AVERAGE('Overall without PTP '!AS31,'Overall with PTP'!AS31),"")</f>
        <v/>
      </c>
      <c r="AT31" s="98">
        <f>+SUM('Overall without PTP '!AT31,'Overall with PTP'!AT31)</f>
        <v>0</v>
      </c>
      <c r="AU31" s="98">
        <f>+SUM('Overall without PTP '!AU31,'Overall with PTP'!AU31)</f>
        <v>0</v>
      </c>
      <c r="AV31" s="98">
        <f>+SUM('Overall without PTP '!AV31,'Overall with PTP'!AV31)</f>
        <v>0</v>
      </c>
      <c r="AW31" s="167">
        <f>+IFERROR(AVERAGE(EL_DEL_CD2_JO_!AW31,EL_DEL_CD2_PTP_!AW31,EL_DEL_CD2_SBI_1_4_!AW31,EL_DEL_CD2_SBI_5_6_!AW31,EL_DEL_CD2_SBI_7_8_!AW31,EL_DEL_CD2_SBI_9_10_!AW31,EL_DEL_CD2_STAB_!AW31,EL_DEL_CD1_WST_PTP_!AW31,EL_DEL_CD1_NTH_PTP_!AW31,EL_DEL_CD1_STH_PTP_!AW31,EL_DEL_CD1_1D4P_PTP_!AW31,EL_DEL_CD1_8D_PTP_!AW31,EL_DEL_CD2_JO_L_!AW31,EL_DEL_CD2_PTP_L_!AW31,EL_DEL_CD2_SBI_L_1_4_!AW31,EL_DEL_CD2_SBI_L_5_6_!AW31,EL_DEL_CD2_SBI_L_7_8_!AW31,EL_DEL_CD2_SBI_L_9_10_!AW31,EL_DEL_CD2_L_STAB_!AW31),0)</f>
        <v>0</v>
      </c>
      <c r="AX31" s="102" t="str">
        <f t="shared" si="26"/>
        <v>-</v>
      </c>
      <c r="AY31" s="151"/>
      <c r="AZ31" s="116" t="str">
        <f t="shared" si="2"/>
        <v/>
      </c>
      <c r="BA31" s="117" t="str">
        <f t="shared" si="3"/>
        <v/>
      </c>
      <c r="BB31" s="116" t="str">
        <f t="shared" si="4"/>
        <v/>
      </c>
      <c r="BC31" s="151"/>
      <c r="BD31" s="159" t="str">
        <f t="shared" si="5"/>
        <v/>
      </c>
      <c r="BE31" s="160" t="str">
        <f t="shared" si="6"/>
        <v/>
      </c>
      <c r="BF31" s="160" t="str">
        <f t="shared" si="7"/>
        <v/>
      </c>
      <c r="BG31" s="160" t="str">
        <f t="shared" si="8"/>
        <v/>
      </c>
      <c r="BH31" s="160" t="str">
        <f t="shared" si="9"/>
        <v/>
      </c>
      <c r="BI31" s="161" t="str">
        <f t="shared" si="27"/>
        <v/>
      </c>
      <c r="BJ31" s="151"/>
      <c r="BK31" s="162" t="str">
        <f t="shared" si="10"/>
        <v/>
      </c>
      <c r="BL31" s="163" t="str">
        <f t="shared" si="11"/>
        <v/>
      </c>
      <c r="BM31" s="163" t="str">
        <f t="shared" si="12"/>
        <v/>
      </c>
      <c r="BN31" s="164" t="str">
        <f t="shared" si="13"/>
        <v/>
      </c>
      <c r="BO31" s="151"/>
      <c r="BP31" s="124" t="str">
        <f t="shared" si="14"/>
        <v/>
      </c>
      <c r="BQ31" s="125">
        <v>0</v>
      </c>
      <c r="BR31" s="125" t="str">
        <f t="shared" si="15"/>
        <v/>
      </c>
      <c r="BS31" s="125" t="str">
        <f t="shared" si="28"/>
        <v/>
      </c>
      <c r="BT31" s="126" t="str">
        <f t="shared" si="16"/>
        <v/>
      </c>
      <c r="BU31" s="151"/>
      <c r="BV31" s="165" t="e">
        <f t="shared" si="17"/>
        <v>#VALUE!</v>
      </c>
      <c r="BW31" s="165" t="e">
        <f t="shared" si="18"/>
        <v>#VALUE!</v>
      </c>
      <c r="BX31" s="165" t="e">
        <f t="shared" si="19"/>
        <v>#VALUE!</v>
      </c>
      <c r="BY31" s="165" t="e">
        <f t="shared" si="20"/>
        <v>#VALUE!</v>
      </c>
      <c r="BZ31" s="165" t="e">
        <f t="shared" si="29"/>
        <v>#VALUE!</v>
      </c>
      <c r="CA31" s="166" t="e">
        <f t="shared" si="30"/>
        <v>#VALUE!</v>
      </c>
      <c r="CB31" s="151"/>
      <c r="CC31" s="129" t="str">
        <f t="shared" si="21"/>
        <v>-</v>
      </c>
      <c r="CD31" s="130" t="str">
        <f t="shared" si="22"/>
        <v>-</v>
      </c>
      <c r="CE31" s="130" t="str">
        <f t="shared" si="23"/>
        <v>-</v>
      </c>
      <c r="CF31" s="130" t="str">
        <f t="shared" si="24"/>
        <v>-</v>
      </c>
      <c r="CG31" s="131" t="str">
        <f t="shared" si="25"/>
        <v>-</v>
      </c>
      <c r="CH31" s="151"/>
    </row>
    <row r="32" spans="1:86" s="115" customFormat="1" ht="12.4" customHeight="1" thickBot="1" x14ac:dyDescent="0.25">
      <c r="A32" s="96">
        <f t="shared" si="31"/>
        <v>46324</v>
      </c>
      <c r="B32" s="97" t="str">
        <f>+TEXT(A32,"DDD")</f>
        <v>Thu</v>
      </c>
      <c r="C32" s="98">
        <f>+SUM('Overall without PTP '!C32,'Overall with PTP'!C32)</f>
        <v>0</v>
      </c>
      <c r="D32" s="98">
        <f>+SUM('Overall without PTP '!D32,'Overall with PTP'!D32)</f>
        <v>0</v>
      </c>
      <c r="E32" s="98">
        <f>+SUM('Overall without PTP '!E32,'Overall with PTP'!E32)</f>
        <v>0</v>
      </c>
      <c r="F32" s="98">
        <f>+SUM('Overall without PTP '!F32,'Overall with PTP'!F32)</f>
        <v>0</v>
      </c>
      <c r="G32" s="98">
        <f>+SUM('Overall without PTP '!G32,'Overall with PTP'!G32)</f>
        <v>0</v>
      </c>
      <c r="H32" s="98">
        <f>+SUM('Overall without PTP '!H32,'Overall with PTP'!H32)</f>
        <v>0</v>
      </c>
      <c r="I32" s="98">
        <f>+SUM('Overall without PTP '!I32,'Overall with PTP'!I32)</f>
        <v>0</v>
      </c>
      <c r="J32" s="98">
        <f>+SUM('Overall without PTP '!J32,'Overall with PTP'!J32)</f>
        <v>0</v>
      </c>
      <c r="K32" s="98">
        <f>+SUM('Overall without PTP '!K32,'Overall with PTP'!K32)</f>
        <v>0</v>
      </c>
      <c r="L32" s="98">
        <f>+SUM('Overall without PTP '!L32,'Overall with PTP'!L32)</f>
        <v>0</v>
      </c>
      <c r="M32" s="98">
        <f>+SUM('Overall without PTP '!M32,'Overall with PTP'!M32)</f>
        <v>0</v>
      </c>
      <c r="N32" s="98">
        <f>+SUM('Overall without PTP '!N32,'Overall with PTP'!N32)</f>
        <v>0</v>
      </c>
      <c r="O32" s="98">
        <f>+SUM('Overall without PTP '!O32,'Overall with PTP'!O32)</f>
        <v>0</v>
      </c>
      <c r="P32" s="98">
        <f>+SUM('Overall without PTP '!P32,'Overall with PTP'!P32)</f>
        <v>0</v>
      </c>
      <c r="Q32" s="98">
        <f>+SUM('Overall without PTP '!Q32,'Overall with PTP'!Q32)</f>
        <v>0</v>
      </c>
      <c r="R32" s="98">
        <f>+SUM('Overall without PTP '!R32,'Overall with PTP'!R32)</f>
        <v>0</v>
      </c>
      <c r="S32" s="98">
        <f>+SUM('Overall without PTP '!S32,'Overall with PTP'!S32)</f>
        <v>0</v>
      </c>
      <c r="T32" s="98">
        <f>+SUM('Overall without PTP '!T32,'Overall with PTP'!T32)</f>
        <v>0</v>
      </c>
      <c r="U32" s="98">
        <f>+SUM('Overall without PTP '!U32,'Overall with PTP'!U32)</f>
        <v>0</v>
      </c>
      <c r="V32" s="98">
        <f>+SUM('Overall without PTP '!V32,'Overall with PTP'!V32)</f>
        <v>0</v>
      </c>
      <c r="W32" s="98">
        <f>+SUM('Overall without PTP '!W32,'Overall with PTP'!W32)</f>
        <v>0</v>
      </c>
      <c r="X32" s="98">
        <f>+SUM('Overall without PTP '!X32,'Overall with PTP'!X32)</f>
        <v>0</v>
      </c>
      <c r="Y32" s="98">
        <f>+SUM('Overall without PTP '!Y32,'Overall with PTP'!Y32)</f>
        <v>0</v>
      </c>
      <c r="Z32" s="98">
        <f>+SUM('Overall without PTP '!Z32,'Overall with PTP'!Z32)</f>
        <v>0</v>
      </c>
      <c r="AA32" s="98">
        <f>+SUM('Overall without PTP '!AA32,'Overall with PTP'!AA32)</f>
        <v>0</v>
      </c>
      <c r="AB32" s="98">
        <f>+SUM('Overall without PTP '!AB32,'Overall with PTP'!AB32)</f>
        <v>0</v>
      </c>
      <c r="AC32" s="98">
        <f>+SUM('Overall without PTP '!AC32,'Overall with PTP'!AC32)</f>
        <v>0</v>
      </c>
      <c r="AD32" s="98">
        <f>+SUM('Overall without PTP '!AD32,'Overall with PTP'!AD32)</f>
        <v>0</v>
      </c>
      <c r="AE32" s="98">
        <f>+SUM('Overall without PTP '!AE32,'Overall with PTP'!AE32)</f>
        <v>0</v>
      </c>
      <c r="AF32" s="98">
        <f>+SUM('Overall without PTP '!AF32,'Overall with PTP'!AF32)</f>
        <v>0</v>
      </c>
      <c r="AG32" s="98">
        <f>+SUM('Overall without PTP '!AG32,'Overall with PTP'!AG32)</f>
        <v>0</v>
      </c>
      <c r="AH32" s="98">
        <f>+SUM('Overall without PTP '!AH32,'Overall with PTP'!AH32)</f>
        <v>0</v>
      </c>
      <c r="AI32" s="98">
        <f>+SUM('Overall without PTP '!AI32,'Overall with PTP'!AI32)</f>
        <v>0</v>
      </c>
      <c r="AJ32" s="98">
        <f>+SUM('Overall without PTP '!AJ32,'Overall with PTP'!AJ32)</f>
        <v>0</v>
      </c>
      <c r="AK32" s="98">
        <f>+SUM('Overall without PTP '!AK32,'Overall with PTP'!AK32)</f>
        <v>0</v>
      </c>
      <c r="AL32" s="152" t="str">
        <f>+IFERROR(AVERAGE('Overall without PTP '!AL32,'Overall with PTP'!AL32),"")</f>
        <v/>
      </c>
      <c r="AM32" s="152" t="str">
        <f>+IFERROR(AVERAGE('Overall without PTP '!AM32,'Overall with PTP'!AM32),"")</f>
        <v/>
      </c>
      <c r="AN32" s="152" t="str">
        <f>+IFERROR(AVERAGE('Overall without PTP '!AN32,'Overall with PTP'!AN32),"")</f>
        <v/>
      </c>
      <c r="AO32" s="152" t="str">
        <f>+IFERROR(AVERAGE('Overall without PTP '!AO32,'Overall with PTP'!AO32),"")</f>
        <v/>
      </c>
      <c r="AP32" s="98" t="str">
        <f>+IFERROR(AVERAGE('Overall without PTP '!AP32,'Overall with PTP'!AP32),"")</f>
        <v/>
      </c>
      <c r="AQ32" s="152" t="str">
        <f>+IFERROR(AVERAGE('Overall without PTP '!AQ32,'Overall with PTP'!AQ32),"")</f>
        <v/>
      </c>
      <c r="AR32" s="152" t="str">
        <f>+IFERROR(AVERAGE('Overall without PTP '!AR32,'Overall with PTP'!AR32),"")</f>
        <v/>
      </c>
      <c r="AS32" s="152" t="str">
        <f>+IFERROR(AVERAGE('Overall without PTP '!AS32,'Overall with PTP'!AS32),"")</f>
        <v/>
      </c>
      <c r="AT32" s="98">
        <f>+SUM('Overall without PTP '!AT32,'Overall with PTP'!AT32)</f>
        <v>0</v>
      </c>
      <c r="AU32" s="98">
        <f>+SUM('Overall without PTP '!AU32,'Overall with PTP'!AU32)</f>
        <v>0</v>
      </c>
      <c r="AV32" s="98">
        <f>+SUM('Overall without PTP '!AV32,'Overall with PTP'!AV32)</f>
        <v>0</v>
      </c>
      <c r="AW32" s="167">
        <f>+IFERROR(AVERAGE(EL_DEL_CD2_JO_!AW32,EL_DEL_CD2_PTP_!AW32,EL_DEL_CD2_SBI_1_4_!AW32,EL_DEL_CD2_SBI_5_6_!AW32,EL_DEL_CD2_SBI_7_8_!AW32,EL_DEL_CD2_SBI_9_10_!AW32,EL_DEL_CD2_STAB_!AW32,EL_DEL_CD1_WST_PTP_!AW32,EL_DEL_CD1_NTH_PTP_!AW32,EL_DEL_CD1_STH_PTP_!AW32,EL_DEL_CD1_1D4P_PTP_!AW32,EL_DEL_CD1_8D_PTP_!AW32,EL_DEL_CD2_JO_L_!AW32,EL_DEL_CD2_PTP_L_!AW32,EL_DEL_CD2_SBI_L_1_4_!AW32,EL_DEL_CD2_SBI_L_5_6_!AW32,EL_DEL_CD2_SBI_L_7_8_!AW32,EL_DEL_CD2_SBI_L_9_10_!AW32,EL_DEL_CD2_L_STAB_!AW32),0)</f>
        <v>0</v>
      </c>
      <c r="AX32" s="102" t="str">
        <f t="shared" si="26"/>
        <v>-</v>
      </c>
      <c r="AY32" s="151"/>
      <c r="AZ32" s="116" t="str">
        <f t="shared" si="2"/>
        <v/>
      </c>
      <c r="BA32" s="117" t="str">
        <f t="shared" si="3"/>
        <v/>
      </c>
      <c r="BB32" s="116" t="str">
        <f t="shared" si="4"/>
        <v/>
      </c>
      <c r="BC32" s="151"/>
      <c r="BD32" s="159" t="str">
        <f t="shared" si="5"/>
        <v/>
      </c>
      <c r="BE32" s="160" t="str">
        <f t="shared" si="6"/>
        <v/>
      </c>
      <c r="BF32" s="160" t="str">
        <f t="shared" si="7"/>
        <v/>
      </c>
      <c r="BG32" s="160" t="str">
        <f>+IF(SUM(AO32:AR32)&gt;0,AO32/AN32,"")</f>
        <v/>
      </c>
      <c r="BH32" s="160" t="str">
        <f t="shared" si="9"/>
        <v/>
      </c>
      <c r="BI32" s="161" t="str">
        <f>+IF(SUM(AO32:AR32)&gt;0,AQ32/AN32,"")</f>
        <v/>
      </c>
      <c r="BJ32" s="151"/>
      <c r="BK32" s="162" t="str">
        <f t="shared" si="10"/>
        <v/>
      </c>
      <c r="BL32" s="163" t="str">
        <f t="shared" si="11"/>
        <v/>
      </c>
      <c r="BM32" s="163" t="str">
        <f t="shared" si="12"/>
        <v/>
      </c>
      <c r="BN32" s="164" t="str">
        <f t="shared" si="13"/>
        <v/>
      </c>
      <c r="BO32" s="151"/>
      <c r="BP32" s="124" t="str">
        <f t="shared" si="14"/>
        <v/>
      </c>
      <c r="BQ32" s="125">
        <v>0</v>
      </c>
      <c r="BR32" s="125" t="str">
        <f>IF(AJ32&gt;0,(AK32/AJ32),"")</f>
        <v/>
      </c>
      <c r="BS32" s="125" t="str">
        <f>IF(AJ32&gt;0,(AK32/AJ32),"")</f>
        <v/>
      </c>
      <c r="BT32" s="126" t="str">
        <f t="shared" si="16"/>
        <v/>
      </c>
      <c r="BU32" s="151"/>
      <c r="BV32" s="165" t="e">
        <f t="shared" si="17"/>
        <v>#VALUE!</v>
      </c>
      <c r="BW32" s="165" t="e">
        <f t="shared" si="18"/>
        <v>#VALUE!</v>
      </c>
      <c r="BX32" s="165" t="e">
        <f t="shared" si="19"/>
        <v>#VALUE!</v>
      </c>
      <c r="BY32" s="165" t="e">
        <f t="shared" si="20"/>
        <v>#VALUE!</v>
      </c>
      <c r="BZ32" s="165" t="e">
        <f>IF(AN32&gt;0,(AJ32/AN32),"")</f>
        <v>#VALUE!</v>
      </c>
      <c r="CA32" s="166" t="e">
        <f>IF(AN32&gt;0,(AK32/AN32),"")</f>
        <v>#VALUE!</v>
      </c>
      <c r="CB32" s="151"/>
      <c r="CC32" s="129" t="str">
        <f t="shared" si="21"/>
        <v>-</v>
      </c>
      <c r="CD32" s="130" t="str">
        <f t="shared" si="22"/>
        <v>-</v>
      </c>
      <c r="CE32" s="130" t="str">
        <f t="shared" si="23"/>
        <v>-</v>
      </c>
      <c r="CF32" s="130" t="str">
        <f t="shared" si="24"/>
        <v>-</v>
      </c>
      <c r="CG32" s="131" t="str">
        <f t="shared" si="25"/>
        <v>-</v>
      </c>
      <c r="CH32" s="151"/>
    </row>
    <row r="33" spans="1:86" s="115" customFormat="1" ht="12.4" customHeight="1" thickBot="1" x14ac:dyDescent="0.25">
      <c r="A33" s="96">
        <f t="shared" si="31"/>
        <v>46325</v>
      </c>
      <c r="B33" s="97" t="str">
        <f>+TEXT(A33,"DDD")</f>
        <v>Fri</v>
      </c>
      <c r="C33" s="98">
        <f>+SUM('Overall without PTP '!C33,'Overall with PTP'!C33)</f>
        <v>0</v>
      </c>
      <c r="D33" s="98">
        <f>+SUM('Overall without PTP '!D33,'Overall with PTP'!D33)</f>
        <v>0</v>
      </c>
      <c r="E33" s="98">
        <f>+SUM('Overall without PTP '!E33,'Overall with PTP'!E33)</f>
        <v>0</v>
      </c>
      <c r="F33" s="98">
        <f>+SUM('Overall without PTP '!F33,'Overall with PTP'!F33)</f>
        <v>0</v>
      </c>
      <c r="G33" s="98">
        <f>+SUM('Overall without PTP '!G33,'Overall with PTP'!G33)</f>
        <v>0</v>
      </c>
      <c r="H33" s="98">
        <f>+SUM('Overall without PTP '!H33,'Overall with PTP'!H33)</f>
        <v>0</v>
      </c>
      <c r="I33" s="98">
        <f>+SUM('Overall without PTP '!I33,'Overall with PTP'!I33)</f>
        <v>0</v>
      </c>
      <c r="J33" s="98">
        <f>+SUM('Overall without PTP '!J33,'Overall with PTP'!J33)</f>
        <v>0</v>
      </c>
      <c r="K33" s="98">
        <f>+SUM('Overall without PTP '!K33,'Overall with PTP'!K33)</f>
        <v>0</v>
      </c>
      <c r="L33" s="98">
        <f>+SUM('Overall without PTP '!L33,'Overall with PTP'!L33)</f>
        <v>0</v>
      </c>
      <c r="M33" s="98">
        <f>+SUM('Overall without PTP '!M33,'Overall with PTP'!M33)</f>
        <v>0</v>
      </c>
      <c r="N33" s="98">
        <f>+SUM('Overall without PTP '!N33,'Overall with PTP'!N33)</f>
        <v>0</v>
      </c>
      <c r="O33" s="98">
        <f>+SUM('Overall without PTP '!O33,'Overall with PTP'!O33)</f>
        <v>0</v>
      </c>
      <c r="P33" s="98">
        <f>+SUM('Overall without PTP '!P33,'Overall with PTP'!P33)</f>
        <v>0</v>
      </c>
      <c r="Q33" s="98">
        <f>+SUM('Overall without PTP '!Q33,'Overall with PTP'!Q33)</f>
        <v>0</v>
      </c>
      <c r="R33" s="98">
        <f>+SUM('Overall without PTP '!R33,'Overall with PTP'!R33)</f>
        <v>0</v>
      </c>
      <c r="S33" s="98">
        <f>+SUM('Overall without PTP '!S33,'Overall with PTP'!S33)</f>
        <v>0</v>
      </c>
      <c r="T33" s="98">
        <f>+SUM('Overall without PTP '!T33,'Overall with PTP'!T33)</f>
        <v>0</v>
      </c>
      <c r="U33" s="98">
        <f>+SUM('Overall without PTP '!U33,'Overall with PTP'!U33)</f>
        <v>0</v>
      </c>
      <c r="V33" s="98">
        <f>+SUM('Overall without PTP '!V33,'Overall with PTP'!V33)</f>
        <v>0</v>
      </c>
      <c r="W33" s="98">
        <f>+SUM('Overall without PTP '!W33,'Overall with PTP'!W33)</f>
        <v>0</v>
      </c>
      <c r="X33" s="98">
        <f>+SUM('Overall without PTP '!X33,'Overall with PTP'!X33)</f>
        <v>0</v>
      </c>
      <c r="Y33" s="98">
        <f>+SUM('Overall without PTP '!Y33,'Overall with PTP'!Y33)</f>
        <v>0</v>
      </c>
      <c r="Z33" s="98">
        <f>+SUM('Overall without PTP '!Z33,'Overall with PTP'!Z33)</f>
        <v>0</v>
      </c>
      <c r="AA33" s="98">
        <f>+SUM('Overall without PTP '!AA33,'Overall with PTP'!AA33)</f>
        <v>0</v>
      </c>
      <c r="AB33" s="98">
        <f>+SUM('Overall without PTP '!AB33,'Overall with PTP'!AB33)</f>
        <v>0</v>
      </c>
      <c r="AC33" s="98">
        <f>+SUM('Overall without PTP '!AC33,'Overall with PTP'!AC33)</f>
        <v>0</v>
      </c>
      <c r="AD33" s="98">
        <f>+SUM('Overall without PTP '!AD33,'Overall with PTP'!AD33)</f>
        <v>0</v>
      </c>
      <c r="AE33" s="98">
        <f>+SUM('Overall without PTP '!AE33,'Overall with PTP'!AE33)</f>
        <v>0</v>
      </c>
      <c r="AF33" s="98">
        <f>+SUM('Overall without PTP '!AF33,'Overall with PTP'!AF33)</f>
        <v>0</v>
      </c>
      <c r="AG33" s="98">
        <f>+SUM('Overall without PTP '!AG33,'Overall with PTP'!AG33)</f>
        <v>0</v>
      </c>
      <c r="AH33" s="98">
        <f>+SUM('Overall without PTP '!AH33,'Overall with PTP'!AH33)</f>
        <v>0</v>
      </c>
      <c r="AI33" s="98">
        <f>+SUM('Overall without PTP '!AI33,'Overall with PTP'!AI33)</f>
        <v>0</v>
      </c>
      <c r="AJ33" s="98">
        <f>+SUM('Overall without PTP '!AJ33,'Overall with PTP'!AJ33)</f>
        <v>0</v>
      </c>
      <c r="AK33" s="98">
        <f>+SUM('Overall without PTP '!AK33,'Overall with PTP'!AK33)</f>
        <v>0</v>
      </c>
      <c r="AL33" s="152" t="str">
        <f>+IFERROR(AVERAGE('Overall without PTP '!AL33,'Overall with PTP'!AL33),"")</f>
        <v/>
      </c>
      <c r="AM33" s="152" t="str">
        <f>+IFERROR(AVERAGE('Overall without PTP '!AM33,'Overall with PTP'!AM33),"")</f>
        <v/>
      </c>
      <c r="AN33" s="152" t="str">
        <f>+IFERROR(AVERAGE('Overall without PTP '!AN33,'Overall with PTP'!AN33),"")</f>
        <v/>
      </c>
      <c r="AO33" s="152" t="str">
        <f>+IFERROR(AVERAGE('Overall without PTP '!AO33,'Overall with PTP'!AO33),"")</f>
        <v/>
      </c>
      <c r="AP33" s="98" t="str">
        <f>+IFERROR(AVERAGE('Overall without PTP '!AP33,'Overall with PTP'!AP33),"")</f>
        <v/>
      </c>
      <c r="AQ33" s="152" t="str">
        <f>+IFERROR(AVERAGE('Overall without PTP '!AQ33,'Overall with PTP'!AQ33),"")</f>
        <v/>
      </c>
      <c r="AR33" s="152" t="str">
        <f>+IFERROR(AVERAGE('Overall without PTP '!AR33,'Overall with PTP'!AR33),"")</f>
        <v/>
      </c>
      <c r="AS33" s="152" t="str">
        <f>+IFERROR(AVERAGE('Overall without PTP '!AS33,'Overall with PTP'!AS33),"")</f>
        <v/>
      </c>
      <c r="AT33" s="98">
        <f>+SUM('Overall without PTP '!AT33,'Overall with PTP'!AT33)</f>
        <v>0</v>
      </c>
      <c r="AU33" s="98">
        <f>+SUM('Overall without PTP '!AU33,'Overall with PTP'!AU33)</f>
        <v>0</v>
      </c>
      <c r="AV33" s="98">
        <f>+SUM('Overall without PTP '!AV33,'Overall with PTP'!AV33)</f>
        <v>0</v>
      </c>
      <c r="AW33" s="167">
        <f>+IFERROR(AVERAGE(EL_DEL_CD2_JO_!AW33,EL_DEL_CD2_PTP_!AW33,EL_DEL_CD2_SBI_1_4_!AW33,EL_DEL_CD2_SBI_5_6_!AW33,EL_DEL_CD2_SBI_7_8_!AW33,EL_DEL_CD2_SBI_9_10_!AW33,EL_DEL_CD2_STAB_!AW33,EL_DEL_CD1_WST_PTP_!AW33,EL_DEL_CD1_NTH_PTP_!AW33,EL_DEL_CD1_STH_PTP_!AW33,EL_DEL_CD1_1D4P_PTP_!AW33,EL_DEL_CD1_8D_PTP_!AW33,EL_DEL_CD2_JO_L_!AW33,EL_DEL_CD2_PTP_L_!AW33,EL_DEL_CD2_SBI_L_1_4_!AW33,EL_DEL_CD2_SBI_L_5_6_!AW33,EL_DEL_CD2_SBI_L_7_8_!AW33,EL_DEL_CD2_SBI_L_9_10_!AW33,EL_DEL_CD2_L_STAB_!AW33),0)</f>
        <v>0</v>
      </c>
      <c r="AX33" s="102" t="str">
        <f t="shared" ref="AX33" si="32">IFERROR(AN33/AW33,"-")</f>
        <v>-</v>
      </c>
      <c r="AY33" s="151"/>
      <c r="AZ33" s="116" t="str">
        <f>IF(E33&gt;0,F33/E33,"")</f>
        <v/>
      </c>
      <c r="BA33" s="117" t="str">
        <f>+IF(E33&gt;0,G33/E33,"")</f>
        <v/>
      </c>
      <c r="BB33" s="116" t="str">
        <f>+IF(E33&gt;0,AJ33/E33,"")</f>
        <v/>
      </c>
      <c r="BC33" s="151"/>
      <c r="BD33" s="159" t="str">
        <f>+IF(G33&gt;0,I33/G33,"")</f>
        <v/>
      </c>
      <c r="BE33" s="160" t="str">
        <f>+IF(G33&gt;0,J33/G33,"")</f>
        <v/>
      </c>
      <c r="BF33" s="160" t="str">
        <f>+IF(I33&gt;0,L33/I33,"")</f>
        <v/>
      </c>
      <c r="BG33" s="160" t="str">
        <f>+IF(SUM(AO33:AR33)&gt;0,AO33/AN33,"")</f>
        <v/>
      </c>
      <c r="BH33" s="160" t="str">
        <f>+IF(G33&gt;0,K33/G33,"")</f>
        <v/>
      </c>
      <c r="BI33" s="161" t="str">
        <f>+IF(SUM(AO33:AR33)&gt;0,AQ33/AN33,"")</f>
        <v/>
      </c>
      <c r="BJ33" s="151"/>
      <c r="BK33" s="162" t="str">
        <f>+IF(E33&gt;0,(AJ33/E33),"")</f>
        <v/>
      </c>
      <c r="BL33" s="163" t="str">
        <f>+IF(E33&gt;0,(AJ33/F33),"")</f>
        <v/>
      </c>
      <c r="BM33" s="163" t="str">
        <f>+IF(E33&gt;0,(AJ33/G33),"")</f>
        <v/>
      </c>
      <c r="BN33" s="164" t="str">
        <f>+IF(E33&gt;0,(AJ33/J33),"")</f>
        <v/>
      </c>
      <c r="BO33" s="151"/>
      <c r="BP33" s="124" t="str">
        <f>IF(AJ33&gt;0,(N33/AJ33),"")</f>
        <v/>
      </c>
      <c r="BQ33" s="125">
        <v>0</v>
      </c>
      <c r="BR33" s="125" t="str">
        <f>IF(AJ33&gt;0,(AK33/AJ33),"")</f>
        <v/>
      </c>
      <c r="BS33" s="125" t="str">
        <f>IF(AJ33&gt;0,(AK33/AJ33),"")</f>
        <v/>
      </c>
      <c r="BT33" s="126" t="str">
        <f>IF(J33&gt;0,AD33/J33,"")</f>
        <v/>
      </c>
      <c r="BU33" s="151"/>
      <c r="BV33" s="165" t="e">
        <f>IF(AN33&gt;0,(E33/AN33),"")</f>
        <v>#VALUE!</v>
      </c>
      <c r="BW33" s="165" t="e">
        <f>IF(AN33&gt;0,(G33/AN33),"")</f>
        <v>#VALUE!</v>
      </c>
      <c r="BX33" s="165" t="e">
        <f>IF(AN33&gt;0,(J33/AN33),"")</f>
        <v>#VALUE!</v>
      </c>
      <c r="BY33" s="165" t="e">
        <f>IF(AN33&gt;0,(K33/AN33),"")</f>
        <v>#VALUE!</v>
      </c>
      <c r="BZ33" s="165" t="e">
        <f>IF(AN33&gt;0,(AJ33/AN33),"")</f>
        <v>#VALUE!</v>
      </c>
      <c r="CA33" s="166" t="e">
        <f>IF(AN33&gt;0,(AK33/AN33),"")</f>
        <v>#VALUE!</v>
      </c>
      <c r="CB33" s="151"/>
      <c r="CC33" s="129" t="str">
        <f>IFERROR(((AN33-AO33)*3600)/J33,"-")</f>
        <v>-</v>
      </c>
      <c r="CD33" s="130" t="str">
        <f>IFERROR((AR33*3600)/J33,"-")</f>
        <v>-</v>
      </c>
      <c r="CE33" s="130" t="str">
        <f>IFERROR((AQ33*3600)/J33,"-")</f>
        <v>-</v>
      </c>
      <c r="CF33" s="130" t="str">
        <f>IFERROR((AO33*3600)/J33,"-")</f>
        <v>-</v>
      </c>
      <c r="CG33" s="131" t="str">
        <f>IFERROR((AP33*3600)/J33,"-")</f>
        <v>-</v>
      </c>
      <c r="CH33" s="151"/>
    </row>
    <row r="34" spans="1:86" s="115" customFormat="1" ht="12.4" customHeight="1" thickBot="1" x14ac:dyDescent="0.25">
      <c r="A34" s="96">
        <f t="shared" si="31"/>
        <v>46326</v>
      </c>
      <c r="B34" s="97" t="str">
        <f>+TEXT(A34,"DDD")</f>
        <v>Sat</v>
      </c>
      <c r="C34" s="98">
        <f>+SUM('Overall without PTP '!C34,'Overall with PTP'!C34)</f>
        <v>0</v>
      </c>
      <c r="D34" s="98">
        <f>+SUM('Overall without PTP '!D34,'Overall with PTP'!D34)</f>
        <v>0</v>
      </c>
      <c r="E34" s="98">
        <f>+SUM('Overall without PTP '!E34,'Overall with PTP'!E34)</f>
        <v>0</v>
      </c>
      <c r="F34" s="98">
        <f>+SUM('Overall without PTP '!F34,'Overall with PTP'!F34)</f>
        <v>0</v>
      </c>
      <c r="G34" s="98">
        <f>+SUM('Overall without PTP '!G34,'Overall with PTP'!G34)</f>
        <v>0</v>
      </c>
      <c r="H34" s="98">
        <f>+SUM('Overall without PTP '!H34,'Overall with PTP'!H34)</f>
        <v>0</v>
      </c>
      <c r="I34" s="98">
        <f>+SUM('Overall without PTP '!I34,'Overall with PTP'!I34)</f>
        <v>0</v>
      </c>
      <c r="J34" s="98">
        <f>+SUM('Overall without PTP '!J34,'Overall with PTP'!J34)</f>
        <v>0</v>
      </c>
      <c r="K34" s="98">
        <f>+SUM('Overall without PTP '!K34,'Overall with PTP'!K34)</f>
        <v>0</v>
      </c>
      <c r="L34" s="98">
        <f>+SUM('Overall without PTP '!L34,'Overall with PTP'!L34)</f>
        <v>0</v>
      </c>
      <c r="M34" s="98">
        <f>+SUM('Overall without PTP '!M34,'Overall with PTP'!M34)</f>
        <v>0</v>
      </c>
      <c r="N34" s="98">
        <f>+SUM('Overall without PTP '!N34,'Overall with PTP'!N34)</f>
        <v>0</v>
      </c>
      <c r="O34" s="98">
        <f>+SUM('Overall without PTP '!O34,'Overall with PTP'!O34)</f>
        <v>0</v>
      </c>
      <c r="P34" s="98">
        <f>+SUM('Overall without PTP '!P34,'Overall with PTP'!P34)</f>
        <v>0</v>
      </c>
      <c r="Q34" s="98">
        <f>+SUM('Overall without PTP '!Q34,'Overall with PTP'!Q34)</f>
        <v>0</v>
      </c>
      <c r="R34" s="98">
        <f>+SUM('Overall without PTP '!R34,'Overall with PTP'!R34)</f>
        <v>0</v>
      </c>
      <c r="S34" s="98">
        <f>+SUM('Overall without PTP '!S34,'Overall with PTP'!S34)</f>
        <v>0</v>
      </c>
      <c r="T34" s="98">
        <f>+SUM('Overall without PTP '!T34,'Overall with PTP'!T34)</f>
        <v>0</v>
      </c>
      <c r="U34" s="98">
        <f>+SUM('Overall without PTP '!U34,'Overall with PTP'!U34)</f>
        <v>0</v>
      </c>
      <c r="V34" s="98">
        <f>+SUM('Overall without PTP '!V34,'Overall with PTP'!V34)</f>
        <v>0</v>
      </c>
      <c r="W34" s="98">
        <f>+SUM('Overall without PTP '!W34,'Overall with PTP'!W34)</f>
        <v>0</v>
      </c>
      <c r="X34" s="98">
        <f>+SUM('Overall without PTP '!X34,'Overall with PTP'!X34)</f>
        <v>0</v>
      </c>
      <c r="Y34" s="98">
        <f>+SUM('Overall without PTP '!Y34,'Overall with PTP'!Y34)</f>
        <v>0</v>
      </c>
      <c r="Z34" s="98">
        <f>+SUM('Overall without PTP '!Z34,'Overall with PTP'!Z34)</f>
        <v>0</v>
      </c>
      <c r="AA34" s="98">
        <f>+SUM('Overall without PTP '!AA34,'Overall with PTP'!AA34)</f>
        <v>0</v>
      </c>
      <c r="AB34" s="98">
        <f>+SUM('Overall without PTP '!AB34,'Overall with PTP'!AB34)</f>
        <v>0</v>
      </c>
      <c r="AC34" s="98">
        <f>+SUM('Overall without PTP '!AC34,'Overall with PTP'!AC34)</f>
        <v>0</v>
      </c>
      <c r="AD34" s="98">
        <f>+SUM('Overall without PTP '!AD34,'Overall with PTP'!AD34)</f>
        <v>0</v>
      </c>
      <c r="AE34" s="98">
        <f>+SUM('Overall without PTP '!AE34,'Overall with PTP'!AE34)</f>
        <v>0</v>
      </c>
      <c r="AF34" s="98">
        <f>+SUM('Overall without PTP '!AF34,'Overall with PTP'!AF34)</f>
        <v>0</v>
      </c>
      <c r="AG34" s="98">
        <f>+SUM('Overall without PTP '!AG34,'Overall with PTP'!AG34)</f>
        <v>0</v>
      </c>
      <c r="AH34" s="98">
        <f>+SUM('Overall without PTP '!AH34,'Overall with PTP'!AH34)</f>
        <v>0</v>
      </c>
      <c r="AI34" s="98">
        <f>+SUM('Overall without PTP '!AI34,'Overall with PTP'!AI34)</f>
        <v>0</v>
      </c>
      <c r="AJ34" s="98">
        <f>+SUM('Overall without PTP '!AJ34,'Overall with PTP'!AJ34)</f>
        <v>0</v>
      </c>
      <c r="AK34" s="98">
        <f>+SUM('Overall without PTP '!AK34,'Overall with PTP'!AK34)</f>
        <v>0</v>
      </c>
      <c r="AL34" s="152" t="str">
        <f>+IFERROR(AVERAGE('Overall without PTP '!AL34,'Overall with PTP'!AL34),"")</f>
        <v/>
      </c>
      <c r="AM34" s="152" t="str">
        <f>+IFERROR(AVERAGE('Overall without PTP '!AM34,'Overall with PTP'!AM34),"")</f>
        <v/>
      </c>
      <c r="AN34" s="152" t="str">
        <f>+IFERROR(AVERAGE('Overall without PTP '!AN34,'Overall with PTP'!AN34),"")</f>
        <v/>
      </c>
      <c r="AO34" s="152" t="str">
        <f>+IFERROR(AVERAGE('Overall without PTP '!AO34,'Overall with PTP'!AO34),"")</f>
        <v/>
      </c>
      <c r="AP34" s="98" t="str">
        <f>+IFERROR(AVERAGE('Overall without PTP '!AP34,'Overall with PTP'!AP34),"")</f>
        <v/>
      </c>
      <c r="AQ34" s="152" t="str">
        <f>+IFERROR(AVERAGE('Overall without PTP '!AQ34,'Overall with PTP'!AQ34),"")</f>
        <v/>
      </c>
      <c r="AR34" s="152" t="str">
        <f>+IFERROR(AVERAGE('Overall without PTP '!AR34,'Overall with PTP'!AR34),"")</f>
        <v/>
      </c>
      <c r="AS34" s="152" t="str">
        <f>+IFERROR(AVERAGE('Overall without PTP '!AS34,'Overall with PTP'!AS34),"")</f>
        <v/>
      </c>
      <c r="AT34" s="98">
        <f>+SUM('Overall without PTP '!AT34,'Overall with PTP'!AT34)</f>
        <v>0</v>
      </c>
      <c r="AU34" s="98">
        <f>+SUM('Overall without PTP '!AU34,'Overall with PTP'!AU34)</f>
        <v>0</v>
      </c>
      <c r="AV34" s="98">
        <f>+SUM('Overall without PTP '!AV34,'Overall with PTP'!AV34)</f>
        <v>0</v>
      </c>
      <c r="AW34" s="167">
        <f>+IFERROR(AVERAGE(EL_DEL_CD2_JO_!AW34,EL_DEL_CD2_PTP_!AW34,EL_DEL_CD2_SBI_1_4_!AW34,EL_DEL_CD2_SBI_5_6_!AW34,EL_DEL_CD2_SBI_7_8_!AW34,EL_DEL_CD2_SBI_9_10_!AW34,EL_DEL_CD2_STAB_!AW34,EL_DEL_CD1_WST_PTP_!AW34,EL_DEL_CD1_NTH_PTP_!AW34,EL_DEL_CD1_STH_PTP_!AW34,EL_DEL_CD1_1D4P_PTP_!AW34,EL_DEL_CD1_8D_PTP_!AW34,EL_DEL_CD2_JO_L_!AW34,EL_DEL_CD2_PTP_L_!AW34,EL_DEL_CD2_SBI_L_1_4_!AW34,EL_DEL_CD2_SBI_L_5_6_!AW34,EL_DEL_CD2_SBI_L_7_8_!AW34,EL_DEL_CD2_SBI_L_9_10_!AW34,EL_DEL_CD2_L_STAB_!AW34),0)</f>
        <v>0</v>
      </c>
      <c r="AX34" s="102" t="str">
        <f t="shared" si="26"/>
        <v>-</v>
      </c>
      <c r="AY34" s="151"/>
      <c r="AZ34" s="116" t="str">
        <f t="shared" si="2"/>
        <v/>
      </c>
      <c r="BA34" s="117" t="str">
        <f t="shared" si="3"/>
        <v/>
      </c>
      <c r="BB34" s="116" t="str">
        <f t="shared" si="4"/>
        <v/>
      </c>
      <c r="BC34" s="151"/>
      <c r="BD34" s="159" t="str">
        <f t="shared" si="5"/>
        <v/>
      </c>
      <c r="BE34" s="160" t="str">
        <f t="shared" si="6"/>
        <v/>
      </c>
      <c r="BF34" s="160" t="str">
        <f t="shared" si="7"/>
        <v/>
      </c>
      <c r="BG34" s="160" t="str">
        <f>+IF(SUM(AO34:AR34)&gt;0,AO34/AN34,"")</f>
        <v/>
      </c>
      <c r="BH34" s="160" t="str">
        <f t="shared" si="9"/>
        <v/>
      </c>
      <c r="BI34" s="161" t="str">
        <f>+IF(SUM(AO34:AR34)&gt;0,AQ34/AN34,"")</f>
        <v/>
      </c>
      <c r="BJ34" s="151"/>
      <c r="BK34" s="162" t="str">
        <f t="shared" si="10"/>
        <v/>
      </c>
      <c r="BL34" s="163" t="str">
        <f t="shared" si="11"/>
        <v/>
      </c>
      <c r="BM34" s="163" t="str">
        <f t="shared" si="12"/>
        <v/>
      </c>
      <c r="BN34" s="164" t="str">
        <f t="shared" si="13"/>
        <v/>
      </c>
      <c r="BO34" s="151"/>
      <c r="BP34" s="124" t="str">
        <f t="shared" si="14"/>
        <v/>
      </c>
      <c r="BQ34" s="125">
        <v>0</v>
      </c>
      <c r="BR34" s="125" t="str">
        <f>IF(AJ34&gt;0,(AK34/AJ34),"")</f>
        <v/>
      </c>
      <c r="BS34" s="125" t="str">
        <f>IF(AJ34&gt;0,(AK34/AJ34),"")</f>
        <v/>
      </c>
      <c r="BT34" s="126" t="str">
        <f t="shared" si="16"/>
        <v/>
      </c>
      <c r="BU34" s="151"/>
      <c r="BV34" s="165" t="e">
        <f t="shared" si="17"/>
        <v>#VALUE!</v>
      </c>
      <c r="BW34" s="165" t="e">
        <f t="shared" si="18"/>
        <v>#VALUE!</v>
      </c>
      <c r="BX34" s="165" t="e">
        <f t="shared" si="19"/>
        <v>#VALUE!</v>
      </c>
      <c r="BY34" s="165" t="e">
        <f t="shared" si="20"/>
        <v>#VALUE!</v>
      </c>
      <c r="BZ34" s="165" t="e">
        <f>IF(AN34&gt;0,(AJ34/AN34),"")</f>
        <v>#VALUE!</v>
      </c>
      <c r="CA34" s="166" t="e">
        <f>IF(AN34&gt;0,(AK34/AN34),"")</f>
        <v>#VALUE!</v>
      </c>
      <c r="CB34" s="151"/>
      <c r="CC34" s="129" t="str">
        <f t="shared" si="21"/>
        <v>-</v>
      </c>
      <c r="CD34" s="130" t="str">
        <f t="shared" si="22"/>
        <v>-</v>
      </c>
      <c r="CE34" s="130" t="str">
        <f t="shared" si="23"/>
        <v>-</v>
      </c>
      <c r="CF34" s="130" t="str">
        <f t="shared" si="24"/>
        <v>-</v>
      </c>
      <c r="CG34" s="131" t="str">
        <f t="shared" si="25"/>
        <v>-</v>
      </c>
      <c r="CH34" s="151"/>
    </row>
    <row r="35" spans="1:86" ht="12" thickBot="1" x14ac:dyDescent="0.25">
      <c r="A35" s="235" t="s">
        <v>68</v>
      </c>
      <c r="B35" s="236"/>
      <c r="C35" s="109">
        <f t="shared" ref="C35:AW35" si="33">AVERAGE(C4:C34)</f>
        <v>0</v>
      </c>
      <c r="D35" s="109">
        <f t="shared" si="33"/>
        <v>0</v>
      </c>
      <c r="E35" s="109">
        <f t="shared" si="33"/>
        <v>0</v>
      </c>
      <c r="F35" s="109">
        <f t="shared" si="33"/>
        <v>0</v>
      </c>
      <c r="G35" s="109">
        <f t="shared" si="33"/>
        <v>0</v>
      </c>
      <c r="H35" s="109">
        <f t="shared" si="33"/>
        <v>0</v>
      </c>
      <c r="I35" s="109">
        <f t="shared" si="33"/>
        <v>0</v>
      </c>
      <c r="J35" s="109">
        <f t="shared" si="33"/>
        <v>0</v>
      </c>
      <c r="K35" s="109">
        <f t="shared" si="33"/>
        <v>0</v>
      </c>
      <c r="L35" s="109">
        <f t="shared" si="33"/>
        <v>0</v>
      </c>
      <c r="M35" s="109">
        <f t="shared" si="33"/>
        <v>0</v>
      </c>
      <c r="N35" s="109">
        <f t="shared" si="33"/>
        <v>0</v>
      </c>
      <c r="O35" s="109">
        <f t="shared" si="33"/>
        <v>0</v>
      </c>
      <c r="P35" s="109">
        <f t="shared" si="33"/>
        <v>0</v>
      </c>
      <c r="Q35" s="109">
        <f t="shared" si="33"/>
        <v>0</v>
      </c>
      <c r="R35" s="109">
        <f t="shared" si="33"/>
        <v>0</v>
      </c>
      <c r="S35" s="109">
        <f t="shared" si="33"/>
        <v>0</v>
      </c>
      <c r="T35" s="109">
        <f t="shared" si="33"/>
        <v>0</v>
      </c>
      <c r="U35" s="109">
        <f t="shared" si="33"/>
        <v>0</v>
      </c>
      <c r="V35" s="109">
        <f t="shared" si="33"/>
        <v>0</v>
      </c>
      <c r="W35" s="109">
        <f t="shared" si="33"/>
        <v>0</v>
      </c>
      <c r="X35" s="109">
        <f t="shared" si="33"/>
        <v>0</v>
      </c>
      <c r="Y35" s="109">
        <f t="shared" si="33"/>
        <v>0</v>
      </c>
      <c r="Z35" s="109">
        <f t="shared" si="33"/>
        <v>0</v>
      </c>
      <c r="AA35" s="109">
        <f t="shared" si="33"/>
        <v>0</v>
      </c>
      <c r="AB35" s="109">
        <f t="shared" si="33"/>
        <v>0</v>
      </c>
      <c r="AC35" s="109">
        <f t="shared" si="33"/>
        <v>0</v>
      </c>
      <c r="AD35" s="109">
        <f t="shared" si="33"/>
        <v>0</v>
      </c>
      <c r="AE35" s="109">
        <f t="shared" si="33"/>
        <v>0</v>
      </c>
      <c r="AF35" s="109">
        <f t="shared" si="33"/>
        <v>0</v>
      </c>
      <c r="AG35" s="109">
        <f t="shared" si="33"/>
        <v>0</v>
      </c>
      <c r="AH35" s="109">
        <f t="shared" si="33"/>
        <v>0</v>
      </c>
      <c r="AI35" s="109">
        <f t="shared" si="33"/>
        <v>0</v>
      </c>
      <c r="AJ35" s="109">
        <f t="shared" si="33"/>
        <v>0</v>
      </c>
      <c r="AK35" s="109">
        <f t="shared" si="33"/>
        <v>0</v>
      </c>
      <c r="AL35" s="109" t="e">
        <f t="shared" si="33"/>
        <v>#DIV/0!</v>
      </c>
      <c r="AM35" s="109" t="e">
        <f t="shared" si="33"/>
        <v>#DIV/0!</v>
      </c>
      <c r="AN35" s="109" t="e">
        <f t="shared" si="33"/>
        <v>#DIV/0!</v>
      </c>
      <c r="AO35" s="109" t="e">
        <f t="shared" si="33"/>
        <v>#DIV/0!</v>
      </c>
      <c r="AP35" s="109" t="e">
        <f t="shared" si="33"/>
        <v>#DIV/0!</v>
      </c>
      <c r="AQ35" s="109" t="e">
        <f t="shared" si="33"/>
        <v>#DIV/0!</v>
      </c>
      <c r="AR35" s="109" t="e">
        <f t="shared" si="33"/>
        <v>#DIV/0!</v>
      </c>
      <c r="AS35" s="109" t="e">
        <f t="shared" si="33"/>
        <v>#DIV/0!</v>
      </c>
      <c r="AT35" s="109">
        <f t="shared" si="33"/>
        <v>0</v>
      </c>
      <c r="AU35" s="109">
        <f t="shared" si="33"/>
        <v>0</v>
      </c>
      <c r="AV35" s="109">
        <f t="shared" si="33"/>
        <v>0</v>
      </c>
      <c r="AW35" s="109">
        <f t="shared" si="33"/>
        <v>0</v>
      </c>
      <c r="AX35" s="153" t="str">
        <f t="shared" si="1"/>
        <v>-</v>
      </c>
      <c r="AY35" s="151"/>
      <c r="AZ35" s="133" t="str">
        <f t="shared" si="2"/>
        <v/>
      </c>
      <c r="BA35" s="134" t="str">
        <f t="shared" si="3"/>
        <v/>
      </c>
      <c r="BB35" s="135" t="str">
        <f t="shared" si="4"/>
        <v/>
      </c>
      <c r="BC35" s="151"/>
      <c r="BD35" s="133" t="str">
        <f t="shared" si="5"/>
        <v/>
      </c>
      <c r="BE35" s="136" t="str">
        <f t="shared" si="6"/>
        <v/>
      </c>
      <c r="BF35" s="136" t="str">
        <f t="shared" si="7"/>
        <v/>
      </c>
      <c r="BG35" s="136" t="e">
        <f>+IF(SUM(AO35:AR35)&gt;0,AO35/AN35,"")</f>
        <v>#DIV/0!</v>
      </c>
      <c r="BH35" s="136" t="str">
        <f t="shared" si="9"/>
        <v/>
      </c>
      <c r="BI35" s="135" t="e">
        <f>+IF(SUM(AO35:AR35)&gt;0,AQ35/AN35,"")</f>
        <v>#DIV/0!</v>
      </c>
      <c r="BJ35" s="151"/>
      <c r="BK35" s="133" t="str">
        <f t="shared" si="10"/>
        <v/>
      </c>
      <c r="BL35" s="136" t="str">
        <f t="shared" si="11"/>
        <v/>
      </c>
      <c r="BM35" s="136" t="str">
        <f t="shared" si="12"/>
        <v/>
      </c>
      <c r="BN35" s="135" t="str">
        <f t="shared" si="13"/>
        <v/>
      </c>
      <c r="BO35" s="151"/>
      <c r="BP35" s="133" t="str">
        <f t="shared" si="14"/>
        <v/>
      </c>
      <c r="BQ35" s="136">
        <v>0</v>
      </c>
      <c r="BR35" s="136" t="str">
        <f>IF(AJ35&gt;0,(AK35/AJ35),"")</f>
        <v/>
      </c>
      <c r="BS35" s="136" t="str">
        <f>IF(AJ35&gt;0,(AK35/AJ35),"")</f>
        <v/>
      </c>
      <c r="BT35" s="135" t="str">
        <f t="shared" si="16"/>
        <v/>
      </c>
      <c r="BU35" s="151"/>
      <c r="BV35" s="137" t="e">
        <f t="shared" si="17"/>
        <v>#DIV/0!</v>
      </c>
      <c r="BW35" s="138" t="e">
        <f t="shared" si="18"/>
        <v>#DIV/0!</v>
      </c>
      <c r="BX35" s="138" t="e">
        <f t="shared" si="19"/>
        <v>#DIV/0!</v>
      </c>
      <c r="BY35" s="138" t="e">
        <f t="shared" si="20"/>
        <v>#DIV/0!</v>
      </c>
      <c r="BZ35" s="138" t="e">
        <f>IF(AN35&gt;0,(AJ35/AN35),"")</f>
        <v>#DIV/0!</v>
      </c>
      <c r="CA35" s="139" t="e">
        <f>IF(AN35&gt;0,(AK35/AN35),"")</f>
        <v>#DIV/0!</v>
      </c>
      <c r="CB35" s="151"/>
      <c r="CC35" s="137" t="str">
        <f t="shared" si="21"/>
        <v>-</v>
      </c>
      <c r="CD35" s="138" t="str">
        <f t="shared" si="22"/>
        <v>-</v>
      </c>
      <c r="CE35" s="138" t="str">
        <f t="shared" si="23"/>
        <v>-</v>
      </c>
      <c r="CF35" s="138" t="str">
        <f t="shared" si="24"/>
        <v>-</v>
      </c>
      <c r="CG35" s="139" t="str">
        <f t="shared" si="25"/>
        <v>-</v>
      </c>
      <c r="CH35" s="151"/>
    </row>
    <row r="36" spans="1:86" ht="12" thickBot="1" x14ac:dyDescent="0.25">
      <c r="A36" s="235" t="s">
        <v>69</v>
      </c>
      <c r="B36" s="236"/>
      <c r="C36" s="111">
        <f t="shared" ref="C36:AW36" si="34">SUM(C4:C34)</f>
        <v>0</v>
      </c>
      <c r="D36" s="111">
        <f t="shared" si="34"/>
        <v>0</v>
      </c>
      <c r="E36" s="111">
        <f t="shared" si="34"/>
        <v>0</v>
      </c>
      <c r="F36" s="111">
        <f t="shared" si="34"/>
        <v>0</v>
      </c>
      <c r="G36" s="111">
        <f t="shared" si="34"/>
        <v>0</v>
      </c>
      <c r="H36" s="111">
        <f t="shared" si="34"/>
        <v>0</v>
      </c>
      <c r="I36" s="111">
        <f t="shared" si="34"/>
        <v>0</v>
      </c>
      <c r="J36" s="111">
        <f t="shared" si="34"/>
        <v>0</v>
      </c>
      <c r="K36" s="111">
        <f t="shared" si="34"/>
        <v>0</v>
      </c>
      <c r="L36" s="111">
        <f t="shared" si="34"/>
        <v>0</v>
      </c>
      <c r="M36" s="111">
        <f t="shared" si="34"/>
        <v>0</v>
      </c>
      <c r="N36" s="111">
        <f t="shared" si="34"/>
        <v>0</v>
      </c>
      <c r="O36" s="111">
        <f t="shared" si="34"/>
        <v>0</v>
      </c>
      <c r="P36" s="111">
        <f t="shared" si="34"/>
        <v>0</v>
      </c>
      <c r="Q36" s="111">
        <f t="shared" si="34"/>
        <v>0</v>
      </c>
      <c r="R36" s="111">
        <f t="shared" si="34"/>
        <v>0</v>
      </c>
      <c r="S36" s="111">
        <f t="shared" si="34"/>
        <v>0</v>
      </c>
      <c r="T36" s="111">
        <f t="shared" si="34"/>
        <v>0</v>
      </c>
      <c r="U36" s="111">
        <f t="shared" si="34"/>
        <v>0</v>
      </c>
      <c r="V36" s="111">
        <f t="shared" si="34"/>
        <v>0</v>
      </c>
      <c r="W36" s="111">
        <f t="shared" si="34"/>
        <v>0</v>
      </c>
      <c r="X36" s="111">
        <f t="shared" si="34"/>
        <v>0</v>
      </c>
      <c r="Y36" s="111">
        <f t="shared" si="34"/>
        <v>0</v>
      </c>
      <c r="Z36" s="111">
        <f t="shared" si="34"/>
        <v>0</v>
      </c>
      <c r="AA36" s="111">
        <f t="shared" si="34"/>
        <v>0</v>
      </c>
      <c r="AB36" s="111">
        <f t="shared" si="34"/>
        <v>0</v>
      </c>
      <c r="AC36" s="111">
        <f t="shared" si="34"/>
        <v>0</v>
      </c>
      <c r="AD36" s="111">
        <f t="shared" si="34"/>
        <v>0</v>
      </c>
      <c r="AE36" s="111">
        <f t="shared" si="34"/>
        <v>0</v>
      </c>
      <c r="AF36" s="111">
        <f t="shared" si="34"/>
        <v>0</v>
      </c>
      <c r="AG36" s="111">
        <f t="shared" si="34"/>
        <v>0</v>
      </c>
      <c r="AH36" s="111">
        <f t="shared" si="34"/>
        <v>0</v>
      </c>
      <c r="AI36" s="111">
        <f t="shared" si="34"/>
        <v>0</v>
      </c>
      <c r="AJ36" s="111">
        <f t="shared" si="34"/>
        <v>0</v>
      </c>
      <c r="AK36" s="111">
        <f t="shared" si="34"/>
        <v>0</v>
      </c>
      <c r="AL36" s="111">
        <f t="shared" si="34"/>
        <v>0</v>
      </c>
      <c r="AM36" s="111">
        <f t="shared" si="34"/>
        <v>0</v>
      </c>
      <c r="AN36" s="111">
        <f t="shared" si="34"/>
        <v>0</v>
      </c>
      <c r="AO36" s="111">
        <f t="shared" si="34"/>
        <v>0</v>
      </c>
      <c r="AP36" s="111">
        <f t="shared" si="34"/>
        <v>0</v>
      </c>
      <c r="AQ36" s="111">
        <f t="shared" si="34"/>
        <v>0</v>
      </c>
      <c r="AR36" s="111">
        <f t="shared" si="34"/>
        <v>0</v>
      </c>
      <c r="AS36" s="111">
        <f t="shared" si="34"/>
        <v>0</v>
      </c>
      <c r="AT36" s="111">
        <f t="shared" si="34"/>
        <v>0</v>
      </c>
      <c r="AU36" s="111">
        <f t="shared" si="34"/>
        <v>0</v>
      </c>
      <c r="AV36" s="111">
        <f t="shared" si="34"/>
        <v>0</v>
      </c>
      <c r="AW36" s="111">
        <f t="shared" si="34"/>
        <v>0</v>
      </c>
      <c r="AX36" s="155" t="str">
        <f t="shared" si="1"/>
        <v>-</v>
      </c>
      <c r="AY36" s="156"/>
      <c r="AZ36" s="141" t="str">
        <f t="shared" si="2"/>
        <v/>
      </c>
      <c r="BA36" s="142" t="str">
        <f t="shared" si="3"/>
        <v/>
      </c>
      <c r="BB36" s="143" t="str">
        <f t="shared" si="4"/>
        <v/>
      </c>
      <c r="BC36" s="156"/>
      <c r="BD36" s="141" t="str">
        <f t="shared" si="5"/>
        <v/>
      </c>
      <c r="BE36" s="144" t="str">
        <f t="shared" si="6"/>
        <v/>
      </c>
      <c r="BF36" s="144" t="str">
        <f t="shared" si="7"/>
        <v/>
      </c>
      <c r="BG36" s="144" t="str">
        <f>+IF(SUM(AO36:AR36)&gt;0,AO36/AN36,"")</f>
        <v/>
      </c>
      <c r="BH36" s="144" t="str">
        <f t="shared" si="9"/>
        <v/>
      </c>
      <c r="BI36" s="143" t="str">
        <f>+IF(SUM(AO36:AR36)&gt;0,AQ36/AN36,"")</f>
        <v/>
      </c>
      <c r="BJ36" s="156"/>
      <c r="BK36" s="141" t="str">
        <f t="shared" si="10"/>
        <v/>
      </c>
      <c r="BL36" s="144" t="str">
        <f t="shared" si="11"/>
        <v/>
      </c>
      <c r="BM36" s="144" t="str">
        <f t="shared" si="12"/>
        <v/>
      </c>
      <c r="BN36" s="143" t="str">
        <f t="shared" si="13"/>
        <v/>
      </c>
      <c r="BO36" s="156"/>
      <c r="BP36" s="141" t="str">
        <f t="shared" si="14"/>
        <v/>
      </c>
      <c r="BQ36" s="144">
        <v>0</v>
      </c>
      <c r="BR36" s="144" t="str">
        <f>IF(AJ36&gt;0,(AK36/AJ36),"")</f>
        <v/>
      </c>
      <c r="BS36" s="144" t="str">
        <f>IF(AJ36&gt;0,(AK36/AJ36),"")</f>
        <v/>
      </c>
      <c r="BT36" s="143" t="str">
        <f t="shared" si="16"/>
        <v/>
      </c>
      <c r="BU36" s="156"/>
      <c r="BV36" s="145" t="str">
        <f t="shared" si="17"/>
        <v/>
      </c>
      <c r="BW36" s="146" t="str">
        <f t="shared" si="18"/>
        <v/>
      </c>
      <c r="BX36" s="146" t="str">
        <f t="shared" si="19"/>
        <v/>
      </c>
      <c r="BY36" s="146" t="str">
        <f t="shared" si="20"/>
        <v/>
      </c>
      <c r="BZ36" s="146" t="str">
        <f>IF(AN36&gt;0,(AJ36/AN36),"")</f>
        <v/>
      </c>
      <c r="CA36" s="147" t="str">
        <f>IF(AN36&gt;0,(AK36/AN36),"")</f>
        <v/>
      </c>
      <c r="CB36" s="156"/>
      <c r="CC36" s="145" t="str">
        <f t="shared" si="21"/>
        <v>-</v>
      </c>
      <c r="CD36" s="146" t="str">
        <f t="shared" si="22"/>
        <v>-</v>
      </c>
      <c r="CE36" s="146" t="str">
        <f t="shared" si="23"/>
        <v>-</v>
      </c>
      <c r="CF36" s="146" t="str">
        <f t="shared" si="24"/>
        <v>-</v>
      </c>
      <c r="CG36" s="147" t="str">
        <f t="shared" si="25"/>
        <v>-</v>
      </c>
      <c r="CH36" s="156"/>
    </row>
    <row r="41" spans="1:86" x14ac:dyDescent="0.2">
      <c r="AN41" s="169"/>
    </row>
  </sheetData>
  <autoFilter ref="CC1:CG36">
    <filterColumn colId="0" showButton="0"/>
    <filterColumn colId="1" showButton="0"/>
    <filterColumn colId="2" showButton="0"/>
    <filterColumn colId="3" showButton="0"/>
  </autoFilter>
  <mergeCells count="88">
    <mergeCell ref="CE2:CE3"/>
    <mergeCell ref="CF2:CF3"/>
    <mergeCell ref="CG2:CG3"/>
    <mergeCell ref="BX2:BX3"/>
    <mergeCell ref="BY2:BY3"/>
    <mergeCell ref="BZ2:BZ3"/>
    <mergeCell ref="CA2:CA3"/>
    <mergeCell ref="CC2:CC3"/>
    <mergeCell ref="CD2:CD3"/>
    <mergeCell ref="BW2:BW3"/>
    <mergeCell ref="BI2:BI3"/>
    <mergeCell ref="BK2:BK3"/>
    <mergeCell ref="BL2:BL3"/>
    <mergeCell ref="BM2:BM3"/>
    <mergeCell ref="BN2:BN3"/>
    <mergeCell ref="BP2:BP3"/>
    <mergeCell ref="BQ2:BQ3"/>
    <mergeCell ref="BR2:BR3"/>
    <mergeCell ref="BS2:BS3"/>
    <mergeCell ref="BT2:BT3"/>
    <mergeCell ref="BV2:BV3"/>
    <mergeCell ref="AS2:AS3"/>
    <mergeCell ref="BH2:BH3"/>
    <mergeCell ref="AU2:AU3"/>
    <mergeCell ref="AV2:AV3"/>
    <mergeCell ref="AW2:AW3"/>
    <mergeCell ref="AX2:AX3"/>
    <mergeCell ref="AZ2:AZ3"/>
    <mergeCell ref="BA2:BA3"/>
    <mergeCell ref="BB2:BB3"/>
    <mergeCell ref="BD2:BD3"/>
    <mergeCell ref="BE2:BE3"/>
    <mergeCell ref="BF2:BF3"/>
    <mergeCell ref="BG2:BG3"/>
    <mergeCell ref="T2:T3"/>
    <mergeCell ref="AH2:AH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U2:U3"/>
    <mergeCell ref="O2:O3"/>
    <mergeCell ref="P2:P3"/>
    <mergeCell ref="Q2:Q3"/>
    <mergeCell ref="R2:R3"/>
    <mergeCell ref="S2:S3"/>
    <mergeCell ref="J2:J3"/>
    <mergeCell ref="K2:K3"/>
    <mergeCell ref="L2:L3"/>
    <mergeCell ref="M2:M3"/>
    <mergeCell ref="N2:N3"/>
    <mergeCell ref="BD1:BI1"/>
    <mergeCell ref="BK1:BN1"/>
    <mergeCell ref="BP1:BT1"/>
    <mergeCell ref="BV1:CA1"/>
    <mergeCell ref="V2:V3"/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35:B35"/>
    <mergeCell ref="A36:B36"/>
    <mergeCell ref="W2:W3"/>
    <mergeCell ref="X2:X3"/>
    <mergeCell ref="CC1:C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B1"/>
    <mergeCell ref="AZ1:B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EL_DEL_CD2_JO_</vt:lpstr>
      <vt:lpstr>EL_DEL_CD2_PTP_</vt:lpstr>
      <vt:lpstr>EL_DEL_CD2_SBI_1_4_</vt:lpstr>
      <vt:lpstr>EL_DEL_CD2_SBI_5_6_</vt:lpstr>
      <vt:lpstr>EL_DEL_CD2_SBI_7_8_</vt:lpstr>
      <vt:lpstr>EL_DEL_CD2_SBI_9_10_</vt:lpstr>
      <vt:lpstr>EL_DEL_CD2_STAB_</vt:lpstr>
      <vt:lpstr>EL_DEL_CD1_WST_PTP_</vt:lpstr>
      <vt:lpstr>EL_DEL_CD1_NTH_PTP_</vt:lpstr>
      <vt:lpstr>EL_DEL_CD1_STH_PTP_</vt:lpstr>
      <vt:lpstr>EL_DEL_CD1_1D4P_PTP_</vt:lpstr>
      <vt:lpstr>EL_DEL_CD1_8D_PTP_</vt:lpstr>
      <vt:lpstr>EL_DEL_CD2_JO_L_</vt:lpstr>
      <vt:lpstr>EL_DEL_CD2_PTP_L_</vt:lpstr>
      <vt:lpstr>EL_DEL_CD2_SBI_L_1_4_</vt:lpstr>
      <vt:lpstr>EL_DEL_CD2_SBI_L_5_6_</vt:lpstr>
      <vt:lpstr>EL_DEL_CD2_SBI_L_7_8_</vt:lpstr>
      <vt:lpstr>EL_DEL_CD2_SBI_L_9_10_</vt:lpstr>
      <vt:lpstr>EL_DEL_CD2_L_STAB_</vt:lpstr>
      <vt:lpstr>Overall without PTP </vt:lpstr>
      <vt:lpstr>ELEVATE_CD3_NTH_HB</vt:lpstr>
      <vt:lpstr>ELEVATE_CD3_STAB_HB</vt:lpstr>
      <vt:lpstr>ELEVATE_CD3_PTP_HB</vt:lpstr>
      <vt:lpstr>Overall Low Bal</vt:lpstr>
      <vt:lpstr>Overall High Bal</vt:lpstr>
      <vt:lpstr>Overall with PTP</vt:lpstr>
      <vt:lpstr>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</dc:creator>
  <cp:lastModifiedBy>Dialer MIS </cp:lastModifiedBy>
  <dcterms:created xsi:type="dcterms:W3CDTF">2015-08-02T09:01:32Z</dcterms:created>
  <dcterms:modified xsi:type="dcterms:W3CDTF">2026-10-08T07:53:01Z</dcterms:modified>
</cp:coreProperties>
</file>